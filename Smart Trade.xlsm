
<file path=[Content_Types].xml><?xml version="1.0" encoding="utf-8"?>
<Types xmlns="http://schemas.openxmlformats.org/package/2006/content-types">
  <Default Extension="bin" ContentType="application/vnd.ms-office.vbaProject"/>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Ex1.xml" ContentType="application/vnd.ms-office.chartex+xml"/>
  <Override PartName="/xl/charts/style22.xml" ContentType="application/vnd.ms-office.chartstyle+xml"/>
  <Override PartName="/xl/charts/colors22.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05" codeName="{A8AEBC96-B0E2-60E0-E325-6F3CC3B7FEDF}"/>
  <workbookPr codeName="ThisWorkbook" hidePivotFieldList="1"/>
  <mc:AlternateContent xmlns:mc="http://schemas.openxmlformats.org/markup-compatibility/2006">
    <mc:Choice Requires="x15">
      <x15ac:absPath xmlns:x15ac="http://schemas.microsoft.com/office/spreadsheetml/2010/11/ac" url="D:\Projects\Smart Trade\"/>
    </mc:Choice>
  </mc:AlternateContent>
  <xr:revisionPtr revIDLastSave="0" documentId="13_ncr:1_{FF7541DB-1C7B-442A-84C6-FDF808FE3D5A}" xr6:coauthVersionLast="47" xr6:coauthVersionMax="47" xr10:uidLastSave="{00000000-0000-0000-0000-000000000000}"/>
  <bookViews>
    <workbookView xWindow="-108" yWindow="-108" windowWidth="23256" windowHeight="13896" tabRatio="813" firstSheet="2" activeTab="7" xr2:uid="{00000000-000D-0000-FFFF-FFFF00000000}"/>
  </bookViews>
  <sheets>
    <sheet name="Sheet Map" sheetId="17" state="hidden" r:id="rId1"/>
    <sheet name="Standard_Taxonomy" sheetId="22" state="hidden" r:id="rId2"/>
    <sheet name="HS_MD" sheetId="16" r:id="rId3"/>
    <sheet name="HS_DB" sheetId="8" r:id="rId4"/>
    <sheet name="HS_Summary" sheetId="15" state="hidden" r:id="rId5"/>
    <sheet name="Crisis_Type" sheetId="21" state="hidden" r:id="rId6"/>
    <sheet name="Heat_Map" sheetId="20" state="hidden" r:id="rId7"/>
    <sheet name="Dashboard" sheetId="14" r:id="rId8"/>
    <sheet name="Pivot" sheetId="19" state="hidden" r:id="rId9"/>
  </sheets>
  <definedNames>
    <definedName name="_xlchart.v5.0" hidden="1">Pivot!$CG$14</definedName>
    <definedName name="_xlchart.v5.1" hidden="1">Pivot!$CG$15</definedName>
    <definedName name="_xlchart.v5.10" hidden="1">Pivot!$CH$14</definedName>
    <definedName name="_xlchart.v5.11" hidden="1">Pivot!$CH$15</definedName>
    <definedName name="_xlchart.v5.12" hidden="1">Pivot!$CG$14</definedName>
    <definedName name="_xlchart.v5.13" hidden="1">Pivot!$CG$15</definedName>
    <definedName name="_xlchart.v5.14" hidden="1">Pivot!$CG$6</definedName>
    <definedName name="_xlchart.v5.15" hidden="1">Pivot!$CG$7</definedName>
    <definedName name="_xlchart.v5.16" hidden="1">Pivot!$CH$14</definedName>
    <definedName name="_xlchart.v5.17" hidden="1">Pivot!$CH$15</definedName>
    <definedName name="_xlchart.v5.18" hidden="1">Pivot!$CH$6</definedName>
    <definedName name="_xlchart.v5.19" hidden="1">Pivot!$CH$7</definedName>
    <definedName name="_xlchart.v5.2" hidden="1">Pivot!$CG$6</definedName>
    <definedName name="_xlchart.v5.3" hidden="1">Pivot!$CG$7</definedName>
    <definedName name="_xlchart.v5.4" hidden="1">Pivot!$CH$14</definedName>
    <definedName name="_xlchart.v5.5" hidden="1">Pivot!$CH$15</definedName>
    <definedName name="_xlchart.v5.6" hidden="1">Pivot!$CH$6</definedName>
    <definedName name="_xlchart.v5.7" hidden="1">Pivot!$CH$7</definedName>
    <definedName name="_xlchart.v5.8" hidden="1">Pivot!$CG$14</definedName>
    <definedName name="_xlchart.v5.9" hidden="1">Pivot!$CG$15</definedName>
    <definedName name="_xlpm.AvgPrice" hidden="1" xlm="1">#NAME?</definedName>
    <definedName name="_xlpm.ConcRisk" hidden="1" xlm="1">#NAME?</definedName>
    <definedName name="_xlpm.countries" hidden="1" xlm="1">#NAME?</definedName>
    <definedName name="_xlpm.CountryCount" hidden="1" xlm="1">#NAME?</definedName>
    <definedName name="_xlpm.CountryRisk" hidden="1" xlm="1">#NAME?</definedName>
    <definedName name="_xlpm.hs" hidden="1" xlm="1">#NAME?</definedName>
    <definedName name="_xlpm.MaxShare" hidden="1" xlm="1">#NAME?</definedName>
    <definedName name="_xlpm.PriceRisk" hidden="1" xlm="1">#NAME?</definedName>
    <definedName name="_xlpm.SeaCount" hidden="1" xlm="1">#NAME?</definedName>
    <definedName name="_xlpm.SeaRatio" hidden="1" xlm="1">#NAME?</definedName>
    <definedName name="_xlpm.StdPrice" hidden="1" xlm="1">#NAME?</definedName>
    <definedName name="_xlpm.TotalCount" hidden="1" xlm="1">#NAME?</definedName>
    <definedName name="_xlpm.TransportRisk" hidden="1" xlm="1">#NAME?</definedName>
    <definedName name="_xlpm.Vol" hidden="1" xlm="1">#NAME?</definedName>
    <definedName name="Logo_10">"Rectangle: Diagonal Corners Rounded 59,Rectangle: Diagonal Corners Rounded 58,Rectangle: Diagonal Corners Rounded 57,Rectangle: Diagonal Corners Rounded 153"</definedName>
    <definedName name="Logo_11">"Rectangle: Diagonal Corners Rounded 154,Rectangle: Diagonal Corners Rounded 61,Rectangle: Diagonal Corners Rounded 62,Rectangle: Diagonal Corners Rounded 63"</definedName>
    <definedName name="Page4_PT4">Pivot!$CH$6</definedName>
    <definedName name="Slicer_Category">#N/A</definedName>
    <definedName name="Slicer_Country_Top10">#N/A</definedName>
    <definedName name="Slicer_Period">#N/A</definedName>
    <definedName name="Slicer_Period1">#N/A</definedName>
    <definedName name="Slicer_Period2">#N/A</definedName>
    <definedName name="Slicer_Product_Top10">#N/A</definedName>
    <definedName name="Slicer_Product_Top101">#N/A</definedName>
    <definedName name="Slicer_Product_Top102">#N/A</definedName>
    <definedName name="Slicer_Products">#N/A</definedName>
    <definedName name="Slicer_Reporter">#N/A</definedName>
    <definedName name="Slicer_Reporter1">#N/A</definedName>
    <definedName name="Slicer_Sub_Category">#N/A</definedName>
  </definedNames>
  <calcPr calcId="191029"/>
  <pivotCaches>
    <pivotCache cacheId="2341" r:id="rId10"/>
  </pivotCaches>
  <extLst>
    <ext xmlns:x14="http://schemas.microsoft.com/office/spreadsheetml/2009/9/main" uri="{BBE1A952-AA13-448e-AADC-164F8A28A991}">
      <x14:slicerCaches>
        <x14:slicerCache r:id="rId11"/>
        <x14:slicerCache r:id="rId12"/>
        <x14:slicerCache r:id="rId13"/>
        <x14:slicerCache r:id="rId14"/>
        <x14:slicerCache r:id="rId15"/>
        <x14:slicerCache r:id="rId16"/>
        <x14:slicerCache r:id="rId17"/>
        <x14:slicerCache r:id="rId18"/>
        <x14:slicerCache r:id="rId19"/>
        <x14:slicerCache r:id="rId20"/>
        <x14:slicerCache r:id="rId21"/>
        <x14:slicerCache r:id="rId2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0" i="16" l="1" a="1"/>
  <c r="C50" i="16" s="1"/>
  <c r="B533" i="8"/>
  <c r="D533" i="8" s="1"/>
  <c r="B534" i="8"/>
  <c r="G534" i="8" s="1"/>
  <c r="B535" i="8"/>
  <c r="G535" i="8" s="1"/>
  <c r="B536" i="8"/>
  <c r="H536" i="8" s="1"/>
  <c r="B537" i="8"/>
  <c r="G537" i="8" s="1"/>
  <c r="B538" i="8"/>
  <c r="F538" i="8" s="1"/>
  <c r="B539" i="8"/>
  <c r="G539" i="8" s="1"/>
  <c r="B540" i="8"/>
  <c r="E540" i="8" s="1"/>
  <c r="B541" i="8"/>
  <c r="B542" i="8"/>
  <c r="B543" i="8"/>
  <c r="B544" i="8"/>
  <c r="D539" i="8"/>
  <c r="E537" i="8"/>
  <c r="E538" i="8"/>
  <c r="E539" i="8"/>
  <c r="F536" i="8"/>
  <c r="F537" i="8"/>
  <c r="F539" i="8"/>
  <c r="G540" i="8"/>
  <c r="G541" i="8"/>
  <c r="G542" i="8"/>
  <c r="G544" i="8"/>
  <c r="H537" i="8"/>
  <c r="H539" i="8"/>
  <c r="H540" i="8"/>
  <c r="H542" i="8"/>
  <c r="I537" i="8"/>
  <c r="I539" i="8"/>
  <c r="I540" i="8"/>
  <c r="J533" i="8"/>
  <c r="J534" i="8"/>
  <c r="J535" i="8"/>
  <c r="J536" i="8"/>
  <c r="J537" i="8"/>
  <c r="J538" i="8"/>
  <c r="J539" i="8"/>
  <c r="J540" i="8"/>
  <c r="J541" i="8"/>
  <c r="J542" i="8"/>
  <c r="J543" i="8"/>
  <c r="J544" i="8"/>
  <c r="AA533" i="8"/>
  <c r="AA534" i="8"/>
  <c r="AA535" i="8"/>
  <c r="AA536" i="8"/>
  <c r="AA537" i="8"/>
  <c r="AA538" i="8"/>
  <c r="AA539" i="8"/>
  <c r="AA540" i="8"/>
  <c r="AA541" i="8"/>
  <c r="AA542" i="8"/>
  <c r="AA543" i="8"/>
  <c r="AA544" i="8"/>
  <c r="AB533" i="8" a="1"/>
  <c r="AB533" i="8" s="1"/>
  <c r="BC533" i="8" s="1"/>
  <c r="AB534" i="8" a="1"/>
  <c r="AB534" i="8" s="1"/>
  <c r="AB535" i="8" a="1"/>
  <c r="AB535" i="8" s="1"/>
  <c r="AB536" i="8" a="1"/>
  <c r="AB536" i="8" s="1"/>
  <c r="AB537" i="8" a="1"/>
  <c r="AB537" i="8"/>
  <c r="K537" i="8" s="1"/>
  <c r="AB538" i="8" a="1"/>
  <c r="AB538" i="8" s="1"/>
  <c r="AB539" i="8" a="1"/>
  <c r="AB539" i="8" s="1"/>
  <c r="AB540" i="8" a="1"/>
  <c r="AB540" i="8"/>
  <c r="K540" i="8" s="1"/>
  <c r="AB541" i="8" a="1"/>
  <c r="AB541" i="8" s="1"/>
  <c r="AB542" i="8" a="1"/>
  <c r="AB542" i="8" s="1"/>
  <c r="AB543" i="8" a="1"/>
  <c r="AB543" i="8" s="1"/>
  <c r="AB544" i="8" a="1"/>
  <c r="AB544" i="8" s="1"/>
  <c r="AC533" i="8"/>
  <c r="AC534" i="8"/>
  <c r="AC535" i="8"/>
  <c r="AC536" i="8"/>
  <c r="AC537" i="8"/>
  <c r="AC538" i="8"/>
  <c r="AC539" i="8"/>
  <c r="AC540" i="8"/>
  <c r="AC541" i="8"/>
  <c r="AC542" i="8"/>
  <c r="AC543" i="8"/>
  <c r="AC544" i="8"/>
  <c r="AD533" i="8"/>
  <c r="AE533" i="8" s="1"/>
  <c r="AD534" i="8"/>
  <c r="AD535" i="8"/>
  <c r="AE535" i="8" s="1"/>
  <c r="AD536" i="8"/>
  <c r="AE536" i="8" s="1"/>
  <c r="AD537" i="8"/>
  <c r="AE537" i="8" s="1"/>
  <c r="AD538" i="8"/>
  <c r="AE538" i="8" s="1"/>
  <c r="AD539" i="8"/>
  <c r="AE539" i="8" s="1"/>
  <c r="AD540" i="8"/>
  <c r="AE540" i="8" s="1"/>
  <c r="AD541" i="8"/>
  <c r="AF541" i="8" s="1"/>
  <c r="AD542" i="8"/>
  <c r="AE542" i="8" s="1"/>
  <c r="AD543" i="8"/>
  <c r="AF543" i="8" s="1"/>
  <c r="AD544" i="8"/>
  <c r="AF544" i="8" s="1"/>
  <c r="AE534" i="8"/>
  <c r="AF534" i="8"/>
  <c r="AH537" i="8"/>
  <c r="BB537" i="8" s="1"/>
  <c r="AH538" i="8"/>
  <c r="BB538" i="8" s="1"/>
  <c r="AH539" i="8"/>
  <c r="BB539" i="8" s="1"/>
  <c r="AI533" i="8"/>
  <c r="AI534" i="8"/>
  <c r="AI535" i="8"/>
  <c r="AI536" i="8"/>
  <c r="AI537" i="8"/>
  <c r="AI538" i="8"/>
  <c r="AI539" i="8"/>
  <c r="AI540" i="8"/>
  <c r="AI541" i="8"/>
  <c r="AI542" i="8"/>
  <c r="AI543" i="8"/>
  <c r="AI544" i="8"/>
  <c r="CN4" i="19"/>
  <c r="CN5" i="19"/>
  <c r="CN6" i="19"/>
  <c r="CN7" i="19"/>
  <c r="AD6" i="8"/>
  <c r="AD7" i="8"/>
  <c r="AD8" i="8"/>
  <c r="AD9" i="8"/>
  <c r="AD10" i="8"/>
  <c r="AD11" i="8"/>
  <c r="AD12" i="8"/>
  <c r="AD13" i="8"/>
  <c r="AD14" i="8"/>
  <c r="AD15" i="8"/>
  <c r="AD16" i="8"/>
  <c r="AD17" i="8"/>
  <c r="AD18" i="8"/>
  <c r="AD19" i="8"/>
  <c r="AD20" i="8"/>
  <c r="AD21" i="8"/>
  <c r="AD22" i="8"/>
  <c r="AD23" i="8"/>
  <c r="AD24" i="8"/>
  <c r="AD25" i="8"/>
  <c r="AD26" i="8"/>
  <c r="AD27" i="8"/>
  <c r="AD28" i="8"/>
  <c r="AD29" i="8"/>
  <c r="AD30" i="8"/>
  <c r="AD31" i="8"/>
  <c r="AD32" i="8"/>
  <c r="AD33" i="8"/>
  <c r="AD34" i="8"/>
  <c r="AD35" i="8"/>
  <c r="AD36" i="8"/>
  <c r="AD37" i="8"/>
  <c r="AD38" i="8"/>
  <c r="AD39" i="8"/>
  <c r="AD40" i="8"/>
  <c r="AD41" i="8"/>
  <c r="AD42" i="8"/>
  <c r="AD43" i="8"/>
  <c r="AD44" i="8"/>
  <c r="AD45" i="8"/>
  <c r="AD46" i="8"/>
  <c r="AD47" i="8"/>
  <c r="AD48" i="8"/>
  <c r="AD49" i="8"/>
  <c r="AD50" i="8"/>
  <c r="AD51" i="8"/>
  <c r="AD52" i="8"/>
  <c r="AD53" i="8"/>
  <c r="AD54" i="8"/>
  <c r="AD55" i="8"/>
  <c r="AD56" i="8"/>
  <c r="AD57" i="8"/>
  <c r="AD58" i="8"/>
  <c r="AD59" i="8"/>
  <c r="AD60" i="8"/>
  <c r="AD61" i="8"/>
  <c r="AD62" i="8"/>
  <c r="AD63" i="8"/>
  <c r="AD64" i="8"/>
  <c r="AD65" i="8"/>
  <c r="AD66" i="8"/>
  <c r="AD67" i="8"/>
  <c r="AD68" i="8"/>
  <c r="AD69" i="8"/>
  <c r="AD70" i="8"/>
  <c r="AD71" i="8"/>
  <c r="AD72" i="8"/>
  <c r="AD73" i="8"/>
  <c r="AD74" i="8"/>
  <c r="AD75" i="8"/>
  <c r="AD76" i="8"/>
  <c r="AD77" i="8"/>
  <c r="AD78" i="8"/>
  <c r="AD79" i="8"/>
  <c r="AD80" i="8"/>
  <c r="AD81" i="8"/>
  <c r="AD82" i="8"/>
  <c r="AD83" i="8"/>
  <c r="AD84" i="8"/>
  <c r="AD85" i="8"/>
  <c r="AD86" i="8"/>
  <c r="AD87" i="8"/>
  <c r="AD88" i="8"/>
  <c r="AD89" i="8"/>
  <c r="AD90" i="8"/>
  <c r="AD91" i="8"/>
  <c r="AD92" i="8"/>
  <c r="AD93" i="8"/>
  <c r="AD94" i="8"/>
  <c r="AD95" i="8"/>
  <c r="AD96" i="8"/>
  <c r="AD97" i="8"/>
  <c r="AD98" i="8"/>
  <c r="AD99" i="8"/>
  <c r="AD100" i="8"/>
  <c r="AD101" i="8"/>
  <c r="AD102" i="8"/>
  <c r="AD103" i="8"/>
  <c r="AD104" i="8"/>
  <c r="AD105" i="8"/>
  <c r="AD106" i="8"/>
  <c r="AD107" i="8"/>
  <c r="AD108" i="8"/>
  <c r="AD109" i="8"/>
  <c r="AD110" i="8"/>
  <c r="AD111" i="8"/>
  <c r="AD112" i="8"/>
  <c r="AD113" i="8"/>
  <c r="AD114" i="8"/>
  <c r="AD115" i="8"/>
  <c r="AD116" i="8"/>
  <c r="AD117" i="8"/>
  <c r="AD118" i="8"/>
  <c r="AD119" i="8"/>
  <c r="AD120" i="8"/>
  <c r="AD121" i="8"/>
  <c r="AD122" i="8"/>
  <c r="AD123" i="8"/>
  <c r="AD124" i="8"/>
  <c r="AD125" i="8"/>
  <c r="AD126" i="8"/>
  <c r="AD127" i="8"/>
  <c r="AD128" i="8"/>
  <c r="AD129" i="8"/>
  <c r="AD130" i="8"/>
  <c r="AD131" i="8"/>
  <c r="AD132" i="8"/>
  <c r="AD133" i="8"/>
  <c r="AD134" i="8"/>
  <c r="AD135" i="8"/>
  <c r="AD136" i="8"/>
  <c r="AD137" i="8"/>
  <c r="AD138" i="8"/>
  <c r="AD139" i="8"/>
  <c r="AD140" i="8"/>
  <c r="AD141" i="8"/>
  <c r="AD142" i="8"/>
  <c r="AD143" i="8"/>
  <c r="AD144" i="8"/>
  <c r="AD145" i="8"/>
  <c r="AD146" i="8"/>
  <c r="AD147" i="8"/>
  <c r="AD148" i="8"/>
  <c r="AD149" i="8"/>
  <c r="AD150" i="8"/>
  <c r="AD151" i="8"/>
  <c r="AD152" i="8"/>
  <c r="AD153" i="8"/>
  <c r="AD154" i="8"/>
  <c r="AD155" i="8"/>
  <c r="AD156" i="8"/>
  <c r="AD157" i="8"/>
  <c r="AD158" i="8"/>
  <c r="AD159" i="8"/>
  <c r="AD160" i="8"/>
  <c r="AD161" i="8"/>
  <c r="AD162" i="8"/>
  <c r="AD163" i="8"/>
  <c r="AD164" i="8"/>
  <c r="AD165" i="8"/>
  <c r="AD166" i="8"/>
  <c r="AD167" i="8"/>
  <c r="AD168" i="8"/>
  <c r="AD169" i="8"/>
  <c r="AD170" i="8"/>
  <c r="AD171" i="8"/>
  <c r="AD172" i="8"/>
  <c r="AD173" i="8"/>
  <c r="AD174" i="8"/>
  <c r="AD175" i="8"/>
  <c r="AD176" i="8"/>
  <c r="AD177" i="8"/>
  <c r="AD178" i="8"/>
  <c r="AD179" i="8"/>
  <c r="AD180" i="8"/>
  <c r="AD181" i="8"/>
  <c r="AD182" i="8"/>
  <c r="AD183" i="8"/>
  <c r="AD184" i="8"/>
  <c r="AD185" i="8"/>
  <c r="AD186" i="8"/>
  <c r="AD187" i="8"/>
  <c r="AD188" i="8"/>
  <c r="AD189" i="8"/>
  <c r="AD190" i="8"/>
  <c r="AD191" i="8"/>
  <c r="AD192" i="8"/>
  <c r="AD193" i="8"/>
  <c r="AD194" i="8"/>
  <c r="AD195" i="8"/>
  <c r="AD196" i="8"/>
  <c r="AD197" i="8"/>
  <c r="AD198" i="8"/>
  <c r="AD199" i="8"/>
  <c r="AD200" i="8"/>
  <c r="AD201" i="8"/>
  <c r="AD202" i="8"/>
  <c r="AD203" i="8"/>
  <c r="AD204" i="8"/>
  <c r="AD205" i="8"/>
  <c r="AD206" i="8"/>
  <c r="AD207" i="8"/>
  <c r="AD208" i="8"/>
  <c r="AD209" i="8"/>
  <c r="AD210" i="8"/>
  <c r="AD211" i="8"/>
  <c r="AD212" i="8"/>
  <c r="AD213" i="8"/>
  <c r="AD214" i="8"/>
  <c r="AD215" i="8"/>
  <c r="AD216" i="8"/>
  <c r="AD217" i="8"/>
  <c r="AD218" i="8"/>
  <c r="AD219" i="8"/>
  <c r="AD220" i="8"/>
  <c r="AD221" i="8"/>
  <c r="AD222" i="8"/>
  <c r="AD223" i="8"/>
  <c r="AD224" i="8"/>
  <c r="AD225" i="8"/>
  <c r="AD226" i="8"/>
  <c r="AD227" i="8"/>
  <c r="AD228" i="8"/>
  <c r="AD229" i="8"/>
  <c r="AD230" i="8"/>
  <c r="AD231" i="8"/>
  <c r="AD232" i="8"/>
  <c r="AD233" i="8"/>
  <c r="AD234" i="8"/>
  <c r="AD235" i="8"/>
  <c r="AD236" i="8"/>
  <c r="AD237" i="8"/>
  <c r="AD238" i="8"/>
  <c r="AD239" i="8"/>
  <c r="AD240" i="8"/>
  <c r="AD241" i="8"/>
  <c r="AD242" i="8"/>
  <c r="AD243" i="8"/>
  <c r="AD244" i="8"/>
  <c r="AD245" i="8"/>
  <c r="AD246" i="8"/>
  <c r="AD247" i="8"/>
  <c r="AD248" i="8"/>
  <c r="AD249" i="8"/>
  <c r="AD250" i="8"/>
  <c r="AD251" i="8"/>
  <c r="AD252" i="8"/>
  <c r="AD253" i="8"/>
  <c r="AD254" i="8"/>
  <c r="AD255" i="8"/>
  <c r="AD256" i="8"/>
  <c r="AD257" i="8"/>
  <c r="AD258" i="8"/>
  <c r="AD259" i="8"/>
  <c r="AD260" i="8"/>
  <c r="AD261" i="8"/>
  <c r="AD262" i="8"/>
  <c r="AD263" i="8"/>
  <c r="AD264" i="8"/>
  <c r="AD265" i="8"/>
  <c r="AD266" i="8"/>
  <c r="AD267" i="8"/>
  <c r="AD268" i="8"/>
  <c r="AD269" i="8"/>
  <c r="AD270" i="8"/>
  <c r="AD271" i="8"/>
  <c r="AD272" i="8"/>
  <c r="AD273" i="8"/>
  <c r="AD274" i="8"/>
  <c r="AD275" i="8"/>
  <c r="AD276" i="8"/>
  <c r="AD277" i="8"/>
  <c r="AD278" i="8"/>
  <c r="AD279" i="8"/>
  <c r="AD280" i="8"/>
  <c r="AD281" i="8"/>
  <c r="AD282" i="8"/>
  <c r="AD283" i="8"/>
  <c r="AD284" i="8"/>
  <c r="AD285" i="8"/>
  <c r="AD286" i="8"/>
  <c r="AD287" i="8"/>
  <c r="AD288" i="8"/>
  <c r="AD289" i="8"/>
  <c r="AD290" i="8"/>
  <c r="AD291" i="8"/>
  <c r="AD292" i="8"/>
  <c r="AD293" i="8"/>
  <c r="AD294" i="8"/>
  <c r="AD295" i="8"/>
  <c r="AD296" i="8"/>
  <c r="AD297" i="8"/>
  <c r="AD298" i="8"/>
  <c r="AD299" i="8"/>
  <c r="AD300" i="8"/>
  <c r="AD301" i="8"/>
  <c r="AD302" i="8"/>
  <c r="AD303" i="8"/>
  <c r="AD304" i="8"/>
  <c r="AD305" i="8"/>
  <c r="AD306" i="8"/>
  <c r="AD307" i="8"/>
  <c r="AD308" i="8"/>
  <c r="AD309" i="8"/>
  <c r="AD310" i="8"/>
  <c r="AD311" i="8"/>
  <c r="AD312" i="8"/>
  <c r="AD313" i="8"/>
  <c r="AD314" i="8"/>
  <c r="AD315" i="8"/>
  <c r="AD316" i="8"/>
  <c r="AD317" i="8"/>
  <c r="AD318" i="8"/>
  <c r="AD319" i="8"/>
  <c r="AD320" i="8"/>
  <c r="AD321" i="8"/>
  <c r="AD322" i="8"/>
  <c r="AD323" i="8"/>
  <c r="AD324" i="8"/>
  <c r="AD325" i="8"/>
  <c r="AD326" i="8"/>
  <c r="AD327" i="8"/>
  <c r="AD328" i="8"/>
  <c r="AD329" i="8"/>
  <c r="AD330" i="8"/>
  <c r="AD331" i="8"/>
  <c r="AD332" i="8"/>
  <c r="AD333" i="8"/>
  <c r="AD334" i="8"/>
  <c r="AD335" i="8"/>
  <c r="AD336" i="8"/>
  <c r="AD337" i="8"/>
  <c r="AD338" i="8"/>
  <c r="AD339" i="8"/>
  <c r="AD340" i="8"/>
  <c r="AD341" i="8"/>
  <c r="AD342" i="8"/>
  <c r="AD343" i="8"/>
  <c r="AD344" i="8"/>
  <c r="AD345" i="8"/>
  <c r="AD346" i="8"/>
  <c r="AD347" i="8"/>
  <c r="AD348" i="8"/>
  <c r="AD349" i="8"/>
  <c r="AD350" i="8"/>
  <c r="AD351" i="8"/>
  <c r="AD352" i="8"/>
  <c r="AD353" i="8"/>
  <c r="AD354" i="8"/>
  <c r="AD355" i="8"/>
  <c r="AD356" i="8"/>
  <c r="AD357" i="8"/>
  <c r="AD358" i="8"/>
  <c r="AD359" i="8"/>
  <c r="AD360" i="8"/>
  <c r="AD361" i="8"/>
  <c r="AD362" i="8"/>
  <c r="AD363" i="8"/>
  <c r="AD364" i="8"/>
  <c r="AD365" i="8"/>
  <c r="AD366" i="8"/>
  <c r="AD367" i="8"/>
  <c r="AD368" i="8"/>
  <c r="AD369" i="8"/>
  <c r="AD370" i="8"/>
  <c r="AD371" i="8"/>
  <c r="AD372" i="8"/>
  <c r="AD373" i="8"/>
  <c r="AD374" i="8"/>
  <c r="AD375" i="8"/>
  <c r="AD376" i="8"/>
  <c r="AD377" i="8"/>
  <c r="AD378" i="8"/>
  <c r="AD379" i="8"/>
  <c r="AD380" i="8"/>
  <c r="AD381" i="8"/>
  <c r="AD382" i="8"/>
  <c r="AD383" i="8"/>
  <c r="AD384" i="8"/>
  <c r="AD385" i="8"/>
  <c r="AD386" i="8"/>
  <c r="AD387" i="8"/>
  <c r="AD388" i="8"/>
  <c r="AD389" i="8"/>
  <c r="AD390" i="8"/>
  <c r="AD391" i="8"/>
  <c r="AD392" i="8"/>
  <c r="AD393" i="8"/>
  <c r="AD394" i="8"/>
  <c r="AD395" i="8"/>
  <c r="AD396" i="8"/>
  <c r="AD397" i="8"/>
  <c r="AD398" i="8"/>
  <c r="AD399" i="8"/>
  <c r="AD400" i="8"/>
  <c r="AD401" i="8"/>
  <c r="AD402" i="8"/>
  <c r="AD403" i="8"/>
  <c r="AD404" i="8"/>
  <c r="AD405" i="8"/>
  <c r="AD406" i="8"/>
  <c r="AD407" i="8"/>
  <c r="AD408" i="8"/>
  <c r="AD409" i="8"/>
  <c r="AD410" i="8"/>
  <c r="AD411" i="8"/>
  <c r="AD412" i="8"/>
  <c r="AD413" i="8"/>
  <c r="AD414" i="8"/>
  <c r="AD415" i="8"/>
  <c r="AD416" i="8"/>
  <c r="AD417" i="8"/>
  <c r="AD418" i="8"/>
  <c r="AD419" i="8"/>
  <c r="AD420" i="8"/>
  <c r="AD421" i="8"/>
  <c r="AD422" i="8"/>
  <c r="AD423" i="8"/>
  <c r="AD424" i="8"/>
  <c r="AD425" i="8"/>
  <c r="AD426" i="8"/>
  <c r="AD427" i="8"/>
  <c r="AD428" i="8"/>
  <c r="AD429" i="8"/>
  <c r="AD430" i="8"/>
  <c r="AD431" i="8"/>
  <c r="AD432" i="8"/>
  <c r="AD433" i="8"/>
  <c r="AD434" i="8"/>
  <c r="AD435" i="8"/>
  <c r="AD436" i="8"/>
  <c r="AD437" i="8"/>
  <c r="AD438" i="8"/>
  <c r="AD439" i="8"/>
  <c r="AD440" i="8"/>
  <c r="AD441" i="8"/>
  <c r="AD442" i="8"/>
  <c r="AD443" i="8"/>
  <c r="AD444" i="8"/>
  <c r="AD445" i="8"/>
  <c r="AD446" i="8"/>
  <c r="AD447" i="8"/>
  <c r="AD448" i="8"/>
  <c r="AD449" i="8"/>
  <c r="AD450" i="8"/>
  <c r="AD451" i="8"/>
  <c r="AD452" i="8"/>
  <c r="AD453" i="8"/>
  <c r="AD454" i="8"/>
  <c r="AD455" i="8"/>
  <c r="AD456" i="8"/>
  <c r="AD457" i="8"/>
  <c r="AD458" i="8"/>
  <c r="AD459" i="8"/>
  <c r="AD460" i="8"/>
  <c r="AD461" i="8"/>
  <c r="AD462" i="8"/>
  <c r="AD463" i="8"/>
  <c r="AD464" i="8"/>
  <c r="AD465" i="8"/>
  <c r="AD466" i="8"/>
  <c r="AD467" i="8"/>
  <c r="AD468" i="8"/>
  <c r="AD469" i="8"/>
  <c r="AD470" i="8"/>
  <c r="AD471" i="8"/>
  <c r="AD472" i="8"/>
  <c r="AD473" i="8"/>
  <c r="AD474" i="8"/>
  <c r="AD475" i="8"/>
  <c r="AD476" i="8"/>
  <c r="AD477" i="8"/>
  <c r="AD478" i="8"/>
  <c r="AD479" i="8"/>
  <c r="AD480" i="8"/>
  <c r="AD481" i="8"/>
  <c r="AD482" i="8"/>
  <c r="AD483" i="8"/>
  <c r="AD484" i="8"/>
  <c r="AD485" i="8"/>
  <c r="AD486" i="8"/>
  <c r="AD487" i="8"/>
  <c r="AD488" i="8"/>
  <c r="AD489" i="8"/>
  <c r="AD490" i="8"/>
  <c r="AD491" i="8"/>
  <c r="AD492" i="8"/>
  <c r="AD493" i="8"/>
  <c r="AD494" i="8"/>
  <c r="AD495" i="8"/>
  <c r="AD496" i="8"/>
  <c r="AD497" i="8"/>
  <c r="AD498" i="8"/>
  <c r="AD499" i="8"/>
  <c r="AD500" i="8"/>
  <c r="AD501" i="8"/>
  <c r="AD502" i="8"/>
  <c r="AD503" i="8"/>
  <c r="AD504" i="8"/>
  <c r="AD505" i="8"/>
  <c r="AD506" i="8"/>
  <c r="AD507" i="8"/>
  <c r="AD508" i="8"/>
  <c r="AD509" i="8"/>
  <c r="AD510" i="8"/>
  <c r="AD511" i="8"/>
  <c r="AD512" i="8"/>
  <c r="AD513" i="8"/>
  <c r="AD514" i="8"/>
  <c r="AD515" i="8"/>
  <c r="AD516" i="8"/>
  <c r="AD517" i="8"/>
  <c r="AD518" i="8"/>
  <c r="AD519" i="8"/>
  <c r="AD520" i="8"/>
  <c r="AD521" i="8"/>
  <c r="AD522" i="8"/>
  <c r="AD523" i="8"/>
  <c r="AD524" i="8"/>
  <c r="AD525" i="8"/>
  <c r="AD526" i="8"/>
  <c r="AD527" i="8"/>
  <c r="AD528" i="8"/>
  <c r="AD529" i="8"/>
  <c r="AD530" i="8"/>
  <c r="AD531" i="8"/>
  <c r="AD532" i="8"/>
  <c r="AC6" i="8"/>
  <c r="AC7" i="8"/>
  <c r="AC8" i="8"/>
  <c r="AC9" i="8"/>
  <c r="AC10" i="8"/>
  <c r="AC11" i="8"/>
  <c r="AC12" i="8"/>
  <c r="AC13" i="8"/>
  <c r="AC14" i="8"/>
  <c r="AC15" i="8"/>
  <c r="AC16" i="8"/>
  <c r="AC17" i="8"/>
  <c r="AC18" i="8"/>
  <c r="AC19" i="8"/>
  <c r="AC20" i="8"/>
  <c r="AC21" i="8"/>
  <c r="AC22" i="8"/>
  <c r="AC23" i="8"/>
  <c r="AC24" i="8"/>
  <c r="AC25" i="8"/>
  <c r="AC26" i="8"/>
  <c r="AC27" i="8"/>
  <c r="AC28" i="8"/>
  <c r="AC29" i="8"/>
  <c r="AC30" i="8"/>
  <c r="AC31" i="8"/>
  <c r="AC32" i="8"/>
  <c r="AC33" i="8"/>
  <c r="AC34" i="8"/>
  <c r="AC35" i="8"/>
  <c r="AC36" i="8"/>
  <c r="AC37" i="8"/>
  <c r="AC38" i="8"/>
  <c r="AC39" i="8"/>
  <c r="AC40" i="8"/>
  <c r="AC41" i="8"/>
  <c r="AC42" i="8"/>
  <c r="AC43" i="8"/>
  <c r="AC44" i="8"/>
  <c r="AC45" i="8"/>
  <c r="AC46" i="8"/>
  <c r="AC47" i="8"/>
  <c r="AC48" i="8"/>
  <c r="AC49" i="8"/>
  <c r="AC50" i="8"/>
  <c r="AC51" i="8"/>
  <c r="AC52" i="8"/>
  <c r="AC53" i="8"/>
  <c r="AC54" i="8"/>
  <c r="AC55" i="8"/>
  <c r="AC56" i="8"/>
  <c r="AC57" i="8"/>
  <c r="AC58" i="8"/>
  <c r="AC59" i="8"/>
  <c r="AC60" i="8"/>
  <c r="AC61" i="8"/>
  <c r="AC62" i="8"/>
  <c r="AC63" i="8"/>
  <c r="AC64" i="8"/>
  <c r="AC65" i="8"/>
  <c r="AC66" i="8"/>
  <c r="AC67" i="8"/>
  <c r="AC68" i="8"/>
  <c r="AC69" i="8"/>
  <c r="AC70" i="8"/>
  <c r="AC71" i="8"/>
  <c r="AC72" i="8"/>
  <c r="AC73" i="8"/>
  <c r="AC74" i="8"/>
  <c r="AC75" i="8"/>
  <c r="AC76" i="8"/>
  <c r="AC77" i="8"/>
  <c r="AC78" i="8"/>
  <c r="AC79" i="8"/>
  <c r="AC80" i="8"/>
  <c r="AC81" i="8"/>
  <c r="AC82" i="8"/>
  <c r="AC83" i="8"/>
  <c r="AC84" i="8"/>
  <c r="AC85" i="8"/>
  <c r="AC86" i="8"/>
  <c r="AC87" i="8"/>
  <c r="AC88" i="8"/>
  <c r="AC89" i="8"/>
  <c r="AC90" i="8"/>
  <c r="AC91" i="8"/>
  <c r="AC92" i="8"/>
  <c r="AC93" i="8"/>
  <c r="AC94" i="8"/>
  <c r="AC95" i="8"/>
  <c r="AC96" i="8"/>
  <c r="AC97" i="8"/>
  <c r="AC98" i="8"/>
  <c r="AC99" i="8"/>
  <c r="AC100" i="8"/>
  <c r="AC101" i="8"/>
  <c r="AC102" i="8"/>
  <c r="AC103" i="8"/>
  <c r="AC104" i="8"/>
  <c r="AC105" i="8"/>
  <c r="AC106" i="8"/>
  <c r="AC107" i="8"/>
  <c r="AC108" i="8"/>
  <c r="AC109" i="8"/>
  <c r="AC110" i="8"/>
  <c r="AC111" i="8"/>
  <c r="AC112" i="8"/>
  <c r="AC113" i="8"/>
  <c r="AC114" i="8"/>
  <c r="AC115" i="8"/>
  <c r="AC116" i="8"/>
  <c r="AC117" i="8"/>
  <c r="AC118" i="8"/>
  <c r="AC119" i="8"/>
  <c r="AC120" i="8"/>
  <c r="AC121" i="8"/>
  <c r="AC122" i="8"/>
  <c r="AC123" i="8"/>
  <c r="AC124" i="8"/>
  <c r="AC125" i="8"/>
  <c r="AC126" i="8"/>
  <c r="AC127" i="8"/>
  <c r="AC128" i="8"/>
  <c r="AC129" i="8"/>
  <c r="AC130" i="8"/>
  <c r="AC131" i="8"/>
  <c r="AC132" i="8"/>
  <c r="AC133" i="8"/>
  <c r="AC134" i="8"/>
  <c r="AC135" i="8"/>
  <c r="AC136" i="8"/>
  <c r="AC137" i="8"/>
  <c r="AC138" i="8"/>
  <c r="AC139" i="8"/>
  <c r="AC140" i="8"/>
  <c r="AC141" i="8"/>
  <c r="AC142" i="8"/>
  <c r="AC143" i="8"/>
  <c r="AC144" i="8"/>
  <c r="AC145" i="8"/>
  <c r="AC146" i="8"/>
  <c r="AC147" i="8"/>
  <c r="AC148" i="8"/>
  <c r="AC149" i="8"/>
  <c r="AC150" i="8"/>
  <c r="AC151" i="8"/>
  <c r="AC152" i="8"/>
  <c r="AC153" i="8"/>
  <c r="AC154" i="8"/>
  <c r="AC155" i="8"/>
  <c r="AC156" i="8"/>
  <c r="AC157" i="8"/>
  <c r="AC158" i="8"/>
  <c r="AC159" i="8"/>
  <c r="AC160" i="8"/>
  <c r="AC161" i="8"/>
  <c r="AC162" i="8"/>
  <c r="AC163" i="8"/>
  <c r="AC164" i="8"/>
  <c r="AC165" i="8"/>
  <c r="AC166" i="8"/>
  <c r="AC167" i="8"/>
  <c r="AC168" i="8"/>
  <c r="AC169" i="8"/>
  <c r="AC170" i="8"/>
  <c r="AC171" i="8"/>
  <c r="AC172" i="8"/>
  <c r="AC173" i="8"/>
  <c r="AC174" i="8"/>
  <c r="AC175" i="8"/>
  <c r="AC176" i="8"/>
  <c r="AC177" i="8"/>
  <c r="AC178" i="8"/>
  <c r="AC179" i="8"/>
  <c r="AC180" i="8"/>
  <c r="AC181" i="8"/>
  <c r="AC182" i="8"/>
  <c r="AC183" i="8"/>
  <c r="AC184" i="8"/>
  <c r="AC185" i="8"/>
  <c r="AC186" i="8"/>
  <c r="AC187" i="8"/>
  <c r="AC188" i="8"/>
  <c r="AC189" i="8"/>
  <c r="AC190" i="8"/>
  <c r="AC191" i="8"/>
  <c r="AC192" i="8"/>
  <c r="AC193" i="8"/>
  <c r="AC194" i="8"/>
  <c r="AC195" i="8"/>
  <c r="AC196" i="8"/>
  <c r="AC197" i="8"/>
  <c r="AC198" i="8"/>
  <c r="AC199" i="8"/>
  <c r="AC200" i="8"/>
  <c r="AC201" i="8"/>
  <c r="AC202" i="8"/>
  <c r="AC203" i="8"/>
  <c r="AC204" i="8"/>
  <c r="AC205" i="8"/>
  <c r="AC206" i="8"/>
  <c r="AC207" i="8"/>
  <c r="AC208" i="8"/>
  <c r="AC209" i="8"/>
  <c r="AC210" i="8"/>
  <c r="AC211" i="8"/>
  <c r="AC212" i="8"/>
  <c r="AC213" i="8"/>
  <c r="AC214" i="8"/>
  <c r="AC215" i="8"/>
  <c r="AC216" i="8"/>
  <c r="AC217" i="8"/>
  <c r="AC218" i="8"/>
  <c r="AC219" i="8"/>
  <c r="AC220" i="8"/>
  <c r="AC221" i="8"/>
  <c r="AC222" i="8"/>
  <c r="AC223" i="8"/>
  <c r="AC224" i="8"/>
  <c r="AC225" i="8"/>
  <c r="AC226" i="8"/>
  <c r="AC227" i="8"/>
  <c r="AC228" i="8"/>
  <c r="AC229" i="8"/>
  <c r="AC230" i="8"/>
  <c r="AC231" i="8"/>
  <c r="AC232" i="8"/>
  <c r="AC233" i="8"/>
  <c r="AC234" i="8"/>
  <c r="AC235" i="8"/>
  <c r="AC236" i="8"/>
  <c r="AC237" i="8"/>
  <c r="AC238" i="8"/>
  <c r="AC239" i="8"/>
  <c r="AC240" i="8"/>
  <c r="AC241" i="8"/>
  <c r="AC242" i="8"/>
  <c r="AC243" i="8"/>
  <c r="AC244" i="8"/>
  <c r="AC245" i="8"/>
  <c r="AC246" i="8"/>
  <c r="AC247" i="8"/>
  <c r="AC248" i="8"/>
  <c r="AC249" i="8"/>
  <c r="AC250" i="8"/>
  <c r="AC251" i="8"/>
  <c r="AC252" i="8"/>
  <c r="AC253" i="8"/>
  <c r="AC254" i="8"/>
  <c r="AC255" i="8"/>
  <c r="AC256" i="8"/>
  <c r="AC257" i="8"/>
  <c r="AC258" i="8"/>
  <c r="AC259" i="8"/>
  <c r="AC260" i="8"/>
  <c r="AC261" i="8"/>
  <c r="AC262" i="8"/>
  <c r="AC263" i="8"/>
  <c r="AC264" i="8"/>
  <c r="AC265" i="8"/>
  <c r="AC266" i="8"/>
  <c r="AC267" i="8"/>
  <c r="AC268" i="8"/>
  <c r="AC269" i="8"/>
  <c r="AC270" i="8"/>
  <c r="AC271" i="8"/>
  <c r="AC272" i="8"/>
  <c r="AC273" i="8"/>
  <c r="AC274" i="8"/>
  <c r="AC275" i="8"/>
  <c r="AC276" i="8"/>
  <c r="AC277" i="8"/>
  <c r="AC278" i="8"/>
  <c r="AC279" i="8"/>
  <c r="AC280" i="8"/>
  <c r="AC281" i="8"/>
  <c r="AC282" i="8"/>
  <c r="AC283" i="8"/>
  <c r="AC284" i="8"/>
  <c r="AC285" i="8"/>
  <c r="AC286" i="8"/>
  <c r="AC287" i="8"/>
  <c r="AC288" i="8"/>
  <c r="AC289" i="8"/>
  <c r="AC290" i="8"/>
  <c r="AC291" i="8"/>
  <c r="AC292" i="8"/>
  <c r="AC293" i="8"/>
  <c r="AC294" i="8"/>
  <c r="AC295" i="8"/>
  <c r="AC296" i="8"/>
  <c r="AC297" i="8"/>
  <c r="AC298" i="8"/>
  <c r="AC299" i="8"/>
  <c r="AC300" i="8"/>
  <c r="AC301" i="8"/>
  <c r="AC302" i="8"/>
  <c r="AC303" i="8"/>
  <c r="AC304" i="8"/>
  <c r="AC305" i="8"/>
  <c r="AC306" i="8"/>
  <c r="AC307" i="8"/>
  <c r="AC308" i="8"/>
  <c r="AC309" i="8"/>
  <c r="AC310" i="8"/>
  <c r="AC311" i="8"/>
  <c r="AC312" i="8"/>
  <c r="AC313" i="8"/>
  <c r="AC314" i="8"/>
  <c r="AC315" i="8"/>
  <c r="AC316" i="8"/>
  <c r="AC317" i="8"/>
  <c r="AC318" i="8"/>
  <c r="AC319" i="8"/>
  <c r="AC320" i="8"/>
  <c r="AC321" i="8"/>
  <c r="AC322" i="8"/>
  <c r="AC323" i="8"/>
  <c r="AC324" i="8"/>
  <c r="AC325" i="8"/>
  <c r="AC326" i="8"/>
  <c r="AC327" i="8"/>
  <c r="AC328" i="8"/>
  <c r="AC329" i="8"/>
  <c r="AC330" i="8"/>
  <c r="AC331" i="8"/>
  <c r="AC332" i="8"/>
  <c r="AC333" i="8"/>
  <c r="AC334" i="8"/>
  <c r="AC335" i="8"/>
  <c r="AC336" i="8"/>
  <c r="AC337" i="8"/>
  <c r="AC338" i="8"/>
  <c r="AC339" i="8"/>
  <c r="AC340" i="8"/>
  <c r="AC341" i="8"/>
  <c r="AC342" i="8"/>
  <c r="AC343" i="8"/>
  <c r="AC344" i="8"/>
  <c r="AC345" i="8"/>
  <c r="AC346" i="8"/>
  <c r="AC347" i="8"/>
  <c r="AC348" i="8"/>
  <c r="AC349" i="8"/>
  <c r="AC350" i="8"/>
  <c r="AC351" i="8"/>
  <c r="AC352" i="8"/>
  <c r="AC353" i="8"/>
  <c r="AC354" i="8"/>
  <c r="AC355" i="8"/>
  <c r="AC356" i="8"/>
  <c r="AC357" i="8"/>
  <c r="AC358" i="8"/>
  <c r="AC359" i="8"/>
  <c r="AC360" i="8"/>
  <c r="AC361" i="8"/>
  <c r="AC362" i="8"/>
  <c r="AC363" i="8"/>
  <c r="AC364" i="8"/>
  <c r="AC365" i="8"/>
  <c r="AC366" i="8"/>
  <c r="AC367" i="8"/>
  <c r="AC368" i="8"/>
  <c r="AC369" i="8"/>
  <c r="AC370" i="8"/>
  <c r="AC371" i="8"/>
  <c r="AC372" i="8"/>
  <c r="AC373" i="8"/>
  <c r="AC374" i="8"/>
  <c r="AC375" i="8"/>
  <c r="AC376" i="8"/>
  <c r="AC377" i="8"/>
  <c r="AC378" i="8"/>
  <c r="AC379" i="8"/>
  <c r="AC380" i="8"/>
  <c r="AC381" i="8"/>
  <c r="AC382" i="8"/>
  <c r="AC383" i="8"/>
  <c r="AC384" i="8"/>
  <c r="AC385" i="8"/>
  <c r="AC386" i="8"/>
  <c r="AC387" i="8"/>
  <c r="AC388" i="8"/>
  <c r="AC389" i="8"/>
  <c r="AC390" i="8"/>
  <c r="AC391" i="8"/>
  <c r="AC392" i="8"/>
  <c r="AC393" i="8"/>
  <c r="AC394" i="8"/>
  <c r="AC395" i="8"/>
  <c r="AC396" i="8"/>
  <c r="AC397" i="8"/>
  <c r="AC398" i="8"/>
  <c r="AC399" i="8"/>
  <c r="AC400" i="8"/>
  <c r="AC401" i="8"/>
  <c r="AC402" i="8"/>
  <c r="AC403" i="8"/>
  <c r="AC404" i="8"/>
  <c r="AC405" i="8"/>
  <c r="AC406" i="8"/>
  <c r="AC407" i="8"/>
  <c r="AC408" i="8"/>
  <c r="AC409" i="8"/>
  <c r="AC410" i="8"/>
  <c r="AC411" i="8"/>
  <c r="AC412" i="8"/>
  <c r="AC413" i="8"/>
  <c r="AC414" i="8"/>
  <c r="AC415" i="8"/>
  <c r="AC416" i="8"/>
  <c r="AC417" i="8"/>
  <c r="AC418" i="8"/>
  <c r="AC419" i="8"/>
  <c r="AC420" i="8"/>
  <c r="AC421" i="8"/>
  <c r="AC422" i="8"/>
  <c r="AC423" i="8"/>
  <c r="AC424" i="8"/>
  <c r="AC425" i="8"/>
  <c r="AC426" i="8"/>
  <c r="AC427" i="8"/>
  <c r="AC428" i="8"/>
  <c r="AC429" i="8"/>
  <c r="AC430" i="8"/>
  <c r="AC431" i="8"/>
  <c r="AC432" i="8"/>
  <c r="AC433" i="8"/>
  <c r="AC434" i="8"/>
  <c r="AC435" i="8"/>
  <c r="AC436" i="8"/>
  <c r="AC437" i="8"/>
  <c r="AC438" i="8"/>
  <c r="AC439" i="8"/>
  <c r="AC440" i="8"/>
  <c r="AC441" i="8"/>
  <c r="AC442" i="8"/>
  <c r="AC443" i="8"/>
  <c r="AC444" i="8"/>
  <c r="AC445" i="8"/>
  <c r="AC446" i="8"/>
  <c r="AC447" i="8"/>
  <c r="AC448" i="8"/>
  <c r="AC449" i="8"/>
  <c r="AC450" i="8"/>
  <c r="AC451" i="8"/>
  <c r="AC452" i="8"/>
  <c r="AC453" i="8"/>
  <c r="AC454" i="8"/>
  <c r="AC455" i="8"/>
  <c r="AC456" i="8"/>
  <c r="AC457" i="8"/>
  <c r="AC458" i="8"/>
  <c r="AC459" i="8"/>
  <c r="AC460" i="8"/>
  <c r="AC461" i="8"/>
  <c r="AC462" i="8"/>
  <c r="AC463" i="8"/>
  <c r="AC464" i="8"/>
  <c r="AC465" i="8"/>
  <c r="AC466" i="8"/>
  <c r="AC467" i="8"/>
  <c r="AC468" i="8"/>
  <c r="AC469" i="8"/>
  <c r="AC470" i="8"/>
  <c r="AC471" i="8"/>
  <c r="AC472" i="8"/>
  <c r="AC473" i="8"/>
  <c r="AC474" i="8"/>
  <c r="AC475" i="8"/>
  <c r="AC476" i="8"/>
  <c r="AC477" i="8"/>
  <c r="AC478" i="8"/>
  <c r="AC479" i="8"/>
  <c r="AC480" i="8"/>
  <c r="AC481" i="8"/>
  <c r="AC482" i="8"/>
  <c r="AC483" i="8"/>
  <c r="AC484" i="8"/>
  <c r="AC485" i="8"/>
  <c r="AC486" i="8"/>
  <c r="AC487" i="8"/>
  <c r="AC488" i="8"/>
  <c r="AC489" i="8"/>
  <c r="AC490" i="8"/>
  <c r="AC491" i="8"/>
  <c r="AC492" i="8"/>
  <c r="AC493" i="8"/>
  <c r="AC494" i="8"/>
  <c r="AC495" i="8"/>
  <c r="AC496" i="8"/>
  <c r="AC497" i="8"/>
  <c r="AC498" i="8"/>
  <c r="AC499" i="8"/>
  <c r="AC500" i="8"/>
  <c r="AC501" i="8"/>
  <c r="AC502" i="8"/>
  <c r="AC503" i="8"/>
  <c r="AC504" i="8"/>
  <c r="AC505" i="8"/>
  <c r="AC506" i="8"/>
  <c r="AC507" i="8"/>
  <c r="AC508" i="8"/>
  <c r="AC509" i="8"/>
  <c r="AC510" i="8"/>
  <c r="AC511" i="8"/>
  <c r="AC512" i="8"/>
  <c r="AC513" i="8"/>
  <c r="AC514" i="8"/>
  <c r="AC515" i="8"/>
  <c r="AC516" i="8"/>
  <c r="AC517" i="8"/>
  <c r="AC518" i="8"/>
  <c r="AC519" i="8"/>
  <c r="AC520" i="8"/>
  <c r="AC521" i="8"/>
  <c r="AC522" i="8"/>
  <c r="AC523" i="8"/>
  <c r="AC524" i="8"/>
  <c r="AC525" i="8"/>
  <c r="AC526" i="8"/>
  <c r="AC527" i="8"/>
  <c r="AC528" i="8"/>
  <c r="AC529" i="8"/>
  <c r="AC530" i="8"/>
  <c r="AC531" i="8"/>
  <c r="AC532" i="8"/>
  <c r="B44" i="20" a="1"/>
  <c r="B44" i="20" s="1"/>
  <c r="B45" i="20" a="1"/>
  <c r="B45" i="20" s="1"/>
  <c r="B46" i="20" a="1"/>
  <c r="B46" i="20" s="1"/>
  <c r="B47" i="20" a="1"/>
  <c r="B47" i="20" s="1"/>
  <c r="B48" i="20" a="1"/>
  <c r="B48" i="20" s="1"/>
  <c r="J396" i="8" s="1"/>
  <c r="B49" i="20" a="1"/>
  <c r="B49" i="20" s="1"/>
  <c r="B50" i="20" a="1"/>
  <c r="B50" i="20" s="1"/>
  <c r="B51" i="20" a="1"/>
  <c r="B51" i="20" s="1"/>
  <c r="J316" i="8" s="1"/>
  <c r="B52" i="20" a="1"/>
  <c r="B52" i="20" s="1"/>
  <c r="J212" i="8" s="1"/>
  <c r="B53" i="20" a="1"/>
  <c r="B53" i="20"/>
  <c r="B54" i="20" a="1"/>
  <c r="B54" i="20" s="1"/>
  <c r="B55" i="20" a="1"/>
  <c r="B55" i="20" s="1"/>
  <c r="B56" i="20" a="1"/>
  <c r="B56" i="20" s="1"/>
  <c r="B57" i="20" a="1"/>
  <c r="B57" i="20"/>
  <c r="B58" i="20" a="1"/>
  <c r="B58" i="20" s="1"/>
  <c r="B59" i="20" a="1"/>
  <c r="B59" i="20" s="1"/>
  <c r="B60" i="20" a="1"/>
  <c r="B60" i="20" s="1"/>
  <c r="B61" i="20" a="1"/>
  <c r="B61" i="20" s="1"/>
  <c r="J89" i="8" s="1"/>
  <c r="B62" i="20" a="1"/>
  <c r="B62" i="20" s="1"/>
  <c r="B63" i="20" a="1"/>
  <c r="B63" i="20" s="1"/>
  <c r="B64" i="20" a="1"/>
  <c r="B64" i="20" s="1"/>
  <c r="B65" i="20" a="1"/>
  <c r="B65" i="20" s="1"/>
  <c r="J196" i="8" s="1"/>
  <c r="B66" i="20" a="1"/>
  <c r="B66" i="20" s="1"/>
  <c r="J261" i="8" s="1"/>
  <c r="B67" i="20" a="1"/>
  <c r="B67" i="20" s="1"/>
  <c r="B68" i="20" a="1"/>
  <c r="B68" i="20" s="1"/>
  <c r="B69" i="20" a="1"/>
  <c r="B69" i="20" s="1"/>
  <c r="B70" i="20" a="1"/>
  <c r="B70" i="20" s="1"/>
  <c r="B71" i="20" a="1"/>
  <c r="B71" i="20" s="1"/>
  <c r="B72" i="20" a="1"/>
  <c r="B72" i="20" s="1"/>
  <c r="B73" i="20" a="1"/>
  <c r="B73" i="20" s="1"/>
  <c r="B74" i="20" a="1"/>
  <c r="B74" i="20" s="1"/>
  <c r="B75" i="20" a="1"/>
  <c r="B75" i="20" s="1"/>
  <c r="B76" i="20" a="1"/>
  <c r="B76" i="20" s="1"/>
  <c r="B77" i="20" a="1"/>
  <c r="B77" i="20" s="1"/>
  <c r="B78" i="20" a="1"/>
  <c r="B78" i="20" s="1"/>
  <c r="B79" i="20" a="1"/>
  <c r="B79" i="20" s="1"/>
  <c r="B80" i="20" a="1"/>
  <c r="B80" i="20" s="1"/>
  <c r="J229" i="8" s="1"/>
  <c r="B81" i="20" a="1"/>
  <c r="B81" i="20" s="1"/>
  <c r="B82" i="20" a="1"/>
  <c r="B82" i="20" s="1"/>
  <c r="B83" i="20" a="1"/>
  <c r="B83" i="20" s="1"/>
  <c r="B84" i="20" a="1"/>
  <c r="B84" i="20" s="1"/>
  <c r="B85" i="20" a="1"/>
  <c r="B85" i="20" s="1"/>
  <c r="B86" i="20" a="1"/>
  <c r="B86" i="20" s="1"/>
  <c r="J43" i="8" s="1"/>
  <c r="B87" i="20" a="1"/>
  <c r="B87" i="20" s="1"/>
  <c r="J409" i="8" s="1"/>
  <c r="B88" i="20" a="1"/>
  <c r="B88" i="20" s="1"/>
  <c r="J203" i="8" s="1"/>
  <c r="B89" i="20" a="1"/>
  <c r="B89" i="20" s="1"/>
  <c r="B90" i="20" a="1"/>
  <c r="B90" i="20" s="1"/>
  <c r="J283" i="8" s="1"/>
  <c r="B91" i="20" a="1"/>
  <c r="B91" i="20" s="1"/>
  <c r="B92" i="20" a="1"/>
  <c r="B92" i="20" s="1"/>
  <c r="B93" i="20" a="1"/>
  <c r="B93" i="20" s="1"/>
  <c r="B94" i="20" a="1"/>
  <c r="B94" i="20" s="1"/>
  <c r="B95" i="20" a="1"/>
  <c r="B95" i="20" s="1"/>
  <c r="J430" i="8" s="1"/>
  <c r="B96" i="20" a="1"/>
  <c r="B96" i="20" s="1"/>
  <c r="B97" i="20" a="1"/>
  <c r="B97" i="20" s="1"/>
  <c r="B98" i="20" a="1"/>
  <c r="B98" i="20" s="1"/>
  <c r="B99" i="20" a="1"/>
  <c r="B99" i="20" s="1"/>
  <c r="J343" i="8" s="1"/>
  <c r="B100" i="20" a="1"/>
  <c r="B100" i="20" s="1"/>
  <c r="B101" i="20" a="1"/>
  <c r="B101" i="20" s="1"/>
  <c r="B102" i="20" a="1"/>
  <c r="B102" i="20" s="1"/>
  <c r="B103" i="20" a="1"/>
  <c r="B103" i="20" s="1"/>
  <c r="J471" i="8" s="1"/>
  <c r="B104" i="20" a="1"/>
  <c r="B104" i="20" s="1"/>
  <c r="B105" i="20" a="1"/>
  <c r="B105" i="20" s="1"/>
  <c r="B106" i="20" a="1"/>
  <c r="B106" i="20" s="1"/>
  <c r="B107" i="20" a="1"/>
  <c r="B107" i="20"/>
  <c r="J302" i="8" s="1"/>
  <c r="B108" i="20" a="1"/>
  <c r="B108" i="20" s="1"/>
  <c r="B109" i="20" a="1"/>
  <c r="B109" i="20" s="1"/>
  <c r="B110" i="20" a="1"/>
  <c r="B110" i="20" s="1"/>
  <c r="B111" i="20" a="1"/>
  <c r="B111" i="20" s="1"/>
  <c r="B112" i="20" a="1"/>
  <c r="B112" i="20" s="1"/>
  <c r="B113" i="20" a="1"/>
  <c r="B113" i="20" s="1"/>
  <c r="J391" i="8" s="1"/>
  <c r="B114" i="20" a="1"/>
  <c r="B114" i="20" s="1"/>
  <c r="B115" i="20" a="1"/>
  <c r="B115" i="20" s="1"/>
  <c r="B116" i="20" a="1"/>
  <c r="B116" i="20" s="1"/>
  <c r="B117" i="20" a="1"/>
  <c r="B117" i="20" s="1"/>
  <c r="B118" i="20" a="1"/>
  <c r="B118" i="20" s="1"/>
  <c r="B119" i="20" a="1"/>
  <c r="B119" i="20" s="1"/>
  <c r="J367" i="8" s="1"/>
  <c r="B120" i="20" a="1"/>
  <c r="B120" i="20" s="1"/>
  <c r="B121" i="20" a="1"/>
  <c r="B121" i="20" s="1"/>
  <c r="B122" i="20" a="1"/>
  <c r="B122" i="20" s="1"/>
  <c r="B123" i="20" a="1"/>
  <c r="B123" i="20" s="1"/>
  <c r="B124" i="20" a="1"/>
  <c r="B124" i="20" s="1"/>
  <c r="B125" i="20" a="1"/>
  <c r="B125" i="20" s="1"/>
  <c r="J506" i="8" s="1"/>
  <c r="B126" i="20" a="1"/>
  <c r="B126" i="20" s="1"/>
  <c r="B127" i="20" a="1"/>
  <c r="B127" i="20" s="1"/>
  <c r="B128" i="20" a="1"/>
  <c r="B128" i="20" s="1"/>
  <c r="B129" i="20" a="1"/>
  <c r="B129" i="20" s="1"/>
  <c r="B130" i="20" a="1"/>
  <c r="B130" i="20" s="1"/>
  <c r="J16" i="8" s="1"/>
  <c r="B131" i="20" a="1"/>
  <c r="B131" i="20" s="1"/>
  <c r="B132" i="20" a="1"/>
  <c r="B132" i="20" s="1"/>
  <c r="B133" i="20" a="1"/>
  <c r="B133" i="20" s="1"/>
  <c r="B134" i="20" a="1"/>
  <c r="B134" i="20" s="1"/>
  <c r="J488" i="8" s="1"/>
  <c r="B135" i="20" a="1"/>
  <c r="B135" i="20" s="1"/>
  <c r="B136" i="20" a="1"/>
  <c r="B136" i="20" s="1"/>
  <c r="B137" i="20" a="1"/>
  <c r="B137" i="20" s="1"/>
  <c r="B138" i="20" a="1"/>
  <c r="B138" i="20" s="1"/>
  <c r="B139" i="20" a="1"/>
  <c r="B139" i="20" s="1"/>
  <c r="J138" i="8" s="1"/>
  <c r="B140" i="20" a="1"/>
  <c r="B140" i="20" s="1"/>
  <c r="J139" i="8" s="1"/>
  <c r="B141" i="20" a="1"/>
  <c r="B141" i="20" s="1"/>
  <c r="B142" i="20" a="1"/>
  <c r="B142" i="20" s="1"/>
  <c r="J490" i="8" s="1"/>
  <c r="B143" i="20" a="1"/>
  <c r="B143" i="20" s="1"/>
  <c r="B144" i="20" a="1"/>
  <c r="B144" i="20" s="1"/>
  <c r="J412" i="8" s="1"/>
  <c r="B145" i="20" a="1"/>
  <c r="B145" i="20" s="1"/>
  <c r="B146" i="20" a="1"/>
  <c r="B146" i="20" s="1"/>
  <c r="B147" i="20" a="1"/>
  <c r="B147" i="20" s="1"/>
  <c r="B148" i="20" a="1"/>
  <c r="B148" i="20" s="1"/>
  <c r="B149" i="20" a="1"/>
  <c r="B149" i="20" s="1"/>
  <c r="B150" i="20" a="1"/>
  <c r="B150" i="20" s="1"/>
  <c r="B151" i="20" a="1"/>
  <c r="B151" i="20" s="1"/>
  <c r="B152" i="20" a="1"/>
  <c r="B152" i="20" s="1"/>
  <c r="B153" i="20" a="1"/>
  <c r="B153" i="20" s="1"/>
  <c r="B154" i="20" a="1"/>
  <c r="B154" i="20" s="1"/>
  <c r="B155" i="20" a="1"/>
  <c r="B155" i="20" s="1"/>
  <c r="B156" i="20" a="1"/>
  <c r="B156" i="20" s="1"/>
  <c r="B157" i="20" a="1"/>
  <c r="B157" i="20" s="1"/>
  <c r="B158" i="20" a="1"/>
  <c r="B158" i="20" s="1"/>
  <c r="J236" i="8" s="1"/>
  <c r="B159" i="20" a="1"/>
  <c r="B159" i="20" s="1"/>
  <c r="B160" i="20" a="1"/>
  <c r="B160" i="20" s="1"/>
  <c r="J180" i="8" s="1"/>
  <c r="B161" i="20" a="1"/>
  <c r="B161" i="20" s="1"/>
  <c r="B162" i="20" a="1"/>
  <c r="B162" i="20" s="1"/>
  <c r="B163" i="20" a="1"/>
  <c r="B163" i="20" s="1"/>
  <c r="J166" i="8" s="1"/>
  <c r="B164" i="20" a="1"/>
  <c r="B164" i="20" s="1"/>
  <c r="B165" i="20" a="1"/>
  <c r="B165" i="20" s="1"/>
  <c r="B166" i="20" a="1"/>
  <c r="B166" i="20" s="1"/>
  <c r="J494" i="8" s="1"/>
  <c r="B167" i="20" a="1"/>
  <c r="B167" i="20" s="1"/>
  <c r="J355" i="8" s="1"/>
  <c r="B168" i="20" a="1"/>
  <c r="B168" i="20" s="1"/>
  <c r="B169" i="20" a="1"/>
  <c r="B169" i="20" s="1"/>
  <c r="B170" i="20" a="1"/>
  <c r="B170" i="20" s="1"/>
  <c r="J465" i="8" s="1"/>
  <c r="B171" i="20" a="1"/>
  <c r="B171" i="20" s="1"/>
  <c r="J290" i="8" s="1"/>
  <c r="B172" i="20" a="1"/>
  <c r="B172" i="20" s="1"/>
  <c r="B173" i="20" a="1"/>
  <c r="B173" i="20" s="1"/>
  <c r="B174" i="20" a="1"/>
  <c r="B174" i="20" s="1"/>
  <c r="B175" i="20" a="1"/>
  <c r="B175" i="20" s="1"/>
  <c r="B176" i="20" a="1"/>
  <c r="B176" i="20" s="1"/>
  <c r="B177" i="20" a="1"/>
  <c r="B177" i="20" s="1"/>
  <c r="B178" i="20" a="1"/>
  <c r="B178" i="20" s="1"/>
  <c r="B179" i="20" a="1"/>
  <c r="B179" i="20" s="1"/>
  <c r="B180" i="20" a="1"/>
  <c r="B180" i="20" s="1"/>
  <c r="B181" i="20" a="1"/>
  <c r="B181" i="20" s="1"/>
  <c r="J521" i="8" s="1"/>
  <c r="B182" i="20" a="1"/>
  <c r="B182" i="20" s="1"/>
  <c r="J466" i="8" s="1"/>
  <c r="B183" i="20" a="1"/>
  <c r="B183" i="20" s="1"/>
  <c r="B184" i="20" a="1"/>
  <c r="B184" i="20" s="1"/>
  <c r="B185" i="20" a="1"/>
  <c r="B185" i="20" s="1"/>
  <c r="J386" i="8" s="1"/>
  <c r="B186" i="20" a="1"/>
  <c r="B186" i="20" s="1"/>
  <c r="J437" i="8" s="1"/>
  <c r="B187" i="20" a="1"/>
  <c r="B187" i="20" s="1"/>
  <c r="B188" i="20" a="1"/>
  <c r="B188" i="20" s="1"/>
  <c r="J496" i="8" s="1"/>
  <c r="B189" i="20" a="1"/>
  <c r="B189" i="20" s="1"/>
  <c r="J129" i="8" s="1"/>
  <c r="B190" i="20" a="1"/>
  <c r="B190" i="20" s="1"/>
  <c r="B191" i="20" a="1"/>
  <c r="B191" i="20" s="1"/>
  <c r="B192" i="20" a="1"/>
  <c r="B192" i="20" s="1"/>
  <c r="B193" i="20" a="1"/>
  <c r="B193" i="20" s="1"/>
  <c r="B194" i="20" a="1"/>
  <c r="B194" i="20" s="1"/>
  <c r="B195" i="20" a="1"/>
  <c r="B195" i="20" s="1"/>
  <c r="B196" i="20" a="1"/>
  <c r="B196" i="20" s="1"/>
  <c r="B197" i="20" a="1"/>
  <c r="B197" i="20" s="1"/>
  <c r="B198" i="20" a="1"/>
  <c r="B198" i="20" s="1"/>
  <c r="AV4" i="19"/>
  <c r="AV3" i="19"/>
  <c r="AV2" i="19"/>
  <c r="AH4" i="19"/>
  <c r="X4" i="19"/>
  <c r="J4" i="19"/>
  <c r="B4" i="19"/>
  <c r="F198" i="20"/>
  <c r="H198" i="20" s="1" a="1"/>
  <c r="H198" i="20" s="1"/>
  <c r="F197" i="20"/>
  <c r="H197" i="20" s="1" a="1"/>
  <c r="H197" i="20" s="1"/>
  <c r="F196" i="20"/>
  <c r="H196" i="20" s="1" a="1"/>
  <c r="H196" i="20" s="1"/>
  <c r="F195" i="20"/>
  <c r="H195" i="20" s="1" a="1"/>
  <c r="H195" i="20" s="1"/>
  <c r="F194" i="20"/>
  <c r="H194" i="20" s="1" a="1"/>
  <c r="H194" i="20" s="1"/>
  <c r="F193" i="20"/>
  <c r="H193" i="20" s="1" a="1"/>
  <c r="H193" i="20" s="1"/>
  <c r="F192" i="20"/>
  <c r="H192" i="20" s="1" a="1"/>
  <c r="H192" i="20" s="1"/>
  <c r="F191" i="20"/>
  <c r="H191" i="20" s="1" a="1"/>
  <c r="H191" i="20" s="1"/>
  <c r="F190" i="20"/>
  <c r="H190" i="20" s="1" a="1"/>
  <c r="H190" i="20" s="1"/>
  <c r="F189" i="20"/>
  <c r="H189" i="20" s="1" a="1"/>
  <c r="H189" i="20" s="1"/>
  <c r="F188" i="20"/>
  <c r="H188" i="20" s="1" a="1"/>
  <c r="H188" i="20" s="1"/>
  <c r="F187" i="20"/>
  <c r="H187" i="20" s="1" a="1"/>
  <c r="H187" i="20" s="1"/>
  <c r="F186" i="20"/>
  <c r="H186" i="20" s="1" a="1"/>
  <c r="H186" i="20" s="1"/>
  <c r="F185" i="20"/>
  <c r="H185" i="20" s="1" a="1"/>
  <c r="H185" i="20" s="1"/>
  <c r="F184" i="20"/>
  <c r="H184" i="20" s="1" a="1"/>
  <c r="H184" i="20" s="1"/>
  <c r="F183" i="20"/>
  <c r="H183" i="20" s="1" a="1"/>
  <c r="H183" i="20" s="1"/>
  <c r="F182" i="20"/>
  <c r="H182" i="20" s="1" a="1"/>
  <c r="H182" i="20" s="1"/>
  <c r="F181" i="20"/>
  <c r="H181" i="20" s="1" a="1"/>
  <c r="H181" i="20" s="1"/>
  <c r="F180" i="20"/>
  <c r="H180" i="20" s="1" a="1"/>
  <c r="H180" i="20" s="1"/>
  <c r="F179" i="20"/>
  <c r="H179" i="20" s="1" a="1"/>
  <c r="H179" i="20" s="1"/>
  <c r="F178" i="20"/>
  <c r="H178" i="20" s="1" a="1"/>
  <c r="H178" i="20" s="1"/>
  <c r="F177" i="20"/>
  <c r="H177" i="20" s="1" a="1"/>
  <c r="H177" i="20" s="1"/>
  <c r="F176" i="20"/>
  <c r="H176" i="20" s="1" a="1"/>
  <c r="H176" i="20" s="1"/>
  <c r="F175" i="20"/>
  <c r="H175" i="20" s="1" a="1"/>
  <c r="H175" i="20" s="1"/>
  <c r="F174" i="20"/>
  <c r="H174" i="20" s="1" a="1"/>
  <c r="H174" i="20" s="1"/>
  <c r="F173" i="20"/>
  <c r="H173" i="20" s="1" a="1"/>
  <c r="H173" i="20" s="1"/>
  <c r="F172" i="20"/>
  <c r="H172" i="20" s="1" a="1"/>
  <c r="H172" i="20" s="1"/>
  <c r="F171" i="20"/>
  <c r="H171" i="20" s="1" a="1"/>
  <c r="H171" i="20" s="1"/>
  <c r="F170" i="20"/>
  <c r="H170" i="20" s="1" a="1"/>
  <c r="H170" i="20" s="1"/>
  <c r="F169" i="20"/>
  <c r="H169" i="20" s="1" a="1"/>
  <c r="H169" i="20" s="1"/>
  <c r="F168" i="20"/>
  <c r="H168" i="20" s="1" a="1"/>
  <c r="H168" i="20" s="1"/>
  <c r="F167" i="20"/>
  <c r="H167" i="20" s="1" a="1"/>
  <c r="H167" i="20" s="1"/>
  <c r="F166" i="20"/>
  <c r="H166" i="20" s="1" a="1"/>
  <c r="H166" i="20" s="1"/>
  <c r="F165" i="20"/>
  <c r="H165" i="20" s="1" a="1"/>
  <c r="H165" i="20" s="1"/>
  <c r="F164" i="20"/>
  <c r="H164" i="20" s="1" a="1"/>
  <c r="H164" i="20" s="1"/>
  <c r="F163" i="20"/>
  <c r="H163" i="20" s="1" a="1"/>
  <c r="H163" i="20" s="1"/>
  <c r="F162" i="20"/>
  <c r="H162" i="20" s="1" a="1"/>
  <c r="H162" i="20" s="1"/>
  <c r="F161" i="20"/>
  <c r="H161" i="20" s="1" a="1"/>
  <c r="H161" i="20" s="1"/>
  <c r="F160" i="20"/>
  <c r="H160" i="20" s="1" a="1"/>
  <c r="H160" i="20" s="1"/>
  <c r="F159" i="20"/>
  <c r="H159" i="20" s="1" a="1"/>
  <c r="H159" i="20" s="1"/>
  <c r="F158" i="20"/>
  <c r="H158" i="20" s="1" a="1"/>
  <c r="H158" i="20" s="1"/>
  <c r="F157" i="20"/>
  <c r="H157" i="20" s="1" a="1"/>
  <c r="H157" i="20" s="1"/>
  <c r="F156" i="20"/>
  <c r="H156" i="20" s="1" a="1"/>
  <c r="H156" i="20" s="1"/>
  <c r="F155" i="20"/>
  <c r="H155" i="20" s="1" a="1"/>
  <c r="H155" i="20" s="1"/>
  <c r="F154" i="20"/>
  <c r="H154" i="20" s="1" a="1"/>
  <c r="H154" i="20" s="1"/>
  <c r="F153" i="20"/>
  <c r="H153" i="20" s="1" a="1"/>
  <c r="H153" i="20" s="1"/>
  <c r="F152" i="20"/>
  <c r="H152" i="20" s="1" a="1"/>
  <c r="H152" i="20" s="1"/>
  <c r="F151" i="20"/>
  <c r="H151" i="20" s="1" a="1"/>
  <c r="H151" i="20" s="1"/>
  <c r="F150" i="20"/>
  <c r="H150" i="20" s="1" a="1"/>
  <c r="H150" i="20" s="1"/>
  <c r="F149" i="20"/>
  <c r="H149" i="20" s="1" a="1"/>
  <c r="H149" i="20" s="1"/>
  <c r="F148" i="20"/>
  <c r="H148" i="20" s="1" a="1"/>
  <c r="H148" i="20" s="1"/>
  <c r="F147" i="20"/>
  <c r="H147" i="20" s="1" a="1"/>
  <c r="H147" i="20" s="1"/>
  <c r="F146" i="20"/>
  <c r="H146" i="20" s="1" a="1"/>
  <c r="H146" i="20" s="1"/>
  <c r="F145" i="20"/>
  <c r="H145" i="20" s="1" a="1"/>
  <c r="H145" i="20" s="1"/>
  <c r="F144" i="20"/>
  <c r="H144" i="20" s="1" a="1"/>
  <c r="H144" i="20" s="1"/>
  <c r="F143" i="20"/>
  <c r="H143" i="20" s="1" a="1"/>
  <c r="H143" i="20" s="1"/>
  <c r="F142" i="20"/>
  <c r="H142" i="20" s="1" a="1"/>
  <c r="H142" i="20" s="1"/>
  <c r="F141" i="20"/>
  <c r="H141" i="20" s="1" a="1"/>
  <c r="H141" i="20" s="1"/>
  <c r="F140" i="20"/>
  <c r="H140" i="20" s="1" a="1"/>
  <c r="H140" i="20" s="1"/>
  <c r="F139" i="20"/>
  <c r="H139" i="20" s="1" a="1"/>
  <c r="H139" i="20" s="1"/>
  <c r="F138" i="20"/>
  <c r="H138" i="20" s="1" a="1"/>
  <c r="H138" i="20" s="1"/>
  <c r="F137" i="20"/>
  <c r="H137" i="20" s="1" a="1"/>
  <c r="H137" i="20" s="1"/>
  <c r="F136" i="20"/>
  <c r="H136" i="20" s="1" a="1"/>
  <c r="H136" i="20" s="1"/>
  <c r="F135" i="20"/>
  <c r="H135" i="20" s="1" a="1"/>
  <c r="H135" i="20" s="1"/>
  <c r="F134" i="20"/>
  <c r="H134" i="20" s="1" a="1"/>
  <c r="H134" i="20" s="1"/>
  <c r="F133" i="20"/>
  <c r="H133" i="20" s="1" a="1"/>
  <c r="H133" i="20" s="1"/>
  <c r="F132" i="20"/>
  <c r="H132" i="20" s="1" a="1"/>
  <c r="H132" i="20" s="1"/>
  <c r="F131" i="20"/>
  <c r="H131" i="20" s="1" a="1"/>
  <c r="H131" i="20" s="1"/>
  <c r="F130" i="20"/>
  <c r="H130" i="20" s="1" a="1"/>
  <c r="H130" i="20" s="1"/>
  <c r="F129" i="20"/>
  <c r="H129" i="20" s="1" a="1"/>
  <c r="H129" i="20" s="1"/>
  <c r="F128" i="20"/>
  <c r="H128" i="20" s="1" a="1"/>
  <c r="H128" i="20" s="1"/>
  <c r="F127" i="20"/>
  <c r="H127" i="20" s="1" a="1"/>
  <c r="H127" i="20" s="1"/>
  <c r="F126" i="20"/>
  <c r="H126" i="20" s="1" a="1"/>
  <c r="H126" i="20" s="1"/>
  <c r="F125" i="20"/>
  <c r="H125" i="20" s="1" a="1"/>
  <c r="H125" i="20" s="1"/>
  <c r="F124" i="20"/>
  <c r="H124" i="20" s="1" a="1"/>
  <c r="H124" i="20" s="1"/>
  <c r="F123" i="20"/>
  <c r="H123" i="20" s="1" a="1"/>
  <c r="H123" i="20" s="1"/>
  <c r="F122" i="20"/>
  <c r="H122" i="20" s="1" a="1"/>
  <c r="H122" i="20" s="1"/>
  <c r="F121" i="20"/>
  <c r="H121" i="20" s="1" a="1"/>
  <c r="H121" i="20" s="1"/>
  <c r="F120" i="20"/>
  <c r="H120" i="20" s="1" a="1"/>
  <c r="H120" i="20" s="1"/>
  <c r="F119" i="20"/>
  <c r="H119" i="20" s="1" a="1"/>
  <c r="H119" i="20" s="1"/>
  <c r="F118" i="20"/>
  <c r="H118" i="20" s="1" a="1"/>
  <c r="H118" i="20" s="1"/>
  <c r="F117" i="20"/>
  <c r="H117" i="20" s="1" a="1"/>
  <c r="H117" i="20" s="1"/>
  <c r="F116" i="20"/>
  <c r="H116" i="20" s="1" a="1"/>
  <c r="H116" i="20" s="1"/>
  <c r="F115" i="20"/>
  <c r="H115" i="20" s="1" a="1"/>
  <c r="H115" i="20" s="1"/>
  <c r="F114" i="20"/>
  <c r="H114" i="20" s="1" a="1"/>
  <c r="H114" i="20" s="1"/>
  <c r="F113" i="20"/>
  <c r="H113" i="20" s="1" a="1"/>
  <c r="H113" i="20" s="1"/>
  <c r="F112" i="20"/>
  <c r="H112" i="20" s="1" a="1"/>
  <c r="H112" i="20" s="1"/>
  <c r="F111" i="20"/>
  <c r="H111" i="20" s="1" a="1"/>
  <c r="H111" i="20" s="1"/>
  <c r="F110" i="20"/>
  <c r="H110" i="20" s="1" a="1"/>
  <c r="H110" i="20" s="1"/>
  <c r="F109" i="20"/>
  <c r="H109" i="20" s="1" a="1"/>
  <c r="H109" i="20" s="1"/>
  <c r="F108" i="20"/>
  <c r="H108" i="20" s="1" a="1"/>
  <c r="H108" i="20" s="1"/>
  <c r="F107" i="20"/>
  <c r="H107" i="20" s="1" a="1"/>
  <c r="H107" i="20" s="1"/>
  <c r="F106" i="20"/>
  <c r="H106" i="20" s="1" a="1"/>
  <c r="H106" i="20" s="1"/>
  <c r="F105" i="20"/>
  <c r="H105" i="20" s="1" a="1"/>
  <c r="H105" i="20" s="1"/>
  <c r="F104" i="20"/>
  <c r="H104" i="20" s="1" a="1"/>
  <c r="H104" i="20" s="1"/>
  <c r="F103" i="20"/>
  <c r="H103" i="20" s="1" a="1"/>
  <c r="H103" i="20" s="1"/>
  <c r="F102" i="20"/>
  <c r="H102" i="20" s="1" a="1"/>
  <c r="H102" i="20" s="1"/>
  <c r="F101" i="20"/>
  <c r="H101" i="20" s="1" a="1"/>
  <c r="H101" i="20" s="1"/>
  <c r="F100" i="20"/>
  <c r="H100" i="20" s="1" a="1"/>
  <c r="H100" i="20" s="1"/>
  <c r="F99" i="20"/>
  <c r="H99" i="20" s="1" a="1"/>
  <c r="H99" i="20" s="1"/>
  <c r="F98" i="20"/>
  <c r="H98" i="20" s="1" a="1"/>
  <c r="H98" i="20" s="1"/>
  <c r="F97" i="20"/>
  <c r="H97" i="20" s="1" a="1"/>
  <c r="H97" i="20" s="1"/>
  <c r="F96" i="20"/>
  <c r="H96" i="20" s="1" a="1"/>
  <c r="H96" i="20" s="1"/>
  <c r="F95" i="20"/>
  <c r="H95" i="20" s="1" a="1"/>
  <c r="H95" i="20" s="1"/>
  <c r="F94" i="20"/>
  <c r="H94" i="20" s="1" a="1"/>
  <c r="H94" i="20" s="1"/>
  <c r="F93" i="20"/>
  <c r="H93" i="20" s="1" a="1"/>
  <c r="H93" i="20" s="1"/>
  <c r="F92" i="20"/>
  <c r="H92" i="20" s="1" a="1"/>
  <c r="H92" i="20" s="1"/>
  <c r="F91" i="20"/>
  <c r="H91" i="20" s="1" a="1"/>
  <c r="H91" i="20" s="1"/>
  <c r="F90" i="20"/>
  <c r="H90" i="20" s="1" a="1"/>
  <c r="H90" i="20" s="1"/>
  <c r="F89" i="20"/>
  <c r="H89" i="20" s="1" a="1"/>
  <c r="H89" i="20" s="1"/>
  <c r="F88" i="20"/>
  <c r="H88" i="20" s="1" a="1"/>
  <c r="H88" i="20" s="1"/>
  <c r="F87" i="20"/>
  <c r="H87" i="20" s="1" a="1"/>
  <c r="H87" i="20" s="1"/>
  <c r="F86" i="20"/>
  <c r="H86" i="20" s="1" a="1"/>
  <c r="H86" i="20" s="1"/>
  <c r="F85" i="20"/>
  <c r="H85" i="20" s="1" a="1"/>
  <c r="H85" i="20" s="1"/>
  <c r="F84" i="20"/>
  <c r="H84" i="20" s="1" a="1"/>
  <c r="H84" i="20" s="1"/>
  <c r="F83" i="20"/>
  <c r="H83" i="20" s="1" a="1"/>
  <c r="H83" i="20" s="1"/>
  <c r="F82" i="20"/>
  <c r="H82" i="20" s="1" a="1"/>
  <c r="H82" i="20" s="1"/>
  <c r="F81" i="20"/>
  <c r="H81" i="20" s="1" a="1"/>
  <c r="H81" i="20" s="1"/>
  <c r="F80" i="20"/>
  <c r="H80" i="20" s="1" a="1"/>
  <c r="H80" i="20" s="1"/>
  <c r="F79" i="20"/>
  <c r="H79" i="20" s="1" a="1"/>
  <c r="H79" i="20" s="1"/>
  <c r="F78" i="20"/>
  <c r="H78" i="20" s="1" a="1"/>
  <c r="H78" i="20" s="1"/>
  <c r="F77" i="20"/>
  <c r="H77" i="20" s="1" a="1"/>
  <c r="H77" i="20" s="1"/>
  <c r="F76" i="20"/>
  <c r="H76" i="20" s="1" a="1"/>
  <c r="H76" i="20" s="1"/>
  <c r="F75" i="20"/>
  <c r="H75" i="20" s="1" a="1"/>
  <c r="H75" i="20" s="1"/>
  <c r="F74" i="20"/>
  <c r="H74" i="20" s="1" a="1"/>
  <c r="H74" i="20" s="1"/>
  <c r="F73" i="20"/>
  <c r="H73" i="20" s="1" a="1"/>
  <c r="H73" i="20" s="1"/>
  <c r="F72" i="20"/>
  <c r="H72" i="20" s="1" a="1"/>
  <c r="H72" i="20" s="1"/>
  <c r="F71" i="20"/>
  <c r="H71" i="20" s="1" a="1"/>
  <c r="H71" i="20" s="1"/>
  <c r="F70" i="20"/>
  <c r="H70" i="20" s="1" a="1"/>
  <c r="H70" i="20" s="1"/>
  <c r="F69" i="20"/>
  <c r="H69" i="20" s="1" a="1"/>
  <c r="H69" i="20" s="1"/>
  <c r="F68" i="20"/>
  <c r="H68" i="20" s="1" a="1"/>
  <c r="H68" i="20" s="1"/>
  <c r="F67" i="20"/>
  <c r="H67" i="20" s="1" a="1"/>
  <c r="H67" i="20" s="1"/>
  <c r="F66" i="20"/>
  <c r="H66" i="20" s="1" a="1"/>
  <c r="H66" i="20" s="1"/>
  <c r="F65" i="20"/>
  <c r="H65" i="20" s="1" a="1"/>
  <c r="H65" i="20" s="1"/>
  <c r="F64" i="20"/>
  <c r="H64" i="20" s="1" a="1"/>
  <c r="H64" i="20" s="1"/>
  <c r="F63" i="20"/>
  <c r="H63" i="20" s="1" a="1"/>
  <c r="H63" i="20" s="1"/>
  <c r="F62" i="20"/>
  <c r="H62" i="20" s="1" a="1"/>
  <c r="H62" i="20" s="1"/>
  <c r="F61" i="20"/>
  <c r="H61" i="20" s="1" a="1"/>
  <c r="H61" i="20" s="1"/>
  <c r="F60" i="20"/>
  <c r="H60" i="20" s="1" a="1"/>
  <c r="H60" i="20" s="1"/>
  <c r="F59" i="20"/>
  <c r="H59" i="20" s="1" a="1"/>
  <c r="H59" i="20" s="1"/>
  <c r="F58" i="20"/>
  <c r="H58" i="20" s="1" a="1"/>
  <c r="H58" i="20" s="1"/>
  <c r="F57" i="20"/>
  <c r="H57" i="20" s="1" a="1"/>
  <c r="H57" i="20" s="1"/>
  <c r="F56" i="20"/>
  <c r="H56" i="20" s="1" a="1"/>
  <c r="H56" i="20" s="1"/>
  <c r="F55" i="20"/>
  <c r="H55" i="20" s="1" a="1"/>
  <c r="H55" i="20" s="1"/>
  <c r="F54" i="20"/>
  <c r="H54" i="20" s="1" a="1"/>
  <c r="H54" i="20" s="1"/>
  <c r="F53" i="20"/>
  <c r="H53" i="20" s="1" a="1"/>
  <c r="H53" i="20" s="1"/>
  <c r="F52" i="20"/>
  <c r="H52" i="20" s="1" a="1"/>
  <c r="H52" i="20" s="1"/>
  <c r="F51" i="20"/>
  <c r="H51" i="20" s="1" a="1"/>
  <c r="H51" i="20" s="1"/>
  <c r="F50" i="20"/>
  <c r="H50" i="20" s="1" a="1"/>
  <c r="H50" i="20" s="1"/>
  <c r="F49" i="20"/>
  <c r="H49" i="20" s="1" a="1"/>
  <c r="H49" i="20" s="1"/>
  <c r="F48" i="20"/>
  <c r="H48" i="20" s="1" a="1"/>
  <c r="H48" i="20" s="1"/>
  <c r="F47" i="20"/>
  <c r="H47" i="20" s="1" a="1"/>
  <c r="H47" i="20" s="1"/>
  <c r="F46" i="20"/>
  <c r="H46" i="20" s="1" a="1"/>
  <c r="H46" i="20" s="1"/>
  <c r="F45" i="20"/>
  <c r="H45" i="20" s="1" a="1"/>
  <c r="H45" i="20" s="1"/>
  <c r="F44" i="20"/>
  <c r="H44" i="20" s="1" a="1"/>
  <c r="H44" i="20" s="1"/>
  <c r="F43" i="20"/>
  <c r="H43" i="20" s="1" a="1"/>
  <c r="H43" i="20" s="1"/>
  <c r="B43" i="20" a="1"/>
  <c r="B43" i="20" s="1"/>
  <c r="J395" i="8" s="1"/>
  <c r="F42" i="20"/>
  <c r="H42" i="20" s="1" a="1"/>
  <c r="H42" i="20" s="1"/>
  <c r="B42" i="20" a="1"/>
  <c r="B42" i="20" s="1"/>
  <c r="J335" i="8" s="1"/>
  <c r="F41" i="20"/>
  <c r="H41" i="20" s="1" a="1"/>
  <c r="H41" i="20" s="1"/>
  <c r="B41" i="20" a="1"/>
  <c r="B41" i="20" s="1"/>
  <c r="F40" i="20"/>
  <c r="H40" i="20" s="1" a="1"/>
  <c r="H40" i="20" s="1"/>
  <c r="B40" i="20" a="1"/>
  <c r="B40" i="20" s="1"/>
  <c r="F39" i="20"/>
  <c r="H39" i="20" s="1" a="1"/>
  <c r="H39" i="20" s="1"/>
  <c r="B39" i="20" a="1"/>
  <c r="B39" i="20" s="1"/>
  <c r="F38" i="20"/>
  <c r="H38" i="20" s="1" a="1"/>
  <c r="H38" i="20" s="1"/>
  <c r="B38" i="20" a="1"/>
  <c r="B38" i="20" s="1"/>
  <c r="F37" i="20"/>
  <c r="H37" i="20" s="1" a="1"/>
  <c r="H37" i="20" s="1"/>
  <c r="B37" i="20" a="1"/>
  <c r="B37" i="20" s="1"/>
  <c r="F36" i="20"/>
  <c r="H36" i="20" s="1" a="1"/>
  <c r="H36" i="20" s="1"/>
  <c r="B36" i="20" a="1"/>
  <c r="B36" i="20" s="1"/>
  <c r="F35" i="20"/>
  <c r="H35" i="20" s="1" a="1"/>
  <c r="H35" i="20" s="1"/>
  <c r="B35" i="20" a="1"/>
  <c r="B35" i="20" s="1"/>
  <c r="F34" i="20"/>
  <c r="H34" i="20" s="1" a="1"/>
  <c r="H34" i="20" s="1"/>
  <c r="B34" i="20" a="1"/>
  <c r="B34" i="20" s="1"/>
  <c r="F33" i="20"/>
  <c r="H33" i="20" s="1" a="1"/>
  <c r="H33" i="20" s="1"/>
  <c r="B33" i="20" a="1"/>
  <c r="B33" i="20" s="1"/>
  <c r="J248" i="8" s="1"/>
  <c r="F32" i="20"/>
  <c r="H32" i="20" s="1" a="1"/>
  <c r="H32" i="20" s="1"/>
  <c r="B32" i="20" a="1"/>
  <c r="B32" i="20" s="1"/>
  <c r="F31" i="20"/>
  <c r="H31" i="20" s="1" a="1"/>
  <c r="H31" i="20" s="1"/>
  <c r="B31" i="20" a="1"/>
  <c r="B31" i="20" s="1"/>
  <c r="J394" i="8" s="1"/>
  <c r="F30" i="20"/>
  <c r="H30" i="20" s="1" a="1"/>
  <c r="H30" i="20" s="1"/>
  <c r="B30" i="20" a="1"/>
  <c r="B30" i="20" s="1"/>
  <c r="F29" i="20"/>
  <c r="H29" i="20" s="1" a="1"/>
  <c r="H29" i="20" s="1"/>
  <c r="B29" i="20" a="1"/>
  <c r="B29" i="20" s="1"/>
  <c r="F28" i="20"/>
  <c r="H28" i="20" s="1" a="1"/>
  <c r="H28" i="20" s="1"/>
  <c r="B28" i="20" a="1"/>
  <c r="B28" i="20" s="1"/>
  <c r="F27" i="20"/>
  <c r="H27" i="20" s="1" a="1"/>
  <c r="H27" i="20" s="1"/>
  <c r="B27" i="20" a="1"/>
  <c r="B27" i="20" s="1"/>
  <c r="F26" i="20"/>
  <c r="H26" i="20" s="1" a="1"/>
  <c r="H26" i="20" s="1"/>
  <c r="B26" i="20" a="1"/>
  <c r="B26" i="20" s="1"/>
  <c r="J397" i="8" s="1"/>
  <c r="F25" i="20"/>
  <c r="H25" i="20" s="1" a="1"/>
  <c r="H25" i="20" s="1"/>
  <c r="B25" i="20" a="1"/>
  <c r="B25" i="20" s="1"/>
  <c r="F24" i="20"/>
  <c r="H24" i="20" s="1" a="1"/>
  <c r="H24" i="20" s="1"/>
  <c r="B24" i="20" a="1"/>
  <c r="B24" i="20" s="1"/>
  <c r="F23" i="20"/>
  <c r="H23" i="20" s="1" a="1"/>
  <c r="H23" i="20" s="1"/>
  <c r="B23" i="20" a="1"/>
  <c r="B23" i="20" s="1"/>
  <c r="F22" i="20"/>
  <c r="H22" i="20" s="1" a="1"/>
  <c r="H22" i="20" s="1"/>
  <c r="B22" i="20" a="1"/>
  <c r="B22" i="20" s="1"/>
  <c r="F21" i="20"/>
  <c r="H21" i="20" s="1" a="1"/>
  <c r="H21" i="20" s="1"/>
  <c r="B21" i="20" a="1"/>
  <c r="B21" i="20" s="1"/>
  <c r="F20" i="20"/>
  <c r="H20" i="20" s="1" a="1"/>
  <c r="H20" i="20" s="1"/>
  <c r="B20" i="20" a="1"/>
  <c r="B20" i="20" s="1"/>
  <c r="J294" i="8" s="1"/>
  <c r="F19" i="20"/>
  <c r="H19" i="20" s="1" a="1"/>
  <c r="H19" i="20" s="1"/>
  <c r="B19" i="20" a="1"/>
  <c r="B19" i="20" s="1"/>
  <c r="F18" i="20"/>
  <c r="H18" i="20" s="1" a="1"/>
  <c r="H18" i="20" s="1"/>
  <c r="B18" i="20" a="1"/>
  <c r="B18" i="20" s="1"/>
  <c r="F17" i="20"/>
  <c r="H17" i="20" s="1" a="1"/>
  <c r="H17" i="20" s="1"/>
  <c r="B17" i="20" a="1"/>
  <c r="B17" i="20" s="1"/>
  <c r="F16" i="20"/>
  <c r="H16" i="20" s="1" a="1"/>
  <c r="H16" i="20" s="1"/>
  <c r="B16" i="20" a="1"/>
  <c r="B16" i="20" s="1"/>
  <c r="J6" i="8" s="1"/>
  <c r="F15" i="20"/>
  <c r="H15" i="20" s="1" a="1"/>
  <c r="H15" i="20" s="1"/>
  <c r="B15" i="20" a="1"/>
  <c r="B15" i="20" s="1"/>
  <c r="F14" i="20"/>
  <c r="H14" i="20" s="1" a="1"/>
  <c r="H14" i="20" s="1"/>
  <c r="B14" i="20" a="1"/>
  <c r="B14" i="20" s="1"/>
  <c r="F13" i="20"/>
  <c r="H13" i="20" s="1" a="1"/>
  <c r="H13" i="20" s="1"/>
  <c r="B13" i="20" a="1"/>
  <c r="B13" i="20" s="1"/>
  <c r="F12" i="20"/>
  <c r="H12" i="20" s="1" a="1"/>
  <c r="H12" i="20" s="1"/>
  <c r="B12" i="20" a="1"/>
  <c r="B12" i="20" s="1"/>
  <c r="F11" i="20"/>
  <c r="H11" i="20" s="1" a="1"/>
  <c r="H11" i="20" s="1"/>
  <c r="B11" i="20" a="1"/>
  <c r="B11" i="20" s="1"/>
  <c r="F10" i="20"/>
  <c r="H10" i="20" s="1" a="1"/>
  <c r="H10" i="20" s="1"/>
  <c r="B10" i="20" a="1"/>
  <c r="B10" i="20" s="1"/>
  <c r="F9" i="20"/>
  <c r="H9" i="20" s="1" a="1"/>
  <c r="H9" i="20" s="1"/>
  <c r="B9" i="20" a="1"/>
  <c r="B9" i="20" s="1"/>
  <c r="F8" i="20"/>
  <c r="H8" i="20" s="1" a="1"/>
  <c r="H8" i="20" s="1"/>
  <c r="B8" i="20" a="1"/>
  <c r="B8" i="20" s="1"/>
  <c r="F33" i="15"/>
  <c r="E33" i="15"/>
  <c r="D33" i="15"/>
  <c r="C33" i="15"/>
  <c r="F32" i="15"/>
  <c r="E32" i="15"/>
  <c r="D32" i="15"/>
  <c r="C32" i="15"/>
  <c r="F31" i="15"/>
  <c r="E31" i="15"/>
  <c r="D31" i="15"/>
  <c r="C31" i="15"/>
  <c r="F30" i="15"/>
  <c r="E30" i="15"/>
  <c r="D30" i="15"/>
  <c r="C30" i="15"/>
  <c r="F29" i="15"/>
  <c r="E29" i="15"/>
  <c r="D29" i="15"/>
  <c r="C29" i="15"/>
  <c r="F28" i="15"/>
  <c r="E28" i="15"/>
  <c r="D28" i="15"/>
  <c r="C28" i="15"/>
  <c r="F27" i="15"/>
  <c r="E27" i="15"/>
  <c r="D27" i="15"/>
  <c r="C27" i="15"/>
  <c r="F26" i="15"/>
  <c r="E26" i="15"/>
  <c r="D26" i="15"/>
  <c r="C26" i="15"/>
  <c r="F25" i="15"/>
  <c r="E25" i="15"/>
  <c r="D25" i="15"/>
  <c r="C25" i="15"/>
  <c r="F24" i="15"/>
  <c r="E24" i="15"/>
  <c r="D24" i="15"/>
  <c r="C24" i="15"/>
  <c r="F23" i="15"/>
  <c r="E23" i="15"/>
  <c r="D23" i="15"/>
  <c r="C23" i="15"/>
  <c r="F22" i="15"/>
  <c r="E22" i="15"/>
  <c r="D22" i="15"/>
  <c r="C22" i="15"/>
  <c r="F21" i="15"/>
  <c r="E21" i="15"/>
  <c r="D21" i="15"/>
  <c r="C21" i="15"/>
  <c r="F20" i="15"/>
  <c r="E20" i="15"/>
  <c r="D20" i="15"/>
  <c r="C20" i="15"/>
  <c r="F19" i="15"/>
  <c r="E19" i="15"/>
  <c r="D19" i="15"/>
  <c r="C19" i="15"/>
  <c r="F18" i="15"/>
  <c r="E18" i="15"/>
  <c r="D18" i="15"/>
  <c r="C18" i="15"/>
  <c r="F17" i="15"/>
  <c r="E17" i="15"/>
  <c r="D17" i="15"/>
  <c r="C17" i="15"/>
  <c r="F16" i="15"/>
  <c r="E16" i="15"/>
  <c r="D16" i="15"/>
  <c r="C16" i="15"/>
  <c r="F15" i="15"/>
  <c r="E15" i="15"/>
  <c r="D15" i="15"/>
  <c r="C15" i="15"/>
  <c r="F14" i="15"/>
  <c r="E14" i="15"/>
  <c r="D14" i="15"/>
  <c r="C14" i="15"/>
  <c r="F13" i="15"/>
  <c r="E13" i="15"/>
  <c r="D13" i="15"/>
  <c r="C13" i="15"/>
  <c r="F12" i="15"/>
  <c r="E12" i="15"/>
  <c r="D12" i="15"/>
  <c r="C12" i="15"/>
  <c r="F11" i="15"/>
  <c r="E11" i="15"/>
  <c r="D11" i="15"/>
  <c r="C11" i="15"/>
  <c r="F10" i="15"/>
  <c r="E10" i="15"/>
  <c r="D10" i="15"/>
  <c r="C10" i="15"/>
  <c r="F9" i="15"/>
  <c r="E9" i="15"/>
  <c r="D9" i="15"/>
  <c r="C9" i="15"/>
  <c r="F8" i="15"/>
  <c r="E8" i="15"/>
  <c r="D8" i="15"/>
  <c r="C8" i="15"/>
  <c r="F7" i="15"/>
  <c r="E7" i="15"/>
  <c r="D7" i="15"/>
  <c r="C7" i="15"/>
  <c r="F6" i="15"/>
  <c r="E6" i="15"/>
  <c r="D6" i="15"/>
  <c r="C6" i="15"/>
  <c r="AI532" i="8"/>
  <c r="AB532" i="8" a="1"/>
  <c r="AB532" i="8" s="1"/>
  <c r="BC532" i="8" s="1"/>
  <c r="AA532" i="8"/>
  <c r="B532" i="8"/>
  <c r="AI531" i="8"/>
  <c r="AB531" i="8" a="1"/>
  <c r="AB531" i="8" s="1"/>
  <c r="AA531" i="8"/>
  <c r="B531" i="8"/>
  <c r="AI530" i="8"/>
  <c r="AB530" i="8" a="1"/>
  <c r="AB530" i="8" s="1"/>
  <c r="AA530" i="8"/>
  <c r="B530" i="8"/>
  <c r="AH530" i="8" s="1"/>
  <c r="BB530" i="8" s="1"/>
  <c r="AI529" i="8"/>
  <c r="AB529" i="8" a="1"/>
  <c r="AB529" i="8" s="1"/>
  <c r="AA529" i="8"/>
  <c r="B529" i="8"/>
  <c r="AI528" i="8"/>
  <c r="AB528" i="8" a="1"/>
  <c r="AB528" i="8" s="1"/>
  <c r="BC528" i="8" s="1"/>
  <c r="AA528" i="8"/>
  <c r="B528" i="8"/>
  <c r="AI527" i="8"/>
  <c r="AB527" i="8" a="1"/>
  <c r="AB527" i="8" s="1"/>
  <c r="BC527" i="8" s="1"/>
  <c r="AA527" i="8"/>
  <c r="B527" i="8"/>
  <c r="G527" i="8" s="1"/>
  <c r="AI526" i="8"/>
  <c r="AB526" i="8" a="1"/>
  <c r="AB526" i="8" s="1"/>
  <c r="AA526" i="8"/>
  <c r="B526" i="8"/>
  <c r="AI525" i="8"/>
  <c r="AB525" i="8" a="1"/>
  <c r="AB525" i="8" s="1"/>
  <c r="AA525" i="8"/>
  <c r="B525" i="8"/>
  <c r="AH525" i="8" s="1"/>
  <c r="BB525" i="8" s="1"/>
  <c r="AI524" i="8"/>
  <c r="AB524" i="8" a="1"/>
  <c r="AB524" i="8" s="1"/>
  <c r="AA524" i="8"/>
  <c r="B524" i="8"/>
  <c r="AI523" i="8"/>
  <c r="AB523" i="8" a="1"/>
  <c r="AB523" i="8" s="1"/>
  <c r="AA523" i="8"/>
  <c r="B523" i="8"/>
  <c r="AI522" i="8"/>
  <c r="AB522" i="8" a="1"/>
  <c r="AB522" i="8" s="1"/>
  <c r="BC522" i="8" s="1"/>
  <c r="AA522" i="8"/>
  <c r="B522" i="8"/>
  <c r="I522" i="8" s="1"/>
  <c r="AI521" i="8"/>
  <c r="AB521" i="8" a="1"/>
  <c r="AB521" i="8" s="1"/>
  <c r="AA521" i="8"/>
  <c r="B521" i="8"/>
  <c r="AH521" i="8" s="1"/>
  <c r="BB521" i="8" s="1"/>
  <c r="AI520" i="8"/>
  <c r="AB520" i="8" a="1"/>
  <c r="AB520" i="8" s="1"/>
  <c r="AA520" i="8"/>
  <c r="B520" i="8"/>
  <c r="AI519" i="8"/>
  <c r="AB519" i="8" a="1"/>
  <c r="AB519" i="8" s="1"/>
  <c r="BC519" i="8" s="1"/>
  <c r="AA519" i="8"/>
  <c r="B519" i="8"/>
  <c r="AI518" i="8"/>
  <c r="AB518" i="8" a="1"/>
  <c r="AB518" i="8" s="1"/>
  <c r="AA518" i="8"/>
  <c r="B518" i="8"/>
  <c r="AI517" i="8"/>
  <c r="AB517" i="8" a="1"/>
  <c r="AB517" i="8" s="1"/>
  <c r="BC517" i="8" s="1"/>
  <c r="AA517" i="8"/>
  <c r="B517" i="8"/>
  <c r="H517" i="8" s="1"/>
  <c r="AI516" i="8"/>
  <c r="AB516" i="8" a="1"/>
  <c r="AB516" i="8" s="1"/>
  <c r="AA516" i="8"/>
  <c r="B516" i="8"/>
  <c r="D516" i="8" s="1"/>
  <c r="AI515" i="8"/>
  <c r="AB515" i="8" a="1"/>
  <c r="AB515" i="8" s="1"/>
  <c r="AA515" i="8"/>
  <c r="B515" i="8"/>
  <c r="AI514" i="8"/>
  <c r="AB514" i="8" a="1"/>
  <c r="AB514" i="8" s="1"/>
  <c r="AA514" i="8"/>
  <c r="B514" i="8"/>
  <c r="AI513" i="8"/>
  <c r="AB513" i="8" a="1"/>
  <c r="AB513" i="8" s="1"/>
  <c r="AA513" i="8"/>
  <c r="B513" i="8"/>
  <c r="AI512" i="8"/>
  <c r="AB512" i="8" a="1"/>
  <c r="AB512" i="8" s="1"/>
  <c r="AA512" i="8"/>
  <c r="B512" i="8"/>
  <c r="AI511" i="8"/>
  <c r="AB511" i="8" a="1"/>
  <c r="AB511" i="8" s="1"/>
  <c r="AA511" i="8"/>
  <c r="B511" i="8"/>
  <c r="F511" i="8" s="1"/>
  <c r="AI510" i="8"/>
  <c r="AB510" i="8" a="1"/>
  <c r="AB510" i="8" s="1"/>
  <c r="AA510" i="8"/>
  <c r="B510" i="8"/>
  <c r="H510" i="8" s="1"/>
  <c r="AI509" i="8"/>
  <c r="AB509" i="8" a="1"/>
  <c r="AB509" i="8" s="1"/>
  <c r="AA509" i="8"/>
  <c r="B509" i="8"/>
  <c r="I509" i="8" s="1"/>
  <c r="AI508" i="8"/>
  <c r="AB508" i="8" a="1"/>
  <c r="AB508" i="8" s="1"/>
  <c r="BC508" i="8" s="1"/>
  <c r="AA508" i="8"/>
  <c r="B508" i="8"/>
  <c r="I508" i="8" s="1"/>
  <c r="AI507" i="8"/>
  <c r="AB507" i="8" a="1"/>
  <c r="AB507" i="8" s="1"/>
  <c r="AA507" i="8"/>
  <c r="B507" i="8"/>
  <c r="AI506" i="8"/>
  <c r="AB506" i="8" a="1"/>
  <c r="AB506" i="8" s="1"/>
  <c r="AA506" i="8"/>
  <c r="B506" i="8"/>
  <c r="AI505" i="8"/>
  <c r="AB505" i="8" a="1"/>
  <c r="AB505" i="8" s="1"/>
  <c r="AA505" i="8"/>
  <c r="B505" i="8"/>
  <c r="D505" i="8" s="1"/>
  <c r="AI504" i="8"/>
  <c r="AB504" i="8" a="1"/>
  <c r="AB504" i="8" s="1"/>
  <c r="AA504" i="8"/>
  <c r="B504" i="8"/>
  <c r="AI503" i="8"/>
  <c r="AB503" i="8" a="1"/>
  <c r="AB503" i="8" s="1"/>
  <c r="BC503" i="8" s="1"/>
  <c r="AA503" i="8"/>
  <c r="B503" i="8"/>
  <c r="AI502" i="8"/>
  <c r="AB502" i="8" a="1"/>
  <c r="AB502" i="8" s="1"/>
  <c r="AA502" i="8"/>
  <c r="B502" i="8"/>
  <c r="AH502" i="8" s="1"/>
  <c r="BB502" i="8" s="1"/>
  <c r="AI501" i="8"/>
  <c r="AB501" i="8" a="1"/>
  <c r="AB501" i="8" s="1"/>
  <c r="AA501" i="8"/>
  <c r="B501" i="8"/>
  <c r="E501" i="8" s="1"/>
  <c r="AI500" i="8"/>
  <c r="AB500" i="8" a="1"/>
  <c r="AB500" i="8" s="1"/>
  <c r="AA500" i="8"/>
  <c r="B500" i="8"/>
  <c r="AI499" i="8"/>
  <c r="AB499" i="8" a="1"/>
  <c r="AB499" i="8" s="1"/>
  <c r="BC499" i="8" s="1"/>
  <c r="AA499" i="8"/>
  <c r="B499" i="8"/>
  <c r="AI498" i="8"/>
  <c r="AB498" i="8" a="1"/>
  <c r="AB498" i="8" s="1"/>
  <c r="AA498" i="8"/>
  <c r="B498" i="8"/>
  <c r="AH498" i="8" s="1"/>
  <c r="BB498" i="8" s="1"/>
  <c r="AI497" i="8"/>
  <c r="AB497" i="8" a="1"/>
  <c r="AB497" i="8" s="1"/>
  <c r="AA497" i="8"/>
  <c r="B497" i="8"/>
  <c r="AI496" i="8"/>
  <c r="AB496" i="8" a="1"/>
  <c r="AB496" i="8" s="1"/>
  <c r="AA496" i="8"/>
  <c r="B496" i="8"/>
  <c r="AI495" i="8"/>
  <c r="AB495" i="8" a="1"/>
  <c r="AB495" i="8" s="1"/>
  <c r="AA495" i="8"/>
  <c r="B495" i="8"/>
  <c r="AI494" i="8"/>
  <c r="AB494" i="8" a="1"/>
  <c r="AB494" i="8" s="1"/>
  <c r="BC494" i="8" s="1"/>
  <c r="AA494" i="8"/>
  <c r="B494" i="8"/>
  <c r="AH494" i="8" s="1"/>
  <c r="BB494" i="8" s="1"/>
  <c r="AI493" i="8"/>
  <c r="AB493" i="8" a="1"/>
  <c r="AB493" i="8" s="1"/>
  <c r="AA493" i="8"/>
  <c r="B493" i="8"/>
  <c r="AI492" i="8"/>
  <c r="AB492" i="8" a="1"/>
  <c r="AB492" i="8" s="1"/>
  <c r="AA492" i="8"/>
  <c r="B492" i="8"/>
  <c r="AI491" i="8"/>
  <c r="AB491" i="8" a="1"/>
  <c r="AB491" i="8" s="1"/>
  <c r="AA491" i="8"/>
  <c r="B491" i="8"/>
  <c r="F491" i="8" s="1"/>
  <c r="AI490" i="8"/>
  <c r="AB490" i="8" a="1"/>
  <c r="AB490" i="8" s="1"/>
  <c r="K490" i="8" s="1"/>
  <c r="AA490" i="8"/>
  <c r="B490" i="8"/>
  <c r="AI489" i="8"/>
  <c r="AB489" i="8" a="1"/>
  <c r="AB489" i="8" s="1"/>
  <c r="AA489" i="8"/>
  <c r="B489" i="8"/>
  <c r="AI488" i="8"/>
  <c r="AB488" i="8" a="1"/>
  <c r="AB488" i="8" s="1"/>
  <c r="AA488" i="8"/>
  <c r="B488" i="8"/>
  <c r="AH488" i="8" s="1"/>
  <c r="BB488" i="8" s="1"/>
  <c r="AI487" i="8"/>
  <c r="AB487" i="8" a="1"/>
  <c r="AB487" i="8" s="1"/>
  <c r="AA487" i="8"/>
  <c r="B487" i="8"/>
  <c r="AI486" i="8"/>
  <c r="AB486" i="8" a="1"/>
  <c r="AB486" i="8" s="1"/>
  <c r="AA486" i="8"/>
  <c r="B486" i="8"/>
  <c r="AI485" i="8"/>
  <c r="AB485" i="8" a="1"/>
  <c r="AB485" i="8" s="1"/>
  <c r="AA485" i="8"/>
  <c r="B485" i="8"/>
  <c r="E485" i="8" s="1"/>
  <c r="AI484" i="8"/>
  <c r="AB484" i="8" a="1"/>
  <c r="AB484" i="8" s="1"/>
  <c r="BC484" i="8" s="1"/>
  <c r="AA484" i="8"/>
  <c r="B484" i="8"/>
  <c r="I484" i="8" s="1"/>
  <c r="AI483" i="8"/>
  <c r="AB483" i="8" a="1"/>
  <c r="AB483" i="8" s="1"/>
  <c r="AA483" i="8"/>
  <c r="B483" i="8"/>
  <c r="AI482" i="8"/>
  <c r="AB482" i="8" a="1"/>
  <c r="AB482" i="8" s="1"/>
  <c r="AA482" i="8"/>
  <c r="B482" i="8"/>
  <c r="I482" i="8" s="1"/>
  <c r="AI481" i="8"/>
  <c r="AB481" i="8" a="1"/>
  <c r="AB481" i="8" s="1"/>
  <c r="AA481" i="8"/>
  <c r="B481" i="8"/>
  <c r="AI480" i="8"/>
  <c r="AB480" i="8" a="1"/>
  <c r="AB480" i="8" s="1"/>
  <c r="AA480" i="8"/>
  <c r="B480" i="8"/>
  <c r="AI479" i="8"/>
  <c r="AB479" i="8" a="1"/>
  <c r="AB479" i="8" s="1"/>
  <c r="AA479" i="8"/>
  <c r="B479" i="8"/>
  <c r="AH479" i="8" s="1"/>
  <c r="BB479" i="8" s="1"/>
  <c r="AI478" i="8"/>
  <c r="AB478" i="8" a="1"/>
  <c r="AB478" i="8" s="1"/>
  <c r="AA478" i="8"/>
  <c r="B478" i="8"/>
  <c r="AI477" i="8"/>
  <c r="AB477" i="8" a="1"/>
  <c r="AB477" i="8" s="1"/>
  <c r="AA477" i="8"/>
  <c r="B477" i="8"/>
  <c r="AI476" i="8"/>
  <c r="AB476" i="8" a="1"/>
  <c r="AB476" i="8" s="1"/>
  <c r="AA476" i="8"/>
  <c r="B476" i="8"/>
  <c r="E476" i="8" s="1"/>
  <c r="AI475" i="8"/>
  <c r="AB475" i="8" a="1"/>
  <c r="AB475" i="8" s="1"/>
  <c r="AA475" i="8"/>
  <c r="B475" i="8"/>
  <c r="AI474" i="8"/>
  <c r="AB474" i="8" a="1"/>
  <c r="AB474" i="8" s="1"/>
  <c r="AA474" i="8"/>
  <c r="B474" i="8"/>
  <c r="AI473" i="8"/>
  <c r="AB473" i="8" a="1"/>
  <c r="AB473" i="8" s="1"/>
  <c r="AA473" i="8"/>
  <c r="B473" i="8"/>
  <c r="AI472" i="8"/>
  <c r="AB472" i="8" a="1"/>
  <c r="AB472" i="8" s="1"/>
  <c r="K472" i="8" s="1"/>
  <c r="AA472" i="8"/>
  <c r="B472" i="8"/>
  <c r="AI471" i="8"/>
  <c r="AB471" i="8" a="1"/>
  <c r="AB471" i="8" s="1"/>
  <c r="AA471" i="8"/>
  <c r="B471" i="8"/>
  <c r="AI470" i="8"/>
  <c r="AB470" i="8" a="1"/>
  <c r="AB470" i="8" s="1"/>
  <c r="K470" i="8" s="1"/>
  <c r="AA470" i="8"/>
  <c r="B470" i="8"/>
  <c r="AI469" i="8"/>
  <c r="AB469" i="8" a="1"/>
  <c r="AB469" i="8" s="1"/>
  <c r="AA469" i="8"/>
  <c r="B469" i="8"/>
  <c r="AI468" i="8"/>
  <c r="AB468" i="8" a="1"/>
  <c r="AB468" i="8" s="1"/>
  <c r="AA468" i="8"/>
  <c r="B468" i="8"/>
  <c r="I468" i="8" s="1"/>
  <c r="AI467" i="8"/>
  <c r="AB467" i="8" a="1"/>
  <c r="AB467" i="8" s="1"/>
  <c r="BC467" i="8" s="1"/>
  <c r="AA467" i="8"/>
  <c r="B467" i="8"/>
  <c r="H467" i="8" s="1"/>
  <c r="AI466" i="8"/>
  <c r="AB466" i="8" a="1"/>
  <c r="AB466" i="8" s="1"/>
  <c r="BC466" i="8" s="1"/>
  <c r="AA466" i="8"/>
  <c r="B466" i="8"/>
  <c r="E466" i="8" s="1"/>
  <c r="AI465" i="8"/>
  <c r="AB465" i="8" a="1"/>
  <c r="AB465" i="8" s="1"/>
  <c r="AA465" i="8"/>
  <c r="B465" i="8"/>
  <c r="AI464" i="8"/>
  <c r="AB464" i="8" a="1"/>
  <c r="AB464" i="8" s="1"/>
  <c r="AA464" i="8"/>
  <c r="B464" i="8"/>
  <c r="AI463" i="8"/>
  <c r="AB463" i="8" a="1"/>
  <c r="AB463" i="8" s="1"/>
  <c r="BC463" i="8" s="1"/>
  <c r="AA463" i="8"/>
  <c r="B463" i="8"/>
  <c r="AI462" i="8"/>
  <c r="AB462" i="8" a="1"/>
  <c r="AB462" i="8" s="1"/>
  <c r="AA462" i="8"/>
  <c r="B462" i="8"/>
  <c r="G462" i="8" s="1"/>
  <c r="AI461" i="8"/>
  <c r="AB461" i="8" a="1"/>
  <c r="AB461" i="8" s="1"/>
  <c r="AA461" i="8"/>
  <c r="B461" i="8"/>
  <c r="I461" i="8" s="1"/>
  <c r="AI460" i="8"/>
  <c r="AB460" i="8" a="1"/>
  <c r="AB460" i="8" s="1"/>
  <c r="AA460" i="8"/>
  <c r="B460" i="8"/>
  <c r="AI459" i="8"/>
  <c r="AB459" i="8" a="1"/>
  <c r="AB459" i="8" s="1"/>
  <c r="AA459" i="8"/>
  <c r="B459" i="8"/>
  <c r="AI458" i="8"/>
  <c r="AB458" i="8" a="1"/>
  <c r="AB458" i="8" s="1"/>
  <c r="BC458" i="8" s="1"/>
  <c r="AA458" i="8"/>
  <c r="B458" i="8"/>
  <c r="AI457" i="8"/>
  <c r="AB457" i="8" a="1"/>
  <c r="AB457" i="8" s="1"/>
  <c r="BC457" i="8" s="1"/>
  <c r="AA457" i="8"/>
  <c r="B457" i="8"/>
  <c r="AI456" i="8"/>
  <c r="AB456" i="8" a="1"/>
  <c r="AB456" i="8" s="1"/>
  <c r="AA456" i="8"/>
  <c r="B456" i="8"/>
  <c r="AI455" i="8"/>
  <c r="AB455" i="8" a="1"/>
  <c r="AB455" i="8" s="1"/>
  <c r="AA455" i="8"/>
  <c r="B455" i="8"/>
  <c r="AI454" i="8"/>
  <c r="AB454" i="8" a="1"/>
  <c r="AB454" i="8" s="1"/>
  <c r="AA454" i="8"/>
  <c r="B454" i="8"/>
  <c r="AI453" i="8"/>
  <c r="AB453" i="8" a="1"/>
  <c r="AB453" i="8" s="1"/>
  <c r="AA453" i="8"/>
  <c r="B453" i="8"/>
  <c r="AI452" i="8"/>
  <c r="AB452" i="8" a="1"/>
  <c r="AB452" i="8" s="1"/>
  <c r="AA452" i="8"/>
  <c r="B452" i="8"/>
  <c r="AI451" i="8"/>
  <c r="AB451" i="8" a="1"/>
  <c r="AB451" i="8" s="1"/>
  <c r="AA451" i="8"/>
  <c r="B451" i="8"/>
  <c r="F451" i="8" s="1"/>
  <c r="AI450" i="8"/>
  <c r="AB450" i="8" a="1"/>
  <c r="AB450" i="8" s="1"/>
  <c r="AA450" i="8"/>
  <c r="B450" i="8"/>
  <c r="AI449" i="8"/>
  <c r="AB449" i="8" a="1"/>
  <c r="AB449" i="8" s="1"/>
  <c r="AA449" i="8"/>
  <c r="B449" i="8"/>
  <c r="AH449" i="8" s="1"/>
  <c r="BB449" i="8" s="1"/>
  <c r="AI448" i="8"/>
  <c r="AB448" i="8" a="1"/>
  <c r="AB448" i="8" s="1"/>
  <c r="AA448" i="8"/>
  <c r="B448" i="8"/>
  <c r="H448" i="8" s="1"/>
  <c r="AI447" i="8"/>
  <c r="AB447" i="8" a="1"/>
  <c r="AB447" i="8" s="1"/>
  <c r="AA447" i="8"/>
  <c r="B447" i="8"/>
  <c r="AI446" i="8"/>
  <c r="AB446" i="8" a="1"/>
  <c r="AB446" i="8" s="1"/>
  <c r="AA446" i="8"/>
  <c r="B446" i="8"/>
  <c r="AI445" i="8"/>
  <c r="AB445" i="8" a="1"/>
  <c r="AB445" i="8" s="1"/>
  <c r="K445" i="8" s="1"/>
  <c r="AA445" i="8"/>
  <c r="B445" i="8"/>
  <c r="AI444" i="8"/>
  <c r="AB444" i="8" a="1"/>
  <c r="AB444" i="8" s="1"/>
  <c r="BC444" i="8" s="1"/>
  <c r="AA444" i="8"/>
  <c r="B444" i="8"/>
  <c r="D444" i="8" s="1"/>
  <c r="AI443" i="8"/>
  <c r="AB443" i="8" a="1"/>
  <c r="AB443" i="8" s="1"/>
  <c r="BC443" i="8" s="1"/>
  <c r="AA443" i="8"/>
  <c r="B443" i="8"/>
  <c r="AI442" i="8"/>
  <c r="AB442" i="8" a="1"/>
  <c r="AB442" i="8" s="1"/>
  <c r="BC442" i="8" s="1"/>
  <c r="AA442" i="8"/>
  <c r="B442" i="8"/>
  <c r="G442" i="8" s="1"/>
  <c r="AI441" i="8"/>
  <c r="AB441" i="8" a="1"/>
  <c r="AB441" i="8" s="1"/>
  <c r="K441" i="8" s="1"/>
  <c r="AA441" i="8"/>
  <c r="B441" i="8"/>
  <c r="AI440" i="8"/>
  <c r="AB440" i="8" a="1"/>
  <c r="AB440" i="8" s="1"/>
  <c r="AA440" i="8"/>
  <c r="B440" i="8"/>
  <c r="F440" i="8" s="1"/>
  <c r="AI439" i="8"/>
  <c r="AB439" i="8" a="1"/>
  <c r="AB439" i="8" s="1"/>
  <c r="BC439" i="8" s="1"/>
  <c r="AA439" i="8"/>
  <c r="B439" i="8"/>
  <c r="H439" i="8" s="1"/>
  <c r="AI438" i="8"/>
  <c r="AB438" i="8" a="1"/>
  <c r="AB438" i="8" s="1"/>
  <c r="AA438" i="8"/>
  <c r="B438" i="8"/>
  <c r="AI437" i="8"/>
  <c r="AB437" i="8" a="1"/>
  <c r="AB437" i="8" s="1"/>
  <c r="AA437" i="8"/>
  <c r="B437" i="8"/>
  <c r="AI436" i="8"/>
  <c r="AB436" i="8" a="1"/>
  <c r="AB436" i="8" s="1"/>
  <c r="AA436" i="8"/>
  <c r="B436" i="8"/>
  <c r="AH436" i="8" s="1"/>
  <c r="BB436" i="8" s="1"/>
  <c r="AI435" i="8"/>
  <c r="AB435" i="8" a="1"/>
  <c r="AB435" i="8" s="1"/>
  <c r="AA435" i="8"/>
  <c r="B435" i="8"/>
  <c r="AI434" i="8"/>
  <c r="AB434" i="8" a="1"/>
  <c r="AB434" i="8" s="1"/>
  <c r="AA434" i="8"/>
  <c r="B434" i="8"/>
  <c r="AH434" i="8" s="1"/>
  <c r="BB434" i="8" s="1"/>
  <c r="AI433" i="8"/>
  <c r="AB433" i="8" a="1"/>
  <c r="AB433" i="8" s="1"/>
  <c r="AA433" i="8"/>
  <c r="B433" i="8"/>
  <c r="H433" i="8" s="1"/>
  <c r="AI432" i="8"/>
  <c r="AB432" i="8" a="1"/>
  <c r="AB432" i="8" s="1"/>
  <c r="AA432" i="8"/>
  <c r="B432" i="8"/>
  <c r="G432" i="8" s="1"/>
  <c r="AI431" i="8"/>
  <c r="AB431" i="8" a="1"/>
  <c r="AB431" i="8" s="1"/>
  <c r="AA431" i="8"/>
  <c r="B431" i="8"/>
  <c r="AI430" i="8"/>
  <c r="AB430" i="8" a="1"/>
  <c r="AB430" i="8" s="1"/>
  <c r="K430" i="8" s="1"/>
  <c r="AA430" i="8"/>
  <c r="B430" i="8"/>
  <c r="AI429" i="8"/>
  <c r="AB429" i="8" a="1"/>
  <c r="AB429" i="8" s="1"/>
  <c r="AA429" i="8"/>
  <c r="B429" i="8"/>
  <c r="AI428" i="8"/>
  <c r="AB428" i="8" a="1"/>
  <c r="AB428" i="8" s="1"/>
  <c r="AA428" i="8"/>
  <c r="B428" i="8"/>
  <c r="H428" i="8" s="1"/>
  <c r="AI427" i="8"/>
  <c r="AB427" i="8" a="1"/>
  <c r="AB427" i="8" s="1"/>
  <c r="AA427" i="8"/>
  <c r="B427" i="8"/>
  <c r="AI426" i="8"/>
  <c r="AB426" i="8" a="1"/>
  <c r="AB426" i="8" s="1"/>
  <c r="AA426" i="8"/>
  <c r="B426" i="8"/>
  <c r="AI425" i="8"/>
  <c r="AB425" i="8" a="1"/>
  <c r="AB425" i="8" s="1"/>
  <c r="K425" i="8" s="1"/>
  <c r="AA425" i="8"/>
  <c r="B425" i="8"/>
  <c r="AI424" i="8"/>
  <c r="AB424" i="8" a="1"/>
  <c r="AB424" i="8" s="1"/>
  <c r="AA424" i="8"/>
  <c r="B424" i="8"/>
  <c r="AI423" i="8"/>
  <c r="AB423" i="8" a="1"/>
  <c r="AB423" i="8" s="1"/>
  <c r="AA423" i="8"/>
  <c r="B423" i="8"/>
  <c r="AI422" i="8"/>
  <c r="AB422" i="8" a="1"/>
  <c r="AB422" i="8" s="1"/>
  <c r="BC422" i="8" s="1"/>
  <c r="AA422" i="8"/>
  <c r="B422" i="8"/>
  <c r="H422" i="8" s="1"/>
  <c r="AI421" i="8"/>
  <c r="AB421" i="8" a="1"/>
  <c r="AB421" i="8" s="1"/>
  <c r="AA421" i="8"/>
  <c r="B421" i="8"/>
  <c r="D421" i="8" s="1"/>
  <c r="AI420" i="8"/>
  <c r="AB420" i="8" a="1"/>
  <c r="AB420" i="8" s="1"/>
  <c r="BC420" i="8" s="1"/>
  <c r="AA420" i="8"/>
  <c r="B420" i="8"/>
  <c r="AI419" i="8"/>
  <c r="AB419" i="8" a="1"/>
  <c r="AB419" i="8" s="1"/>
  <c r="AA419" i="8"/>
  <c r="B419" i="8"/>
  <c r="AI418" i="8"/>
  <c r="AB418" i="8" a="1"/>
  <c r="AB418" i="8" s="1"/>
  <c r="AA418" i="8"/>
  <c r="B418" i="8"/>
  <c r="D418" i="8" s="1"/>
  <c r="AI417" i="8"/>
  <c r="AB417" i="8" a="1"/>
  <c r="AB417" i="8" s="1"/>
  <c r="AA417" i="8"/>
  <c r="B417" i="8"/>
  <c r="AI416" i="8"/>
  <c r="AB416" i="8" a="1"/>
  <c r="AB416" i="8" s="1"/>
  <c r="AA416" i="8"/>
  <c r="B416" i="8"/>
  <c r="AI415" i="8"/>
  <c r="AB415" i="8" a="1"/>
  <c r="AB415" i="8" s="1"/>
  <c r="K415" i="8" s="1"/>
  <c r="AA415" i="8"/>
  <c r="B415" i="8"/>
  <c r="AI414" i="8"/>
  <c r="AB414" i="8" a="1"/>
  <c r="AB414" i="8" s="1"/>
  <c r="AA414" i="8"/>
  <c r="B414" i="8"/>
  <c r="D414" i="8" s="1"/>
  <c r="AI413" i="8"/>
  <c r="AB413" i="8" a="1"/>
  <c r="AB413" i="8" s="1"/>
  <c r="AA413" i="8"/>
  <c r="B413" i="8"/>
  <c r="AI412" i="8"/>
  <c r="AB412" i="8" a="1"/>
  <c r="AB412" i="8" s="1"/>
  <c r="AA412" i="8"/>
  <c r="B412" i="8"/>
  <c r="AI411" i="8"/>
  <c r="AB411" i="8" a="1"/>
  <c r="AB411" i="8" s="1"/>
  <c r="AA411" i="8"/>
  <c r="B411" i="8"/>
  <c r="AI410" i="8"/>
  <c r="AB410" i="8" a="1"/>
  <c r="AB410" i="8" s="1"/>
  <c r="AA410" i="8"/>
  <c r="B410" i="8"/>
  <c r="AI409" i="8"/>
  <c r="AB409" i="8" a="1"/>
  <c r="AB409" i="8" s="1"/>
  <c r="AA409" i="8"/>
  <c r="B409" i="8"/>
  <c r="AI408" i="8"/>
  <c r="AB408" i="8" a="1"/>
  <c r="AB408" i="8" s="1"/>
  <c r="AA408" i="8"/>
  <c r="B408" i="8"/>
  <c r="AI407" i="8"/>
  <c r="AB407" i="8" a="1"/>
  <c r="AB407" i="8" s="1"/>
  <c r="AA407" i="8"/>
  <c r="B407" i="8"/>
  <c r="AI406" i="8"/>
  <c r="AB406" i="8" a="1"/>
  <c r="AB406" i="8" s="1"/>
  <c r="K406" i="8" s="1"/>
  <c r="AA406" i="8"/>
  <c r="B406" i="8"/>
  <c r="H406" i="8" s="1"/>
  <c r="AI405" i="8"/>
  <c r="AB405" i="8" a="1"/>
  <c r="AB405" i="8" s="1"/>
  <c r="AA405" i="8"/>
  <c r="B405" i="8"/>
  <c r="AH405" i="8" s="1"/>
  <c r="BB405" i="8" s="1"/>
  <c r="AI404" i="8"/>
  <c r="AB404" i="8" a="1"/>
  <c r="AB404" i="8" s="1"/>
  <c r="BC404" i="8" s="1"/>
  <c r="AA404" i="8"/>
  <c r="B404" i="8"/>
  <c r="AI403" i="8"/>
  <c r="AB403" i="8" a="1"/>
  <c r="AB403" i="8" s="1"/>
  <c r="AA403" i="8"/>
  <c r="B403" i="8"/>
  <c r="D403" i="8" s="1"/>
  <c r="AI402" i="8"/>
  <c r="AB402" i="8" a="1"/>
  <c r="AB402" i="8" s="1"/>
  <c r="AA402" i="8"/>
  <c r="B402" i="8"/>
  <c r="AI401" i="8"/>
  <c r="AB401" i="8" a="1"/>
  <c r="AB401" i="8" s="1"/>
  <c r="AA401" i="8"/>
  <c r="B401" i="8"/>
  <c r="AI400" i="8"/>
  <c r="AB400" i="8" a="1"/>
  <c r="AB400" i="8" s="1"/>
  <c r="AA400" i="8"/>
  <c r="B400" i="8"/>
  <c r="D400" i="8" s="1"/>
  <c r="AI399" i="8"/>
  <c r="AB399" i="8" a="1"/>
  <c r="AB399" i="8" s="1"/>
  <c r="AA399" i="8"/>
  <c r="B399" i="8"/>
  <c r="AI398" i="8"/>
  <c r="AB398" i="8" a="1"/>
  <c r="AB398" i="8" s="1"/>
  <c r="AA398" i="8"/>
  <c r="B398" i="8"/>
  <c r="AI397" i="8"/>
  <c r="AB397" i="8" a="1"/>
  <c r="AB397" i="8" s="1"/>
  <c r="AA397" i="8"/>
  <c r="B397" i="8"/>
  <c r="AI396" i="8"/>
  <c r="AB396" i="8" a="1"/>
  <c r="AB396" i="8" s="1"/>
  <c r="BC396" i="8" s="1"/>
  <c r="AA396" i="8"/>
  <c r="B396" i="8"/>
  <c r="AI395" i="8"/>
  <c r="AB395" i="8" a="1"/>
  <c r="AB395" i="8" s="1"/>
  <c r="AA395" i="8"/>
  <c r="B395" i="8"/>
  <c r="AI394" i="8"/>
  <c r="AB394" i="8" a="1"/>
  <c r="AB394" i="8" s="1"/>
  <c r="AA394" i="8"/>
  <c r="B394" i="8"/>
  <c r="H394" i="8" s="1"/>
  <c r="AI393" i="8"/>
  <c r="AB393" i="8" a="1"/>
  <c r="AB393" i="8" s="1"/>
  <c r="BC393" i="8" s="1"/>
  <c r="AA393" i="8"/>
  <c r="B393" i="8"/>
  <c r="AI392" i="8"/>
  <c r="AB392" i="8" a="1"/>
  <c r="AB392" i="8" s="1"/>
  <c r="AA392" i="8"/>
  <c r="B392" i="8"/>
  <c r="AI391" i="8"/>
  <c r="AB391" i="8" a="1"/>
  <c r="AB391" i="8" s="1"/>
  <c r="K391" i="8" s="1"/>
  <c r="AA391" i="8"/>
  <c r="B391" i="8"/>
  <c r="AI390" i="8"/>
  <c r="AB390" i="8" a="1"/>
  <c r="AB390" i="8" s="1"/>
  <c r="AA390" i="8"/>
  <c r="B390" i="8"/>
  <c r="AI389" i="8"/>
  <c r="AB389" i="8" a="1"/>
  <c r="AB389" i="8" s="1"/>
  <c r="AA389" i="8"/>
  <c r="B389" i="8"/>
  <c r="AI388" i="8"/>
  <c r="AB388" i="8" a="1"/>
  <c r="AB388" i="8" s="1"/>
  <c r="AA388" i="8"/>
  <c r="B388" i="8"/>
  <c r="AH388" i="8" s="1"/>
  <c r="BB388" i="8" s="1"/>
  <c r="AI387" i="8"/>
  <c r="AB387" i="8" a="1"/>
  <c r="AB387" i="8" s="1"/>
  <c r="AA387" i="8"/>
  <c r="B387" i="8"/>
  <c r="AI386" i="8"/>
  <c r="AB386" i="8" a="1"/>
  <c r="AB386" i="8" s="1"/>
  <c r="AA386" i="8"/>
  <c r="B386" i="8"/>
  <c r="D386" i="8" s="1"/>
  <c r="AI385" i="8"/>
  <c r="AB385" i="8" a="1"/>
  <c r="AB385" i="8" s="1"/>
  <c r="AA385" i="8"/>
  <c r="B385" i="8"/>
  <c r="AI384" i="8"/>
  <c r="AB384" i="8" a="1"/>
  <c r="AB384" i="8" s="1"/>
  <c r="AA384" i="8"/>
  <c r="B384" i="8"/>
  <c r="AI383" i="8"/>
  <c r="AB383" i="8" a="1"/>
  <c r="AB383" i="8" s="1"/>
  <c r="AA383" i="8"/>
  <c r="B383" i="8"/>
  <c r="D383" i="8" s="1"/>
  <c r="AI382" i="8"/>
  <c r="AB382" i="8" a="1"/>
  <c r="AB382" i="8" s="1"/>
  <c r="AA382" i="8"/>
  <c r="B382" i="8"/>
  <c r="AI381" i="8"/>
  <c r="AB381" i="8" a="1"/>
  <c r="AB381" i="8" s="1"/>
  <c r="K381" i="8" s="1"/>
  <c r="AA381" i="8"/>
  <c r="B381" i="8"/>
  <c r="AI380" i="8"/>
  <c r="AB380" i="8" a="1"/>
  <c r="AB380" i="8" s="1"/>
  <c r="AA380" i="8"/>
  <c r="B380" i="8"/>
  <c r="AI379" i="8"/>
  <c r="AB379" i="8" a="1"/>
  <c r="AB379" i="8" s="1"/>
  <c r="AA379" i="8"/>
  <c r="B379" i="8"/>
  <c r="AI378" i="8"/>
  <c r="AB378" i="8" a="1"/>
  <c r="AB378" i="8" s="1"/>
  <c r="K378" i="8" s="1"/>
  <c r="AA378" i="8"/>
  <c r="B378" i="8"/>
  <c r="AI377" i="8"/>
  <c r="AB377" i="8" a="1"/>
  <c r="AB377" i="8" s="1"/>
  <c r="AA377" i="8"/>
  <c r="B377" i="8"/>
  <c r="AI376" i="8"/>
  <c r="AB376" i="8" a="1"/>
  <c r="AB376" i="8" s="1"/>
  <c r="AA376" i="8"/>
  <c r="B376" i="8"/>
  <c r="AI375" i="8"/>
  <c r="AB375" i="8" a="1"/>
  <c r="AB375" i="8" s="1"/>
  <c r="AA375" i="8"/>
  <c r="B375" i="8"/>
  <c r="AI374" i="8"/>
  <c r="AB374" i="8" a="1"/>
  <c r="AB374" i="8" s="1"/>
  <c r="BC374" i="8" s="1"/>
  <c r="AA374" i="8"/>
  <c r="B374" i="8"/>
  <c r="G374" i="8" s="1"/>
  <c r="AI373" i="8"/>
  <c r="AB373" i="8" a="1"/>
  <c r="AB373" i="8" s="1"/>
  <c r="AA373" i="8"/>
  <c r="B373" i="8"/>
  <c r="AI372" i="8"/>
  <c r="AB372" i="8" a="1"/>
  <c r="AB372" i="8" s="1"/>
  <c r="BC372" i="8" s="1"/>
  <c r="AA372" i="8"/>
  <c r="B372" i="8"/>
  <c r="AI371" i="8"/>
  <c r="AB371" i="8" a="1"/>
  <c r="AB371" i="8" s="1"/>
  <c r="AA371" i="8"/>
  <c r="B371" i="8"/>
  <c r="D371" i="8" s="1"/>
  <c r="AI370" i="8"/>
  <c r="AB370" i="8" a="1"/>
  <c r="AB370" i="8" s="1"/>
  <c r="AA370" i="8"/>
  <c r="B370" i="8"/>
  <c r="I370" i="8" s="1"/>
  <c r="AI369" i="8"/>
  <c r="AB369" i="8" a="1"/>
  <c r="AB369" i="8" s="1"/>
  <c r="AA369" i="8"/>
  <c r="B369" i="8"/>
  <c r="AI368" i="8"/>
  <c r="AB368" i="8" a="1"/>
  <c r="AB368" i="8" s="1"/>
  <c r="BC368" i="8" s="1"/>
  <c r="AA368" i="8"/>
  <c r="B368" i="8"/>
  <c r="AI367" i="8"/>
  <c r="AB367" i="8" a="1"/>
  <c r="AB367" i="8" s="1"/>
  <c r="AA367" i="8"/>
  <c r="B367" i="8"/>
  <c r="AI366" i="8"/>
  <c r="AB366" i="8" a="1"/>
  <c r="AB366" i="8" s="1"/>
  <c r="AA366" i="8"/>
  <c r="B366" i="8"/>
  <c r="AI365" i="8"/>
  <c r="AB365" i="8" a="1"/>
  <c r="AB365" i="8" s="1"/>
  <c r="AA365" i="8"/>
  <c r="B365" i="8"/>
  <c r="AI364" i="8"/>
  <c r="AB364" i="8" a="1"/>
  <c r="AB364" i="8" s="1"/>
  <c r="K364" i="8" s="1"/>
  <c r="AA364" i="8"/>
  <c r="B364" i="8"/>
  <c r="AI363" i="8"/>
  <c r="AB363" i="8" a="1"/>
  <c r="AB363" i="8" s="1"/>
  <c r="AA363" i="8"/>
  <c r="B363" i="8"/>
  <c r="AI362" i="8"/>
  <c r="AB362" i="8" a="1"/>
  <c r="AB362" i="8" s="1"/>
  <c r="AA362" i="8"/>
  <c r="B362" i="8"/>
  <c r="D362" i="8" s="1"/>
  <c r="AI361" i="8"/>
  <c r="AB361" i="8" a="1"/>
  <c r="AB361" i="8" s="1"/>
  <c r="AA361" i="8"/>
  <c r="B361" i="8"/>
  <c r="AI360" i="8"/>
  <c r="AB360" i="8" a="1"/>
  <c r="AB360" i="8" s="1"/>
  <c r="BC360" i="8" s="1"/>
  <c r="AA360" i="8"/>
  <c r="B360" i="8"/>
  <c r="AI359" i="8"/>
  <c r="AB359" i="8" a="1"/>
  <c r="AB359" i="8" s="1"/>
  <c r="AA359" i="8"/>
  <c r="B359" i="8"/>
  <c r="AI358" i="8"/>
  <c r="AB358" i="8" a="1"/>
  <c r="AB358" i="8" s="1"/>
  <c r="AA358" i="8"/>
  <c r="B358" i="8"/>
  <c r="I358" i="8" s="1"/>
  <c r="AI357" i="8"/>
  <c r="AB357" i="8" a="1"/>
  <c r="AB357" i="8" s="1"/>
  <c r="AA357" i="8"/>
  <c r="B357" i="8"/>
  <c r="AI356" i="8"/>
  <c r="AB356" i="8" a="1"/>
  <c r="AB356" i="8" s="1"/>
  <c r="BC356" i="8" s="1"/>
  <c r="AA356" i="8"/>
  <c r="B356" i="8"/>
  <c r="AI355" i="8"/>
  <c r="AB355" i="8" a="1"/>
  <c r="AB355" i="8" s="1"/>
  <c r="AA355" i="8"/>
  <c r="B355" i="8"/>
  <c r="G355" i="8" s="1"/>
  <c r="AI354" i="8"/>
  <c r="AB354" i="8" a="1"/>
  <c r="AB354" i="8" s="1"/>
  <c r="AA354" i="8"/>
  <c r="B354" i="8"/>
  <c r="D354" i="8" s="1"/>
  <c r="AI353" i="8"/>
  <c r="AB353" i="8" a="1"/>
  <c r="AB353" i="8" s="1"/>
  <c r="AA353" i="8"/>
  <c r="B353" i="8"/>
  <c r="I353" i="8" s="1"/>
  <c r="AI352" i="8"/>
  <c r="AB352" i="8" a="1"/>
  <c r="AB352" i="8" s="1"/>
  <c r="AA352" i="8"/>
  <c r="B352" i="8"/>
  <c r="AI351" i="8"/>
  <c r="AB351" i="8" a="1"/>
  <c r="AB351" i="8" s="1"/>
  <c r="BC351" i="8" s="1"/>
  <c r="AA351" i="8"/>
  <c r="B351" i="8"/>
  <c r="AI350" i="8"/>
  <c r="AB350" i="8" a="1"/>
  <c r="AB350" i="8" s="1"/>
  <c r="AA350" i="8"/>
  <c r="B350" i="8"/>
  <c r="AI349" i="8"/>
  <c r="AB349" i="8" a="1"/>
  <c r="AB349" i="8" s="1"/>
  <c r="AA349" i="8"/>
  <c r="B349" i="8"/>
  <c r="AI348" i="8"/>
  <c r="AB348" i="8" a="1"/>
  <c r="AB348" i="8" s="1"/>
  <c r="AA348" i="8"/>
  <c r="B348" i="8"/>
  <c r="AI347" i="8"/>
  <c r="AB347" i="8" a="1"/>
  <c r="AB347" i="8" s="1"/>
  <c r="AA347" i="8"/>
  <c r="B347" i="8"/>
  <c r="AI346" i="8"/>
  <c r="AB346" i="8" a="1"/>
  <c r="AB346" i="8" s="1"/>
  <c r="AA346" i="8"/>
  <c r="B346" i="8"/>
  <c r="AI345" i="8"/>
  <c r="AB345" i="8" a="1"/>
  <c r="AB345" i="8" s="1"/>
  <c r="AA345" i="8"/>
  <c r="B345" i="8"/>
  <c r="AI344" i="8"/>
  <c r="AB344" i="8" a="1"/>
  <c r="AB344" i="8" s="1"/>
  <c r="AA344" i="8"/>
  <c r="B344" i="8"/>
  <c r="D344" i="8" s="1"/>
  <c r="AI343" i="8"/>
  <c r="AB343" i="8" a="1"/>
  <c r="AB343" i="8" s="1"/>
  <c r="K343" i="8" s="1"/>
  <c r="AA343" i="8"/>
  <c r="B343" i="8"/>
  <c r="AI342" i="8"/>
  <c r="AB342" i="8" a="1"/>
  <c r="AB342" i="8" s="1"/>
  <c r="AA342" i="8"/>
  <c r="B342" i="8"/>
  <c r="AI341" i="8"/>
  <c r="AB341" i="8" a="1"/>
  <c r="AB341" i="8" s="1"/>
  <c r="AA341" i="8"/>
  <c r="B341" i="8"/>
  <c r="AI340" i="8"/>
  <c r="AB340" i="8" a="1"/>
  <c r="AB340" i="8" s="1"/>
  <c r="AA340" i="8"/>
  <c r="B340" i="8"/>
  <c r="G340" i="8" s="1"/>
  <c r="AI339" i="8"/>
  <c r="AB339" i="8" a="1"/>
  <c r="AB339" i="8" s="1"/>
  <c r="AA339" i="8"/>
  <c r="B339" i="8"/>
  <c r="AI338" i="8"/>
  <c r="AB338" i="8" a="1"/>
  <c r="AB338" i="8" s="1"/>
  <c r="K338" i="8" s="1"/>
  <c r="AA338" i="8"/>
  <c r="B338" i="8"/>
  <c r="AI337" i="8"/>
  <c r="AB337" i="8" a="1"/>
  <c r="AB337" i="8" s="1"/>
  <c r="AA337" i="8"/>
  <c r="B337" i="8"/>
  <c r="AI336" i="8"/>
  <c r="AB336" i="8" a="1"/>
  <c r="AB336" i="8" s="1"/>
  <c r="AA336" i="8"/>
  <c r="B336" i="8"/>
  <c r="AI335" i="8"/>
  <c r="AB335" i="8" a="1"/>
  <c r="AB335" i="8" s="1"/>
  <c r="BC335" i="8" s="1"/>
  <c r="AA335" i="8"/>
  <c r="B335" i="8"/>
  <c r="AI334" i="8"/>
  <c r="AB334" i="8" a="1"/>
  <c r="AB334" i="8" s="1"/>
  <c r="BC334" i="8" s="1"/>
  <c r="AA334" i="8"/>
  <c r="B334" i="8"/>
  <c r="I334" i="8" s="1"/>
  <c r="AI333" i="8"/>
  <c r="AB333" i="8" a="1"/>
  <c r="AB333" i="8" s="1"/>
  <c r="AA333" i="8"/>
  <c r="B333" i="8"/>
  <c r="AI332" i="8"/>
  <c r="AB332" i="8" a="1"/>
  <c r="AB332" i="8" s="1"/>
  <c r="AA332" i="8"/>
  <c r="B332" i="8"/>
  <c r="AI331" i="8"/>
  <c r="AB331" i="8" a="1"/>
  <c r="AB331" i="8" s="1"/>
  <c r="AA331" i="8"/>
  <c r="B331" i="8"/>
  <c r="H331" i="8" s="1"/>
  <c r="AI330" i="8"/>
  <c r="AB330" i="8" a="1"/>
  <c r="AB330" i="8" s="1"/>
  <c r="AA330" i="8"/>
  <c r="B330" i="8"/>
  <c r="AI329" i="8"/>
  <c r="AB329" i="8" a="1"/>
  <c r="AB329" i="8" s="1"/>
  <c r="AA329" i="8"/>
  <c r="B329" i="8"/>
  <c r="AI328" i="8"/>
  <c r="AB328" i="8" a="1"/>
  <c r="AB328" i="8" s="1"/>
  <c r="AA328" i="8"/>
  <c r="B328" i="8"/>
  <c r="AI327" i="8"/>
  <c r="AB327" i="8" a="1"/>
  <c r="AB327" i="8" s="1"/>
  <c r="BC327" i="8" s="1"/>
  <c r="AA327" i="8"/>
  <c r="B327" i="8"/>
  <c r="F327" i="8" s="1"/>
  <c r="AI326" i="8"/>
  <c r="AB326" i="8" a="1"/>
  <c r="AB326" i="8" s="1"/>
  <c r="BC326" i="8" s="1"/>
  <c r="AA326" i="8"/>
  <c r="B326" i="8"/>
  <c r="F326" i="8" s="1"/>
  <c r="AI325" i="8"/>
  <c r="AB325" i="8" a="1"/>
  <c r="AB325" i="8" s="1"/>
  <c r="BC325" i="8" s="1"/>
  <c r="AA325" i="8"/>
  <c r="B325" i="8"/>
  <c r="AI324" i="8"/>
  <c r="AB324" i="8" a="1"/>
  <c r="AB324" i="8" s="1"/>
  <c r="AA324" i="8"/>
  <c r="B324" i="8"/>
  <c r="G324" i="8" s="1"/>
  <c r="AI323" i="8"/>
  <c r="AB323" i="8" a="1"/>
  <c r="AB323" i="8" s="1"/>
  <c r="AA323" i="8"/>
  <c r="B323" i="8"/>
  <c r="AH323" i="8" s="1"/>
  <c r="BB323" i="8" s="1"/>
  <c r="AI322" i="8"/>
  <c r="AB322" i="8" a="1"/>
  <c r="AB322" i="8" s="1"/>
  <c r="AA322" i="8"/>
  <c r="B322" i="8"/>
  <c r="AI321" i="8"/>
  <c r="AB321" i="8" a="1"/>
  <c r="AB321" i="8" s="1"/>
  <c r="AA321" i="8"/>
  <c r="B321" i="8"/>
  <c r="AI320" i="8"/>
  <c r="AB320" i="8" a="1"/>
  <c r="AB320" i="8" s="1"/>
  <c r="AA320" i="8"/>
  <c r="B320" i="8"/>
  <c r="AI319" i="8"/>
  <c r="AB319" i="8" a="1"/>
  <c r="AB319" i="8" s="1"/>
  <c r="BC319" i="8" s="1"/>
  <c r="AA319" i="8"/>
  <c r="B319" i="8"/>
  <c r="AI318" i="8"/>
  <c r="AB318" i="8" a="1"/>
  <c r="AB318" i="8" s="1"/>
  <c r="AA318" i="8"/>
  <c r="B318" i="8"/>
  <c r="AI317" i="8"/>
  <c r="AB317" i="8" a="1"/>
  <c r="AB317" i="8" s="1"/>
  <c r="AA317" i="8"/>
  <c r="B317" i="8"/>
  <c r="AI316" i="8"/>
  <c r="AB316" i="8" a="1"/>
  <c r="AB316" i="8" s="1"/>
  <c r="AA316" i="8"/>
  <c r="B316" i="8"/>
  <c r="AI315" i="8"/>
  <c r="AB315" i="8" a="1"/>
  <c r="AB315" i="8" s="1"/>
  <c r="AA315" i="8"/>
  <c r="B315" i="8"/>
  <c r="AI314" i="8"/>
  <c r="AB314" i="8" a="1"/>
  <c r="AB314" i="8" s="1"/>
  <c r="AA314" i="8"/>
  <c r="B314" i="8"/>
  <c r="AI313" i="8"/>
  <c r="AB313" i="8" a="1"/>
  <c r="AB313" i="8" s="1"/>
  <c r="AA313" i="8"/>
  <c r="B313" i="8"/>
  <c r="AI312" i="8"/>
  <c r="AB312" i="8" a="1"/>
  <c r="AB312" i="8" s="1"/>
  <c r="BC312" i="8" s="1"/>
  <c r="AA312" i="8"/>
  <c r="B312" i="8"/>
  <c r="AI311" i="8"/>
  <c r="AB311" i="8" a="1"/>
  <c r="AB311" i="8" s="1"/>
  <c r="AA311" i="8"/>
  <c r="B311" i="8"/>
  <c r="AI310" i="8"/>
  <c r="AB310" i="8" a="1"/>
  <c r="AB310" i="8" s="1"/>
  <c r="AA310" i="8"/>
  <c r="B310" i="8"/>
  <c r="AI309" i="8"/>
  <c r="AB309" i="8" a="1"/>
  <c r="AB309" i="8" s="1"/>
  <c r="AA309" i="8"/>
  <c r="B309" i="8"/>
  <c r="AI308" i="8"/>
  <c r="AB308" i="8" a="1"/>
  <c r="AB308" i="8" s="1"/>
  <c r="AA308" i="8"/>
  <c r="B308" i="8"/>
  <c r="AI307" i="8"/>
  <c r="AB307" i="8" a="1"/>
  <c r="AB307" i="8" s="1"/>
  <c r="AA307" i="8"/>
  <c r="B307" i="8"/>
  <c r="AI306" i="8"/>
  <c r="AB306" i="8" a="1"/>
  <c r="AB306" i="8" s="1"/>
  <c r="AA306" i="8"/>
  <c r="B306" i="8"/>
  <c r="AI305" i="8"/>
  <c r="AB305" i="8" a="1"/>
  <c r="AB305" i="8" s="1"/>
  <c r="AA305" i="8"/>
  <c r="B305" i="8"/>
  <c r="AI304" i="8"/>
  <c r="AB304" i="8" a="1"/>
  <c r="AB304" i="8" s="1"/>
  <c r="AA304" i="8"/>
  <c r="B304" i="8"/>
  <c r="AI303" i="8"/>
  <c r="AB303" i="8" a="1"/>
  <c r="AB303" i="8" s="1"/>
  <c r="AA303" i="8"/>
  <c r="B303" i="8"/>
  <c r="AI302" i="8"/>
  <c r="AB302" i="8" a="1"/>
  <c r="AB302" i="8" s="1"/>
  <c r="AA302" i="8"/>
  <c r="B302" i="8"/>
  <c r="AI301" i="8"/>
  <c r="AB301" i="8" a="1"/>
  <c r="AB301" i="8" s="1"/>
  <c r="AA301" i="8"/>
  <c r="B301" i="8"/>
  <c r="AI300" i="8"/>
  <c r="AB300" i="8" a="1"/>
  <c r="AB300" i="8" s="1"/>
  <c r="AA300" i="8"/>
  <c r="B300" i="8"/>
  <c r="AI299" i="8"/>
  <c r="AB299" i="8" a="1"/>
  <c r="AB299" i="8" s="1"/>
  <c r="BC299" i="8" s="1"/>
  <c r="AA299" i="8"/>
  <c r="B299" i="8"/>
  <c r="AI298" i="8"/>
  <c r="AB298" i="8" a="1"/>
  <c r="AB298" i="8" s="1"/>
  <c r="AA298" i="8"/>
  <c r="B298" i="8"/>
  <c r="AI297" i="8"/>
  <c r="AB297" i="8" a="1"/>
  <c r="AB297" i="8" s="1"/>
  <c r="AA297" i="8"/>
  <c r="B297" i="8"/>
  <c r="AI296" i="8"/>
  <c r="AB296" i="8" a="1"/>
  <c r="AB296" i="8" s="1"/>
  <c r="AA296" i="8"/>
  <c r="B296" i="8"/>
  <c r="AI295" i="8"/>
  <c r="AB295" i="8" a="1"/>
  <c r="AB295" i="8" s="1"/>
  <c r="BC295" i="8" s="1"/>
  <c r="AA295" i="8"/>
  <c r="B295" i="8"/>
  <c r="AI294" i="8"/>
  <c r="AB294" i="8" a="1"/>
  <c r="AB294" i="8" s="1"/>
  <c r="AA294" i="8"/>
  <c r="B294" i="8"/>
  <c r="AI293" i="8"/>
  <c r="AB293" i="8" a="1"/>
  <c r="AB293" i="8" s="1"/>
  <c r="AA293" i="8"/>
  <c r="B293" i="8"/>
  <c r="AI292" i="8"/>
  <c r="AB292" i="8" a="1"/>
  <c r="AB292" i="8" s="1"/>
  <c r="AA292" i="8"/>
  <c r="B292" i="8"/>
  <c r="AI291" i="8"/>
  <c r="AB291" i="8" a="1"/>
  <c r="AB291" i="8" s="1"/>
  <c r="AA291" i="8"/>
  <c r="B291" i="8"/>
  <c r="AI290" i="8"/>
  <c r="AB290" i="8" a="1"/>
  <c r="AB290" i="8" s="1"/>
  <c r="BC290" i="8" s="1"/>
  <c r="AA290" i="8"/>
  <c r="B290" i="8"/>
  <c r="AI289" i="8"/>
  <c r="AB289" i="8" a="1"/>
  <c r="AB289" i="8" s="1"/>
  <c r="AA289" i="8"/>
  <c r="B289" i="8"/>
  <c r="AI288" i="8"/>
  <c r="AB288" i="8" a="1"/>
  <c r="AB288" i="8" s="1"/>
  <c r="K288" i="8" s="1"/>
  <c r="AA288" i="8"/>
  <c r="B288" i="8"/>
  <c r="AI287" i="8"/>
  <c r="AB287" i="8" a="1"/>
  <c r="AB287" i="8" s="1"/>
  <c r="AA287" i="8"/>
  <c r="B287" i="8"/>
  <c r="AI286" i="8"/>
  <c r="AB286" i="8" a="1"/>
  <c r="AB286" i="8" s="1"/>
  <c r="AA286" i="8"/>
  <c r="B286" i="8"/>
  <c r="AI285" i="8"/>
  <c r="AB285" i="8" a="1"/>
  <c r="AB285" i="8" s="1"/>
  <c r="AA285" i="8"/>
  <c r="B285" i="8"/>
  <c r="I285" i="8" s="1"/>
  <c r="AI284" i="8"/>
  <c r="AB284" i="8" a="1"/>
  <c r="AB284" i="8" s="1"/>
  <c r="AA284" i="8"/>
  <c r="B284" i="8"/>
  <c r="AI283" i="8"/>
  <c r="AB283" i="8" a="1"/>
  <c r="AB283" i="8" s="1"/>
  <c r="AA283" i="8"/>
  <c r="B283" i="8"/>
  <c r="AI282" i="8"/>
  <c r="AB282" i="8" a="1"/>
  <c r="AB282" i="8" s="1"/>
  <c r="K282" i="8" s="1"/>
  <c r="AA282" i="8"/>
  <c r="B282" i="8"/>
  <c r="AI281" i="8"/>
  <c r="AB281" i="8" a="1"/>
  <c r="AB281" i="8" s="1"/>
  <c r="AA281" i="8"/>
  <c r="B281" i="8"/>
  <c r="AI280" i="8"/>
  <c r="AB280" i="8" a="1"/>
  <c r="AB280" i="8" s="1"/>
  <c r="AA280" i="8"/>
  <c r="B280" i="8"/>
  <c r="AI279" i="8"/>
  <c r="AB279" i="8" a="1"/>
  <c r="AB279" i="8" s="1"/>
  <c r="AA279" i="8"/>
  <c r="B279" i="8"/>
  <c r="AI278" i="8"/>
  <c r="AB278" i="8" a="1"/>
  <c r="AB278" i="8" s="1"/>
  <c r="AA278" i="8"/>
  <c r="B278" i="8"/>
  <c r="E278" i="8" s="1"/>
  <c r="AI277" i="8"/>
  <c r="AB277" i="8" a="1"/>
  <c r="AB277" i="8" s="1"/>
  <c r="AA277" i="8"/>
  <c r="B277" i="8"/>
  <c r="AI276" i="8"/>
  <c r="AB276" i="8" a="1"/>
  <c r="AB276" i="8" s="1"/>
  <c r="K276" i="8" s="1"/>
  <c r="AA276" i="8"/>
  <c r="B276" i="8"/>
  <c r="AI275" i="8"/>
  <c r="AB275" i="8" a="1"/>
  <c r="AB275" i="8" s="1"/>
  <c r="AA275" i="8"/>
  <c r="B275" i="8"/>
  <c r="AI274" i="8"/>
  <c r="AB274" i="8" a="1"/>
  <c r="AB274" i="8" s="1"/>
  <c r="AA274" i="8"/>
  <c r="B274" i="8"/>
  <c r="AI273" i="8"/>
  <c r="AB273" i="8" a="1"/>
  <c r="AB273" i="8" s="1"/>
  <c r="AA273" i="8"/>
  <c r="B273" i="8"/>
  <c r="AI272" i="8"/>
  <c r="AB272" i="8" a="1"/>
  <c r="AB272" i="8" s="1"/>
  <c r="AA272" i="8"/>
  <c r="B272" i="8"/>
  <c r="AI271" i="8"/>
  <c r="AB271" i="8" a="1"/>
  <c r="AB271" i="8" s="1"/>
  <c r="AA271" i="8"/>
  <c r="B271" i="8"/>
  <c r="E271" i="8" s="1"/>
  <c r="AI270" i="8"/>
  <c r="AB270" i="8" a="1"/>
  <c r="AB270" i="8" s="1"/>
  <c r="BC270" i="8" s="1"/>
  <c r="AA270" i="8"/>
  <c r="B270" i="8"/>
  <c r="AI269" i="8"/>
  <c r="AB269" i="8" a="1"/>
  <c r="AB269" i="8" s="1"/>
  <c r="AA269" i="8"/>
  <c r="B269" i="8"/>
  <c r="AI268" i="8"/>
  <c r="AB268" i="8" a="1"/>
  <c r="AB268" i="8" s="1"/>
  <c r="AA268" i="8"/>
  <c r="B268" i="8"/>
  <c r="AI267" i="8"/>
  <c r="AB267" i="8" a="1"/>
  <c r="AB267" i="8" s="1"/>
  <c r="AA267" i="8"/>
  <c r="B267" i="8"/>
  <c r="I267" i="8" s="1"/>
  <c r="AI266" i="8"/>
  <c r="AB266" i="8" a="1"/>
  <c r="AB266" i="8" s="1"/>
  <c r="AA266" i="8"/>
  <c r="B266" i="8"/>
  <c r="AI265" i="8"/>
  <c r="AB265" i="8" a="1"/>
  <c r="AB265" i="8" s="1"/>
  <c r="BC265" i="8" s="1"/>
  <c r="AA265" i="8"/>
  <c r="B265" i="8"/>
  <c r="AI264" i="8"/>
  <c r="AB264" i="8" a="1"/>
  <c r="AB264" i="8" s="1"/>
  <c r="AA264" i="8"/>
  <c r="B264" i="8"/>
  <c r="AI263" i="8"/>
  <c r="AB263" i="8" a="1"/>
  <c r="AB263" i="8" s="1"/>
  <c r="AA263" i="8"/>
  <c r="B263" i="8"/>
  <c r="H263" i="8" s="1"/>
  <c r="AI262" i="8"/>
  <c r="AB262" i="8" a="1"/>
  <c r="AB262" i="8" s="1"/>
  <c r="BC262" i="8" s="1"/>
  <c r="AA262" i="8"/>
  <c r="B262" i="8"/>
  <c r="I262" i="8" s="1"/>
  <c r="AI261" i="8"/>
  <c r="AB261" i="8" a="1"/>
  <c r="AB261" i="8" s="1"/>
  <c r="K261" i="8" s="1"/>
  <c r="AA261" i="8"/>
  <c r="B261" i="8"/>
  <c r="AI260" i="8"/>
  <c r="AB260" i="8" a="1"/>
  <c r="AB260" i="8" s="1"/>
  <c r="AA260" i="8"/>
  <c r="B260" i="8"/>
  <c r="I260" i="8" s="1"/>
  <c r="AI259" i="8"/>
  <c r="AB259" i="8" a="1"/>
  <c r="AB259" i="8" s="1"/>
  <c r="AA259" i="8"/>
  <c r="B259" i="8"/>
  <c r="AI258" i="8"/>
  <c r="AB258" i="8" a="1"/>
  <c r="AB258" i="8" s="1"/>
  <c r="AA258" i="8"/>
  <c r="B258" i="8"/>
  <c r="AI257" i="8"/>
  <c r="AB257" i="8" a="1"/>
  <c r="AB257" i="8" s="1"/>
  <c r="AA257" i="8"/>
  <c r="B257" i="8"/>
  <c r="AI256" i="8"/>
  <c r="AB256" i="8" a="1"/>
  <c r="AB256" i="8" s="1"/>
  <c r="AA256" i="8"/>
  <c r="B256" i="8"/>
  <c r="AI255" i="8"/>
  <c r="AB255" i="8" a="1"/>
  <c r="AB255" i="8" s="1"/>
  <c r="AA255" i="8"/>
  <c r="B255" i="8"/>
  <c r="AI254" i="8"/>
  <c r="AB254" i="8" a="1"/>
  <c r="AB254" i="8" s="1"/>
  <c r="BC254" i="8" s="1"/>
  <c r="AA254" i="8"/>
  <c r="B254" i="8"/>
  <c r="AI253" i="8"/>
  <c r="AB253" i="8" a="1"/>
  <c r="AB253" i="8" s="1"/>
  <c r="AA253" i="8"/>
  <c r="B253" i="8"/>
  <c r="AI252" i="8"/>
  <c r="AB252" i="8" a="1"/>
  <c r="AB252" i="8" s="1"/>
  <c r="AA252" i="8"/>
  <c r="B252" i="8"/>
  <c r="AI251" i="8"/>
  <c r="AB251" i="8" a="1"/>
  <c r="AB251" i="8" s="1"/>
  <c r="AA251" i="8"/>
  <c r="B251" i="8"/>
  <c r="AI250" i="8"/>
  <c r="AB250" i="8" a="1"/>
  <c r="AB250" i="8" s="1"/>
  <c r="BC250" i="8" s="1"/>
  <c r="AA250" i="8"/>
  <c r="B250" i="8"/>
  <c r="AI249" i="8"/>
  <c r="AB249" i="8" a="1"/>
  <c r="AB249" i="8" s="1"/>
  <c r="AA249" i="8"/>
  <c r="B249" i="8"/>
  <c r="I249" i="8" s="1"/>
  <c r="AI248" i="8"/>
  <c r="AB248" i="8" a="1"/>
  <c r="AB248" i="8" s="1"/>
  <c r="BC248" i="8" s="1"/>
  <c r="AA248" i="8"/>
  <c r="B248" i="8"/>
  <c r="I248" i="8" s="1"/>
  <c r="AI247" i="8"/>
  <c r="AB247" i="8" a="1"/>
  <c r="AB247" i="8" s="1"/>
  <c r="BC247" i="8" s="1"/>
  <c r="AA247" i="8"/>
  <c r="B247" i="8"/>
  <c r="AH247" i="8" s="1"/>
  <c r="BB247" i="8" s="1"/>
  <c r="AI246" i="8"/>
  <c r="AB246" i="8" a="1"/>
  <c r="AB246" i="8" s="1"/>
  <c r="AA246" i="8"/>
  <c r="B246" i="8"/>
  <c r="AI245" i="8"/>
  <c r="AB245" i="8" a="1"/>
  <c r="AB245" i="8" s="1"/>
  <c r="AA245" i="8"/>
  <c r="B245" i="8"/>
  <c r="AI244" i="8"/>
  <c r="AB244" i="8" a="1"/>
  <c r="AB244" i="8" s="1"/>
  <c r="AA244" i="8"/>
  <c r="B244" i="8"/>
  <c r="AI243" i="8"/>
  <c r="AB243" i="8" a="1"/>
  <c r="AB243" i="8" s="1"/>
  <c r="K243" i="8" s="1"/>
  <c r="AA243" i="8"/>
  <c r="B243" i="8"/>
  <c r="AI242" i="8"/>
  <c r="AB242" i="8" a="1"/>
  <c r="AB242" i="8" s="1"/>
  <c r="K242" i="8" s="1"/>
  <c r="AA242" i="8"/>
  <c r="B242" i="8"/>
  <c r="AI241" i="8"/>
  <c r="AB241" i="8" a="1"/>
  <c r="AB241" i="8" s="1"/>
  <c r="AA241" i="8"/>
  <c r="B241" i="8"/>
  <c r="AI240" i="8"/>
  <c r="AB240" i="8" a="1"/>
  <c r="AB240" i="8" s="1"/>
  <c r="AA240" i="8"/>
  <c r="B240" i="8"/>
  <c r="AI239" i="8"/>
  <c r="AB239" i="8" a="1"/>
  <c r="AB239" i="8" s="1"/>
  <c r="K239" i="8" s="1"/>
  <c r="AA239" i="8"/>
  <c r="B239" i="8"/>
  <c r="AI238" i="8"/>
  <c r="AB238" i="8" a="1"/>
  <c r="AB238" i="8" s="1"/>
  <c r="AA238" i="8"/>
  <c r="B238" i="8"/>
  <c r="AI237" i="8"/>
  <c r="AB237" i="8" a="1"/>
  <c r="AB237" i="8" s="1"/>
  <c r="AA237" i="8"/>
  <c r="B237" i="8"/>
  <c r="E237" i="8" s="1"/>
  <c r="AI236" i="8"/>
  <c r="AB236" i="8" a="1"/>
  <c r="AB236" i="8" s="1"/>
  <c r="AA236" i="8"/>
  <c r="B236" i="8"/>
  <c r="AI235" i="8"/>
  <c r="AB235" i="8" a="1"/>
  <c r="AB235" i="8" s="1"/>
  <c r="AA235" i="8"/>
  <c r="B235" i="8"/>
  <c r="AI234" i="8"/>
  <c r="AB234" i="8" a="1"/>
  <c r="AB234" i="8" s="1"/>
  <c r="AA234" i="8"/>
  <c r="B234" i="8"/>
  <c r="F234" i="8" s="1"/>
  <c r="AI233" i="8"/>
  <c r="AB233" i="8" a="1"/>
  <c r="AB233" i="8" s="1"/>
  <c r="AA233" i="8"/>
  <c r="B233" i="8"/>
  <c r="AH233" i="8" s="1"/>
  <c r="BB233" i="8" s="1"/>
  <c r="AI232" i="8"/>
  <c r="AB232" i="8" a="1"/>
  <c r="AB232" i="8" s="1"/>
  <c r="AA232" i="8"/>
  <c r="B232" i="8"/>
  <c r="AI231" i="8"/>
  <c r="AB231" i="8" a="1"/>
  <c r="AB231" i="8" s="1"/>
  <c r="K231" i="8" s="1"/>
  <c r="AA231" i="8"/>
  <c r="B231" i="8"/>
  <c r="H231" i="8" s="1"/>
  <c r="AI230" i="8"/>
  <c r="AB230" i="8" a="1"/>
  <c r="AB230" i="8" s="1"/>
  <c r="AA230" i="8"/>
  <c r="B230" i="8"/>
  <c r="AI229" i="8"/>
  <c r="AB229" i="8" a="1"/>
  <c r="AB229" i="8" s="1"/>
  <c r="AA229" i="8"/>
  <c r="B229" i="8"/>
  <c r="I229" i="8" s="1"/>
  <c r="AI228" i="8"/>
  <c r="AB228" i="8" a="1"/>
  <c r="AB228" i="8" s="1"/>
  <c r="AA228" i="8"/>
  <c r="B228" i="8"/>
  <c r="AI227" i="8"/>
  <c r="AB227" i="8" a="1"/>
  <c r="AB227" i="8" s="1"/>
  <c r="K227" i="8" s="1"/>
  <c r="AA227" i="8"/>
  <c r="B227" i="8"/>
  <c r="AI226" i="8"/>
  <c r="AB226" i="8" a="1"/>
  <c r="AB226" i="8" s="1"/>
  <c r="AA226" i="8"/>
  <c r="B226" i="8"/>
  <c r="AI225" i="8"/>
  <c r="AB225" i="8" a="1"/>
  <c r="AB225" i="8" s="1"/>
  <c r="K225" i="8" s="1"/>
  <c r="AA225" i="8"/>
  <c r="B225" i="8"/>
  <c r="AI224" i="8"/>
  <c r="AB224" i="8" a="1"/>
  <c r="AB224" i="8" s="1"/>
  <c r="AA224" i="8"/>
  <c r="B224" i="8"/>
  <c r="AI223" i="8"/>
  <c r="AB223" i="8" a="1"/>
  <c r="AB223" i="8" s="1"/>
  <c r="K223" i="8" s="1"/>
  <c r="AA223" i="8"/>
  <c r="B223" i="8"/>
  <c r="H223" i="8" s="1"/>
  <c r="AI222" i="8"/>
  <c r="AB222" i="8" a="1"/>
  <c r="AB222" i="8" s="1"/>
  <c r="AA222" i="8"/>
  <c r="B222" i="8"/>
  <c r="AI221" i="8"/>
  <c r="AB221" i="8" a="1"/>
  <c r="AB221" i="8" s="1"/>
  <c r="AA221" i="8"/>
  <c r="B221" i="8"/>
  <c r="AI220" i="8"/>
  <c r="AB220" i="8" a="1"/>
  <c r="AB220" i="8" s="1"/>
  <c r="AA220" i="8"/>
  <c r="B220" i="8"/>
  <c r="AI219" i="8"/>
  <c r="AB219" i="8" a="1"/>
  <c r="AB219" i="8" s="1"/>
  <c r="AA219" i="8"/>
  <c r="B219" i="8"/>
  <c r="AI218" i="8"/>
  <c r="AB218" i="8" a="1"/>
  <c r="AB218" i="8" s="1"/>
  <c r="K218" i="8" s="1"/>
  <c r="AA218" i="8"/>
  <c r="B218" i="8"/>
  <c r="AI217" i="8"/>
  <c r="AB217" i="8" a="1"/>
  <c r="AB217" i="8" s="1"/>
  <c r="AA217" i="8"/>
  <c r="B217" i="8"/>
  <c r="AI216" i="8"/>
  <c r="AB216" i="8" a="1"/>
  <c r="AB216" i="8" s="1"/>
  <c r="AA216" i="8"/>
  <c r="B216" i="8"/>
  <c r="AI215" i="8"/>
  <c r="AB215" i="8" a="1"/>
  <c r="AB215" i="8" s="1"/>
  <c r="AA215" i="8"/>
  <c r="B215" i="8"/>
  <c r="AI214" i="8"/>
  <c r="AB214" i="8" a="1"/>
  <c r="AB214" i="8" s="1"/>
  <c r="AA214" i="8"/>
  <c r="B214" i="8"/>
  <c r="AI213" i="8"/>
  <c r="AB213" i="8" a="1"/>
  <c r="AB213" i="8" s="1"/>
  <c r="AA213" i="8"/>
  <c r="B213" i="8"/>
  <c r="AI212" i="8"/>
  <c r="AB212" i="8" a="1"/>
  <c r="AB212" i="8" s="1"/>
  <c r="AA212" i="8"/>
  <c r="B212" i="8"/>
  <c r="AI211" i="8"/>
  <c r="AB211" i="8" a="1"/>
  <c r="AB211" i="8" s="1"/>
  <c r="AA211" i="8"/>
  <c r="B211" i="8"/>
  <c r="AI210" i="8"/>
  <c r="AB210" i="8" a="1"/>
  <c r="AB210" i="8" s="1"/>
  <c r="AA210" i="8"/>
  <c r="B210" i="8"/>
  <c r="AI209" i="8"/>
  <c r="AB209" i="8" a="1"/>
  <c r="AB209" i="8" s="1"/>
  <c r="AA209" i="8"/>
  <c r="B209" i="8"/>
  <c r="AI208" i="8"/>
  <c r="AB208" i="8" a="1"/>
  <c r="AB208" i="8" s="1"/>
  <c r="AA208" i="8"/>
  <c r="B208" i="8"/>
  <c r="AI207" i="8"/>
  <c r="AB207" i="8" a="1"/>
  <c r="AB207" i="8" s="1"/>
  <c r="AA207" i="8"/>
  <c r="B207" i="8"/>
  <c r="AI206" i="8"/>
  <c r="AB206" i="8" a="1"/>
  <c r="AB206" i="8" s="1"/>
  <c r="K206" i="8" s="1"/>
  <c r="AA206" i="8"/>
  <c r="B206" i="8"/>
  <c r="AI205" i="8"/>
  <c r="AB205" i="8" a="1"/>
  <c r="AB205" i="8" s="1"/>
  <c r="AA205" i="8"/>
  <c r="B205" i="8"/>
  <c r="AI204" i="8"/>
  <c r="AB204" i="8" a="1"/>
  <c r="AB204" i="8" s="1"/>
  <c r="K204" i="8" s="1"/>
  <c r="AA204" i="8"/>
  <c r="B204" i="8"/>
  <c r="AI203" i="8"/>
  <c r="AB203" i="8" a="1"/>
  <c r="AB203" i="8" s="1"/>
  <c r="AA203" i="8"/>
  <c r="B203" i="8"/>
  <c r="H203" i="8" s="1"/>
  <c r="AI202" i="8"/>
  <c r="AB202" i="8" a="1"/>
  <c r="AB202" i="8" s="1"/>
  <c r="K202" i="8" s="1"/>
  <c r="AA202" i="8"/>
  <c r="B202" i="8"/>
  <c r="AI201" i="8"/>
  <c r="AB201" i="8" a="1"/>
  <c r="AB201" i="8" s="1"/>
  <c r="AA201" i="8"/>
  <c r="B201" i="8"/>
  <c r="AH201" i="8" s="1"/>
  <c r="BB201" i="8" s="1"/>
  <c r="AI200" i="8"/>
  <c r="AB200" i="8" a="1"/>
  <c r="AB200" i="8" s="1"/>
  <c r="AA200" i="8"/>
  <c r="B200" i="8"/>
  <c r="AI199" i="8"/>
  <c r="AB199" i="8" a="1"/>
  <c r="AB199" i="8" s="1"/>
  <c r="AA199" i="8"/>
  <c r="B199" i="8"/>
  <c r="AI198" i="8"/>
  <c r="AB198" i="8" a="1"/>
  <c r="AB198" i="8" s="1"/>
  <c r="AA198" i="8"/>
  <c r="B198" i="8"/>
  <c r="AI197" i="8"/>
  <c r="AB197" i="8" a="1"/>
  <c r="AB197" i="8" s="1"/>
  <c r="AA197" i="8"/>
  <c r="B197" i="8"/>
  <c r="AH197" i="8" s="1"/>
  <c r="BB197" i="8" s="1"/>
  <c r="AI196" i="8"/>
  <c r="AB196" i="8" a="1"/>
  <c r="AB196" i="8" s="1"/>
  <c r="AA196" i="8"/>
  <c r="B196" i="8"/>
  <c r="AI195" i="8"/>
  <c r="AB195" i="8" a="1"/>
  <c r="AB195" i="8" s="1"/>
  <c r="AA195" i="8"/>
  <c r="B195" i="8"/>
  <c r="AI194" i="8"/>
  <c r="AB194" i="8" a="1"/>
  <c r="AB194" i="8" s="1"/>
  <c r="AA194" i="8"/>
  <c r="B194" i="8"/>
  <c r="AI193" i="8"/>
  <c r="AB193" i="8" a="1"/>
  <c r="AB193" i="8" s="1"/>
  <c r="AA193" i="8"/>
  <c r="B193" i="8"/>
  <c r="AI192" i="8"/>
  <c r="AB192" i="8" a="1"/>
  <c r="AB192" i="8" s="1"/>
  <c r="AA192" i="8"/>
  <c r="B192" i="8"/>
  <c r="AI191" i="8"/>
  <c r="AB191" i="8" a="1"/>
  <c r="AB191" i="8" s="1"/>
  <c r="AA191" i="8"/>
  <c r="B191" i="8"/>
  <c r="AI190" i="8"/>
  <c r="AB190" i="8" a="1"/>
  <c r="AB190" i="8" s="1"/>
  <c r="AA190" i="8"/>
  <c r="B190" i="8"/>
  <c r="AI189" i="8"/>
  <c r="AB189" i="8" a="1"/>
  <c r="AB189" i="8" s="1"/>
  <c r="AA189" i="8"/>
  <c r="B189" i="8"/>
  <c r="AI188" i="8"/>
  <c r="AB188" i="8" a="1"/>
  <c r="AB188" i="8" s="1"/>
  <c r="AA188" i="8"/>
  <c r="B188" i="8"/>
  <c r="AI187" i="8"/>
  <c r="AB187" i="8" a="1"/>
  <c r="AB187" i="8" s="1"/>
  <c r="BC187" i="8" s="1"/>
  <c r="AA187" i="8"/>
  <c r="B187" i="8"/>
  <c r="AI186" i="8"/>
  <c r="AB186" i="8" a="1"/>
  <c r="AB186" i="8" s="1"/>
  <c r="BC186" i="8" s="1"/>
  <c r="AA186" i="8"/>
  <c r="B186" i="8"/>
  <c r="D186" i="8" s="1"/>
  <c r="AI185" i="8"/>
  <c r="AB185" i="8" a="1"/>
  <c r="AB185" i="8" s="1"/>
  <c r="K185" i="8" s="1"/>
  <c r="AA185" i="8"/>
  <c r="B185" i="8"/>
  <c r="F185" i="8" s="1"/>
  <c r="AI184" i="8"/>
  <c r="AB184" i="8" a="1"/>
  <c r="AB184" i="8" s="1"/>
  <c r="AA184" i="8"/>
  <c r="B184" i="8"/>
  <c r="AI183" i="8"/>
  <c r="AB183" i="8" a="1"/>
  <c r="AB183" i="8" s="1"/>
  <c r="AA183" i="8"/>
  <c r="B183" i="8"/>
  <c r="AI182" i="8"/>
  <c r="AB182" i="8" a="1"/>
  <c r="AB182" i="8" s="1"/>
  <c r="AA182" i="8"/>
  <c r="B182" i="8"/>
  <c r="H182" i="8" s="1"/>
  <c r="AI181" i="8"/>
  <c r="AB181" i="8" a="1"/>
  <c r="AB181" i="8" s="1"/>
  <c r="BC181" i="8" s="1"/>
  <c r="AA181" i="8"/>
  <c r="B181" i="8"/>
  <c r="F181" i="8" s="1"/>
  <c r="AI180" i="8"/>
  <c r="AB180" i="8" a="1"/>
  <c r="AB180" i="8" s="1"/>
  <c r="K180" i="8" s="1"/>
  <c r="AA180" i="8"/>
  <c r="B180" i="8"/>
  <c r="AH180" i="8" s="1"/>
  <c r="BB180" i="8" s="1"/>
  <c r="AI179" i="8"/>
  <c r="AB179" i="8" a="1"/>
  <c r="AB179" i="8" s="1"/>
  <c r="AA179" i="8"/>
  <c r="B179" i="8"/>
  <c r="AI178" i="8"/>
  <c r="AB178" i="8" a="1"/>
  <c r="AB178" i="8" s="1"/>
  <c r="AA178" i="8"/>
  <c r="B178" i="8"/>
  <c r="AI177" i="8"/>
  <c r="AB177" i="8" a="1"/>
  <c r="AB177" i="8" s="1"/>
  <c r="AA177" i="8"/>
  <c r="B177" i="8"/>
  <c r="I177" i="8" s="1"/>
  <c r="AI176" i="8"/>
  <c r="AB176" i="8" a="1"/>
  <c r="AB176" i="8" s="1"/>
  <c r="AA176" i="8"/>
  <c r="B176" i="8"/>
  <c r="AI175" i="8"/>
  <c r="AB175" i="8" a="1"/>
  <c r="AB175" i="8" s="1"/>
  <c r="BC175" i="8" s="1"/>
  <c r="AA175" i="8"/>
  <c r="B175" i="8"/>
  <c r="AI174" i="8"/>
  <c r="AB174" i="8" a="1"/>
  <c r="AB174" i="8" s="1"/>
  <c r="AA174" i="8"/>
  <c r="B174" i="8"/>
  <c r="AI173" i="8"/>
  <c r="AB173" i="8" a="1"/>
  <c r="AB173" i="8" s="1"/>
  <c r="AA173" i="8"/>
  <c r="B173" i="8"/>
  <c r="F173" i="8" s="1"/>
  <c r="AI172" i="8"/>
  <c r="AB172" i="8" a="1"/>
  <c r="AB172" i="8" s="1"/>
  <c r="AA172" i="8"/>
  <c r="B172" i="8"/>
  <c r="AI171" i="8"/>
  <c r="AB171" i="8" a="1"/>
  <c r="AB171" i="8" s="1"/>
  <c r="AA171" i="8"/>
  <c r="B171" i="8"/>
  <c r="AI170" i="8"/>
  <c r="AB170" i="8" a="1"/>
  <c r="AB170" i="8" s="1"/>
  <c r="AA170" i="8"/>
  <c r="B170" i="8"/>
  <c r="AI169" i="8"/>
  <c r="AB169" i="8" a="1"/>
  <c r="AB169" i="8" s="1"/>
  <c r="AA169" i="8"/>
  <c r="B169" i="8"/>
  <c r="AI168" i="8"/>
  <c r="AB168" i="8" a="1"/>
  <c r="AB168" i="8" s="1"/>
  <c r="K168" i="8" s="1"/>
  <c r="AA168" i="8"/>
  <c r="B168" i="8"/>
  <c r="AI167" i="8"/>
  <c r="AB167" i="8" a="1"/>
  <c r="AB167" i="8" s="1"/>
  <c r="AA167" i="8"/>
  <c r="B167" i="8"/>
  <c r="AI166" i="8"/>
  <c r="AB166" i="8" a="1"/>
  <c r="AB166" i="8" s="1"/>
  <c r="K166" i="8" s="1"/>
  <c r="AA166" i="8"/>
  <c r="B166" i="8"/>
  <c r="AI165" i="8"/>
  <c r="AB165" i="8" a="1"/>
  <c r="AB165" i="8" s="1"/>
  <c r="AA165" i="8"/>
  <c r="B165" i="8"/>
  <c r="F165" i="8" s="1"/>
  <c r="AI164" i="8"/>
  <c r="AB164" i="8" a="1"/>
  <c r="AB164" i="8" s="1"/>
  <c r="AA164" i="8"/>
  <c r="B164" i="8"/>
  <c r="AI163" i="8"/>
  <c r="AB163" i="8" a="1"/>
  <c r="AB163" i="8" s="1"/>
  <c r="AA163" i="8"/>
  <c r="B163" i="8"/>
  <c r="AI162" i="8"/>
  <c r="AB162" i="8" a="1"/>
  <c r="AB162" i="8" s="1"/>
  <c r="AA162" i="8"/>
  <c r="B162" i="8"/>
  <c r="AI161" i="8"/>
  <c r="AB161" i="8" a="1"/>
  <c r="AB161" i="8" s="1"/>
  <c r="AA161" i="8"/>
  <c r="B161" i="8"/>
  <c r="AI160" i="8"/>
  <c r="AB160" i="8" a="1"/>
  <c r="AB160" i="8" s="1"/>
  <c r="AA160" i="8"/>
  <c r="B160" i="8"/>
  <c r="AI159" i="8"/>
  <c r="AB159" i="8" a="1"/>
  <c r="AB159" i="8" s="1"/>
  <c r="BC159" i="8" s="1"/>
  <c r="AA159" i="8"/>
  <c r="B159" i="8"/>
  <c r="I159" i="8" s="1"/>
  <c r="AI158" i="8"/>
  <c r="AB158" i="8" a="1"/>
  <c r="AB158" i="8" s="1"/>
  <c r="BC158" i="8" s="1"/>
  <c r="AA158" i="8"/>
  <c r="B158" i="8"/>
  <c r="AI157" i="8"/>
  <c r="AB157" i="8" a="1"/>
  <c r="AB157" i="8" s="1"/>
  <c r="BC157" i="8" s="1"/>
  <c r="AA157" i="8"/>
  <c r="B157" i="8"/>
  <c r="AI156" i="8"/>
  <c r="AB156" i="8" a="1"/>
  <c r="AB156" i="8" s="1"/>
  <c r="AA156" i="8"/>
  <c r="B156" i="8"/>
  <c r="AI155" i="8"/>
  <c r="AB155" i="8" a="1"/>
  <c r="AB155" i="8" s="1"/>
  <c r="AA155" i="8"/>
  <c r="B155" i="8"/>
  <c r="AH155" i="8" s="1"/>
  <c r="BB155" i="8" s="1"/>
  <c r="AI154" i="8"/>
  <c r="AB154" i="8" a="1"/>
  <c r="AB154" i="8" s="1"/>
  <c r="AA154" i="8"/>
  <c r="B154" i="8"/>
  <c r="D154" i="8" s="1"/>
  <c r="AI153" i="8"/>
  <c r="AB153" i="8" a="1"/>
  <c r="AB153" i="8" s="1"/>
  <c r="AA153" i="8"/>
  <c r="B153" i="8"/>
  <c r="AI152" i="8"/>
  <c r="AB152" i="8" a="1"/>
  <c r="AB152" i="8" s="1"/>
  <c r="AA152" i="8"/>
  <c r="B152" i="8"/>
  <c r="AI151" i="8"/>
  <c r="AB151" i="8" a="1"/>
  <c r="AB151" i="8" s="1"/>
  <c r="AA151" i="8"/>
  <c r="B151" i="8"/>
  <c r="AI150" i="8"/>
  <c r="AB150" i="8" a="1"/>
  <c r="AB150" i="8" s="1"/>
  <c r="BC150" i="8" s="1"/>
  <c r="AA150" i="8"/>
  <c r="B150" i="8"/>
  <c r="AH150" i="8" s="1"/>
  <c r="BB150" i="8" s="1"/>
  <c r="AI149" i="8"/>
  <c r="AB149" i="8" a="1"/>
  <c r="AB149" i="8" s="1"/>
  <c r="BC149" i="8" s="1"/>
  <c r="AA149" i="8"/>
  <c r="B149" i="8"/>
  <c r="H149" i="8" s="1"/>
  <c r="AI148" i="8"/>
  <c r="AB148" i="8" a="1"/>
  <c r="AB148" i="8" s="1"/>
  <c r="AA148" i="8"/>
  <c r="B148" i="8"/>
  <c r="AI147" i="8"/>
  <c r="AB147" i="8" a="1"/>
  <c r="AB147" i="8" s="1"/>
  <c r="AA147" i="8"/>
  <c r="B147" i="8"/>
  <c r="AI146" i="8"/>
  <c r="AB146" i="8" a="1"/>
  <c r="AB146" i="8" s="1"/>
  <c r="AA146" i="8"/>
  <c r="B146" i="8"/>
  <c r="AI145" i="8"/>
  <c r="AB145" i="8" a="1"/>
  <c r="AB145" i="8" s="1"/>
  <c r="BC145" i="8" s="1"/>
  <c r="AA145" i="8"/>
  <c r="B145" i="8"/>
  <c r="AI144" i="8"/>
  <c r="AB144" i="8" a="1"/>
  <c r="AB144" i="8" s="1"/>
  <c r="AA144" i="8"/>
  <c r="B144" i="8"/>
  <c r="AI143" i="8"/>
  <c r="AB143" i="8" a="1"/>
  <c r="AB143" i="8" s="1"/>
  <c r="AA143" i="8"/>
  <c r="B143" i="8"/>
  <c r="AH143" i="8" s="1"/>
  <c r="BB143" i="8" s="1"/>
  <c r="AI142" i="8"/>
  <c r="AB142" i="8" a="1"/>
  <c r="AB142" i="8" s="1"/>
  <c r="BC142" i="8" s="1"/>
  <c r="AA142" i="8"/>
  <c r="B142" i="8"/>
  <c r="AI141" i="8"/>
  <c r="AB141" i="8" a="1"/>
  <c r="AB141" i="8" s="1"/>
  <c r="AA141" i="8"/>
  <c r="B141" i="8"/>
  <c r="AI140" i="8"/>
  <c r="AB140" i="8" a="1"/>
  <c r="AB140" i="8" s="1"/>
  <c r="AA140" i="8"/>
  <c r="B140" i="8"/>
  <c r="D140" i="8" s="1"/>
  <c r="AI139" i="8"/>
  <c r="AB139" i="8" a="1"/>
  <c r="AB139" i="8" s="1"/>
  <c r="K139" i="8" s="1"/>
  <c r="AA139" i="8"/>
  <c r="B139" i="8"/>
  <c r="AI138" i="8"/>
  <c r="AB138" i="8" a="1"/>
  <c r="AB138" i="8" s="1"/>
  <c r="AA138" i="8"/>
  <c r="B138" i="8"/>
  <c r="F138" i="8" s="1"/>
  <c r="AI137" i="8"/>
  <c r="AB137" i="8" a="1"/>
  <c r="AB137" i="8" s="1"/>
  <c r="K137" i="8" s="1"/>
  <c r="AA137" i="8"/>
  <c r="B137" i="8"/>
  <c r="AI136" i="8"/>
  <c r="AB136" i="8" a="1"/>
  <c r="AB136" i="8" s="1"/>
  <c r="AA136" i="8"/>
  <c r="B136" i="8"/>
  <c r="AI135" i="8"/>
  <c r="AB135" i="8" a="1"/>
  <c r="AB135" i="8" s="1"/>
  <c r="AA135" i="8"/>
  <c r="B135" i="8"/>
  <c r="AI134" i="8"/>
  <c r="AB134" i="8" a="1"/>
  <c r="AB134" i="8" s="1"/>
  <c r="AA134" i="8"/>
  <c r="B134" i="8"/>
  <c r="H134" i="8" s="1"/>
  <c r="AI133" i="8"/>
  <c r="AB133" i="8" a="1"/>
  <c r="AB133" i="8" s="1"/>
  <c r="AA133" i="8"/>
  <c r="B133" i="8"/>
  <c r="AI132" i="8"/>
  <c r="AB132" i="8" a="1"/>
  <c r="AB132" i="8" s="1"/>
  <c r="AA132" i="8"/>
  <c r="B132" i="8"/>
  <c r="AI131" i="8"/>
  <c r="AB131" i="8" a="1"/>
  <c r="AB131" i="8" s="1"/>
  <c r="BC131" i="8" s="1"/>
  <c r="AA131" i="8"/>
  <c r="B131" i="8"/>
  <c r="AI130" i="8"/>
  <c r="AB130" i="8" a="1"/>
  <c r="AB130" i="8" s="1"/>
  <c r="BC130" i="8" s="1"/>
  <c r="AA130" i="8"/>
  <c r="B130" i="8"/>
  <c r="AI129" i="8"/>
  <c r="AB129" i="8" a="1"/>
  <c r="AB129" i="8" s="1"/>
  <c r="AA129" i="8"/>
  <c r="B129" i="8"/>
  <c r="AI128" i="8"/>
  <c r="AB128" i="8" a="1"/>
  <c r="AB128" i="8" s="1"/>
  <c r="BC128" i="8" s="1"/>
  <c r="AA128" i="8"/>
  <c r="B128" i="8"/>
  <c r="AI127" i="8"/>
  <c r="AB127" i="8" a="1"/>
  <c r="AB127" i="8" s="1"/>
  <c r="K127" i="8" s="1"/>
  <c r="AA127" i="8"/>
  <c r="B127" i="8"/>
  <c r="AI126" i="8"/>
  <c r="AB126" i="8" a="1"/>
  <c r="AB126" i="8" s="1"/>
  <c r="AA126" i="8"/>
  <c r="B126" i="8"/>
  <c r="AI125" i="8"/>
  <c r="AB125" i="8" a="1"/>
  <c r="AB125" i="8" s="1"/>
  <c r="AA125" i="8"/>
  <c r="B125" i="8"/>
  <c r="AH125" i="8" s="1"/>
  <c r="BB125" i="8" s="1"/>
  <c r="AI124" i="8"/>
  <c r="AB124" i="8" a="1"/>
  <c r="AB124" i="8" s="1"/>
  <c r="AA124" i="8"/>
  <c r="B124" i="8"/>
  <c r="AI123" i="8"/>
  <c r="AB123" i="8" a="1"/>
  <c r="AB123" i="8" s="1"/>
  <c r="AA123" i="8"/>
  <c r="B123" i="8"/>
  <c r="AI122" i="8"/>
  <c r="AB122" i="8" a="1"/>
  <c r="AB122" i="8" s="1"/>
  <c r="BC122" i="8" s="1"/>
  <c r="AA122" i="8"/>
  <c r="B122" i="8"/>
  <c r="AI121" i="8"/>
  <c r="AB121" i="8" a="1"/>
  <c r="AB121" i="8" s="1"/>
  <c r="AA121" i="8"/>
  <c r="B121" i="8"/>
  <c r="AI120" i="8"/>
  <c r="AB120" i="8" a="1"/>
  <c r="AB120" i="8" s="1"/>
  <c r="AA120" i="8"/>
  <c r="B120" i="8"/>
  <c r="AI119" i="8"/>
  <c r="AB119" i="8" a="1"/>
  <c r="AB119" i="8" s="1"/>
  <c r="AA119" i="8"/>
  <c r="B119" i="8"/>
  <c r="AI118" i="8"/>
  <c r="AB118" i="8" a="1"/>
  <c r="AB118" i="8" s="1"/>
  <c r="AA118" i="8"/>
  <c r="B118" i="8"/>
  <c r="AH118" i="8" s="1"/>
  <c r="BB118" i="8" s="1"/>
  <c r="AI117" i="8"/>
  <c r="AB117" i="8" a="1"/>
  <c r="AB117" i="8" s="1"/>
  <c r="AA117" i="8"/>
  <c r="B117" i="8"/>
  <c r="AI116" i="8"/>
  <c r="AB116" i="8" a="1"/>
  <c r="AB116" i="8" s="1"/>
  <c r="AA116" i="8"/>
  <c r="B116" i="8"/>
  <c r="AI115" i="8"/>
  <c r="AB115" i="8" a="1"/>
  <c r="AB115" i="8" s="1"/>
  <c r="AA115" i="8"/>
  <c r="B115" i="8"/>
  <c r="AI114" i="8"/>
  <c r="AB114" i="8" a="1"/>
  <c r="AB114" i="8" s="1"/>
  <c r="K114" i="8" s="1"/>
  <c r="AA114" i="8"/>
  <c r="B114" i="8"/>
  <c r="AI113" i="8"/>
  <c r="AB113" i="8" a="1"/>
  <c r="AB113" i="8" s="1"/>
  <c r="AA113" i="8"/>
  <c r="B113" i="8"/>
  <c r="AI112" i="8"/>
  <c r="AB112" i="8" a="1"/>
  <c r="AB112" i="8" s="1"/>
  <c r="AA112" i="8"/>
  <c r="B112" i="8"/>
  <c r="AI111" i="8"/>
  <c r="AB111" i="8" a="1"/>
  <c r="AB111" i="8" s="1"/>
  <c r="AA111" i="8"/>
  <c r="B111" i="8"/>
  <c r="AI110" i="8"/>
  <c r="AB110" i="8" a="1"/>
  <c r="AB110" i="8" s="1"/>
  <c r="BC110" i="8" s="1"/>
  <c r="AA110" i="8"/>
  <c r="B110" i="8"/>
  <c r="AI109" i="8"/>
  <c r="AB109" i="8" a="1"/>
  <c r="AB109" i="8" s="1"/>
  <c r="AA109" i="8"/>
  <c r="B109" i="8"/>
  <c r="AI108" i="8"/>
  <c r="AB108" i="8" a="1"/>
  <c r="AB108" i="8" s="1"/>
  <c r="AA108" i="8"/>
  <c r="B108" i="8"/>
  <c r="AH108" i="8" s="1"/>
  <c r="BB108" i="8" s="1"/>
  <c r="AI107" i="8"/>
  <c r="AB107" i="8" a="1"/>
  <c r="AB107" i="8" s="1"/>
  <c r="AA107" i="8"/>
  <c r="B107" i="8"/>
  <c r="E107" i="8" s="1"/>
  <c r="AI106" i="8"/>
  <c r="AB106" i="8" a="1"/>
  <c r="AB106" i="8" s="1"/>
  <c r="AA106" i="8"/>
  <c r="B106" i="8"/>
  <c r="D106" i="8" s="1"/>
  <c r="AI105" i="8"/>
  <c r="AB105" i="8" a="1"/>
  <c r="AB105" i="8" s="1"/>
  <c r="K105" i="8" s="1"/>
  <c r="AA105" i="8"/>
  <c r="B105" i="8"/>
  <c r="AI104" i="8"/>
  <c r="AB104" i="8" a="1"/>
  <c r="AB104" i="8" s="1"/>
  <c r="AA104" i="8"/>
  <c r="B104" i="8"/>
  <c r="AI103" i="8"/>
  <c r="AB103" i="8" a="1"/>
  <c r="AB103" i="8" s="1"/>
  <c r="AA103" i="8"/>
  <c r="B103" i="8"/>
  <c r="G103" i="8" s="1"/>
  <c r="AI102" i="8"/>
  <c r="AB102" i="8" a="1"/>
  <c r="AB102" i="8" s="1"/>
  <c r="AA102" i="8"/>
  <c r="B102" i="8"/>
  <c r="AI101" i="8"/>
  <c r="AB101" i="8" a="1"/>
  <c r="AB101" i="8" s="1"/>
  <c r="AA101" i="8"/>
  <c r="B101" i="8"/>
  <c r="AI100" i="8"/>
  <c r="AB100" i="8" a="1"/>
  <c r="AB100" i="8" s="1"/>
  <c r="AA100" i="8"/>
  <c r="B100" i="8"/>
  <c r="AI99" i="8"/>
  <c r="AB99" i="8" a="1"/>
  <c r="AB99" i="8" s="1"/>
  <c r="AA99" i="8"/>
  <c r="B99" i="8"/>
  <c r="D99" i="8" s="1"/>
  <c r="AI98" i="8"/>
  <c r="AB98" i="8" a="1"/>
  <c r="AB98" i="8" s="1"/>
  <c r="BC98" i="8" s="1"/>
  <c r="AA98" i="8"/>
  <c r="B98" i="8"/>
  <c r="AI97" i="8"/>
  <c r="AB97" i="8" a="1"/>
  <c r="AB97" i="8" s="1"/>
  <c r="AA97" i="8"/>
  <c r="B97" i="8"/>
  <c r="AH97" i="8" s="1"/>
  <c r="BB97" i="8" s="1"/>
  <c r="AI96" i="8"/>
  <c r="AB96" i="8" a="1"/>
  <c r="AB96" i="8" s="1"/>
  <c r="AA96" i="8"/>
  <c r="B96" i="8"/>
  <c r="AI95" i="8"/>
  <c r="AB95" i="8" a="1"/>
  <c r="AB95" i="8" s="1"/>
  <c r="AA95" i="8"/>
  <c r="B95" i="8"/>
  <c r="AI94" i="8"/>
  <c r="AB94" i="8" a="1"/>
  <c r="AB94" i="8" s="1"/>
  <c r="BC94" i="8" s="1"/>
  <c r="AA94" i="8"/>
  <c r="B94" i="8"/>
  <c r="AI93" i="8"/>
  <c r="AB93" i="8" a="1"/>
  <c r="AB93" i="8" s="1"/>
  <c r="AA93" i="8"/>
  <c r="B93" i="8"/>
  <c r="AH93" i="8" s="1"/>
  <c r="BB93" i="8" s="1"/>
  <c r="AI92" i="8"/>
  <c r="AB92" i="8" a="1"/>
  <c r="AB92" i="8" s="1"/>
  <c r="BC92" i="8" s="1"/>
  <c r="AA92" i="8"/>
  <c r="B92" i="8"/>
  <c r="E92" i="8" s="1"/>
  <c r="AI91" i="8"/>
  <c r="AB91" i="8" a="1"/>
  <c r="AB91" i="8" s="1"/>
  <c r="AA91" i="8"/>
  <c r="B91" i="8"/>
  <c r="AI90" i="8"/>
  <c r="AB90" i="8" a="1"/>
  <c r="AB90" i="8" s="1"/>
  <c r="AA90" i="8"/>
  <c r="B90" i="8"/>
  <c r="AI89" i="8"/>
  <c r="AB89" i="8" a="1"/>
  <c r="AB89" i="8" s="1"/>
  <c r="BC89" i="8" s="1"/>
  <c r="AA89" i="8"/>
  <c r="B89" i="8"/>
  <c r="AI88" i="8"/>
  <c r="AB88" i="8" a="1"/>
  <c r="AB88" i="8" s="1"/>
  <c r="AA88" i="8"/>
  <c r="B88" i="8"/>
  <c r="D88" i="8" s="1"/>
  <c r="AI87" i="8"/>
  <c r="AB87" i="8" a="1"/>
  <c r="AB87" i="8" s="1"/>
  <c r="AA87" i="8"/>
  <c r="B87" i="8"/>
  <c r="AI86" i="8"/>
  <c r="AB86" i="8" a="1"/>
  <c r="AB86" i="8" s="1"/>
  <c r="AA86" i="8"/>
  <c r="B86" i="8"/>
  <c r="AI85" i="8"/>
  <c r="AB85" i="8" a="1"/>
  <c r="AB85" i="8" s="1"/>
  <c r="AA85" i="8"/>
  <c r="B85" i="8"/>
  <c r="AI84" i="8"/>
  <c r="AB84" i="8" a="1"/>
  <c r="AB84" i="8" s="1"/>
  <c r="K84" i="8" s="1"/>
  <c r="AA84" i="8"/>
  <c r="B84" i="8"/>
  <c r="AI83" i="8"/>
  <c r="AB83" i="8" a="1"/>
  <c r="AB83" i="8" s="1"/>
  <c r="AA83" i="8"/>
  <c r="B83" i="8"/>
  <c r="G83" i="8" s="1"/>
  <c r="AI82" i="8"/>
  <c r="AB82" i="8" a="1"/>
  <c r="AB82" i="8" s="1"/>
  <c r="AA82" i="8"/>
  <c r="B82" i="8"/>
  <c r="AI81" i="8"/>
  <c r="AB81" i="8" a="1"/>
  <c r="AB81" i="8" s="1"/>
  <c r="AA81" i="8"/>
  <c r="B81" i="8"/>
  <c r="AI80" i="8"/>
  <c r="AB80" i="8" a="1"/>
  <c r="AB80" i="8" s="1"/>
  <c r="AA80" i="8"/>
  <c r="B80" i="8"/>
  <c r="AI79" i="8"/>
  <c r="AB79" i="8" a="1"/>
  <c r="AB79" i="8" s="1"/>
  <c r="BC79" i="8" s="1"/>
  <c r="AA79" i="8"/>
  <c r="B79" i="8"/>
  <c r="I79" i="8" s="1"/>
  <c r="AI78" i="8"/>
  <c r="AB78" i="8" a="1"/>
  <c r="AB78" i="8" s="1"/>
  <c r="AA78" i="8"/>
  <c r="B78" i="8"/>
  <c r="AI77" i="8"/>
  <c r="AB77" i="8" a="1"/>
  <c r="AB77" i="8" s="1"/>
  <c r="BC77" i="8" s="1"/>
  <c r="AA77" i="8"/>
  <c r="B77" i="8"/>
  <c r="G77" i="8" s="1"/>
  <c r="AI76" i="8"/>
  <c r="AB76" i="8" a="1"/>
  <c r="AB76" i="8" s="1"/>
  <c r="BC76" i="8" s="1"/>
  <c r="AA76" i="8"/>
  <c r="B76" i="8"/>
  <c r="AI75" i="8"/>
  <c r="AB75" i="8" a="1"/>
  <c r="AB75" i="8" s="1"/>
  <c r="K75" i="8" s="1"/>
  <c r="AA75" i="8"/>
  <c r="B75" i="8"/>
  <c r="F75" i="8" s="1"/>
  <c r="AI74" i="8"/>
  <c r="AB74" i="8" a="1"/>
  <c r="AB74" i="8" s="1"/>
  <c r="AA74" i="8"/>
  <c r="B74" i="8"/>
  <c r="AI73" i="8"/>
  <c r="AB73" i="8" a="1"/>
  <c r="AB73" i="8" s="1"/>
  <c r="K73" i="8" s="1"/>
  <c r="AA73" i="8"/>
  <c r="B73" i="8"/>
  <c r="AI72" i="8"/>
  <c r="AB72" i="8" a="1"/>
  <c r="AB72" i="8" s="1"/>
  <c r="AA72" i="8"/>
  <c r="B72" i="8"/>
  <c r="AI71" i="8"/>
  <c r="AB71" i="8" a="1"/>
  <c r="AB71" i="8" s="1"/>
  <c r="AA71" i="8"/>
  <c r="B71" i="8"/>
  <c r="AI70" i="8"/>
  <c r="AB70" i="8" a="1"/>
  <c r="AB70" i="8" s="1"/>
  <c r="AA70" i="8"/>
  <c r="B70" i="8"/>
  <c r="AI69" i="8"/>
  <c r="AB69" i="8" a="1"/>
  <c r="AB69" i="8" s="1"/>
  <c r="AA69" i="8"/>
  <c r="B69" i="8"/>
  <c r="AI68" i="8"/>
  <c r="AB68" i="8" a="1"/>
  <c r="AB68" i="8" s="1"/>
  <c r="AA68" i="8"/>
  <c r="B68" i="8"/>
  <c r="AI67" i="8"/>
  <c r="AB67" i="8" a="1"/>
  <c r="AB67" i="8" s="1"/>
  <c r="AA67" i="8"/>
  <c r="B67" i="8"/>
  <c r="AI66" i="8"/>
  <c r="AB66" i="8" a="1"/>
  <c r="AB66" i="8" s="1"/>
  <c r="AA66" i="8"/>
  <c r="B66" i="8"/>
  <c r="AI65" i="8"/>
  <c r="AB65" i="8" a="1"/>
  <c r="AB65" i="8" s="1"/>
  <c r="K65" i="8" s="1"/>
  <c r="AA65" i="8"/>
  <c r="B65" i="8"/>
  <c r="AI64" i="8"/>
  <c r="AB64" i="8" a="1"/>
  <c r="AB64" i="8" s="1"/>
  <c r="AA64" i="8"/>
  <c r="B64" i="8"/>
  <c r="AI63" i="8"/>
  <c r="AB63" i="8" a="1"/>
  <c r="AB63" i="8" s="1"/>
  <c r="BC63" i="8" s="1"/>
  <c r="AA63" i="8"/>
  <c r="B63" i="8"/>
  <c r="G63" i="8" s="1"/>
  <c r="AI62" i="8"/>
  <c r="AB62" i="8" a="1"/>
  <c r="AB62" i="8" s="1"/>
  <c r="K62" i="8" s="1"/>
  <c r="AA62" i="8"/>
  <c r="B62" i="8"/>
  <c r="I62" i="8" s="1"/>
  <c r="AI61" i="8"/>
  <c r="AB61" i="8" a="1"/>
  <c r="AB61" i="8" s="1"/>
  <c r="AA61" i="8"/>
  <c r="B61" i="8"/>
  <c r="AI60" i="8"/>
  <c r="AB60" i="8" a="1"/>
  <c r="AB60" i="8" s="1"/>
  <c r="AA60" i="8"/>
  <c r="B60" i="8"/>
  <c r="E60" i="8" s="1"/>
  <c r="AI59" i="8"/>
  <c r="AB59" i="8" a="1"/>
  <c r="AB59" i="8" s="1"/>
  <c r="BC59" i="8" s="1"/>
  <c r="AA59" i="8"/>
  <c r="B59" i="8"/>
  <c r="E59" i="8" s="1"/>
  <c r="AI58" i="8"/>
  <c r="AB58" i="8" a="1"/>
  <c r="AB58" i="8" s="1"/>
  <c r="BC58" i="8" s="1"/>
  <c r="AA58" i="8"/>
  <c r="B58" i="8"/>
  <c r="AI57" i="8"/>
  <c r="AB57" i="8" a="1"/>
  <c r="AB57" i="8" s="1"/>
  <c r="AA57" i="8"/>
  <c r="B57" i="8"/>
  <c r="AI56" i="8"/>
  <c r="AB56" i="8" a="1"/>
  <c r="AB56" i="8" s="1"/>
  <c r="AA56" i="8"/>
  <c r="B56" i="8"/>
  <c r="F56" i="8" s="1"/>
  <c r="AI55" i="8"/>
  <c r="AB55" i="8" a="1"/>
  <c r="AB55" i="8" s="1"/>
  <c r="K55" i="8" s="1"/>
  <c r="AA55" i="8"/>
  <c r="B55" i="8"/>
  <c r="AI54" i="8"/>
  <c r="AB54" i="8" a="1"/>
  <c r="AB54" i="8" s="1"/>
  <c r="AA54" i="8"/>
  <c r="B54" i="8"/>
  <c r="AI53" i="8"/>
  <c r="AB53" i="8" a="1"/>
  <c r="AB53" i="8" s="1"/>
  <c r="AA53" i="8"/>
  <c r="B53" i="8"/>
  <c r="AI52" i="8"/>
  <c r="AB52" i="8" a="1"/>
  <c r="AB52" i="8" s="1"/>
  <c r="BC52" i="8" s="1"/>
  <c r="AA52" i="8"/>
  <c r="B52" i="8"/>
  <c r="AI51" i="8"/>
  <c r="AB51" i="8" a="1"/>
  <c r="AB51" i="8" s="1"/>
  <c r="AA51" i="8"/>
  <c r="B51" i="8"/>
  <c r="AI50" i="8"/>
  <c r="AB50" i="8" a="1"/>
  <c r="AB50" i="8" s="1"/>
  <c r="AA50" i="8"/>
  <c r="B50" i="8"/>
  <c r="AI49" i="8"/>
  <c r="AB49" i="8" a="1"/>
  <c r="AB49" i="8" s="1"/>
  <c r="K49" i="8" s="1"/>
  <c r="AA49" i="8"/>
  <c r="B49" i="8"/>
  <c r="AI48" i="8"/>
  <c r="AB48" i="8" a="1"/>
  <c r="AB48" i="8" s="1"/>
  <c r="AA48" i="8"/>
  <c r="B48" i="8"/>
  <c r="AI47" i="8"/>
  <c r="AB47" i="8" a="1"/>
  <c r="AB47" i="8" s="1"/>
  <c r="BC47" i="8" s="1"/>
  <c r="AA47" i="8"/>
  <c r="B47" i="8"/>
  <c r="AI46" i="8"/>
  <c r="AB46" i="8" a="1"/>
  <c r="AB46" i="8" s="1"/>
  <c r="BC46" i="8" s="1"/>
  <c r="AA46" i="8"/>
  <c r="B46" i="8"/>
  <c r="H46" i="8" s="1"/>
  <c r="AI45" i="8"/>
  <c r="AB45" i="8" a="1"/>
  <c r="AB45" i="8" s="1"/>
  <c r="AA45" i="8"/>
  <c r="B45" i="8"/>
  <c r="AI44" i="8"/>
  <c r="AB44" i="8" a="1"/>
  <c r="AB44" i="8" s="1"/>
  <c r="K44" i="8" s="1"/>
  <c r="AA44" i="8"/>
  <c r="B44" i="8"/>
  <c r="AI43" i="8"/>
  <c r="AB43" i="8" a="1"/>
  <c r="AB43" i="8" s="1"/>
  <c r="AA43" i="8"/>
  <c r="B43" i="8"/>
  <c r="AI42" i="8"/>
  <c r="AB42" i="8" a="1"/>
  <c r="AB42" i="8" s="1"/>
  <c r="AA42" i="8"/>
  <c r="B42" i="8"/>
  <c r="AI41" i="8"/>
  <c r="AB41" i="8" a="1"/>
  <c r="AB41" i="8" s="1"/>
  <c r="K41" i="8" s="1"/>
  <c r="AA41" i="8"/>
  <c r="B41" i="8"/>
  <c r="AI40" i="8"/>
  <c r="AB40" i="8" a="1"/>
  <c r="AB40" i="8" s="1"/>
  <c r="BC40" i="8" s="1"/>
  <c r="AA40" i="8"/>
  <c r="B40" i="8"/>
  <c r="H40" i="8" s="1"/>
  <c r="AI39" i="8"/>
  <c r="AB39" i="8" a="1"/>
  <c r="AB39" i="8" s="1"/>
  <c r="AA39" i="8"/>
  <c r="B39" i="8"/>
  <c r="AI38" i="8"/>
  <c r="AB38" i="8" a="1"/>
  <c r="AB38" i="8" s="1"/>
  <c r="AA38" i="8"/>
  <c r="B38" i="8"/>
  <c r="AI37" i="8"/>
  <c r="AB37" i="8" a="1"/>
  <c r="AB37" i="8" s="1"/>
  <c r="AA37" i="8"/>
  <c r="B37" i="8"/>
  <c r="AI36" i="8"/>
  <c r="AB36" i="8" a="1"/>
  <c r="AB36" i="8" s="1"/>
  <c r="BC36" i="8" s="1"/>
  <c r="AA36" i="8"/>
  <c r="B36" i="8"/>
  <c r="AI35" i="8"/>
  <c r="AB35" i="8" a="1"/>
  <c r="AB35" i="8" s="1"/>
  <c r="AA35" i="8"/>
  <c r="B35" i="8"/>
  <c r="AI34" i="8"/>
  <c r="AB34" i="8" a="1"/>
  <c r="AB34" i="8" s="1"/>
  <c r="K34" i="8" s="1"/>
  <c r="AA34" i="8"/>
  <c r="B34" i="8"/>
  <c r="AH34" i="8" s="1"/>
  <c r="BB34" i="8" s="1"/>
  <c r="AI33" i="8"/>
  <c r="AB33" i="8" a="1"/>
  <c r="AB33" i="8" s="1"/>
  <c r="AA33" i="8"/>
  <c r="B33" i="8"/>
  <c r="AI32" i="8"/>
  <c r="AB32" i="8" a="1"/>
  <c r="AB32" i="8" s="1"/>
  <c r="AA32" i="8"/>
  <c r="B32" i="8"/>
  <c r="AI31" i="8"/>
  <c r="AB31" i="8" a="1"/>
  <c r="AB31" i="8" s="1"/>
  <c r="AA31" i="8"/>
  <c r="B31" i="8"/>
  <c r="AI30" i="8"/>
  <c r="AB30" i="8" a="1"/>
  <c r="AB30" i="8" s="1"/>
  <c r="AA30" i="8"/>
  <c r="B30" i="8"/>
  <c r="D30" i="8" s="1"/>
  <c r="AI29" i="8"/>
  <c r="AB29" i="8" a="1"/>
  <c r="AB29" i="8" s="1"/>
  <c r="K29" i="8" s="1"/>
  <c r="AA29" i="8"/>
  <c r="B29" i="8"/>
  <c r="AI28" i="8"/>
  <c r="AB28" i="8" a="1"/>
  <c r="AB28" i="8" s="1"/>
  <c r="AA28" i="8"/>
  <c r="B28" i="8"/>
  <c r="AH28" i="8" s="1"/>
  <c r="BB28" i="8" s="1"/>
  <c r="AI27" i="8"/>
  <c r="AB27" i="8" a="1"/>
  <c r="AB27" i="8" s="1"/>
  <c r="AA27" i="8"/>
  <c r="B27" i="8"/>
  <c r="AI26" i="8"/>
  <c r="AB26" i="8" a="1"/>
  <c r="AB26" i="8" s="1"/>
  <c r="AA26" i="8"/>
  <c r="B26" i="8"/>
  <c r="AI25" i="8"/>
  <c r="AB25" i="8" a="1"/>
  <c r="AB25" i="8" s="1"/>
  <c r="AA25" i="8"/>
  <c r="B25" i="8"/>
  <c r="AI24" i="8"/>
  <c r="AB24" i="8" a="1"/>
  <c r="AB24" i="8" s="1"/>
  <c r="BC24" i="8" s="1"/>
  <c r="AA24" i="8"/>
  <c r="B24" i="8"/>
  <c r="AH24" i="8" s="1"/>
  <c r="BB24" i="8" s="1"/>
  <c r="AI23" i="8"/>
  <c r="AB23" i="8" a="1"/>
  <c r="AB23" i="8" s="1"/>
  <c r="AA23" i="8"/>
  <c r="B23" i="8"/>
  <c r="E23" i="8" s="1"/>
  <c r="AI22" i="8"/>
  <c r="AB22" i="8" a="1"/>
  <c r="AB22" i="8" s="1"/>
  <c r="AA22" i="8"/>
  <c r="B22" i="8"/>
  <c r="AI21" i="8"/>
  <c r="AB21" i="8" a="1"/>
  <c r="AB21" i="8" s="1"/>
  <c r="AA21" i="8"/>
  <c r="B21" i="8"/>
  <c r="AI20" i="8"/>
  <c r="AB20" i="8" a="1"/>
  <c r="AB20" i="8" s="1"/>
  <c r="AA20" i="8"/>
  <c r="B20" i="8"/>
  <c r="H20" i="8" s="1"/>
  <c r="AI19" i="8"/>
  <c r="AB19" i="8" a="1"/>
  <c r="AB19" i="8" s="1"/>
  <c r="AA19" i="8"/>
  <c r="B19" i="8"/>
  <c r="AI18" i="8"/>
  <c r="AB18" i="8" a="1"/>
  <c r="AB18" i="8" s="1"/>
  <c r="AA18" i="8"/>
  <c r="B18" i="8"/>
  <c r="AI17" i="8"/>
  <c r="AB17" i="8" a="1"/>
  <c r="AB17" i="8" s="1"/>
  <c r="K17" i="8" s="1"/>
  <c r="AA17" i="8"/>
  <c r="B17" i="8"/>
  <c r="AI16" i="8"/>
  <c r="AB16" i="8" a="1"/>
  <c r="AB16" i="8" s="1"/>
  <c r="AA16" i="8"/>
  <c r="B16" i="8"/>
  <c r="AI15" i="8"/>
  <c r="AB15" i="8" a="1"/>
  <c r="AB15" i="8" s="1"/>
  <c r="K15" i="8" s="1"/>
  <c r="AA15" i="8"/>
  <c r="B15" i="8"/>
  <c r="AI14" i="8"/>
  <c r="AB14" i="8" a="1"/>
  <c r="AB14" i="8" s="1"/>
  <c r="AA14" i="8"/>
  <c r="B14" i="8"/>
  <c r="D14" i="8" s="1"/>
  <c r="AI13" i="8"/>
  <c r="AB13" i="8" a="1"/>
  <c r="AB13" i="8" s="1"/>
  <c r="AA13" i="8"/>
  <c r="B13" i="8"/>
  <c r="AI12" i="8"/>
  <c r="AB12" i="8" a="1"/>
  <c r="AB12" i="8" s="1"/>
  <c r="K12" i="8" s="1"/>
  <c r="AA12" i="8"/>
  <c r="B12" i="8"/>
  <c r="AI11" i="8"/>
  <c r="AB11" i="8" a="1"/>
  <c r="AB11" i="8" s="1"/>
  <c r="K11" i="8" s="1"/>
  <c r="AA11" i="8"/>
  <c r="B11" i="8"/>
  <c r="AI10" i="8"/>
  <c r="AB10" i="8" a="1"/>
  <c r="AB10" i="8" s="1"/>
  <c r="K10" i="8" s="1"/>
  <c r="AA10" i="8"/>
  <c r="B10" i="8"/>
  <c r="AI9" i="8"/>
  <c r="AB9" i="8" a="1"/>
  <c r="AB9" i="8" s="1"/>
  <c r="BC9" i="8" s="1"/>
  <c r="AA9" i="8"/>
  <c r="B9" i="8"/>
  <c r="AI8" i="8"/>
  <c r="AB8" i="8" a="1"/>
  <c r="AB8" i="8" s="1"/>
  <c r="AA8" i="8"/>
  <c r="B8" i="8"/>
  <c r="AI7" i="8"/>
  <c r="AB7" i="8" a="1"/>
  <c r="AB7" i="8" s="1"/>
  <c r="K7" i="8" s="1"/>
  <c r="AA7" i="8"/>
  <c r="B7" i="8"/>
  <c r="AI6" i="8"/>
  <c r="AB6" i="8" a="1"/>
  <c r="AB6" i="8" s="1"/>
  <c r="K6" i="8" s="1"/>
  <c r="AA6" i="8"/>
  <c r="B6" i="8"/>
  <c r="C49" i="16" a="1"/>
  <c r="C49" i="16" s="1"/>
  <c r="C48" i="16" a="1"/>
  <c r="C48" i="16" s="1"/>
  <c r="C47" i="16" a="1"/>
  <c r="C47" i="16" s="1"/>
  <c r="C46" i="16" a="1"/>
  <c r="C46" i="16" s="1"/>
  <c r="C45" i="16" a="1"/>
  <c r="C45" i="16" s="1"/>
  <c r="C44" i="16" a="1"/>
  <c r="C44" i="16" s="1"/>
  <c r="C43" i="16" a="1"/>
  <c r="C43" i="16" s="1"/>
  <c r="C42" i="16" a="1"/>
  <c r="C42" i="16" s="1"/>
  <c r="C41" i="16" a="1"/>
  <c r="C41" i="16" s="1"/>
  <c r="C40" i="16" a="1"/>
  <c r="C40" i="16" s="1"/>
  <c r="C39" i="16" a="1"/>
  <c r="C39" i="16" s="1"/>
  <c r="C38" i="16" a="1"/>
  <c r="C38" i="16" s="1"/>
  <c r="C37" i="16" a="1"/>
  <c r="C37" i="16" s="1"/>
  <c r="C36" i="16" a="1"/>
  <c r="C36" i="16" s="1"/>
  <c r="C35" i="16" a="1"/>
  <c r="C35" i="16" s="1"/>
  <c r="C34" i="16" a="1"/>
  <c r="C34" i="16" s="1"/>
  <c r="C33" i="16" a="1"/>
  <c r="C33" i="16" s="1"/>
  <c r="C32" i="16" a="1"/>
  <c r="C32" i="16" s="1"/>
  <c r="C31" i="16" a="1"/>
  <c r="C31" i="16" s="1"/>
  <c r="C30" i="16" a="1"/>
  <c r="C30" i="16" s="1"/>
  <c r="C29" i="16" a="1"/>
  <c r="C29" i="16" s="1"/>
  <c r="C28" i="16" a="1"/>
  <c r="C28" i="16" s="1"/>
  <c r="C27" i="16" a="1"/>
  <c r="C27" i="16" s="1"/>
  <c r="C26" i="16" a="1"/>
  <c r="C26" i="16" s="1"/>
  <c r="C25" i="16" a="1"/>
  <c r="C25" i="16" s="1"/>
  <c r="C24" i="16" a="1"/>
  <c r="C24" i="16" s="1"/>
  <c r="C23" i="16" a="1"/>
  <c r="C23" i="16" s="1"/>
  <c r="C22" i="16" a="1"/>
  <c r="C22" i="16" s="1"/>
  <c r="C21" i="16" a="1"/>
  <c r="C21" i="16" s="1"/>
  <c r="C20" i="16" a="1"/>
  <c r="C20" i="16" s="1"/>
  <c r="C19" i="16" a="1"/>
  <c r="C19" i="16" s="1"/>
  <c r="C18" i="16" a="1"/>
  <c r="C18" i="16" s="1"/>
  <c r="C17" i="16" a="1"/>
  <c r="C17" i="16" s="1"/>
  <c r="C16" i="16" a="1"/>
  <c r="C16" i="16" s="1"/>
  <c r="C15" i="16" a="1"/>
  <c r="C15" i="16" s="1"/>
  <c r="C14" i="16" a="1"/>
  <c r="C14" i="16" s="1"/>
  <c r="C13" i="16" a="1"/>
  <c r="C13" i="16" s="1"/>
  <c r="C12" i="16" a="1"/>
  <c r="C12" i="16" s="1"/>
  <c r="C11" i="16" a="1"/>
  <c r="C11" i="16" s="1"/>
  <c r="C10" i="16" a="1"/>
  <c r="C10" i="16" s="1"/>
  <c r="C9" i="16" a="1"/>
  <c r="C9" i="16" s="1"/>
  <c r="C8" i="16" a="1"/>
  <c r="C8" i="16" s="1"/>
  <c r="C7" i="16" a="1"/>
  <c r="C7" i="16" s="1"/>
  <c r="C6" i="16" a="1"/>
  <c r="C6" i="16" s="1"/>
  <c r="AW2" i="19"/>
  <c r="AW4" i="19"/>
  <c r="AW3" i="19"/>
  <c r="K543" i="8" l="1"/>
  <c r="BC543" i="8"/>
  <c r="E533" i="8"/>
  <c r="H534" i="8"/>
  <c r="D538" i="8"/>
  <c r="H533" i="8"/>
  <c r="D537" i="8"/>
  <c r="AJ544" i="8" a="1"/>
  <c r="AJ544" i="8" s="1"/>
  <c r="AJ543" i="8" a="1"/>
  <c r="AJ543" i="8" s="1"/>
  <c r="AK543" i="8" s="1"/>
  <c r="AM538" i="8"/>
  <c r="AH533" i="8"/>
  <c r="BB533" i="8" s="1"/>
  <c r="AF537" i="8"/>
  <c r="AF536" i="8"/>
  <c r="G538" i="8"/>
  <c r="BC540" i="8"/>
  <c r="BC537" i="8"/>
  <c r="G533" i="8"/>
  <c r="F535" i="8"/>
  <c r="F533" i="8"/>
  <c r="C536" i="8"/>
  <c r="C534" i="8"/>
  <c r="C535" i="8"/>
  <c r="C533" i="8"/>
  <c r="C541" i="8"/>
  <c r="C539" i="8"/>
  <c r="C537" i="8"/>
  <c r="AP542" i="8" a="1"/>
  <c r="AP542" i="8" s="1"/>
  <c r="AQ542" i="8" s="1"/>
  <c r="G543" i="8"/>
  <c r="I544" i="8"/>
  <c r="AV539" i="8"/>
  <c r="I543" i="8"/>
  <c r="E536" i="8"/>
  <c r="I542" i="8"/>
  <c r="E535" i="8"/>
  <c r="AH536" i="8"/>
  <c r="BB536" i="8" s="1"/>
  <c r="AH535" i="8"/>
  <c r="BB535" i="8" s="1"/>
  <c r="D544" i="8"/>
  <c r="AH534" i="8"/>
  <c r="BB534" i="8" s="1"/>
  <c r="I538" i="8"/>
  <c r="G536" i="8"/>
  <c r="D543" i="8"/>
  <c r="D542" i="8"/>
  <c r="AF542" i="8"/>
  <c r="I536" i="8"/>
  <c r="D540" i="8"/>
  <c r="AJ535" i="8" a="1"/>
  <c r="AJ535" i="8" s="1"/>
  <c r="AK535" i="8" s="1"/>
  <c r="F544" i="8"/>
  <c r="AF535" i="8"/>
  <c r="F542" i="8"/>
  <c r="AJ534" i="8" a="1"/>
  <c r="AJ534" i="8" s="1"/>
  <c r="AK534" i="8" s="1"/>
  <c r="H538" i="8"/>
  <c r="F540" i="8"/>
  <c r="D536" i="8"/>
  <c r="AN534" i="8"/>
  <c r="AR534" i="8" s="1"/>
  <c r="AE543" i="8"/>
  <c r="C542" i="8"/>
  <c r="AJ533" i="8" a="1"/>
  <c r="AJ533" i="8" s="1"/>
  <c r="AK533" i="8" s="1"/>
  <c r="AE541" i="8"/>
  <c r="C540" i="8"/>
  <c r="C538" i="8"/>
  <c r="H535" i="8"/>
  <c r="C179" i="8"/>
  <c r="C240" i="8"/>
  <c r="C265" i="8"/>
  <c r="C500" i="8"/>
  <c r="C153" i="8"/>
  <c r="C239" i="8"/>
  <c r="C450" i="8"/>
  <c r="C495" i="8"/>
  <c r="C121" i="8"/>
  <c r="C496" i="8"/>
  <c r="C202" i="8"/>
  <c r="C257" i="8"/>
  <c r="C322" i="8"/>
  <c r="C437" i="8"/>
  <c r="C512" i="8"/>
  <c r="C218" i="8"/>
  <c r="C293" i="8"/>
  <c r="C136" i="8"/>
  <c r="C306" i="8"/>
  <c r="C356" i="8"/>
  <c r="C456" i="8"/>
  <c r="BC535" i="8"/>
  <c r="K535" i="8"/>
  <c r="BC534" i="8"/>
  <c r="K534" i="8"/>
  <c r="BC544" i="8"/>
  <c r="K544" i="8"/>
  <c r="AK544" i="8"/>
  <c r="BC541" i="8"/>
  <c r="K541" i="8"/>
  <c r="BC536" i="8"/>
  <c r="K536" i="8"/>
  <c r="BC539" i="8"/>
  <c r="K539" i="8"/>
  <c r="BC542" i="8"/>
  <c r="K542" i="8"/>
  <c r="BC538" i="8"/>
  <c r="K538" i="8"/>
  <c r="AV544" i="8"/>
  <c r="AO540" i="8"/>
  <c r="AM544" i="8"/>
  <c r="AF540" i="8"/>
  <c r="F543" i="8"/>
  <c r="AX536" i="8" a="1"/>
  <c r="AX536" i="8" s="1"/>
  <c r="AY536" i="8" s="1"/>
  <c r="AV543" i="8"/>
  <c r="AP540" i="8" a="1"/>
  <c r="AP540" i="8" s="1"/>
  <c r="AQ540" i="8" s="1"/>
  <c r="AO539" i="8"/>
  <c r="AM543" i="8"/>
  <c r="AJ542" i="8" a="1"/>
  <c r="AJ542" i="8" s="1"/>
  <c r="AF539" i="8"/>
  <c r="AV542" i="8"/>
  <c r="AO538" i="8"/>
  <c r="AM542" i="8"/>
  <c r="AF538" i="8"/>
  <c r="E534" i="8"/>
  <c r="AX535" i="8" a="1"/>
  <c r="AX535" i="8" s="1"/>
  <c r="AY535" i="8" s="1"/>
  <c r="AV541" i="8"/>
  <c r="AP539" i="8" a="1"/>
  <c r="AP539" i="8" s="1"/>
  <c r="AQ539" i="8" s="1"/>
  <c r="AO537" i="8"/>
  <c r="AM541" i="8"/>
  <c r="AJ541" i="8" a="1"/>
  <c r="AJ541" i="8" s="1"/>
  <c r="F541" i="8"/>
  <c r="AV540" i="8"/>
  <c r="AO536" i="8"/>
  <c r="AM540" i="8"/>
  <c r="AV538" i="8"/>
  <c r="AO534" i="8"/>
  <c r="AJ540" i="8" a="1"/>
  <c r="AJ540" i="8" s="1"/>
  <c r="AX543" i="8" a="1"/>
  <c r="AX543" i="8" s="1"/>
  <c r="AY543" i="8" s="1"/>
  <c r="AX533" i="8" a="1"/>
  <c r="AX533" i="8" s="1"/>
  <c r="AY533" i="8" s="1"/>
  <c r="AV537" i="8"/>
  <c r="AP537" i="8" a="1"/>
  <c r="AP537" i="8" s="1"/>
  <c r="AQ537" i="8" s="1"/>
  <c r="AO533" i="8"/>
  <c r="AM537" i="8"/>
  <c r="AJ539" i="8" a="1"/>
  <c r="AJ539" i="8" s="1"/>
  <c r="AF533" i="8"/>
  <c r="I541" i="8"/>
  <c r="D541" i="8"/>
  <c r="AV536" i="8"/>
  <c r="AN544" i="8"/>
  <c r="AM536" i="8"/>
  <c r="AE544" i="8"/>
  <c r="AM539" i="8"/>
  <c r="AV534" i="8"/>
  <c r="AN542" i="8"/>
  <c r="AM534" i="8"/>
  <c r="F534" i="8"/>
  <c r="K533" i="8"/>
  <c r="AX542" i="8" a="1"/>
  <c r="AX542" i="8" s="1"/>
  <c r="AY542" i="8" s="1"/>
  <c r="AP536" i="8" a="1"/>
  <c r="AP536" i="8" s="1"/>
  <c r="AQ536" i="8" s="1"/>
  <c r="AN543" i="8"/>
  <c r="AM535" i="8"/>
  <c r="AX541" i="8" a="1"/>
  <c r="AX541" i="8" s="1"/>
  <c r="AY541" i="8" s="1"/>
  <c r="AV533" i="8"/>
  <c r="AM533" i="8"/>
  <c r="AN540" i="8"/>
  <c r="AH544" i="8"/>
  <c r="BB544" i="8" s="1"/>
  <c r="E544" i="8"/>
  <c r="AX540" i="8" a="1"/>
  <c r="AX540" i="8" s="1"/>
  <c r="AY540" i="8" s="1"/>
  <c r="AP544" i="8" a="1"/>
  <c r="AP544" i="8" s="1"/>
  <c r="AQ544" i="8" s="1"/>
  <c r="AP534" i="8" a="1"/>
  <c r="AP534" i="8" s="1"/>
  <c r="AQ534" i="8" s="1"/>
  <c r="AN539" i="8"/>
  <c r="AJ536" i="8" a="1"/>
  <c r="AJ536" i="8" s="1"/>
  <c r="AH543" i="8"/>
  <c r="BB543" i="8" s="1"/>
  <c r="I535" i="8"/>
  <c r="E543" i="8"/>
  <c r="D535" i="8"/>
  <c r="AN538" i="8"/>
  <c r="AH542" i="8"/>
  <c r="BB542" i="8" s="1"/>
  <c r="I534" i="8"/>
  <c r="E542" i="8"/>
  <c r="D534" i="8"/>
  <c r="AV535" i="8"/>
  <c r="AJ538" i="8" a="1"/>
  <c r="AJ538" i="8" s="1"/>
  <c r="AP535" i="8" a="1"/>
  <c r="AP535" i="8" s="1"/>
  <c r="AQ535" i="8" s="1"/>
  <c r="AN541" i="8"/>
  <c r="AJ537" i="8" a="1"/>
  <c r="AJ537" i="8" s="1"/>
  <c r="AX539" i="8" a="1"/>
  <c r="AX539" i="8" s="1"/>
  <c r="AY539" i="8" s="1"/>
  <c r="AP543" i="8" a="1"/>
  <c r="AP543" i="8" s="1"/>
  <c r="AQ543" i="8" s="1"/>
  <c r="AP533" i="8" a="1"/>
  <c r="AP533" i="8" s="1"/>
  <c r="AQ533" i="8" s="1"/>
  <c r="AN537" i="8"/>
  <c r="AH541" i="8"/>
  <c r="BB541" i="8" s="1"/>
  <c r="I533" i="8"/>
  <c r="E541" i="8"/>
  <c r="AO535" i="8"/>
  <c r="AO544" i="8"/>
  <c r="AN536" i="8"/>
  <c r="AH540" i="8"/>
  <c r="BB540" i="8" s="1"/>
  <c r="H544" i="8"/>
  <c r="C544" i="8"/>
  <c r="AX534" i="8" a="1"/>
  <c r="AX534" i="8" s="1"/>
  <c r="AY534" i="8" s="1"/>
  <c r="AX538" i="8" a="1"/>
  <c r="AX538" i="8" s="1"/>
  <c r="AY538" i="8" s="1"/>
  <c r="AO543" i="8"/>
  <c r="AN535" i="8"/>
  <c r="H543" i="8"/>
  <c r="C543" i="8"/>
  <c r="AP538" i="8" a="1"/>
  <c r="AP538" i="8" s="1"/>
  <c r="AQ538" i="8" s="1"/>
  <c r="AX544" i="8" a="1"/>
  <c r="AX544" i="8" s="1"/>
  <c r="AY544" i="8" s="1"/>
  <c r="AO542" i="8"/>
  <c r="AX537" i="8" a="1"/>
  <c r="AX537" i="8" s="1"/>
  <c r="AY537" i="8" s="1"/>
  <c r="AP541" i="8" a="1"/>
  <c r="AP541" i="8" s="1"/>
  <c r="AQ541" i="8" s="1"/>
  <c r="AO541" i="8"/>
  <c r="AN533" i="8"/>
  <c r="H541" i="8"/>
  <c r="K295" i="8"/>
  <c r="AX2" i="19"/>
  <c r="AX3" i="19"/>
  <c r="AX4" i="19"/>
  <c r="AJ11" i="8" a="1"/>
  <c r="AJ11" i="8" s="1"/>
  <c r="AK11" i="8" s="1"/>
  <c r="AJ10" i="8" a="1"/>
  <c r="AJ10" i="8" s="1"/>
  <c r="AK10" i="8" s="1"/>
  <c r="AJ72" i="8" a="1"/>
  <c r="AJ72" i="8" s="1"/>
  <c r="AK72" i="8" s="1"/>
  <c r="AJ216" i="8" a="1"/>
  <c r="AJ216" i="8" s="1"/>
  <c r="AK216" i="8" s="1"/>
  <c r="AJ29" i="8" a="1"/>
  <c r="AJ29" i="8" s="1"/>
  <c r="AK29" i="8" s="1"/>
  <c r="AJ9" i="8" a="1"/>
  <c r="AJ9" i="8" s="1"/>
  <c r="AK9" i="8" s="1"/>
  <c r="J9" i="8"/>
  <c r="J37" i="8"/>
  <c r="J270" i="8"/>
  <c r="J458" i="8"/>
  <c r="J309" i="8"/>
  <c r="J389" i="8"/>
  <c r="J101" i="8"/>
  <c r="J24" i="8"/>
  <c r="J350" i="8"/>
  <c r="J128" i="8"/>
  <c r="J40" i="8"/>
  <c r="J75" i="8"/>
  <c r="J293" i="8"/>
  <c r="J497" i="8"/>
  <c r="J85" i="8"/>
  <c r="J26" i="8"/>
  <c r="J313" i="8"/>
  <c r="J434" i="8"/>
  <c r="J223" i="8"/>
  <c r="J22" i="8"/>
  <c r="J333" i="8"/>
  <c r="J407" i="8"/>
  <c r="J451" i="8"/>
  <c r="J438" i="8"/>
  <c r="J157" i="8"/>
  <c r="J416" i="8"/>
  <c r="J48" i="8"/>
  <c r="J171" i="8"/>
  <c r="J97" i="8"/>
  <c r="J116" i="8"/>
  <c r="J425" i="8"/>
  <c r="J88" i="8"/>
  <c r="J225" i="8"/>
  <c r="J35" i="8"/>
  <c r="J211" i="8"/>
  <c r="J289" i="8"/>
  <c r="J232" i="8"/>
  <c r="J105" i="8"/>
  <c r="J237" i="8"/>
  <c r="J330" i="8"/>
  <c r="J115" i="8"/>
  <c r="J13" i="8"/>
  <c r="J515" i="8"/>
  <c r="J338" i="8"/>
  <c r="J107" i="8"/>
  <c r="J470" i="8"/>
  <c r="J279" i="8"/>
  <c r="J84" i="8"/>
  <c r="J31" i="8"/>
  <c r="J127" i="8"/>
  <c r="J253" i="8"/>
  <c r="J94" i="8"/>
  <c r="J422" i="8"/>
  <c r="J142" i="8"/>
  <c r="J181" i="8"/>
  <c r="J220" i="8"/>
  <c r="J263" i="8"/>
  <c r="J349" i="8"/>
  <c r="J369" i="8"/>
  <c r="J191" i="8"/>
  <c r="J216" i="8"/>
  <c r="J329" i="8"/>
  <c r="J18" i="8"/>
  <c r="J520" i="8"/>
  <c r="J268" i="8"/>
  <c r="J80" i="8"/>
  <c r="J108" i="8"/>
  <c r="J228" i="8"/>
  <c r="J339" i="8"/>
  <c r="J528" i="8"/>
  <c r="J455" i="8"/>
  <c r="J280" i="8"/>
  <c r="J429" i="8"/>
  <c r="J230" i="8"/>
  <c r="J62" i="8"/>
  <c r="J243" i="8"/>
  <c r="J151" i="8"/>
  <c r="J111" i="8"/>
  <c r="J68" i="8"/>
  <c r="J152" i="8"/>
  <c r="J34" i="8"/>
  <c r="J354" i="8"/>
  <c r="J179" i="8"/>
  <c r="J21" i="8"/>
  <c r="J368" i="8"/>
  <c r="J46" i="8"/>
  <c r="J413" i="8"/>
  <c r="J190" i="8"/>
  <c r="J141" i="8"/>
  <c r="J507" i="8"/>
  <c r="J323" i="8"/>
  <c r="J440" i="8"/>
  <c r="J163" i="8"/>
  <c r="J114" i="8"/>
  <c r="J403" i="8"/>
  <c r="J345" i="8"/>
  <c r="J327" i="8"/>
  <c r="J481" i="8"/>
  <c r="J8" i="8"/>
  <c r="J55" i="8"/>
  <c r="J201" i="8"/>
  <c r="J121" i="8"/>
  <c r="J370" i="8"/>
  <c r="J375" i="8"/>
  <c r="J148" i="8"/>
  <c r="J342" i="8"/>
  <c r="J161" i="8"/>
  <c r="J177" i="8"/>
  <c r="J69" i="8"/>
  <c r="J328" i="8"/>
  <c r="J414" i="8"/>
  <c r="J267" i="8"/>
  <c r="J415" i="8"/>
  <c r="J238" i="8"/>
  <c r="J291" i="8"/>
  <c r="J427" i="8"/>
  <c r="J182" i="8"/>
  <c r="J143" i="8"/>
  <c r="J436" i="8"/>
  <c r="J86" i="8"/>
  <c r="J168" i="8"/>
  <c r="J385" i="8"/>
  <c r="J36" i="8"/>
  <c r="J23" i="8"/>
  <c r="J448" i="8"/>
  <c r="J258" i="8"/>
  <c r="J118" i="8"/>
  <c r="J209" i="8"/>
  <c r="J510" i="8"/>
  <c r="J272" i="8"/>
  <c r="J522" i="8"/>
  <c r="J265" i="8"/>
  <c r="J474" i="8"/>
  <c r="J308" i="8"/>
  <c r="J305" i="8"/>
  <c r="J19" i="8"/>
  <c r="J530" i="8"/>
  <c r="J489" i="8"/>
  <c r="J380" i="8"/>
  <c r="J500" i="8"/>
  <c r="J480" i="8"/>
  <c r="J65" i="8"/>
  <c r="J420" i="8"/>
  <c r="J25" i="8"/>
  <c r="J314" i="8"/>
  <c r="J501" i="8"/>
  <c r="J468" i="8"/>
  <c r="J77" i="8"/>
  <c r="J200" i="8"/>
  <c r="J296" i="8"/>
  <c r="J260" i="8"/>
  <c r="J104" i="8"/>
  <c r="J482" i="8"/>
  <c r="J336" i="8"/>
  <c r="J513" i="8"/>
  <c r="J418" i="8"/>
  <c r="J277" i="8"/>
  <c r="J241" i="8"/>
  <c r="J195" i="8"/>
  <c r="J120" i="8"/>
  <c r="J362" i="8"/>
  <c r="J159" i="8"/>
  <c r="J249" i="8"/>
  <c r="J185" i="8"/>
  <c r="J132" i="8"/>
  <c r="J527" i="8"/>
  <c r="J319" i="8"/>
  <c r="J60" i="8"/>
  <c r="J134" i="8"/>
  <c r="J42" i="8"/>
  <c r="J454" i="8"/>
  <c r="J91" i="8"/>
  <c r="J160" i="8"/>
  <c r="J250" i="8"/>
  <c r="J399" i="8"/>
  <c r="J485" i="8"/>
  <c r="J439" i="8"/>
  <c r="J150" i="8"/>
  <c r="J28" i="8"/>
  <c r="J315" i="8"/>
  <c r="J525" i="8"/>
  <c r="J269" i="8"/>
  <c r="J426" i="8"/>
  <c r="J56" i="8"/>
  <c r="J70" i="8"/>
  <c r="J103" i="8"/>
  <c r="J140" i="8"/>
  <c r="J259" i="8"/>
  <c r="J47" i="8"/>
  <c r="J198" i="8"/>
  <c r="J217" i="8"/>
  <c r="J358" i="8"/>
  <c r="J87" i="8"/>
  <c r="J478" i="8"/>
  <c r="J183" i="8"/>
  <c r="J38" i="8"/>
  <c r="J467" i="8"/>
  <c r="J353" i="8"/>
  <c r="J240" i="8"/>
  <c r="J145" i="8"/>
  <c r="J431" i="8"/>
  <c r="J17" i="8"/>
  <c r="J82" i="8"/>
  <c r="J410" i="8"/>
  <c r="J178" i="8"/>
  <c r="J45" i="8"/>
  <c r="J137" i="8"/>
  <c r="J124" i="8"/>
  <c r="J411" i="8"/>
  <c r="J125" i="8"/>
  <c r="J67" i="8"/>
  <c r="J52" i="8"/>
  <c r="J66" i="8"/>
  <c r="J122" i="8"/>
  <c r="J131" i="8"/>
  <c r="J493" i="8"/>
  <c r="J197" i="8"/>
  <c r="J95" i="8"/>
  <c r="J49" i="8"/>
  <c r="J98" i="8"/>
  <c r="AE532" i="8"/>
  <c r="AE512" i="8"/>
  <c r="AF492" i="8"/>
  <c r="AF472" i="8"/>
  <c r="AF432" i="8"/>
  <c r="AF412" i="8"/>
  <c r="AF352" i="8"/>
  <c r="AE332" i="8"/>
  <c r="AE312" i="8"/>
  <c r="AF275" i="8"/>
  <c r="AF255" i="8"/>
  <c r="AF235" i="8"/>
  <c r="AE215" i="8"/>
  <c r="AF195" i="8"/>
  <c r="AF155" i="8"/>
  <c r="AF509" i="8"/>
  <c r="AE489" i="8"/>
  <c r="AF469" i="8"/>
  <c r="AF449" i="8"/>
  <c r="AF429" i="8"/>
  <c r="AE409" i="8"/>
  <c r="AF369" i="8"/>
  <c r="AF349" i="8"/>
  <c r="AF309" i="8"/>
  <c r="AF292" i="8"/>
  <c r="AF272" i="8"/>
  <c r="AE252" i="8"/>
  <c r="AE232" i="8"/>
  <c r="AF212" i="8"/>
  <c r="AF192" i="8"/>
  <c r="AF172" i="8"/>
  <c r="AF520" i="8"/>
  <c r="AF500" i="8"/>
  <c r="AE480" i="8"/>
  <c r="AF460" i="8"/>
  <c r="AF440" i="8"/>
  <c r="AF400" i="8"/>
  <c r="AE380" i="8"/>
  <c r="AF360" i="8"/>
  <c r="AF340" i="8"/>
  <c r="AE300" i="8"/>
  <c r="AF283" i="8"/>
  <c r="AF263" i="8"/>
  <c r="AF243" i="8"/>
  <c r="AF223" i="8"/>
  <c r="AE203" i="8"/>
  <c r="AF183" i="8"/>
  <c r="AF163" i="8"/>
  <c r="AF491" i="8"/>
  <c r="AF471" i="8"/>
  <c r="AF451" i="8"/>
  <c r="AE431" i="8"/>
  <c r="AF411" i="8"/>
  <c r="AF391" i="8"/>
  <c r="AF371" i="8"/>
  <c r="AF351" i="8"/>
  <c r="AF311" i="8"/>
  <c r="AE294" i="8"/>
  <c r="AE274" i="8"/>
  <c r="AF254" i="8"/>
  <c r="AF234" i="8"/>
  <c r="AF214" i="8"/>
  <c r="AF174" i="8"/>
  <c r="AF154" i="8"/>
  <c r="AE519" i="8"/>
  <c r="AF479" i="8"/>
  <c r="AF459" i="8"/>
  <c r="AF439" i="8"/>
  <c r="AE419" i="8"/>
  <c r="AF399" i="8"/>
  <c r="AE379" i="8"/>
  <c r="AF359" i="8"/>
  <c r="AE339" i="8"/>
  <c r="AF319" i="8"/>
  <c r="AE262" i="8"/>
  <c r="AF242" i="8"/>
  <c r="AF222" i="8"/>
  <c r="AF202" i="8"/>
  <c r="AE162" i="8"/>
  <c r="AF524" i="8"/>
  <c r="AF498" i="8"/>
  <c r="AF393" i="8"/>
  <c r="AE345" i="8"/>
  <c r="AF313" i="8"/>
  <c r="AE281" i="8"/>
  <c r="AF259" i="8"/>
  <c r="AE233" i="8"/>
  <c r="AF160" i="8"/>
  <c r="AF157" i="8"/>
  <c r="AE127" i="8"/>
  <c r="AF107" i="8"/>
  <c r="AF87" i="8"/>
  <c r="AF67" i="8"/>
  <c r="AF47" i="8"/>
  <c r="AF27" i="8"/>
  <c r="AF7" i="8"/>
  <c r="AF450" i="8"/>
  <c r="AF447" i="8"/>
  <c r="AF517" i="8"/>
  <c r="AF514" i="8"/>
  <c r="AF501" i="8"/>
  <c r="AE488" i="8"/>
  <c r="AF466" i="8"/>
  <c r="AF463" i="8"/>
  <c r="AF444" i="8"/>
  <c r="AE418" i="8"/>
  <c r="AE364" i="8"/>
  <c r="AF284" i="8"/>
  <c r="AE271" i="8"/>
  <c r="AF265" i="8"/>
  <c r="AF249" i="8"/>
  <c r="AE246" i="8"/>
  <c r="AF198" i="8"/>
  <c r="AF153" i="8"/>
  <c r="AE150" i="8"/>
  <c r="AF141" i="8"/>
  <c r="AF121" i="8"/>
  <c r="AF101" i="8"/>
  <c r="AF41" i="8"/>
  <c r="AE485" i="8"/>
  <c r="AF415" i="8"/>
  <c r="AE402" i="8"/>
  <c r="AF386" i="8"/>
  <c r="AE303" i="8"/>
  <c r="AE268" i="8"/>
  <c r="AF220" i="8"/>
  <c r="AF217" i="8"/>
  <c r="AF204" i="8"/>
  <c r="AF185" i="8"/>
  <c r="AE169" i="8"/>
  <c r="AE166" i="8"/>
  <c r="AE118" i="8"/>
  <c r="AE98" i="8"/>
  <c r="AF78" i="8"/>
  <c r="AF58" i="8"/>
  <c r="AE516" i="8"/>
  <c r="AF490" i="8"/>
  <c r="AF487" i="8"/>
  <c r="AF465" i="8"/>
  <c r="AF417" i="8"/>
  <c r="AE414" i="8"/>
  <c r="AF337" i="8"/>
  <c r="AF334" i="8"/>
  <c r="AE321" i="8"/>
  <c r="AE308" i="8"/>
  <c r="AF273" i="8"/>
  <c r="AE270" i="8"/>
  <c r="AE248" i="8"/>
  <c r="AF216" i="8"/>
  <c r="AF184" i="8"/>
  <c r="AF171" i="8"/>
  <c r="AF165" i="8"/>
  <c r="AF146" i="8"/>
  <c r="AF140" i="8"/>
  <c r="AF120" i="8"/>
  <c r="AF100" i="8"/>
  <c r="AE80" i="8"/>
  <c r="AF60" i="8"/>
  <c r="AF40" i="8"/>
  <c r="AF20" i="8"/>
  <c r="AF508" i="8"/>
  <c r="AF505" i="8"/>
  <c r="AE484" i="8"/>
  <c r="AF456" i="8"/>
  <c r="AE442" i="8"/>
  <c r="AF381" i="8"/>
  <c r="AF367" i="8"/>
  <c r="AF350" i="8"/>
  <c r="AE522" i="8"/>
  <c r="AF515" i="8"/>
  <c r="AE422" i="8"/>
  <c r="AF408" i="8"/>
  <c r="AE405" i="8"/>
  <c r="AF323" i="8"/>
  <c r="AF302" i="8"/>
  <c r="AF295" i="8"/>
  <c r="AE199" i="8"/>
  <c r="AF186" i="8"/>
  <c r="AE116" i="8"/>
  <c r="AE110" i="8"/>
  <c r="AF88" i="8"/>
  <c r="AE85" i="8"/>
  <c r="AE518" i="8"/>
  <c r="AE473" i="8"/>
  <c r="AE438" i="8"/>
  <c r="AF521" i="8"/>
  <c r="AF510" i="8"/>
  <c r="AF476" i="8"/>
  <c r="AF458" i="8"/>
  <c r="AF394" i="8"/>
  <c r="AF288" i="8"/>
  <c r="AF257" i="8"/>
  <c r="AE253" i="8"/>
  <c r="AF134" i="8"/>
  <c r="AF131" i="8"/>
  <c r="AF109" i="8"/>
  <c r="AF56" i="8"/>
  <c r="AF44" i="8"/>
  <c r="AE486" i="8"/>
  <c r="AF404" i="8"/>
  <c r="AF390" i="8"/>
  <c r="AF376" i="8"/>
  <c r="AF362" i="8"/>
  <c r="AF301" i="8"/>
  <c r="AE260" i="8"/>
  <c r="AF493" i="8"/>
  <c r="AF410" i="8"/>
  <c r="AF407" i="8"/>
  <c r="AF342" i="8"/>
  <c r="AF318" i="8"/>
  <c r="AE315" i="8"/>
  <c r="AF267" i="8"/>
  <c r="AF236" i="8"/>
  <c r="AE205" i="8"/>
  <c r="AF181" i="8"/>
  <c r="AE115" i="8"/>
  <c r="AF112" i="8"/>
  <c r="AE84" i="8"/>
  <c r="AE483" i="8"/>
  <c r="AF378" i="8"/>
  <c r="AE363" i="8"/>
  <c r="AF219" i="8"/>
  <c r="AF211" i="8"/>
  <c r="AF200" i="8"/>
  <c r="AE193" i="8"/>
  <c r="AF526" i="8"/>
  <c r="AF506" i="8"/>
  <c r="AF467" i="8"/>
  <c r="AF423" i="8"/>
  <c r="AF385" i="8"/>
  <c r="AF374" i="8"/>
  <c r="AF341" i="8"/>
  <c r="AF330" i="8"/>
  <c r="AE327" i="8"/>
  <c r="AF168" i="8"/>
  <c r="AF161" i="8"/>
  <c r="AF143" i="8"/>
  <c r="AF94" i="8"/>
  <c r="AE55" i="8"/>
  <c r="AF42" i="8"/>
  <c r="AF502" i="8"/>
  <c r="AF179" i="8"/>
  <c r="AF68" i="8"/>
  <c r="AF8" i="8"/>
  <c r="AF366" i="8"/>
  <c r="AF355" i="8"/>
  <c r="AE239" i="8"/>
  <c r="AF225" i="8"/>
  <c r="AF136" i="8"/>
  <c r="AF133" i="8"/>
  <c r="AF77" i="8"/>
  <c r="AF74" i="8"/>
  <c r="AF426" i="8"/>
  <c r="AE348" i="8"/>
  <c r="AE297" i="8"/>
  <c r="AF71" i="8"/>
  <c r="AE65" i="8"/>
  <c r="AF396" i="8"/>
  <c r="AE513" i="8"/>
  <c r="AF497" i="8"/>
  <c r="AF443" i="8"/>
  <c r="AF373" i="8"/>
  <c r="AF286" i="8"/>
  <c r="AE264" i="8"/>
  <c r="AF126" i="8"/>
  <c r="AF51" i="8"/>
  <c r="AF35" i="8"/>
  <c r="AF32" i="8"/>
  <c r="AE525" i="8"/>
  <c r="AF347" i="8"/>
  <c r="AF296" i="8"/>
  <c r="AF228" i="8"/>
  <c r="AE221" i="8"/>
  <c r="AE142" i="8"/>
  <c r="AF129" i="8"/>
  <c r="AF96" i="8"/>
  <c r="AF90" i="8"/>
  <c r="AF145" i="8"/>
  <c r="AF122" i="8"/>
  <c r="AF73" i="8"/>
  <c r="AF13" i="8"/>
  <c r="AE446" i="8"/>
  <c r="AF368" i="8"/>
  <c r="AE357" i="8"/>
  <c r="AF343" i="8"/>
  <c r="AF285" i="8"/>
  <c r="AF278" i="8"/>
  <c r="AE244" i="8"/>
  <c r="AF25" i="8"/>
  <c r="AE435" i="8"/>
  <c r="AF251" i="8"/>
  <c r="AE461" i="8"/>
  <c r="AF314" i="8"/>
  <c r="AE159" i="8"/>
  <c r="AE108" i="8"/>
  <c r="AF457" i="8"/>
  <c r="AF328" i="8"/>
  <c r="AF310" i="8"/>
  <c r="AF82" i="8"/>
  <c r="AF53" i="8"/>
  <c r="AF375" i="8"/>
  <c r="AF384" i="8"/>
  <c r="AF365" i="8"/>
  <c r="AF167" i="8"/>
  <c r="AF119" i="8"/>
  <c r="AF99" i="8"/>
  <c r="AF93" i="8"/>
  <c r="AF57" i="8"/>
  <c r="AE54" i="8"/>
  <c r="AF10" i="8"/>
  <c r="AE528" i="8"/>
  <c r="AE454" i="8"/>
  <c r="AF307" i="8"/>
  <c r="AF170" i="8"/>
  <c r="AF135" i="8"/>
  <c r="AF102" i="8"/>
  <c r="AE76" i="8"/>
  <c r="AF28" i="8"/>
  <c r="AF209" i="8"/>
  <c r="AE105" i="8"/>
  <c r="AF89" i="8"/>
  <c r="AF50" i="8"/>
  <c r="AE37" i="8"/>
  <c r="AF31" i="8"/>
  <c r="AF496" i="8"/>
  <c r="AF406" i="8"/>
  <c r="AF346" i="8"/>
  <c r="AF201" i="8"/>
  <c r="AF177" i="8"/>
  <c r="AE125" i="8"/>
  <c r="AF34" i="8"/>
  <c r="AE413" i="8"/>
  <c r="AE173" i="8"/>
  <c r="AE148" i="8"/>
  <c r="AE95" i="8"/>
  <c r="AE507" i="8"/>
  <c r="AE468" i="8"/>
  <c r="AF441" i="8"/>
  <c r="AF427" i="8"/>
  <c r="AF353" i="8"/>
  <c r="AE395" i="8"/>
  <c r="AF387" i="8"/>
  <c r="AF361" i="8"/>
  <c r="AF354" i="8"/>
  <c r="AF336" i="8"/>
  <c r="AF289" i="8"/>
  <c r="AE256" i="8"/>
  <c r="AF238" i="8"/>
  <c r="AE224" i="8"/>
  <c r="AF213" i="8"/>
  <c r="AF206" i="8"/>
  <c r="AE132" i="8"/>
  <c r="AF70" i="8"/>
  <c r="AF428" i="8"/>
  <c r="AE464" i="8"/>
  <c r="AF434" i="8"/>
  <c r="AE370" i="8"/>
  <c r="AE180" i="8"/>
  <c r="AF139" i="8"/>
  <c r="AF48" i="8"/>
  <c r="AF12" i="8"/>
  <c r="AF111" i="8"/>
  <c r="AE29" i="8"/>
  <c r="AF475" i="8"/>
  <c r="AE445" i="8"/>
  <c r="AF287" i="8"/>
  <c r="AF258" i="8"/>
  <c r="AF229" i="8"/>
  <c r="AF114" i="8"/>
  <c r="AF11" i="8"/>
  <c r="AE416" i="8"/>
  <c r="AE266" i="8"/>
  <c r="AF72" i="8"/>
  <c r="AF52" i="8"/>
  <c r="AF30" i="8"/>
  <c r="AF26" i="8"/>
  <c r="AE250" i="8"/>
  <c r="AF59" i="8"/>
  <c r="AE158" i="8"/>
  <c r="AF36" i="8"/>
  <c r="AF113" i="8"/>
  <c r="AF197" i="8"/>
  <c r="AF164" i="8"/>
  <c r="AF23" i="8"/>
  <c r="AF104" i="8"/>
  <c r="AE45" i="8"/>
  <c r="AF344" i="8"/>
  <c r="AE91" i="8"/>
  <c r="AF75" i="8"/>
  <c r="AF33" i="8"/>
  <c r="AF15" i="8"/>
  <c r="AF245" i="8"/>
  <c r="AF6" i="8"/>
  <c r="AF38" i="8"/>
  <c r="AF437" i="8"/>
  <c r="AF279" i="8"/>
  <c r="AF523" i="8"/>
  <c r="AF470" i="8"/>
  <c r="AF453" i="8"/>
  <c r="AF190" i="8"/>
  <c r="AF66" i="8"/>
  <c r="AE436" i="8"/>
  <c r="AF137" i="8"/>
  <c r="AF39" i="8"/>
  <c r="AE24" i="8"/>
  <c r="AF14" i="8"/>
  <c r="AE527" i="8"/>
  <c r="AF478" i="8"/>
  <c r="AF474" i="8"/>
  <c r="AE298" i="8"/>
  <c r="AE269" i="8"/>
  <c r="AE240" i="8"/>
  <c r="AF46" i="8"/>
  <c r="AF17" i="8"/>
  <c r="AF69" i="8"/>
  <c r="AF49" i="8"/>
  <c r="AF358" i="8"/>
  <c r="AE144" i="8"/>
  <c r="AF530" i="8"/>
  <c r="AF280" i="8"/>
  <c r="AE247" i="8"/>
  <c r="AF151" i="8"/>
  <c r="AF430" i="8"/>
  <c r="J254" i="8"/>
  <c r="J208" i="8"/>
  <c r="J271" i="8"/>
  <c r="J117" i="8"/>
  <c r="J71" i="8"/>
  <c r="J509" i="8"/>
  <c r="J58" i="8"/>
  <c r="J484" i="8"/>
  <c r="J444" i="8"/>
  <c r="J503" i="8"/>
  <c r="J226" i="8"/>
  <c r="J186" i="8"/>
  <c r="J173" i="8"/>
  <c r="J59" i="8"/>
  <c r="J133" i="8"/>
  <c r="J90" i="8"/>
  <c r="J213" i="8"/>
  <c r="J12" i="8"/>
  <c r="J526" i="8"/>
  <c r="J453" i="8"/>
  <c r="J469" i="8"/>
  <c r="J298" i="8"/>
  <c r="J514" i="8"/>
  <c r="J278" i="8"/>
  <c r="J337" i="8"/>
  <c r="J257" i="8"/>
  <c r="J242" i="8"/>
  <c r="J41" i="8"/>
  <c r="J149" i="8"/>
  <c r="J376" i="8"/>
  <c r="J318" i="8"/>
  <c r="J398" i="8"/>
  <c r="J106" i="8"/>
  <c r="J408" i="8"/>
  <c r="J352" i="8"/>
  <c r="J332" i="8"/>
  <c r="J312" i="8"/>
  <c r="J371" i="8"/>
  <c r="J239" i="8"/>
  <c r="J388" i="8"/>
  <c r="J169" i="8"/>
  <c r="J144" i="8"/>
  <c r="J273" i="8"/>
  <c r="J193" i="8"/>
  <c r="J74" i="8"/>
  <c r="J292" i="8"/>
  <c r="J156" i="8"/>
  <c r="J477" i="8"/>
  <c r="J51" i="8"/>
  <c r="J78" i="8"/>
  <c r="J162" i="8"/>
  <c r="J483" i="8"/>
  <c r="J502" i="8"/>
  <c r="J419" i="8"/>
  <c r="J57" i="8"/>
  <c r="J172" i="8"/>
  <c r="J10" i="8"/>
  <c r="J508" i="8"/>
  <c r="J288" i="8"/>
  <c r="J347" i="8"/>
  <c r="J219" i="8"/>
  <c r="J153" i="8"/>
  <c r="J428" i="8"/>
  <c r="J300" i="8"/>
  <c r="J176" i="8"/>
  <c r="J365" i="8"/>
  <c r="J61" i="8"/>
  <c r="J341" i="8"/>
  <c r="J264" i="8"/>
  <c r="J93" i="8"/>
  <c r="J110" i="8"/>
  <c r="J456" i="8"/>
  <c r="J188" i="8"/>
  <c r="J123" i="8"/>
  <c r="J15" i="8"/>
  <c r="J435" i="8"/>
  <c r="J366" i="8"/>
  <c r="J322" i="8"/>
  <c r="J487" i="8"/>
  <c r="J81" i="8"/>
  <c r="J30" i="8"/>
  <c r="J400" i="8"/>
  <c r="J231" i="8"/>
  <c r="J516" i="8"/>
  <c r="J135" i="8"/>
  <c r="J64" i="8"/>
  <c r="J282" i="8"/>
  <c r="J222" i="8"/>
  <c r="J210" i="8"/>
  <c r="J499" i="8"/>
  <c r="J54" i="8"/>
  <c r="J452" i="8"/>
  <c r="J297" i="8"/>
  <c r="J317" i="8"/>
  <c r="J11" i="8"/>
  <c r="J27" i="8"/>
  <c r="J100" i="8"/>
  <c r="J164" i="8"/>
  <c r="J303" i="8"/>
  <c r="J325" i="8"/>
  <c r="J32" i="8"/>
  <c r="J402" i="8"/>
  <c r="J459" i="8"/>
  <c r="J517" i="8"/>
  <c r="J252" i="8"/>
  <c r="J384" i="8"/>
  <c r="J192" i="8"/>
  <c r="J524" i="8"/>
  <c r="J147" i="8"/>
  <c r="J224" i="8"/>
  <c r="J184" i="8"/>
  <c r="J295" i="8"/>
  <c r="J511" i="8"/>
  <c r="J170" i="8"/>
  <c r="J119" i="8"/>
  <c r="J39" i="8"/>
  <c r="J479" i="8"/>
  <c r="J374" i="8"/>
  <c r="J53" i="8"/>
  <c r="J130" i="8"/>
  <c r="J405" i="8"/>
  <c r="J498" i="8"/>
  <c r="J276" i="8"/>
  <c r="J76" i="8"/>
  <c r="J158" i="8"/>
  <c r="J461" i="8"/>
  <c r="J381" i="8"/>
  <c r="J491" i="8"/>
  <c r="J234" i="8"/>
  <c r="J205" i="8"/>
  <c r="J433" i="8"/>
  <c r="J306" i="8"/>
  <c r="J20" i="8"/>
  <c r="J359" i="8"/>
  <c r="J102" i="8"/>
  <c r="J284" i="8"/>
  <c r="J215" i="8"/>
  <c r="J457" i="8"/>
  <c r="J112" i="8"/>
  <c r="J446" i="8"/>
  <c r="J7" i="8"/>
  <c r="J44" i="8"/>
  <c r="J83" i="8"/>
  <c r="J321" i="8"/>
  <c r="J301" i="8"/>
  <c r="J486" i="8"/>
  <c r="J505" i="8"/>
  <c r="J92" i="8"/>
  <c r="J63" i="8"/>
  <c r="J29" i="8"/>
  <c r="J281" i="8"/>
  <c r="J14" i="8"/>
  <c r="J311" i="8"/>
  <c r="J387" i="8"/>
  <c r="J73" i="8"/>
  <c r="J256" i="8"/>
  <c r="J449" i="8"/>
  <c r="J126" i="8"/>
  <c r="J340" i="8"/>
  <c r="J199" i="8"/>
  <c r="J245" i="8"/>
  <c r="J447" i="8"/>
  <c r="J344" i="8"/>
  <c r="J304" i="8"/>
  <c r="J244" i="8"/>
  <c r="J204" i="8"/>
  <c r="J472" i="8"/>
  <c r="J432" i="8"/>
  <c r="J460" i="8"/>
  <c r="J326" i="8"/>
  <c r="J189" i="8"/>
  <c r="J113" i="8"/>
  <c r="J33" i="8"/>
  <c r="J529" i="8"/>
  <c r="J379" i="8"/>
  <c r="J357" i="8"/>
  <c r="J251" i="8"/>
  <c r="J442" i="8"/>
  <c r="J518" i="8"/>
  <c r="J285" i="8"/>
  <c r="J233" i="8"/>
  <c r="J417" i="8"/>
  <c r="J450" i="8"/>
  <c r="J96" i="8"/>
  <c r="J109" i="8"/>
  <c r="J136" i="8"/>
  <c r="J364" i="8"/>
  <c r="J175" i="8"/>
  <c r="J320" i="8"/>
  <c r="J202" i="8"/>
  <c r="J441" i="8"/>
  <c r="J390" i="8"/>
  <c r="J378" i="8"/>
  <c r="J445" i="8"/>
  <c r="J356" i="8"/>
  <c r="J393" i="8"/>
  <c r="J334" i="8"/>
  <c r="J424" i="8"/>
  <c r="J287" i="8"/>
  <c r="J492" i="8"/>
  <c r="J392" i="8"/>
  <c r="J235" i="8"/>
  <c r="J246" i="8"/>
  <c r="J206" i="8"/>
  <c r="J531" i="8"/>
  <c r="J307" i="8"/>
  <c r="J218" i="8"/>
  <c r="J473" i="8"/>
  <c r="J519" i="8"/>
  <c r="J360" i="8"/>
  <c r="J462" i="8"/>
  <c r="J346" i="8"/>
  <c r="J165" i="8"/>
  <c r="J382" i="8"/>
  <c r="J275" i="8"/>
  <c r="J146" i="8"/>
  <c r="J373" i="8"/>
  <c r="J464" i="8"/>
  <c r="J207" i="8"/>
  <c r="J167" i="8"/>
  <c r="J361" i="8"/>
  <c r="J383" i="8"/>
  <c r="J154" i="8"/>
  <c r="J475" i="8"/>
  <c r="J512" i="8"/>
  <c r="J443" i="8"/>
  <c r="J406" i="8"/>
  <c r="J404" i="8"/>
  <c r="J247" i="8"/>
  <c r="J532" i="8"/>
  <c r="J255" i="8"/>
  <c r="J155" i="8"/>
  <c r="J351" i="8"/>
  <c r="J331" i="8"/>
  <c r="J310" i="8"/>
  <c r="J221" i="8"/>
  <c r="J99" i="8"/>
  <c r="J476" i="8"/>
  <c r="J50" i="8"/>
  <c r="J72" i="8"/>
  <c r="J495" i="8"/>
  <c r="J463" i="8"/>
  <c r="J266" i="8"/>
  <c r="J348" i="8"/>
  <c r="J299" i="8"/>
  <c r="J324" i="8"/>
  <c r="J401" i="8"/>
  <c r="J372" i="8"/>
  <c r="J523" i="8"/>
  <c r="J274" i="8"/>
  <c r="J194" i="8"/>
  <c r="J262" i="8"/>
  <c r="J377" i="8"/>
  <c r="J423" i="8"/>
  <c r="J286" i="8"/>
  <c r="J504" i="8"/>
  <c r="J227" i="8"/>
  <c r="J187" i="8"/>
  <c r="J421" i="8"/>
  <c r="J363" i="8"/>
  <c r="J214" i="8"/>
  <c r="J174" i="8"/>
  <c r="J79" i="8"/>
  <c r="AJ12" i="8" a="1"/>
  <c r="AJ12" i="8" s="1"/>
  <c r="AK12" i="8" s="1"/>
  <c r="I252" i="8"/>
  <c r="AJ252" i="8" a="1"/>
  <c r="AJ252" i="8" s="1"/>
  <c r="AK252" i="8" s="1"/>
  <c r="I272" i="8"/>
  <c r="AJ272" i="8" a="1"/>
  <c r="AJ272" i="8" s="1"/>
  <c r="AK272" i="8" s="1"/>
  <c r="AJ409" i="8" a="1"/>
  <c r="AJ409" i="8" s="1"/>
  <c r="AK409" i="8" s="1"/>
  <c r="AJ468" i="8" a="1"/>
  <c r="AJ468" i="8" s="1"/>
  <c r="AK468" i="8" s="1"/>
  <c r="AJ342" i="8" a="1"/>
  <c r="AJ342" i="8" s="1"/>
  <c r="AK342" i="8" s="1"/>
  <c r="AJ92" i="8" a="1"/>
  <c r="AJ92" i="8" s="1"/>
  <c r="AK92" i="8" s="1"/>
  <c r="F52" i="8"/>
  <c r="AJ52" i="8" a="1"/>
  <c r="AJ52" i="8" s="1"/>
  <c r="AK52" i="8" s="1"/>
  <c r="AJ449" i="8" a="1"/>
  <c r="AJ449" i="8" s="1"/>
  <c r="AK449" i="8" s="1"/>
  <c r="AJ323" i="8" a="1"/>
  <c r="AJ323" i="8" s="1"/>
  <c r="AK323" i="8" s="1"/>
  <c r="AJ200" i="8" a="1"/>
  <c r="AJ200" i="8" s="1"/>
  <c r="AK200" i="8" s="1"/>
  <c r="AJ74" i="8" a="1"/>
  <c r="AJ74" i="8" s="1"/>
  <c r="AK74" i="8" s="1"/>
  <c r="AJ25" i="8" a="1"/>
  <c r="AJ25" i="8" s="1"/>
  <c r="AK25" i="8" s="1"/>
  <c r="AJ45" i="8" a="1"/>
  <c r="AJ45" i="8" s="1"/>
  <c r="AK45" i="8" s="1"/>
  <c r="AJ105" i="8" a="1"/>
  <c r="AJ105" i="8" s="1"/>
  <c r="AK105" i="8" s="1"/>
  <c r="AJ447" i="8" a="1"/>
  <c r="AJ447" i="8" s="1"/>
  <c r="AK447" i="8" s="1"/>
  <c r="AJ322" i="8" a="1"/>
  <c r="AJ322" i="8" s="1"/>
  <c r="AK322" i="8" s="1"/>
  <c r="AJ198" i="8" a="1"/>
  <c r="AJ198" i="8" s="1"/>
  <c r="AK198" i="8" s="1"/>
  <c r="AJ73" i="8" a="1"/>
  <c r="AJ73" i="8" s="1"/>
  <c r="AK73" i="8" s="1"/>
  <c r="AJ153" i="8" a="1"/>
  <c r="AJ153" i="8" s="1"/>
  <c r="AK153" i="8" s="1"/>
  <c r="AJ373" i="8" a="1"/>
  <c r="AJ373" i="8" s="1"/>
  <c r="AK373" i="8" s="1"/>
  <c r="AJ531" i="8" a="1"/>
  <c r="AJ531" i="8" s="1"/>
  <c r="AK531" i="8" s="1"/>
  <c r="AJ467" i="8" a="1"/>
  <c r="AJ467" i="8" s="1"/>
  <c r="AK467" i="8" s="1"/>
  <c r="AJ499" i="8" a="1"/>
  <c r="AJ499" i="8" s="1"/>
  <c r="AK499" i="8" s="1"/>
  <c r="AJ122" i="8" a="1"/>
  <c r="AJ122" i="8" s="1"/>
  <c r="AK122" i="8" s="1"/>
  <c r="AJ247" i="8" a="1"/>
  <c r="AJ247" i="8" s="1"/>
  <c r="AK247" i="8" s="1"/>
  <c r="AJ279" i="8" a="1"/>
  <c r="AJ279" i="8" s="1"/>
  <c r="AK279" i="8" s="1"/>
  <c r="AJ310" i="8" a="1"/>
  <c r="AJ310" i="8" s="1"/>
  <c r="AK310" i="8" s="1"/>
  <c r="AJ434" i="8" a="1"/>
  <c r="AJ434" i="8" s="1"/>
  <c r="AK434" i="8" s="1"/>
  <c r="AJ341" i="8" a="1"/>
  <c r="AJ341" i="8" s="1"/>
  <c r="AK341" i="8" s="1"/>
  <c r="AJ63" i="8" a="1"/>
  <c r="AJ63" i="8" s="1"/>
  <c r="AK63" i="8" s="1"/>
  <c r="AJ94" i="8" a="1"/>
  <c r="AJ94" i="8" s="1"/>
  <c r="AK94" i="8" s="1"/>
  <c r="AJ125" i="8" a="1"/>
  <c r="AJ125" i="8" s="1"/>
  <c r="AK125" i="8" s="1"/>
  <c r="AJ157" i="8" a="1"/>
  <c r="AJ157" i="8" s="1"/>
  <c r="AK157" i="8" s="1"/>
  <c r="AJ188" i="8" a="1"/>
  <c r="AJ188" i="8" s="1"/>
  <c r="AK188" i="8" s="1"/>
  <c r="AJ219" i="8" a="1"/>
  <c r="AJ219" i="8" s="1"/>
  <c r="AK219" i="8" s="1"/>
  <c r="AJ282" i="8" a="1"/>
  <c r="AJ282" i="8" s="1"/>
  <c r="AK282" i="8" s="1"/>
  <c r="AJ344" i="8" a="1"/>
  <c r="AJ344" i="8" s="1"/>
  <c r="AK344" i="8" s="1"/>
  <c r="AJ375" i="8" a="1"/>
  <c r="AJ375" i="8" s="1"/>
  <c r="AK375" i="8" s="1"/>
  <c r="AJ406" i="8" a="1"/>
  <c r="AJ406" i="8" s="1"/>
  <c r="AK406" i="8" s="1"/>
  <c r="AJ438" i="8" a="1"/>
  <c r="AJ438" i="8" s="1"/>
  <c r="AK438" i="8" s="1"/>
  <c r="AJ502" i="8" a="1"/>
  <c r="AJ502" i="8" s="1"/>
  <c r="AK502" i="8" s="1"/>
  <c r="AJ305" i="8" a="1"/>
  <c r="AJ305" i="8" s="1"/>
  <c r="AK305" i="8" s="1"/>
  <c r="AJ325" i="8" a="1"/>
  <c r="AJ325" i="8" s="1"/>
  <c r="AK325" i="8" s="1"/>
  <c r="AJ446" i="8" a="1"/>
  <c r="AJ446" i="8" s="1"/>
  <c r="AK446" i="8" s="1"/>
  <c r="AJ321" i="8" a="1"/>
  <c r="AJ321" i="8" s="1"/>
  <c r="AK321" i="8" s="1"/>
  <c r="AJ197" i="8" a="1"/>
  <c r="AJ197" i="8" s="1"/>
  <c r="AK197" i="8" s="1"/>
  <c r="AJ91" i="8" a="1"/>
  <c r="AJ91" i="8" s="1"/>
  <c r="AK91" i="8" s="1"/>
  <c r="AJ111" i="8" a="1"/>
  <c r="AJ111" i="8" s="1"/>
  <c r="AK111" i="8" s="1"/>
  <c r="D211" i="8"/>
  <c r="AJ211" i="8" a="1"/>
  <c r="AJ211" i="8" s="1"/>
  <c r="AK211" i="8" s="1"/>
  <c r="AJ251" i="8" a="1"/>
  <c r="AJ251" i="8" s="1"/>
  <c r="AK251" i="8" s="1"/>
  <c r="AJ351" i="8" a="1"/>
  <c r="AJ351" i="8" s="1"/>
  <c r="AK351" i="8" s="1"/>
  <c r="AJ348" i="8" a="1"/>
  <c r="AJ348" i="8" s="1"/>
  <c r="AK348" i="8" s="1"/>
  <c r="G71" i="8"/>
  <c r="AJ71" i="8" a="1"/>
  <c r="AJ71" i="8" s="1"/>
  <c r="AK71" i="8" s="1"/>
  <c r="AJ171" i="8" a="1"/>
  <c r="AJ171" i="8" s="1"/>
  <c r="AK171" i="8" s="1"/>
  <c r="C191" i="8"/>
  <c r="AJ191" i="8" a="1"/>
  <c r="AJ191" i="8" s="1"/>
  <c r="AK191" i="8" s="1"/>
  <c r="AJ368" i="8" a="1"/>
  <c r="AJ368" i="8" s="1"/>
  <c r="AK368" i="8" s="1"/>
  <c r="AJ408" i="8" a="1"/>
  <c r="AJ408" i="8" s="1"/>
  <c r="AK408" i="8" s="1"/>
  <c r="AJ445" i="8" a="1"/>
  <c r="AJ445" i="8" s="1"/>
  <c r="AK445" i="8" s="1"/>
  <c r="AJ54" i="8" a="1"/>
  <c r="AJ54" i="8" s="1"/>
  <c r="AK54" i="8" s="1"/>
  <c r="AJ114" i="8" a="1"/>
  <c r="AJ114" i="8" s="1"/>
  <c r="AK114" i="8" s="1"/>
  <c r="AJ174" i="8" a="1"/>
  <c r="AJ174" i="8" s="1"/>
  <c r="AK174" i="8" s="1"/>
  <c r="AJ194" i="8" a="1"/>
  <c r="AJ194" i="8" s="1"/>
  <c r="AK194" i="8" s="1"/>
  <c r="AJ254" i="8" a="1"/>
  <c r="AJ254" i="8" s="1"/>
  <c r="AK254" i="8" s="1"/>
  <c r="AJ411" i="8" a="1"/>
  <c r="AJ411" i="8" s="1"/>
  <c r="AK411" i="8" s="1"/>
  <c r="AJ471" i="8" a="1"/>
  <c r="AJ471" i="8" s="1"/>
  <c r="AK471" i="8" s="1"/>
  <c r="AJ435" i="8" a="1"/>
  <c r="AJ435" i="8" s="1"/>
  <c r="AK435" i="8" s="1"/>
  <c r="AJ185" i="8" a="1"/>
  <c r="AJ185" i="8" s="1"/>
  <c r="AK185" i="8" s="1"/>
  <c r="AJ61" i="8" a="1"/>
  <c r="AJ61" i="8" s="1"/>
  <c r="AK61" i="8" s="1"/>
  <c r="AJ17" i="8" a="1"/>
  <c r="AJ17" i="8" s="1"/>
  <c r="AK17" i="8" s="1"/>
  <c r="AJ37" i="8" a="1"/>
  <c r="AJ37" i="8" s="1"/>
  <c r="AK37" i="8" s="1"/>
  <c r="AJ314" i="8" a="1"/>
  <c r="AJ314" i="8" s="1"/>
  <c r="AK314" i="8" s="1"/>
  <c r="AJ454" i="8" a="1"/>
  <c r="AJ454" i="8" s="1"/>
  <c r="AK454" i="8" s="1"/>
  <c r="AJ474" i="8" a="1"/>
  <c r="AJ474" i="8" s="1"/>
  <c r="AK474" i="8" s="1"/>
  <c r="AJ417" i="8" a="1"/>
  <c r="AJ417" i="8" s="1"/>
  <c r="AK417" i="8" s="1"/>
  <c r="AJ169" i="8" a="1"/>
  <c r="AJ169" i="8" s="1"/>
  <c r="AK169" i="8" s="1"/>
  <c r="AJ80" i="8" a="1"/>
  <c r="AJ80" i="8" s="1"/>
  <c r="AK80" i="8" s="1"/>
  <c r="AJ100" i="8" a="1"/>
  <c r="AJ100" i="8" s="1"/>
  <c r="AK100" i="8" s="1"/>
  <c r="AJ120" i="8" a="1"/>
  <c r="AJ120" i="8" s="1"/>
  <c r="AK120" i="8" s="1"/>
  <c r="AJ160" i="8" a="1"/>
  <c r="AJ160" i="8" s="1"/>
  <c r="AK160" i="8" s="1"/>
  <c r="AJ220" i="8" a="1"/>
  <c r="AJ220" i="8" s="1"/>
  <c r="AK220" i="8" s="1"/>
  <c r="AJ317" i="8" a="1"/>
  <c r="AJ317" i="8" s="1"/>
  <c r="AK317" i="8" s="1"/>
  <c r="AJ377" i="8" a="1"/>
  <c r="AJ377" i="8" s="1"/>
  <c r="AK377" i="8" s="1"/>
  <c r="AJ397" i="8" a="1"/>
  <c r="AJ397" i="8" s="1"/>
  <c r="AK397" i="8" s="1"/>
  <c r="AJ457" i="8" a="1"/>
  <c r="AJ457" i="8" s="1"/>
  <c r="AK457" i="8" s="1"/>
  <c r="AJ415" i="8" a="1"/>
  <c r="AJ415" i="8" s="1"/>
  <c r="AK415" i="8" s="1"/>
  <c r="AJ291" i="8" a="1"/>
  <c r="AJ291" i="8" s="1"/>
  <c r="AK291" i="8" s="1"/>
  <c r="AJ167" i="8" a="1"/>
  <c r="AJ167" i="8" s="1"/>
  <c r="AK167" i="8" s="1"/>
  <c r="AJ41" i="8" a="1"/>
  <c r="AJ41" i="8" s="1"/>
  <c r="AK41" i="8" s="1"/>
  <c r="AJ414" i="8" a="1"/>
  <c r="AJ414" i="8" s="1"/>
  <c r="AK414" i="8" s="1"/>
  <c r="AJ166" i="8" a="1"/>
  <c r="AJ166" i="8" s="1"/>
  <c r="AK166" i="8" s="1"/>
  <c r="H131" i="8"/>
  <c r="AJ131" i="8" a="1"/>
  <c r="AJ131" i="8" s="1"/>
  <c r="AK131" i="8" s="1"/>
  <c r="I151" i="8"/>
  <c r="AJ151" i="8" a="1"/>
  <c r="AJ151" i="8" s="1"/>
  <c r="AK151" i="8" s="1"/>
  <c r="AJ196" i="8" a="1"/>
  <c r="AJ196" i="8" s="1"/>
  <c r="AK196" i="8" s="1"/>
  <c r="AJ43" i="8" a="1"/>
  <c r="AJ43" i="8" s="1"/>
  <c r="AK43" i="8" s="1"/>
  <c r="AJ86" i="8" a="1"/>
  <c r="AJ86" i="8" s="1"/>
  <c r="AK86" i="8" s="1"/>
  <c r="AJ266" i="8" a="1"/>
  <c r="AJ266" i="8" s="1"/>
  <c r="AK266" i="8" s="1"/>
  <c r="AJ343" i="8" a="1"/>
  <c r="AJ343" i="8" s="1"/>
  <c r="AK343" i="8" s="1"/>
  <c r="AJ463" i="8" a="1"/>
  <c r="AJ463" i="8" s="1"/>
  <c r="AK463" i="8" s="1"/>
  <c r="AJ483" i="8" a="1"/>
  <c r="AJ483" i="8" s="1"/>
  <c r="AK483" i="8" s="1"/>
  <c r="AJ290" i="8" a="1"/>
  <c r="AJ290" i="8" s="1"/>
  <c r="AK290" i="8" s="1"/>
  <c r="AJ165" i="8" a="1"/>
  <c r="AJ165" i="8" s="1"/>
  <c r="AK165" i="8" s="1"/>
  <c r="AJ40" i="8" a="1"/>
  <c r="AJ40" i="8" s="1"/>
  <c r="AK40" i="8" s="1"/>
  <c r="I49" i="8"/>
  <c r="AJ49" i="8" a="1"/>
  <c r="AJ49" i="8" s="1"/>
  <c r="AK49" i="8" s="1"/>
  <c r="I69" i="8"/>
  <c r="AJ69" i="8" a="1"/>
  <c r="AJ69" i="8" s="1"/>
  <c r="AK69" i="8" s="1"/>
  <c r="D89" i="8"/>
  <c r="AJ89" i="8" a="1"/>
  <c r="AJ89" i="8" s="1"/>
  <c r="AK89" i="8" s="1"/>
  <c r="E109" i="8"/>
  <c r="AJ109" i="8" a="1"/>
  <c r="AJ109" i="8" s="1"/>
  <c r="AK109" i="8" s="1"/>
  <c r="AJ526" i="8" a="1"/>
  <c r="AJ526" i="8" s="1"/>
  <c r="AK526" i="8" s="1"/>
  <c r="AJ532" i="8" a="1"/>
  <c r="AJ532" i="8" s="1"/>
  <c r="AK532" i="8" s="1"/>
  <c r="AJ404" i="8" a="1"/>
  <c r="AJ404" i="8" s="1"/>
  <c r="AK404" i="8" s="1"/>
  <c r="AJ280" i="8" a="1"/>
  <c r="AJ280" i="8" s="1"/>
  <c r="AK280" i="8" s="1"/>
  <c r="AJ154" i="8" a="1"/>
  <c r="AJ154" i="8" s="1"/>
  <c r="AK154" i="8" s="1"/>
  <c r="AJ30" i="8" a="1"/>
  <c r="AJ30" i="8" s="1"/>
  <c r="AK30" i="8" s="1"/>
  <c r="AJ309" i="8" a="1"/>
  <c r="AJ309" i="8" s="1"/>
  <c r="AK309" i="8" s="1"/>
  <c r="AJ329" i="8" a="1"/>
  <c r="AJ329" i="8" s="1"/>
  <c r="AK329" i="8" s="1"/>
  <c r="I529" i="8"/>
  <c r="AJ529" i="8" a="1"/>
  <c r="AJ529" i="8" s="1"/>
  <c r="AK529" i="8" s="1"/>
  <c r="AJ512" i="8" a="1"/>
  <c r="AJ512" i="8" s="1"/>
  <c r="AK512" i="8" s="1"/>
  <c r="AJ386" i="8" a="1"/>
  <c r="AJ386" i="8" s="1"/>
  <c r="AK386" i="8" s="1"/>
  <c r="AJ262" i="8" a="1"/>
  <c r="AJ262" i="8" s="1"/>
  <c r="AK262" i="8" s="1"/>
  <c r="AJ136" i="8" a="1"/>
  <c r="AJ136" i="8" s="1"/>
  <c r="AK136" i="8" s="1"/>
  <c r="AJ31" i="8" a="1"/>
  <c r="AJ31" i="8" s="1"/>
  <c r="AK31" i="8" s="1"/>
  <c r="H51" i="8"/>
  <c r="AJ51" i="8" a="1"/>
  <c r="AJ51" i="8" s="1"/>
  <c r="AK51" i="8" s="1"/>
  <c r="AJ152" i="8" a="1"/>
  <c r="AJ152" i="8" s="1"/>
  <c r="AK152" i="8" s="1"/>
  <c r="C172" i="8"/>
  <c r="AJ172" i="8" a="1"/>
  <c r="AJ172" i="8" s="1"/>
  <c r="AK172" i="8" s="1"/>
  <c r="AJ429" i="8" a="1"/>
  <c r="AJ429" i="8" s="1"/>
  <c r="AK429" i="8" s="1"/>
  <c r="AJ469" i="8" a="1"/>
  <c r="AJ469" i="8" s="1"/>
  <c r="AK469" i="8" s="1"/>
  <c r="AJ489" i="8" a="1"/>
  <c r="AJ489" i="8" s="1"/>
  <c r="AK489" i="8" s="1"/>
  <c r="AJ35" i="8" a="1"/>
  <c r="AJ35" i="8" s="1"/>
  <c r="AK35" i="8" s="1"/>
  <c r="AJ55" i="8" a="1"/>
  <c r="AJ55" i="8" s="1"/>
  <c r="AK55" i="8" s="1"/>
  <c r="AJ215" i="8" a="1"/>
  <c r="AJ215" i="8" s="1"/>
  <c r="AK215" i="8" s="1"/>
  <c r="AJ275" i="8" a="1"/>
  <c r="AJ275" i="8" s="1"/>
  <c r="AK275" i="8" s="1"/>
  <c r="AJ295" i="8" a="1"/>
  <c r="AJ295" i="8" s="1"/>
  <c r="AK295" i="8" s="1"/>
  <c r="AJ312" i="8" a="1"/>
  <c r="AJ312" i="8" s="1"/>
  <c r="AK312" i="8" s="1"/>
  <c r="AJ372" i="8" a="1"/>
  <c r="AJ372" i="8" s="1"/>
  <c r="AK372" i="8" s="1"/>
  <c r="AJ452" i="8" a="1"/>
  <c r="AJ452" i="8" s="1"/>
  <c r="AK452" i="8" s="1"/>
  <c r="AJ134" i="8" a="1"/>
  <c r="AJ134" i="8" s="1"/>
  <c r="AK134" i="8" s="1"/>
  <c r="AJ78" i="8" a="1"/>
  <c r="AJ78" i="8" s="1"/>
  <c r="AK78" i="8" s="1"/>
  <c r="AJ515" i="8" a="1"/>
  <c r="AJ515" i="8" s="1"/>
  <c r="AK515" i="8" s="1"/>
  <c r="AJ510" i="8" a="1"/>
  <c r="AJ510" i="8" s="1"/>
  <c r="AK510" i="8" s="1"/>
  <c r="AJ384" i="8" a="1"/>
  <c r="AJ384" i="8" s="1"/>
  <c r="AK384" i="8" s="1"/>
  <c r="AJ260" i="8" a="1"/>
  <c r="AJ260" i="8" s="1"/>
  <c r="AK260" i="8" s="1"/>
  <c r="AH112" i="8"/>
  <c r="BB112" i="8" s="1"/>
  <c r="AJ112" i="8" a="1"/>
  <c r="AJ112" i="8" s="1"/>
  <c r="AK112" i="8" s="1"/>
  <c r="AJ192" i="8" a="1"/>
  <c r="AJ192" i="8" s="1"/>
  <c r="AK192" i="8" s="1"/>
  <c r="D212" i="8"/>
  <c r="AJ212" i="8" a="1"/>
  <c r="AJ212" i="8" s="1"/>
  <c r="AK212" i="8" s="1"/>
  <c r="AJ232" i="8" a="1"/>
  <c r="AJ232" i="8" s="1"/>
  <c r="AK232" i="8" s="1"/>
  <c r="I349" i="8"/>
  <c r="AJ349" i="8" a="1"/>
  <c r="AJ349" i="8" s="1"/>
  <c r="AK349" i="8" s="1"/>
  <c r="D369" i="8"/>
  <c r="AJ369" i="8" a="1"/>
  <c r="AJ369" i="8" s="1"/>
  <c r="AK369" i="8" s="1"/>
  <c r="AJ15" i="8" a="1"/>
  <c r="AJ15" i="8" s="1"/>
  <c r="AK15" i="8" s="1"/>
  <c r="AJ141" i="8" a="1"/>
  <c r="AJ141" i="8" s="1"/>
  <c r="AK141" i="8" s="1"/>
  <c r="AJ281" i="8" a="1"/>
  <c r="AJ281" i="8" s="1"/>
  <c r="AK281" i="8" s="1"/>
  <c r="AJ298" i="8" a="1"/>
  <c r="AJ298" i="8" s="1"/>
  <c r="AK298" i="8" s="1"/>
  <c r="AJ338" i="8" a="1"/>
  <c r="AJ338" i="8" s="1"/>
  <c r="AK338" i="8" s="1"/>
  <c r="AJ509" i="8" a="1"/>
  <c r="AJ509" i="8" s="1"/>
  <c r="AK509" i="8" s="1"/>
  <c r="AJ259" i="8" a="1"/>
  <c r="AJ259" i="8" s="1"/>
  <c r="AK259" i="8" s="1"/>
  <c r="AJ133" i="8" a="1"/>
  <c r="AJ133" i="8" s="1"/>
  <c r="AK133" i="8" s="1"/>
  <c r="AJ8" i="8" a="1"/>
  <c r="AJ8" i="8" s="1"/>
  <c r="AK8" i="8" s="1"/>
  <c r="AJ44" i="8" a="1"/>
  <c r="AJ44" i="8" s="1"/>
  <c r="AK44" i="8" s="1"/>
  <c r="AJ124" i="8" a="1"/>
  <c r="AJ124" i="8" s="1"/>
  <c r="AK124" i="8" s="1"/>
  <c r="AJ244" i="8" a="1"/>
  <c r="AJ244" i="8" s="1"/>
  <c r="AK244" i="8" s="1"/>
  <c r="AJ264" i="8" a="1"/>
  <c r="AJ264" i="8" s="1"/>
  <c r="AK264" i="8" s="1"/>
  <c r="AJ401" i="8" a="1"/>
  <c r="AJ401" i="8" s="1"/>
  <c r="AK401" i="8" s="1"/>
  <c r="AJ500" i="8" a="1"/>
  <c r="AJ500" i="8" s="1"/>
  <c r="AK500" i="8" s="1"/>
  <c r="AJ248" i="8" a="1"/>
  <c r="AJ248" i="8" s="1"/>
  <c r="AK248" i="8" s="1"/>
  <c r="H132" i="8"/>
  <c r="AJ132" i="8" a="1"/>
  <c r="AJ132" i="8" s="1"/>
  <c r="AK132" i="8" s="1"/>
  <c r="AJ27" i="8" a="1"/>
  <c r="AJ27" i="8" s="1"/>
  <c r="AK27" i="8" s="1"/>
  <c r="AJ47" i="8" a="1"/>
  <c r="AJ47" i="8" s="1"/>
  <c r="AK47" i="8" s="1"/>
  <c r="AJ87" i="8" a="1"/>
  <c r="AJ87" i="8" s="1"/>
  <c r="AK87" i="8" s="1"/>
  <c r="AJ187" i="8" a="1"/>
  <c r="AJ187" i="8" s="1"/>
  <c r="AK187" i="8" s="1"/>
  <c r="AJ355" i="8" a="1"/>
  <c r="AJ355" i="8" s="1"/>
  <c r="AK355" i="8" s="1"/>
  <c r="AH32" i="8"/>
  <c r="BB32" i="8" s="1"/>
  <c r="AJ32" i="8" a="1"/>
  <c r="AJ32" i="8" s="1"/>
  <c r="AK32" i="8" s="1"/>
  <c r="AJ90" i="8" a="1"/>
  <c r="AJ90" i="8" s="1"/>
  <c r="AK90" i="8" s="1"/>
  <c r="AJ110" i="8" a="1"/>
  <c r="AJ110" i="8" s="1"/>
  <c r="AK110" i="8" s="1"/>
  <c r="AJ170" i="8" a="1"/>
  <c r="AJ170" i="8" s="1"/>
  <c r="AK170" i="8" s="1"/>
  <c r="AJ250" i="8" a="1"/>
  <c r="AJ250" i="8" s="1"/>
  <c r="AK250" i="8" s="1"/>
  <c r="AJ387" i="8" a="1"/>
  <c r="AJ387" i="8" s="1"/>
  <c r="AK387" i="8" s="1"/>
  <c r="AJ479" i="8" a="1"/>
  <c r="AJ479" i="8" s="1"/>
  <c r="AK479" i="8" s="1"/>
  <c r="AJ353" i="8" a="1"/>
  <c r="AJ353" i="8" s="1"/>
  <c r="AK353" i="8" s="1"/>
  <c r="AJ229" i="8" a="1"/>
  <c r="AJ229" i="8" s="1"/>
  <c r="AK229" i="8" s="1"/>
  <c r="AJ292" i="8" a="1"/>
  <c r="AJ292" i="8" s="1"/>
  <c r="AK292" i="8" s="1"/>
  <c r="AJ383" i="8" a="1"/>
  <c r="AJ383" i="8" s="1"/>
  <c r="AK383" i="8" s="1"/>
  <c r="AJ13" i="8" a="1"/>
  <c r="AJ13" i="8" s="1"/>
  <c r="AK13" i="8" s="1"/>
  <c r="AJ390" i="8" a="1"/>
  <c r="AJ390" i="8" s="1"/>
  <c r="AK390" i="8" s="1"/>
  <c r="AJ478" i="8" a="1"/>
  <c r="AJ478" i="8" s="1"/>
  <c r="AK478" i="8" s="1"/>
  <c r="AJ228" i="8" a="1"/>
  <c r="AJ228" i="8" s="1"/>
  <c r="AK228" i="8" s="1"/>
  <c r="AJ103" i="8" a="1"/>
  <c r="AJ103" i="8" s="1"/>
  <c r="AK103" i="8" s="1"/>
  <c r="AH389" i="8"/>
  <c r="BB389" i="8" s="1"/>
  <c r="AJ389" i="8" a="1"/>
  <c r="AJ389" i="8" s="1"/>
  <c r="AK389" i="8" s="1"/>
  <c r="AJ76" i="8" a="1"/>
  <c r="AJ76" i="8" s="1"/>
  <c r="AK76" i="8" s="1"/>
  <c r="AJ156" i="8" a="1"/>
  <c r="AJ156" i="8" s="1"/>
  <c r="AK156" i="8" s="1"/>
  <c r="AJ453" i="8" a="1"/>
  <c r="AJ453" i="8" s="1"/>
  <c r="AK453" i="8" s="1"/>
  <c r="AJ477" i="8" a="1"/>
  <c r="AJ477" i="8" s="1"/>
  <c r="AK477" i="8" s="1"/>
  <c r="AJ352" i="8" a="1"/>
  <c r="AJ352" i="8" s="1"/>
  <c r="AK352" i="8" s="1"/>
  <c r="AJ227" i="8" a="1"/>
  <c r="AJ227" i="8" s="1"/>
  <c r="AK227" i="8" s="1"/>
  <c r="I48" i="8"/>
  <c r="AJ48" i="8" a="1"/>
  <c r="AJ48" i="8" s="1"/>
  <c r="AK48" i="8" s="1"/>
  <c r="G68" i="8"/>
  <c r="AJ68" i="8" a="1"/>
  <c r="AJ68" i="8" s="1"/>
  <c r="AK68" i="8" s="1"/>
  <c r="AJ128" i="8" a="1"/>
  <c r="AJ128" i="8" s="1"/>
  <c r="AK128" i="8" s="1"/>
  <c r="AJ148" i="8" a="1"/>
  <c r="AJ148" i="8" s="1"/>
  <c r="AK148" i="8" s="1"/>
  <c r="E168" i="8"/>
  <c r="AJ168" i="8" a="1"/>
  <c r="AJ168" i="8" s="1"/>
  <c r="AK168" i="8" s="1"/>
  <c r="C208" i="8"/>
  <c r="AJ208" i="8" a="1"/>
  <c r="AJ208" i="8" s="1"/>
  <c r="AK208" i="8" s="1"/>
  <c r="AJ268" i="8" a="1"/>
  <c r="AJ268" i="8" s="1"/>
  <c r="AK268" i="8" s="1"/>
  <c r="AJ288" i="8" a="1"/>
  <c r="AJ288" i="8" s="1"/>
  <c r="AK288" i="8" s="1"/>
  <c r="H345" i="8"/>
  <c r="AJ345" i="8" a="1"/>
  <c r="AJ345" i="8" s="1"/>
  <c r="AK345" i="8" s="1"/>
  <c r="AJ365" i="8" a="1"/>
  <c r="AJ365" i="8" s="1"/>
  <c r="AK365" i="8" s="1"/>
  <c r="AJ385" i="8" a="1"/>
  <c r="AJ385" i="8" s="1"/>
  <c r="AK385" i="8" s="1"/>
  <c r="AJ425" i="8" a="1"/>
  <c r="AJ425" i="8" s="1"/>
  <c r="AK425" i="8" s="1"/>
  <c r="AJ481" i="8" a="1"/>
  <c r="AJ481" i="8" s="1"/>
  <c r="AK481" i="8" s="1"/>
  <c r="AJ450" i="8" a="1"/>
  <c r="AJ450" i="8" s="1"/>
  <c r="AK450" i="8" s="1"/>
  <c r="AJ418" i="8" a="1"/>
  <c r="AJ418" i="8" s="1"/>
  <c r="AK418" i="8" s="1"/>
  <c r="AJ356" i="8" a="1"/>
  <c r="AJ356" i="8" s="1"/>
  <c r="AK356" i="8" s="1"/>
  <c r="AJ324" i="8" a="1"/>
  <c r="AJ324" i="8" s="1"/>
  <c r="AK324" i="8" s="1"/>
  <c r="AJ293" i="8" a="1"/>
  <c r="AJ293" i="8" s="1"/>
  <c r="AK293" i="8" s="1"/>
  <c r="AJ231" i="8" a="1"/>
  <c r="AJ231" i="8" s="1"/>
  <c r="AK231" i="8" s="1"/>
  <c r="AJ137" i="8" a="1"/>
  <c r="AJ137" i="8" s="1"/>
  <c r="AK137" i="8" s="1"/>
  <c r="AJ163" i="8" a="1"/>
  <c r="AJ163" i="8" s="1"/>
  <c r="AK163" i="8" s="1"/>
  <c r="AJ283" i="8" a="1"/>
  <c r="AJ283" i="8" s="1"/>
  <c r="AK283" i="8" s="1"/>
  <c r="AJ300" i="8" a="1"/>
  <c r="AJ300" i="8" s="1"/>
  <c r="AK300" i="8" s="1"/>
  <c r="AJ320" i="8" a="1"/>
  <c r="AJ320" i="8" s="1"/>
  <c r="AK320" i="8" s="1"/>
  <c r="AJ380" i="8" a="1"/>
  <c r="AJ380" i="8" s="1"/>
  <c r="AK380" i="8" s="1"/>
  <c r="AJ460" i="8" a="1"/>
  <c r="AJ460" i="8" s="1"/>
  <c r="AK460" i="8" s="1"/>
  <c r="AH480" i="8"/>
  <c r="BB480" i="8" s="1"/>
  <c r="AJ480" i="8" a="1"/>
  <c r="AJ480" i="8" s="1"/>
  <c r="AK480" i="8" s="1"/>
  <c r="AJ520" i="8" a="1"/>
  <c r="AJ520" i="8" s="1"/>
  <c r="AK520" i="8" s="1"/>
  <c r="AJ6" i="8" a="1"/>
  <c r="AJ6" i="8" s="1"/>
  <c r="AK6" i="8" s="1"/>
  <c r="AJ511" i="8" a="1"/>
  <c r="AJ511" i="8" s="1"/>
  <c r="AK511" i="8" s="1"/>
  <c r="I26" i="8"/>
  <c r="AJ26" i="8" a="1"/>
  <c r="AJ26" i="8" s="1"/>
  <c r="AK26" i="8" s="1"/>
  <c r="AJ66" i="8" a="1"/>
  <c r="AJ66" i="8" s="1"/>
  <c r="AK66" i="8" s="1"/>
  <c r="AJ126" i="8" a="1"/>
  <c r="AJ126" i="8" s="1"/>
  <c r="AK126" i="8" s="1"/>
  <c r="AJ146" i="8" a="1"/>
  <c r="AJ146" i="8" s="1"/>
  <c r="AK146" i="8" s="1"/>
  <c r="AH206" i="8"/>
  <c r="BB206" i="8" s="1"/>
  <c r="AJ206" i="8" a="1"/>
  <c r="AJ206" i="8" s="1"/>
  <c r="AK206" i="8" s="1"/>
  <c r="AJ226" i="8" a="1"/>
  <c r="AJ226" i="8" s="1"/>
  <c r="AK226" i="8" s="1"/>
  <c r="AJ286" i="8" a="1"/>
  <c r="AJ286" i="8" s="1"/>
  <c r="AK286" i="8" s="1"/>
  <c r="AH303" i="8"/>
  <c r="BB303" i="8" s="1"/>
  <c r="AJ303" i="8" a="1"/>
  <c r="AJ303" i="8" s="1"/>
  <c r="AK303" i="8" s="1"/>
  <c r="AJ363" i="8" a="1"/>
  <c r="AJ363" i="8" s="1"/>
  <c r="AK363" i="8" s="1"/>
  <c r="AJ423" i="8" a="1"/>
  <c r="AJ423" i="8" s="1"/>
  <c r="AK423" i="8" s="1"/>
  <c r="AJ443" i="8" a="1"/>
  <c r="AJ443" i="8" s="1"/>
  <c r="AK443" i="8" s="1"/>
  <c r="AH503" i="8"/>
  <c r="BB503" i="8" s="1"/>
  <c r="AJ503" i="8" a="1"/>
  <c r="AJ503" i="8" s="1"/>
  <c r="AK503" i="8" s="1"/>
  <c r="AJ523" i="8" a="1"/>
  <c r="AJ523" i="8" s="1"/>
  <c r="AK523" i="8" s="1"/>
  <c r="AJ501" i="8" a="1"/>
  <c r="AJ501" i="8" s="1"/>
  <c r="AK501" i="8" s="1"/>
  <c r="AJ470" i="8" a="1"/>
  <c r="AJ470" i="8" s="1"/>
  <c r="AK470" i="8" s="1"/>
  <c r="AJ437" i="8" a="1"/>
  <c r="AJ437" i="8" s="1"/>
  <c r="AK437" i="8" s="1"/>
  <c r="AJ405" i="8" a="1"/>
  <c r="AJ405" i="8" s="1"/>
  <c r="AK405" i="8" s="1"/>
  <c r="AJ218" i="8" a="1"/>
  <c r="AJ218" i="8" s="1"/>
  <c r="AK218" i="8" s="1"/>
  <c r="AJ93" i="8" a="1"/>
  <c r="AJ93" i="8" s="1"/>
  <c r="AK93" i="8" s="1"/>
  <c r="G129" i="8"/>
  <c r="AJ129" i="8" a="1"/>
  <c r="AJ129" i="8" s="1"/>
  <c r="AK129" i="8" s="1"/>
  <c r="AJ189" i="8" a="1"/>
  <c r="AJ189" i="8" s="1"/>
  <c r="AK189" i="8" s="1"/>
  <c r="AJ209" i="8" a="1"/>
  <c r="AJ209" i="8" s="1"/>
  <c r="AK209" i="8" s="1"/>
  <c r="AJ269" i="8" a="1"/>
  <c r="AJ269" i="8" s="1"/>
  <c r="AK269" i="8" s="1"/>
  <c r="AJ289" i="8" a="1"/>
  <c r="AJ289" i="8" s="1"/>
  <c r="AK289" i="8" s="1"/>
  <c r="AJ346" i="8" a="1"/>
  <c r="AJ346" i="8" s="1"/>
  <c r="AK346" i="8" s="1"/>
  <c r="F366" i="8"/>
  <c r="AJ366" i="8" a="1"/>
  <c r="AJ366" i="8" s="1"/>
  <c r="AK366" i="8" s="1"/>
  <c r="AJ426" i="8" a="1"/>
  <c r="AJ426" i="8" s="1"/>
  <c r="AK426" i="8" s="1"/>
  <c r="F486" i="8"/>
  <c r="AJ486" i="8" a="1"/>
  <c r="AJ486" i="8" s="1"/>
  <c r="AK486" i="8" s="1"/>
  <c r="E506" i="8"/>
  <c r="AJ506" i="8" a="1"/>
  <c r="AJ506" i="8" s="1"/>
  <c r="AK506" i="8" s="1"/>
  <c r="AJ436" i="8" a="1"/>
  <c r="AJ436" i="8" s="1"/>
  <c r="AK436" i="8" s="1"/>
  <c r="AJ374" i="8" a="1"/>
  <c r="AJ374" i="8" s="1"/>
  <c r="AK374" i="8" s="1"/>
  <c r="AJ311" i="8" a="1"/>
  <c r="AJ311" i="8" s="1"/>
  <c r="AK311" i="8" s="1"/>
  <c r="AJ249" i="8" a="1"/>
  <c r="AJ249" i="8" s="1"/>
  <c r="AK249" i="8" s="1"/>
  <c r="AJ217" i="8" a="1"/>
  <c r="AJ217" i="8" s="1"/>
  <c r="AK217" i="8" s="1"/>
  <c r="AJ186" i="8" a="1"/>
  <c r="AJ186" i="8" s="1"/>
  <c r="AK186" i="8" s="1"/>
  <c r="AJ155" i="8" a="1"/>
  <c r="AJ155" i="8" s="1"/>
  <c r="AK155" i="8" s="1"/>
  <c r="AJ123" i="8" a="1"/>
  <c r="AJ123" i="8" s="1"/>
  <c r="AK123" i="8" s="1"/>
  <c r="AJ62" i="8" a="1"/>
  <c r="AJ62" i="8" s="1"/>
  <c r="AK62" i="8" s="1"/>
  <c r="E412" i="8"/>
  <c r="AJ412" i="8" a="1"/>
  <c r="AJ412" i="8" s="1"/>
  <c r="AK412" i="8" s="1"/>
  <c r="E241" i="8"/>
  <c r="AJ241" i="8" a="1"/>
  <c r="AJ241" i="8" s="1"/>
  <c r="AK241" i="8" s="1"/>
  <c r="AJ378" i="8" a="1"/>
  <c r="AJ378" i="8" s="1"/>
  <c r="AK378" i="8" s="1"/>
  <c r="AJ398" i="8" a="1"/>
  <c r="AJ398" i="8" s="1"/>
  <c r="AK398" i="8" s="1"/>
  <c r="H458" i="8"/>
  <c r="AJ458" i="8" a="1"/>
  <c r="AJ458" i="8" s="1"/>
  <c r="AK458" i="8" s="1"/>
  <c r="D518" i="8"/>
  <c r="AJ518" i="8" a="1"/>
  <c r="AJ518" i="8" s="1"/>
  <c r="AK518" i="8" s="1"/>
  <c r="AJ530" i="8" a="1"/>
  <c r="AJ530" i="8" s="1"/>
  <c r="AK530" i="8" s="1"/>
  <c r="AJ497" i="8" a="1"/>
  <c r="AJ497" i="8" s="1"/>
  <c r="AK497" i="8" s="1"/>
  <c r="AJ465" i="8" a="1"/>
  <c r="AJ465" i="8" s="1"/>
  <c r="AK465" i="8" s="1"/>
  <c r="AJ433" i="8" a="1"/>
  <c r="AJ433" i="8" s="1"/>
  <c r="AK433" i="8" s="1"/>
  <c r="AJ340" i="8" a="1"/>
  <c r="AJ340" i="8" s="1"/>
  <c r="AK340" i="8" s="1"/>
  <c r="AJ308" i="8" a="1"/>
  <c r="AJ308" i="8" s="1"/>
  <c r="AK308" i="8" s="1"/>
  <c r="AJ277" i="8" a="1"/>
  <c r="AJ277" i="8" s="1"/>
  <c r="AK277" i="8" s="1"/>
  <c r="AJ245" i="8" a="1"/>
  <c r="AJ245" i="8" s="1"/>
  <c r="AK245" i="8" s="1"/>
  <c r="AJ183" i="8" a="1"/>
  <c r="AJ183" i="8" s="1"/>
  <c r="AK183" i="8" s="1"/>
  <c r="AJ59" i="8" a="1"/>
  <c r="AJ59" i="8" s="1"/>
  <c r="AK59" i="8" s="1"/>
  <c r="AJ95" i="8" a="1"/>
  <c r="AJ95" i="8" s="1"/>
  <c r="AK95" i="8" s="1"/>
  <c r="E115" i="8"/>
  <c r="AJ115" i="8" a="1"/>
  <c r="AJ115" i="8" s="1"/>
  <c r="AK115" i="8" s="1"/>
  <c r="I392" i="8"/>
  <c r="AJ392" i="8" a="1"/>
  <c r="AJ392" i="8" s="1"/>
  <c r="AK392" i="8" s="1"/>
  <c r="I18" i="8"/>
  <c r="AJ18" i="8" a="1"/>
  <c r="AJ18" i="8" s="1"/>
  <c r="AK18" i="8" s="1"/>
  <c r="D38" i="8"/>
  <c r="AJ38" i="8" a="1"/>
  <c r="AJ38" i="8" s="1"/>
  <c r="AK38" i="8" s="1"/>
  <c r="AJ58" i="8" a="1"/>
  <c r="AJ58" i="8" s="1"/>
  <c r="AK58" i="8" s="1"/>
  <c r="AJ158" i="8" a="1"/>
  <c r="AJ158" i="8" s="1"/>
  <c r="AK158" i="8" s="1"/>
  <c r="AJ178" i="8" a="1"/>
  <c r="AJ178" i="8" s="1"/>
  <c r="AK178" i="8" s="1"/>
  <c r="AJ498" i="8" a="1"/>
  <c r="AJ498" i="8" s="1"/>
  <c r="AK498" i="8" s="1"/>
  <c r="AJ246" i="8" a="1"/>
  <c r="AJ246" i="8" s="1"/>
  <c r="AK246" i="8" s="1"/>
  <c r="AJ184" i="8" a="1"/>
  <c r="AJ184" i="8" s="1"/>
  <c r="AK184" i="8" s="1"/>
  <c r="AJ221" i="8" a="1"/>
  <c r="AJ221" i="8" s="1"/>
  <c r="AK221" i="8" s="1"/>
  <c r="AH261" i="8"/>
  <c r="BB261" i="8" s="1"/>
  <c r="AJ261" i="8" a="1"/>
  <c r="AJ261" i="8" s="1"/>
  <c r="AK261" i="8" s="1"/>
  <c r="AH318" i="8"/>
  <c r="BB318" i="8" s="1"/>
  <c r="AJ318" i="8" a="1"/>
  <c r="AJ318" i="8" s="1"/>
  <c r="AK318" i="8" s="1"/>
  <c r="G64" i="8"/>
  <c r="AJ64" i="8" a="1"/>
  <c r="AJ64" i="8" s="1"/>
  <c r="AK64" i="8" s="1"/>
  <c r="AJ84" i="8" a="1"/>
  <c r="AJ84" i="8" s="1"/>
  <c r="AK84" i="8" s="1"/>
  <c r="AJ104" i="8" a="1"/>
  <c r="AJ104" i="8" s="1"/>
  <c r="AK104" i="8" s="1"/>
  <c r="AJ144" i="8" a="1"/>
  <c r="AJ144" i="8" s="1"/>
  <c r="AK144" i="8" s="1"/>
  <c r="AJ164" i="8" a="1"/>
  <c r="AJ164" i="8" s="1"/>
  <c r="AK164" i="8" s="1"/>
  <c r="AJ204" i="8" a="1"/>
  <c r="AJ204" i="8" s="1"/>
  <c r="AK204" i="8" s="1"/>
  <c r="AJ224" i="8" a="1"/>
  <c r="AJ224" i="8" s="1"/>
  <c r="AK224" i="8" s="1"/>
  <c r="C284" i="8"/>
  <c r="AJ284" i="8" a="1"/>
  <c r="AJ284" i="8" s="1"/>
  <c r="AK284" i="8" s="1"/>
  <c r="AJ301" i="8" a="1"/>
  <c r="AJ301" i="8" s="1"/>
  <c r="AK301" i="8" s="1"/>
  <c r="AJ361" i="8" a="1"/>
  <c r="AJ361" i="8" s="1"/>
  <c r="AK361" i="8" s="1"/>
  <c r="I381" i="8"/>
  <c r="AJ381" i="8" a="1"/>
  <c r="AJ381" i="8" s="1"/>
  <c r="AK381" i="8" s="1"/>
  <c r="AJ441" i="8" a="1"/>
  <c r="AJ441" i="8" s="1"/>
  <c r="AK441" i="8" s="1"/>
  <c r="AJ528" i="8" a="1"/>
  <c r="AJ528" i="8" s="1"/>
  <c r="AK528" i="8" s="1"/>
  <c r="AJ495" i="8" a="1"/>
  <c r="AJ495" i="8" s="1"/>
  <c r="AK495" i="8" s="1"/>
  <c r="AJ432" i="8" a="1"/>
  <c r="AJ432" i="8" s="1"/>
  <c r="AK432" i="8" s="1"/>
  <c r="AJ306" i="8" a="1"/>
  <c r="AJ306" i="8" s="1"/>
  <c r="AK306" i="8" s="1"/>
  <c r="AJ182" i="8" a="1"/>
  <c r="AJ182" i="8" s="1"/>
  <c r="AK182" i="8" s="1"/>
  <c r="AJ119" i="8" a="1"/>
  <c r="AJ119" i="8" s="1"/>
  <c r="AK119" i="8" s="1"/>
  <c r="AJ88" i="8" a="1"/>
  <c r="AJ88" i="8" s="1"/>
  <c r="AK88" i="8" s="1"/>
  <c r="AJ57" i="8" a="1"/>
  <c r="AJ57" i="8" s="1"/>
  <c r="AK57" i="8" s="1"/>
  <c r="F492" i="8"/>
  <c r="AJ492" i="8" a="1"/>
  <c r="AJ492" i="8" s="1"/>
  <c r="AK492" i="8" s="1"/>
  <c r="AH238" i="8"/>
  <c r="BB238" i="8" s="1"/>
  <c r="AJ238" i="8" a="1"/>
  <c r="AJ238" i="8" s="1"/>
  <c r="AK238" i="8" s="1"/>
  <c r="AJ127" i="8" a="1"/>
  <c r="AJ127" i="8" s="1"/>
  <c r="AK127" i="8" s="1"/>
  <c r="D147" i="8"/>
  <c r="AJ147" i="8" a="1"/>
  <c r="AJ147" i="8" s="1"/>
  <c r="AK147" i="8" s="1"/>
  <c r="AJ207" i="8" a="1"/>
  <c r="AJ207" i="8" s="1"/>
  <c r="AK207" i="8" s="1"/>
  <c r="AJ287" i="8" a="1"/>
  <c r="AJ287" i="8" s="1"/>
  <c r="AK287" i="8" s="1"/>
  <c r="AJ304" i="8" a="1"/>
  <c r="AJ304" i="8" s="1"/>
  <c r="AK304" i="8" s="1"/>
  <c r="AJ364" i="8" a="1"/>
  <c r="AJ364" i="8" s="1"/>
  <c r="AK364" i="8" s="1"/>
  <c r="AJ424" i="8" a="1"/>
  <c r="AJ424" i="8" s="1"/>
  <c r="AK424" i="8" s="1"/>
  <c r="D464" i="8"/>
  <c r="AJ464" i="8" a="1"/>
  <c r="AJ464" i="8" s="1"/>
  <c r="AK464" i="8" s="1"/>
  <c r="E504" i="8"/>
  <c r="AJ504" i="8" a="1"/>
  <c r="AJ504" i="8" s="1"/>
  <c r="AK504" i="8" s="1"/>
  <c r="AH524" i="8"/>
  <c r="BB524" i="8" s="1"/>
  <c r="AJ524" i="8" a="1"/>
  <c r="AJ524" i="8" s="1"/>
  <c r="AK524" i="8" s="1"/>
  <c r="AJ527" i="8" a="1"/>
  <c r="AJ527" i="8" s="1"/>
  <c r="AK527" i="8" s="1"/>
  <c r="AJ494" i="8" a="1"/>
  <c r="AJ494" i="8" s="1"/>
  <c r="AK494" i="8" s="1"/>
  <c r="AJ431" i="8" a="1"/>
  <c r="AJ431" i="8" s="1"/>
  <c r="AK431" i="8" s="1"/>
  <c r="AJ370" i="8" a="1"/>
  <c r="AJ370" i="8" s="1"/>
  <c r="AK370" i="8" s="1"/>
  <c r="AJ337" i="8" a="1"/>
  <c r="AJ337" i="8" s="1"/>
  <c r="AK337" i="8" s="1"/>
  <c r="AJ243" i="8" a="1"/>
  <c r="AJ243" i="8" s="1"/>
  <c r="AK243" i="8" s="1"/>
  <c r="AJ181" i="8" a="1"/>
  <c r="AJ181" i="8" s="1"/>
  <c r="AK181" i="8" s="1"/>
  <c r="AJ150" i="8" a="1"/>
  <c r="AJ150" i="8" s="1"/>
  <c r="AK150" i="8" s="1"/>
  <c r="AJ118" i="8" a="1"/>
  <c r="AJ118" i="8" s="1"/>
  <c r="AK118" i="8" s="1"/>
  <c r="AJ56" i="8" a="1"/>
  <c r="AJ56" i="8" s="1"/>
  <c r="AK56" i="8" s="1"/>
  <c r="AJ24" i="8" a="1"/>
  <c r="AJ24" i="8" s="1"/>
  <c r="AK24" i="8" s="1"/>
  <c r="AH258" i="8"/>
  <c r="BB258" i="8" s="1"/>
  <c r="AJ258" i="8" a="1"/>
  <c r="AJ258" i="8" s="1"/>
  <c r="AK258" i="8" s="1"/>
  <c r="AJ161" i="8" a="1"/>
  <c r="AJ161" i="8" s="1"/>
  <c r="AK161" i="8" s="1"/>
  <c r="D347" i="8"/>
  <c r="AJ347" i="8" a="1"/>
  <c r="AJ347" i="8" s="1"/>
  <c r="AK347" i="8" s="1"/>
  <c r="AJ367" i="8" a="1"/>
  <c r="AJ367" i="8" s="1"/>
  <c r="AK367" i="8" s="1"/>
  <c r="AH407" i="8"/>
  <c r="BB407" i="8" s="1"/>
  <c r="AJ407" i="8" a="1"/>
  <c r="AJ407" i="8" s="1"/>
  <c r="AK407" i="8" s="1"/>
  <c r="AJ427" i="8" a="1"/>
  <c r="AJ427" i="8" s="1"/>
  <c r="AK427" i="8" s="1"/>
  <c r="AJ487" i="8" a="1"/>
  <c r="AJ487" i="8" s="1"/>
  <c r="AK487" i="8" s="1"/>
  <c r="AH507" i="8"/>
  <c r="BB507" i="8" s="1"/>
  <c r="AJ507" i="8" a="1"/>
  <c r="AJ507" i="8" s="1"/>
  <c r="AK507" i="8" s="1"/>
  <c r="AJ493" i="8" a="1"/>
  <c r="AJ493" i="8" s="1"/>
  <c r="AK493" i="8" s="1"/>
  <c r="AJ462" i="8" a="1"/>
  <c r="AJ462" i="8" s="1"/>
  <c r="AK462" i="8" s="1"/>
  <c r="AJ400" i="8" a="1"/>
  <c r="AJ400" i="8" s="1"/>
  <c r="AK400" i="8" s="1"/>
  <c r="AJ336" i="8" a="1"/>
  <c r="AJ336" i="8" s="1"/>
  <c r="AK336" i="8" s="1"/>
  <c r="AJ274" i="8" a="1"/>
  <c r="AJ274" i="8" s="1"/>
  <c r="AK274" i="8" s="1"/>
  <c r="AJ149" i="8" a="1"/>
  <c r="AJ149" i="8" s="1"/>
  <c r="AK149" i="8" s="1"/>
  <c r="AJ117" i="8" a="1"/>
  <c r="AJ117" i="8" s="1"/>
  <c r="AK117" i="8" s="1"/>
  <c r="AJ23" i="8" a="1"/>
  <c r="AJ23" i="8" s="1"/>
  <c r="AK23" i="8" s="1"/>
  <c r="AJ332" i="8" a="1"/>
  <c r="AJ332" i="8" s="1"/>
  <c r="AK332" i="8" s="1"/>
  <c r="AJ21" i="8" a="1"/>
  <c r="AJ21" i="8" s="1"/>
  <c r="AK21" i="8" s="1"/>
  <c r="AJ81" i="8" a="1"/>
  <c r="AJ81" i="8" s="1"/>
  <c r="AK81" i="8" s="1"/>
  <c r="F101" i="8"/>
  <c r="AJ101" i="8" a="1"/>
  <c r="AJ101" i="8" s="1"/>
  <c r="AK101" i="8" s="1"/>
  <c r="AJ330" i="8" a="1"/>
  <c r="AJ330" i="8" s="1"/>
  <c r="AK330" i="8" s="1"/>
  <c r="AJ350" i="8" a="1"/>
  <c r="AJ350" i="8" s="1"/>
  <c r="AK350" i="8" s="1"/>
  <c r="AH410" i="8"/>
  <c r="BB410" i="8" s="1"/>
  <c r="AJ410" i="8" a="1"/>
  <c r="AJ410" i="8" s="1"/>
  <c r="AK410" i="8" s="1"/>
  <c r="AJ430" i="8" a="1"/>
  <c r="AJ430" i="8" s="1"/>
  <c r="AK430" i="8" s="1"/>
  <c r="AJ490" i="8" a="1"/>
  <c r="AJ490" i="8" s="1"/>
  <c r="AK490" i="8" s="1"/>
  <c r="AJ517" i="8" a="1"/>
  <c r="AJ517" i="8" s="1"/>
  <c r="AK517" i="8" s="1"/>
  <c r="AJ485" i="8" a="1"/>
  <c r="AJ485" i="8" s="1"/>
  <c r="AK485" i="8" s="1"/>
  <c r="AJ422" i="8" a="1"/>
  <c r="AJ422" i="8" s="1"/>
  <c r="AK422" i="8" s="1"/>
  <c r="AJ391" i="8" a="1"/>
  <c r="AJ391" i="8" s="1"/>
  <c r="AK391" i="8" s="1"/>
  <c r="AJ267" i="8" a="1"/>
  <c r="AJ267" i="8" s="1"/>
  <c r="AK267" i="8" s="1"/>
  <c r="AJ234" i="8" a="1"/>
  <c r="AJ234" i="8" s="1"/>
  <c r="AK234" i="8" s="1"/>
  <c r="AJ173" i="8" a="1"/>
  <c r="AJ173" i="8" s="1"/>
  <c r="AK173" i="8" s="1"/>
  <c r="AJ79" i="8" a="1"/>
  <c r="AJ79" i="8" s="1"/>
  <c r="AK79" i="8" s="1"/>
  <c r="AJ135" i="8" a="1"/>
  <c r="AJ135" i="8" s="1"/>
  <c r="AK135" i="8" s="1"/>
  <c r="AJ175" i="8" a="1"/>
  <c r="AJ175" i="8" s="1"/>
  <c r="AK175" i="8" s="1"/>
  <c r="E98" i="8"/>
  <c r="AJ98" i="8" a="1"/>
  <c r="AJ98" i="8" s="1"/>
  <c r="AK98" i="8" s="1"/>
  <c r="D315" i="8"/>
  <c r="AJ315" i="8" a="1"/>
  <c r="AJ315" i="8" s="1"/>
  <c r="AK315" i="8" s="1"/>
  <c r="E455" i="8"/>
  <c r="AJ455" i="8" a="1"/>
  <c r="AJ455" i="8" s="1"/>
  <c r="AK455" i="8" s="1"/>
  <c r="AJ475" i="8" a="1"/>
  <c r="AJ475" i="8" s="1"/>
  <c r="AK475" i="8" s="1"/>
  <c r="AJ466" i="8" a="1"/>
  <c r="AJ466" i="8" s="1"/>
  <c r="AK466" i="8" s="1"/>
  <c r="AJ278" i="8" a="1"/>
  <c r="AJ278" i="8" s="1"/>
  <c r="AK278" i="8" s="1"/>
  <c r="D130" i="8"/>
  <c r="AJ130" i="8" a="1"/>
  <c r="AJ130" i="8" s="1"/>
  <c r="AK130" i="8" s="1"/>
  <c r="C230" i="8"/>
  <c r="AJ230" i="8" a="1"/>
  <c r="AJ230" i="8" s="1"/>
  <c r="AK230" i="8" s="1"/>
  <c r="G270" i="8"/>
  <c r="AJ270" i="8" a="1"/>
  <c r="AJ270" i="8" s="1"/>
  <c r="AK270" i="8" s="1"/>
  <c r="AH307" i="8"/>
  <c r="BB307" i="8" s="1"/>
  <c r="AJ307" i="8" a="1"/>
  <c r="AJ307" i="8" s="1"/>
  <c r="AK307" i="8" s="1"/>
  <c r="C96" i="8"/>
  <c r="AJ96" i="8" a="1"/>
  <c r="AJ96" i="8" s="1"/>
  <c r="AK96" i="8" s="1"/>
  <c r="AH236" i="8"/>
  <c r="BB236" i="8" s="1"/>
  <c r="AJ236" i="8" a="1"/>
  <c r="AJ236" i="8" s="1"/>
  <c r="AK236" i="8" s="1"/>
  <c r="AJ256" i="8" a="1"/>
  <c r="AJ256" i="8" s="1"/>
  <c r="AK256" i="8" s="1"/>
  <c r="C276" i="8"/>
  <c r="AJ276" i="8" a="1"/>
  <c r="AJ276" i="8" s="1"/>
  <c r="AK276" i="8" s="1"/>
  <c r="AH313" i="8"/>
  <c r="BB313" i="8" s="1"/>
  <c r="AJ313" i="8" a="1"/>
  <c r="AJ313" i="8" s="1"/>
  <c r="AK313" i="8" s="1"/>
  <c r="AH333" i="8"/>
  <c r="BB333" i="8" s="1"/>
  <c r="AJ333" i="8" a="1"/>
  <c r="AJ333" i="8" s="1"/>
  <c r="AK333" i="8" s="1"/>
  <c r="AJ393" i="8" a="1"/>
  <c r="AJ393" i="8" s="1"/>
  <c r="AK393" i="8" s="1"/>
  <c r="D413" i="8"/>
  <c r="AJ413" i="8" a="1"/>
  <c r="AJ413" i="8" s="1"/>
  <c r="AK413" i="8" s="1"/>
  <c r="AJ473" i="8" a="1"/>
  <c r="AJ473" i="8" s="1"/>
  <c r="AK473" i="8" s="1"/>
  <c r="AJ516" i="8" a="1"/>
  <c r="AJ516" i="8" s="1"/>
  <c r="AK516" i="8" s="1"/>
  <c r="AJ484" i="8" a="1"/>
  <c r="AJ484" i="8" s="1"/>
  <c r="AK484" i="8" s="1"/>
  <c r="AJ421" i="8" a="1"/>
  <c r="AJ421" i="8" s="1"/>
  <c r="AK421" i="8" s="1"/>
  <c r="AJ360" i="8" a="1"/>
  <c r="AJ360" i="8" s="1"/>
  <c r="AK360" i="8" s="1"/>
  <c r="AJ328" i="8" a="1"/>
  <c r="AJ328" i="8" s="1"/>
  <c r="AK328" i="8" s="1"/>
  <c r="AJ297" i="8" a="1"/>
  <c r="AJ297" i="8" s="1"/>
  <c r="AK297" i="8" s="1"/>
  <c r="AJ203" i="8" a="1"/>
  <c r="AJ203" i="8" s="1"/>
  <c r="AK203" i="8" s="1"/>
  <c r="AJ46" i="8" a="1"/>
  <c r="AJ46" i="8" s="1"/>
  <c r="AK46" i="8" s="1"/>
  <c r="AJ14" i="8" a="1"/>
  <c r="AJ14" i="8" s="1"/>
  <c r="AK14" i="8" s="1"/>
  <c r="AJ19" i="8" a="1"/>
  <c r="AJ19" i="8" s="1"/>
  <c r="AK19" i="8" s="1"/>
  <c r="AJ39" i="8" a="1"/>
  <c r="AJ39" i="8" s="1"/>
  <c r="AK39" i="8" s="1"/>
  <c r="AJ199" i="8" a="1"/>
  <c r="AJ199" i="8" s="1"/>
  <c r="AK199" i="8" s="1"/>
  <c r="AJ316" i="8" a="1"/>
  <c r="AJ316" i="8" s="1"/>
  <c r="AK316" i="8" s="1"/>
  <c r="AJ376" i="8" a="1"/>
  <c r="AJ376" i="8" s="1"/>
  <c r="AK376" i="8" s="1"/>
  <c r="AJ396" i="8" a="1"/>
  <c r="AJ396" i="8" s="1"/>
  <c r="AK396" i="8" s="1"/>
  <c r="AJ416" i="8" a="1"/>
  <c r="AJ416" i="8" s="1"/>
  <c r="AK416" i="8" s="1"/>
  <c r="AJ359" i="8" a="1"/>
  <c r="AJ359" i="8" s="1"/>
  <c r="AK359" i="8" s="1"/>
  <c r="AJ327" i="8" a="1"/>
  <c r="AJ327" i="8" s="1"/>
  <c r="AK327" i="8" s="1"/>
  <c r="AJ296" i="8" a="1"/>
  <c r="AJ296" i="8" s="1"/>
  <c r="AK296" i="8" s="1"/>
  <c r="AJ265" i="8" a="1"/>
  <c r="AJ265" i="8" s="1"/>
  <c r="AK265" i="8" s="1"/>
  <c r="AJ233" i="8" a="1"/>
  <c r="AJ233" i="8" s="1"/>
  <c r="AK233" i="8" s="1"/>
  <c r="AJ140" i="8" a="1"/>
  <c r="AJ140" i="8" s="1"/>
  <c r="AK140" i="8" s="1"/>
  <c r="AJ108" i="8" a="1"/>
  <c r="AJ108" i="8" s="1"/>
  <c r="AK108" i="8" s="1"/>
  <c r="AJ77" i="8" a="1"/>
  <c r="AJ77" i="8" s="1"/>
  <c r="AK77" i="8" s="1"/>
  <c r="AH195" i="8"/>
  <c r="BB195" i="8" s="1"/>
  <c r="AJ195" i="8" a="1"/>
  <c r="AJ195" i="8" s="1"/>
  <c r="AK195" i="8" s="1"/>
  <c r="E235" i="8"/>
  <c r="AJ235" i="8" a="1"/>
  <c r="AJ235" i="8" s="1"/>
  <c r="AK235" i="8" s="1"/>
  <c r="AH255" i="8"/>
  <c r="BB255" i="8" s="1"/>
  <c r="AJ255" i="8" a="1"/>
  <c r="AJ255" i="8" s="1"/>
  <c r="AK255" i="8" s="1"/>
  <c r="AJ472" i="8" a="1"/>
  <c r="AJ472" i="8" s="1"/>
  <c r="AK472" i="8" s="1"/>
  <c r="G335" i="8"/>
  <c r="AJ335" i="8" a="1"/>
  <c r="AJ335" i="8" s="1"/>
  <c r="AK335" i="8" s="1"/>
  <c r="AJ403" i="8" a="1"/>
  <c r="AJ403" i="8" s="1"/>
  <c r="AK403" i="8" s="1"/>
  <c r="AJ214" i="8" a="1"/>
  <c r="AJ214" i="8" s="1"/>
  <c r="AK214" i="8" s="1"/>
  <c r="AJ121" i="8" a="1"/>
  <c r="AJ121" i="8" s="1"/>
  <c r="AK121" i="8" s="1"/>
  <c r="AJ60" i="8" a="1"/>
  <c r="AJ60" i="8" s="1"/>
  <c r="AK60" i="8" s="1"/>
  <c r="AJ28" i="8" a="1"/>
  <c r="AJ28" i="8" s="1"/>
  <c r="AK28" i="8" s="1"/>
  <c r="AJ67" i="8" a="1"/>
  <c r="AJ67" i="8" s="1"/>
  <c r="AK67" i="8" s="1"/>
  <c r="AJ50" i="8" a="1"/>
  <c r="AJ50" i="8" s="1"/>
  <c r="AK50" i="8" s="1"/>
  <c r="AJ70" i="8" a="1"/>
  <c r="AJ70" i="8" s="1"/>
  <c r="AK70" i="8" s="1"/>
  <c r="D210" i="8"/>
  <c r="AJ210" i="8" a="1"/>
  <c r="AJ210" i="8" s="1"/>
  <c r="AK210" i="8" s="1"/>
  <c r="D33" i="8"/>
  <c r="AJ33" i="8" a="1"/>
  <c r="AJ33" i="8" s="1"/>
  <c r="AK33" i="8" s="1"/>
  <c r="H113" i="8"/>
  <c r="AJ113" i="8" a="1"/>
  <c r="AJ113" i="8" s="1"/>
  <c r="AK113" i="8" s="1"/>
  <c r="AH193" i="8"/>
  <c r="BB193" i="8" s="1"/>
  <c r="AJ193" i="8" a="1"/>
  <c r="AJ193" i="8" s="1"/>
  <c r="AK193" i="8" s="1"/>
  <c r="AH253" i="8"/>
  <c r="BB253" i="8" s="1"/>
  <c r="AJ253" i="8" a="1"/>
  <c r="AJ253" i="8" s="1"/>
  <c r="AK253" i="8" s="1"/>
  <c r="I273" i="8"/>
  <c r="AJ273" i="8" a="1"/>
  <c r="AJ273" i="8" s="1"/>
  <c r="AK273" i="8" s="1"/>
  <c r="AJ36" i="8" a="1"/>
  <c r="AJ36" i="8" s="1"/>
  <c r="AK36" i="8" s="1"/>
  <c r="AJ116" i="8" a="1"/>
  <c r="AJ116" i="8" s="1"/>
  <c r="AK116" i="8" s="1"/>
  <c r="AJ176" i="8" a="1"/>
  <c r="AJ176" i="8" s="1"/>
  <c r="AK176" i="8" s="1"/>
  <c r="F22" i="8"/>
  <c r="AJ22" i="8" a="1"/>
  <c r="AJ22" i="8" s="1"/>
  <c r="AK22" i="8" s="1"/>
  <c r="AJ42" i="8" a="1"/>
  <c r="AJ42" i="8" s="1"/>
  <c r="AK42" i="8" s="1"/>
  <c r="D82" i="8"/>
  <c r="AJ82" i="8" a="1"/>
  <c r="AJ82" i="8" s="1"/>
  <c r="AK82" i="8" s="1"/>
  <c r="G102" i="8"/>
  <c r="AJ102" i="8" a="1"/>
  <c r="AJ102" i="8" s="1"/>
  <c r="AK102" i="8" s="1"/>
  <c r="AJ142" i="8" a="1"/>
  <c r="AJ142" i="8" s="1"/>
  <c r="AK142" i="8" s="1"/>
  <c r="H162" i="8"/>
  <c r="AJ162" i="8" a="1"/>
  <c r="AJ162" i="8" s="1"/>
  <c r="AK162" i="8" s="1"/>
  <c r="AJ222" i="8" a="1"/>
  <c r="AJ222" i="8" s="1"/>
  <c r="AK222" i="8" s="1"/>
  <c r="AJ242" i="8" a="1"/>
  <c r="AJ242" i="8" s="1"/>
  <c r="AK242" i="8" s="1"/>
  <c r="AJ299" i="8" a="1"/>
  <c r="AJ299" i="8" s="1"/>
  <c r="AK299" i="8" s="1"/>
  <c r="AJ319" i="8" a="1"/>
  <c r="AJ319" i="8" s="1"/>
  <c r="AK319" i="8" s="1"/>
  <c r="AJ339" i="8" a="1"/>
  <c r="AJ339" i="8" s="1"/>
  <c r="AK339" i="8" s="1"/>
  <c r="AJ379" i="8" a="1"/>
  <c r="AJ379" i="8" s="1"/>
  <c r="AK379" i="8" s="1"/>
  <c r="AJ399" i="8" a="1"/>
  <c r="AJ399" i="8" s="1"/>
  <c r="AK399" i="8" s="1"/>
  <c r="AJ459" i="8" a="1"/>
  <c r="AJ459" i="8" s="1"/>
  <c r="AK459" i="8" s="1"/>
  <c r="AJ519" i="8" a="1"/>
  <c r="AJ519" i="8" s="1"/>
  <c r="AK519" i="8" s="1"/>
  <c r="AJ514" i="8" a="1"/>
  <c r="AJ514" i="8" s="1"/>
  <c r="AK514" i="8" s="1"/>
  <c r="AJ451" i="8" a="1"/>
  <c r="AJ451" i="8" s="1"/>
  <c r="AK451" i="8" s="1"/>
  <c r="AJ420" i="8" a="1"/>
  <c r="AJ420" i="8" s="1"/>
  <c r="AK420" i="8" s="1"/>
  <c r="AJ358" i="8" a="1"/>
  <c r="AJ358" i="8" s="1"/>
  <c r="AK358" i="8" s="1"/>
  <c r="AJ326" i="8" a="1"/>
  <c r="AJ326" i="8" s="1"/>
  <c r="AK326" i="8" s="1"/>
  <c r="AJ202" i="8" a="1"/>
  <c r="AJ202" i="8" s="1"/>
  <c r="AK202" i="8" s="1"/>
  <c r="AJ139" i="8" a="1"/>
  <c r="AJ139" i="8" s="1"/>
  <c r="AK139" i="8" s="1"/>
  <c r="AJ107" i="8" a="1"/>
  <c r="AJ107" i="8" s="1"/>
  <c r="AK107" i="8" s="1"/>
  <c r="G395" i="8"/>
  <c r="AJ395" i="8" a="1"/>
  <c r="AJ395" i="8" s="1"/>
  <c r="AK395" i="8" s="1"/>
  <c r="AJ7" i="8" a="1"/>
  <c r="AJ7" i="8" s="1"/>
  <c r="AK7" i="8" s="1"/>
  <c r="C190" i="8"/>
  <c r="AJ190" i="8" a="1"/>
  <c r="AJ190" i="8" s="1"/>
  <c r="AK190" i="8" s="1"/>
  <c r="I53" i="8"/>
  <c r="AJ53" i="8" a="1"/>
  <c r="AJ53" i="8" s="1"/>
  <c r="AK53" i="8" s="1"/>
  <c r="AJ213" i="8" a="1"/>
  <c r="AJ213" i="8" s="1"/>
  <c r="AK213" i="8" s="1"/>
  <c r="F16" i="8"/>
  <c r="AJ16" i="8" a="1"/>
  <c r="AJ16" i="8" s="1"/>
  <c r="AK16" i="8" s="1"/>
  <c r="F65" i="8"/>
  <c r="AJ65" i="8" a="1"/>
  <c r="AJ65" i="8" s="1"/>
  <c r="AK65" i="8" s="1"/>
  <c r="F85" i="8"/>
  <c r="AJ85" i="8" a="1"/>
  <c r="AJ85" i="8" s="1"/>
  <c r="AK85" i="8" s="1"/>
  <c r="I145" i="8"/>
  <c r="AJ145" i="8" a="1"/>
  <c r="AJ145" i="8" s="1"/>
  <c r="AK145" i="8" s="1"/>
  <c r="AJ205" i="8" a="1"/>
  <c r="AJ205" i="8" s="1"/>
  <c r="AK205" i="8" s="1"/>
  <c r="AJ225" i="8" a="1"/>
  <c r="AJ225" i="8" s="1"/>
  <c r="AK225" i="8" s="1"/>
  <c r="AJ302" i="8" a="1"/>
  <c r="AJ302" i="8" s="1"/>
  <c r="AK302" i="8" s="1"/>
  <c r="AJ382" i="8" a="1"/>
  <c r="AJ382" i="8" s="1"/>
  <c r="AK382" i="8" s="1"/>
  <c r="AJ402" i="8" a="1"/>
  <c r="AJ402" i="8" s="1"/>
  <c r="AK402" i="8" s="1"/>
  <c r="BC453" i="8"/>
  <c r="K453" i="8"/>
  <c r="AJ513" i="8" a="1"/>
  <c r="AJ513" i="8" s="1"/>
  <c r="AK513" i="8" s="1"/>
  <c r="AJ482" i="8" a="1"/>
  <c r="AJ482" i="8" s="1"/>
  <c r="AK482" i="8" s="1"/>
  <c r="AJ419" i="8" a="1"/>
  <c r="AJ419" i="8" s="1"/>
  <c r="AK419" i="8" s="1"/>
  <c r="AJ388" i="8" a="1"/>
  <c r="AJ388" i="8" s="1"/>
  <c r="AK388" i="8" s="1"/>
  <c r="AJ357" i="8" a="1"/>
  <c r="AJ357" i="8" s="1"/>
  <c r="AK357" i="8" s="1"/>
  <c r="AJ294" i="8" a="1"/>
  <c r="AJ294" i="8" s="1"/>
  <c r="AK294" i="8" s="1"/>
  <c r="AJ263" i="8" a="1"/>
  <c r="AJ263" i="8" s="1"/>
  <c r="AK263" i="8" s="1"/>
  <c r="AJ201" i="8" a="1"/>
  <c r="AJ201" i="8" s="1"/>
  <c r="AK201" i="8" s="1"/>
  <c r="AJ138" i="8" a="1"/>
  <c r="AJ138" i="8" s="1"/>
  <c r="AK138" i="8" s="1"/>
  <c r="AJ106" i="8" a="1"/>
  <c r="AJ106" i="8" s="1"/>
  <c r="AK106" i="8" s="1"/>
  <c r="AJ75" i="8" a="1"/>
  <c r="AJ75" i="8" s="1"/>
  <c r="AK75" i="8" s="1"/>
  <c r="AJ496" i="8" a="1"/>
  <c r="AJ496" i="8" s="1"/>
  <c r="AK496" i="8" s="1"/>
  <c r="AJ448" i="8" a="1"/>
  <c r="AJ448" i="8" s="1"/>
  <c r="AK448" i="8" s="1"/>
  <c r="AJ371" i="8" a="1"/>
  <c r="AJ371" i="8" s="1"/>
  <c r="AK371" i="8" s="1"/>
  <c r="AJ354" i="8" a="1"/>
  <c r="AJ354" i="8" s="1"/>
  <c r="AK354" i="8" s="1"/>
  <c r="AJ525" i="8" a="1"/>
  <c r="AJ525" i="8" s="1"/>
  <c r="AK525" i="8" s="1"/>
  <c r="AJ508" i="8" a="1"/>
  <c r="AJ508" i="8" s="1"/>
  <c r="AK508" i="8" s="1"/>
  <c r="AJ476" i="8" a="1"/>
  <c r="AJ476" i="8" s="1"/>
  <c r="AK476" i="8" s="1"/>
  <c r="AJ461" i="8" a="1"/>
  <c r="AJ461" i="8" s="1"/>
  <c r="AK461" i="8" s="1"/>
  <c r="AJ180" i="8" a="1"/>
  <c r="AJ180" i="8" s="1"/>
  <c r="AK180" i="8" s="1"/>
  <c r="AJ444" i="8" a="1"/>
  <c r="AJ444" i="8" s="1"/>
  <c r="AK444" i="8" s="1"/>
  <c r="AJ334" i="8" a="1"/>
  <c r="AJ334" i="8" s="1"/>
  <c r="AK334" i="8" s="1"/>
  <c r="AJ257" i="8" a="1"/>
  <c r="AJ257" i="8" s="1"/>
  <c r="AK257" i="8" s="1"/>
  <c r="AJ179" i="8" a="1"/>
  <c r="AJ179" i="8" s="1"/>
  <c r="AK179" i="8" s="1"/>
  <c r="AJ491" i="8" a="1"/>
  <c r="AJ491" i="8" s="1"/>
  <c r="AK491" i="8" s="1"/>
  <c r="AJ428" i="8" a="1"/>
  <c r="AJ428" i="8" s="1"/>
  <c r="AK428" i="8" s="1"/>
  <c r="AJ505" i="8" a="1"/>
  <c r="AJ505" i="8" s="1"/>
  <c r="AK505" i="8" s="1"/>
  <c r="AJ240" i="8" a="1"/>
  <c r="AJ240" i="8" s="1"/>
  <c r="AK240" i="8" s="1"/>
  <c r="AJ223" i="8" a="1"/>
  <c r="AJ223" i="8" s="1"/>
  <c r="AK223" i="8" s="1"/>
  <c r="AJ177" i="8" a="1"/>
  <c r="AJ177" i="8" s="1"/>
  <c r="AK177" i="8" s="1"/>
  <c r="AJ83" i="8" a="1"/>
  <c r="AJ83" i="8" s="1"/>
  <c r="AK83" i="8" s="1"/>
  <c r="AJ522" i="8" a="1"/>
  <c r="AJ522" i="8" s="1"/>
  <c r="AK522" i="8" s="1"/>
  <c r="AJ442" i="8" a="1"/>
  <c r="AJ442" i="8" s="1"/>
  <c r="AK442" i="8" s="1"/>
  <c r="AJ285" i="8" a="1"/>
  <c r="AJ285" i="8" s="1"/>
  <c r="AK285" i="8" s="1"/>
  <c r="AJ271" i="8" a="1"/>
  <c r="AJ271" i="8" s="1"/>
  <c r="AK271" i="8" s="1"/>
  <c r="AJ239" i="8" a="1"/>
  <c r="AJ239" i="8" s="1"/>
  <c r="AK239" i="8" s="1"/>
  <c r="AJ99" i="8" a="1"/>
  <c r="AJ99" i="8" s="1"/>
  <c r="AK99" i="8" s="1"/>
  <c r="AJ20" i="8" a="1"/>
  <c r="AJ20" i="8" s="1"/>
  <c r="AK20" i="8" s="1"/>
  <c r="AJ521" i="8" a="1"/>
  <c r="AJ521" i="8" s="1"/>
  <c r="AK521" i="8" s="1"/>
  <c r="AJ394" i="8" a="1"/>
  <c r="AJ394" i="8" s="1"/>
  <c r="AK394" i="8" s="1"/>
  <c r="AJ34" i="8" a="1"/>
  <c r="AJ34" i="8" s="1"/>
  <c r="AK34" i="8" s="1"/>
  <c r="AJ488" i="8" a="1"/>
  <c r="AJ488" i="8" s="1"/>
  <c r="AK488" i="8" s="1"/>
  <c r="AJ456" i="8" a="1"/>
  <c r="AJ456" i="8" s="1"/>
  <c r="AK456" i="8" s="1"/>
  <c r="AJ331" i="8" a="1"/>
  <c r="AJ331" i="8" s="1"/>
  <c r="AK331" i="8" s="1"/>
  <c r="AJ237" i="8" a="1"/>
  <c r="AJ237" i="8" s="1"/>
  <c r="AK237" i="8" s="1"/>
  <c r="AJ143" i="8" a="1"/>
  <c r="AJ143" i="8" s="1"/>
  <c r="AK143" i="8" s="1"/>
  <c r="AJ97" i="8" a="1"/>
  <c r="AJ97" i="8" s="1"/>
  <c r="AK97" i="8" s="1"/>
  <c r="AJ440" i="8" a="1"/>
  <c r="AJ440" i="8" s="1"/>
  <c r="AK440" i="8" s="1"/>
  <c r="AJ362" i="8" a="1"/>
  <c r="AJ362" i="8" s="1"/>
  <c r="AK362" i="8" s="1"/>
  <c r="AJ159" i="8" a="1"/>
  <c r="AJ159" i="8" s="1"/>
  <c r="AK159" i="8" s="1"/>
  <c r="AJ439" i="8" a="1"/>
  <c r="AJ439" i="8" s="1"/>
  <c r="AK439" i="8" s="1"/>
  <c r="AH403" i="8"/>
  <c r="BB403" i="8" s="1"/>
  <c r="BC127" i="8"/>
  <c r="K186" i="8"/>
  <c r="AH109" i="8"/>
  <c r="BB109" i="8" s="1"/>
  <c r="AH234" i="8"/>
  <c r="BB234" i="8" s="1"/>
  <c r="K351" i="8"/>
  <c r="BC242" i="8"/>
  <c r="E82" i="8"/>
  <c r="AH168" i="8"/>
  <c r="BB168" i="8" s="1"/>
  <c r="I82" i="8"/>
  <c r="H240" i="8"/>
  <c r="AH103" i="8"/>
  <c r="BB103" i="8" s="1"/>
  <c r="BC391" i="8"/>
  <c r="F66" i="8"/>
  <c r="I66" i="8"/>
  <c r="H66" i="8"/>
  <c r="E225" i="8"/>
  <c r="AH225" i="8"/>
  <c r="BB225" i="8" s="1"/>
  <c r="C491" i="8"/>
  <c r="G491" i="8"/>
  <c r="G69" i="8"/>
  <c r="AH211" i="8"/>
  <c r="BB211" i="8" s="1"/>
  <c r="K319" i="8"/>
  <c r="K393" i="8"/>
  <c r="F168" i="8"/>
  <c r="I173" i="8"/>
  <c r="D109" i="8"/>
  <c r="F14" i="8"/>
  <c r="I168" i="8"/>
  <c r="G14" i="8"/>
  <c r="E521" i="8"/>
  <c r="H173" i="8"/>
  <c r="H168" i="8"/>
  <c r="E101" i="8"/>
  <c r="D179" i="8"/>
  <c r="D521" i="8"/>
  <c r="H14" i="8"/>
  <c r="I14" i="8"/>
  <c r="F496" i="8"/>
  <c r="G521" i="8"/>
  <c r="C521" i="8"/>
  <c r="H479" i="8"/>
  <c r="AH442" i="8"/>
  <c r="BB442" i="8" s="1"/>
  <c r="G496" i="8"/>
  <c r="H185" i="8"/>
  <c r="G75" i="8"/>
  <c r="F115" i="8"/>
  <c r="I284" i="8"/>
  <c r="I467" i="8"/>
  <c r="E75" i="8"/>
  <c r="C18" i="8"/>
  <c r="D18" i="8"/>
  <c r="H75" i="8"/>
  <c r="E18" i="8"/>
  <c r="D32" i="8"/>
  <c r="E231" i="8"/>
  <c r="I241" i="8"/>
  <c r="F18" i="8"/>
  <c r="I40" i="8"/>
  <c r="G260" i="8"/>
  <c r="C410" i="8"/>
  <c r="D476" i="8"/>
  <c r="F193" i="8"/>
  <c r="E229" i="8"/>
  <c r="AH340" i="8"/>
  <c r="BB340" i="8" s="1"/>
  <c r="AH371" i="8"/>
  <c r="BB371" i="8" s="1"/>
  <c r="C449" i="8"/>
  <c r="H83" i="8"/>
  <c r="C151" i="8"/>
  <c r="BC243" i="8"/>
  <c r="H413" i="8"/>
  <c r="F449" i="8"/>
  <c r="I68" i="8"/>
  <c r="H229" i="8"/>
  <c r="F258" i="8"/>
  <c r="F479" i="8"/>
  <c r="H68" i="8"/>
  <c r="F229" i="8"/>
  <c r="E258" i="8"/>
  <c r="C186" i="8"/>
  <c r="E186" i="8"/>
  <c r="G258" i="8"/>
  <c r="G479" i="8"/>
  <c r="C525" i="8"/>
  <c r="D75" i="8"/>
  <c r="D40" i="8"/>
  <c r="I153" i="8"/>
  <c r="H233" i="8"/>
  <c r="G451" i="8"/>
  <c r="H62" i="8"/>
  <c r="E233" i="8"/>
  <c r="G347" i="8"/>
  <c r="AH151" i="8"/>
  <c r="BB151" i="8" s="1"/>
  <c r="H211" i="8"/>
  <c r="H498" i="8"/>
  <c r="K9" i="8"/>
  <c r="BC11" i="8"/>
  <c r="I203" i="8"/>
  <c r="H225" i="8"/>
  <c r="AH229" i="8"/>
  <c r="BB229" i="8" s="1"/>
  <c r="I231" i="8"/>
  <c r="AH241" i="8"/>
  <c r="BB241" i="8" s="1"/>
  <c r="I258" i="8"/>
  <c r="C498" i="8"/>
  <c r="G498" i="8"/>
  <c r="F225" i="8"/>
  <c r="AH468" i="8"/>
  <c r="BB468" i="8" s="1"/>
  <c r="E79" i="8"/>
  <c r="G79" i="8"/>
  <c r="I225" i="8"/>
  <c r="D240" i="8"/>
  <c r="I278" i="8"/>
  <c r="BC430" i="8"/>
  <c r="AH444" i="8"/>
  <c r="BB444" i="8" s="1"/>
  <c r="I235" i="8"/>
  <c r="H340" i="8"/>
  <c r="H407" i="8"/>
  <c r="C451" i="8"/>
  <c r="BC180" i="8"/>
  <c r="C79" i="8"/>
  <c r="AH38" i="8"/>
  <c r="BB38" i="8" s="1"/>
  <c r="D79" i="8"/>
  <c r="AH400" i="8"/>
  <c r="BB400" i="8" s="1"/>
  <c r="AH509" i="8"/>
  <c r="BB509" i="8" s="1"/>
  <c r="F102" i="8"/>
  <c r="AP189" i="8" a="1"/>
  <c r="AP189" i="8" s="1"/>
  <c r="AQ189" i="8" s="1"/>
  <c r="F162" i="8"/>
  <c r="H267" i="8"/>
  <c r="F272" i="8"/>
  <c r="H102" i="8"/>
  <c r="AP78" i="8" a="1"/>
  <c r="AP78" i="8" s="1"/>
  <c r="AQ78" i="8" s="1"/>
  <c r="D182" i="8"/>
  <c r="H324" i="8"/>
  <c r="I388" i="8"/>
  <c r="G112" i="8"/>
  <c r="F145" i="8"/>
  <c r="I155" i="8"/>
  <c r="C252" i="8"/>
  <c r="H265" i="8"/>
  <c r="G322" i="8"/>
  <c r="BC472" i="8"/>
  <c r="H522" i="8"/>
  <c r="I527" i="8"/>
  <c r="E24" i="8"/>
  <c r="H26" i="8"/>
  <c r="E62" i="8"/>
  <c r="D71" i="8"/>
  <c r="AP187" i="8" a="1"/>
  <c r="AP187" i="8" s="1"/>
  <c r="AQ187" i="8" s="1"/>
  <c r="BC202" i="8"/>
  <c r="E252" i="8"/>
  <c r="C263" i="8"/>
  <c r="F293" i="8"/>
  <c r="H322" i="8"/>
  <c r="F334" i="8"/>
  <c r="F344" i="8"/>
  <c r="I354" i="8"/>
  <c r="G362" i="8"/>
  <c r="E422" i="8"/>
  <c r="AH450" i="8"/>
  <c r="BB450" i="8" s="1"/>
  <c r="E461" i="8"/>
  <c r="D466" i="8"/>
  <c r="AP473" i="8" a="1"/>
  <c r="AP473" i="8" s="1"/>
  <c r="AQ473" i="8" s="1"/>
  <c r="E56" i="8"/>
  <c r="D223" i="8"/>
  <c r="AP311" i="8" a="1"/>
  <c r="AP311" i="8" s="1"/>
  <c r="AQ311" i="8" s="1"/>
  <c r="C182" i="8"/>
  <c r="H303" i="8"/>
  <c r="F331" i="8"/>
  <c r="G331" i="8"/>
  <c r="F112" i="8"/>
  <c r="H165" i="8"/>
  <c r="E265" i="8"/>
  <c r="G448" i="8"/>
  <c r="G522" i="8"/>
  <c r="H527" i="8"/>
  <c r="I182" i="8"/>
  <c r="AH284" i="8"/>
  <c r="BB284" i="8" s="1"/>
  <c r="H354" i="8"/>
  <c r="C466" i="8"/>
  <c r="G22" i="8"/>
  <c r="D69" i="8"/>
  <c r="E69" i="8"/>
  <c r="E71" i="8"/>
  <c r="K145" i="8"/>
  <c r="C185" i="8"/>
  <c r="AP203" i="8" a="1"/>
  <c r="AP203" i="8" s="1"/>
  <c r="AQ203" i="8" s="1"/>
  <c r="F252" i="8"/>
  <c r="G257" i="8"/>
  <c r="G263" i="8"/>
  <c r="AH272" i="8"/>
  <c r="BB272" i="8" s="1"/>
  <c r="G293" i="8"/>
  <c r="I322" i="8"/>
  <c r="G334" i="8"/>
  <c r="H362" i="8"/>
  <c r="F407" i="8"/>
  <c r="G422" i="8"/>
  <c r="H468" i="8"/>
  <c r="BC490" i="8"/>
  <c r="F510" i="8"/>
  <c r="I223" i="8"/>
  <c r="AP106" i="8" a="1"/>
  <c r="AP106" i="8" s="1"/>
  <c r="AQ106" i="8" s="1"/>
  <c r="C145" i="8"/>
  <c r="C362" i="8"/>
  <c r="D24" i="8"/>
  <c r="C26" i="8"/>
  <c r="H22" i="8"/>
  <c r="F24" i="8"/>
  <c r="F62" i="8"/>
  <c r="G24" i="8"/>
  <c r="AP520" i="8" a="1"/>
  <c r="AP520" i="8" s="1"/>
  <c r="AQ520" i="8" s="1"/>
  <c r="G62" i="8"/>
  <c r="F69" i="8"/>
  <c r="F71" i="8"/>
  <c r="BC75" i="8"/>
  <c r="AH102" i="8"/>
  <c r="BB102" i="8" s="1"/>
  <c r="AP175" i="8" a="1"/>
  <c r="AP175" i="8" s="1"/>
  <c r="AQ175" i="8" s="1"/>
  <c r="H235" i="8"/>
  <c r="G252" i="8"/>
  <c r="AP259" i="8" a="1"/>
  <c r="AP259" i="8" s="1"/>
  <c r="AQ259" i="8" s="1"/>
  <c r="I293" i="8"/>
  <c r="G407" i="8"/>
  <c r="AH432" i="8"/>
  <c r="BB432" i="8" s="1"/>
  <c r="G510" i="8"/>
  <c r="I326" i="8"/>
  <c r="E112" i="8"/>
  <c r="I517" i="8"/>
  <c r="F182" i="8"/>
  <c r="K24" i="8"/>
  <c r="F60" i="8"/>
  <c r="H69" i="8"/>
  <c r="C115" i="8"/>
  <c r="D173" i="8"/>
  <c r="I327" i="8"/>
  <c r="BC470" i="8"/>
  <c r="D491" i="8"/>
  <c r="D496" i="8"/>
  <c r="D498" i="8"/>
  <c r="F508" i="8"/>
  <c r="F267" i="8"/>
  <c r="C272" i="8"/>
  <c r="C249" i="8"/>
  <c r="AP122" i="8" a="1"/>
  <c r="AP122" i="8" s="1"/>
  <c r="AQ122" i="8" s="1"/>
  <c r="F230" i="8"/>
  <c r="I60" i="8"/>
  <c r="C229" i="8"/>
  <c r="F315" i="8"/>
  <c r="E496" i="8"/>
  <c r="E498" i="8"/>
  <c r="K503" i="8"/>
  <c r="AH522" i="8"/>
  <c r="BB522" i="8" s="1"/>
  <c r="AH527" i="8"/>
  <c r="BB527" i="8" s="1"/>
  <c r="D162" i="8"/>
  <c r="I51" i="8"/>
  <c r="AP35" i="8" a="1"/>
  <c r="AP35" i="8" s="1"/>
  <c r="AQ35" i="8" s="1"/>
  <c r="C48" i="8"/>
  <c r="F113" i="8"/>
  <c r="D484" i="8"/>
  <c r="I496" i="8"/>
  <c r="F506" i="8"/>
  <c r="E16" i="8"/>
  <c r="G18" i="8"/>
  <c r="C53" i="8"/>
  <c r="D131" i="8"/>
  <c r="C262" i="8"/>
  <c r="E284" i="8"/>
  <c r="I318" i="8"/>
  <c r="F323" i="8"/>
  <c r="F371" i="8"/>
  <c r="D467" i="8"/>
  <c r="F484" i="8"/>
  <c r="F521" i="8"/>
  <c r="H326" i="8"/>
  <c r="G93" i="8"/>
  <c r="D318" i="8"/>
  <c r="AP292" i="8" a="1"/>
  <c r="AP292" i="8" s="1"/>
  <c r="AQ292" i="8" s="1"/>
  <c r="G345" i="8"/>
  <c r="E516" i="8"/>
  <c r="C23" i="8"/>
  <c r="D48" i="8"/>
  <c r="H79" i="8"/>
  <c r="C99" i="8"/>
  <c r="C14" i="8"/>
  <c r="G16" i="8"/>
  <c r="H18" i="8"/>
  <c r="D23" i="8"/>
  <c r="K40" i="8"/>
  <c r="G48" i="8"/>
  <c r="F53" i="8"/>
  <c r="F68" i="8"/>
  <c r="K94" i="8"/>
  <c r="G131" i="8"/>
  <c r="C149" i="8"/>
  <c r="F262" i="8"/>
  <c r="F284" i="8"/>
  <c r="AP387" i="8" a="1"/>
  <c r="AP387" i="8" s="1"/>
  <c r="AQ387" i="8" s="1"/>
  <c r="E467" i="8"/>
  <c r="AH145" i="8"/>
  <c r="BB145" i="8" s="1"/>
  <c r="C89" i="8"/>
  <c r="D284" i="8"/>
  <c r="H318" i="8"/>
  <c r="F444" i="8"/>
  <c r="H48" i="8"/>
  <c r="H53" i="8"/>
  <c r="G284" i="8"/>
  <c r="G366" i="8"/>
  <c r="E413" i="8"/>
  <c r="BC425" i="8"/>
  <c r="C442" i="8"/>
  <c r="G467" i="8"/>
  <c r="F482" i="8"/>
  <c r="K484" i="8"/>
  <c r="AP116" i="8" a="1"/>
  <c r="AP116" i="8" s="1"/>
  <c r="AQ116" i="8" s="1"/>
  <c r="F303" i="8"/>
  <c r="D440" i="8"/>
  <c r="AP437" i="8" a="1"/>
  <c r="AP437" i="8" s="1"/>
  <c r="AQ437" i="8" s="1"/>
  <c r="K159" i="8"/>
  <c r="H284" i="8"/>
  <c r="I366" i="8"/>
  <c r="F413" i="8"/>
  <c r="H482" i="8"/>
  <c r="BC67" i="8"/>
  <c r="K67" i="8"/>
  <c r="K61" i="8"/>
  <c r="BC61" i="8"/>
  <c r="AP80" i="8" a="1"/>
  <c r="AP80" i="8" s="1"/>
  <c r="AQ80" i="8" s="1"/>
  <c r="AP450" i="8" a="1"/>
  <c r="AP450" i="8" s="1"/>
  <c r="AQ450" i="8" s="1"/>
  <c r="AP305" i="8" a="1"/>
  <c r="AP305" i="8" s="1"/>
  <c r="AQ305" i="8" s="1"/>
  <c r="BC34" i="8"/>
  <c r="D63" i="8"/>
  <c r="AP168" i="8" a="1"/>
  <c r="AP168" i="8" s="1"/>
  <c r="AQ168" i="8" s="1"/>
  <c r="AP329" i="8" a="1"/>
  <c r="AP329" i="8" s="1"/>
  <c r="AQ329" i="8" s="1"/>
  <c r="K16" i="8"/>
  <c r="BC16" i="8"/>
  <c r="F63" i="8"/>
  <c r="AP217" i="8" a="1"/>
  <c r="AP217" i="8" s="1"/>
  <c r="AQ217" i="8" s="1"/>
  <c r="AP508" i="8" a="1"/>
  <c r="AP508" i="8" s="1"/>
  <c r="AQ508" i="8" s="1"/>
  <c r="AP436" i="8" a="1"/>
  <c r="AP436" i="8" s="1"/>
  <c r="AQ436" i="8" s="1"/>
  <c r="AP356" i="8" a="1"/>
  <c r="AP356" i="8" s="1"/>
  <c r="AQ356" i="8" s="1"/>
  <c r="AP286" i="8" a="1"/>
  <c r="AP286" i="8" s="1"/>
  <c r="AQ286" i="8" s="1"/>
  <c r="AP60" i="8" a="1"/>
  <c r="AP60" i="8" s="1"/>
  <c r="AQ60" i="8" s="1"/>
  <c r="AP12" i="8" a="1"/>
  <c r="AP12" i="8" s="1"/>
  <c r="AQ12" i="8" s="1"/>
  <c r="H21" i="8"/>
  <c r="AP81" i="8" a="1"/>
  <c r="AP81" i="8" s="1"/>
  <c r="AQ81" i="8" s="1"/>
  <c r="BC95" i="8"/>
  <c r="K95" i="8"/>
  <c r="F107" i="8"/>
  <c r="AP144" i="8" a="1"/>
  <c r="AP144" i="8" s="1"/>
  <c r="AQ144" i="8" s="1"/>
  <c r="AH146" i="8"/>
  <c r="BB146" i="8" s="1"/>
  <c r="AP146" i="8" a="1"/>
  <c r="AP146" i="8" s="1"/>
  <c r="AQ146" i="8" s="1"/>
  <c r="AP185" i="8" a="1"/>
  <c r="AP185" i="8" s="1"/>
  <c r="AQ185" i="8" s="1"/>
  <c r="F217" i="8"/>
  <c r="C271" i="8"/>
  <c r="AP291" i="8" a="1"/>
  <c r="AP291" i="8" s="1"/>
  <c r="AQ291" i="8" s="1"/>
  <c r="AP344" i="8" a="1"/>
  <c r="AP344" i="8" s="1"/>
  <c r="AQ344" i="8" s="1"/>
  <c r="AH344" i="8"/>
  <c r="BB344" i="8" s="1"/>
  <c r="BC376" i="8"/>
  <c r="K376" i="8"/>
  <c r="K389" i="8"/>
  <c r="BC389" i="8"/>
  <c r="AP504" i="8" a="1"/>
  <c r="AP504" i="8" s="1"/>
  <c r="AQ504" i="8" s="1"/>
  <c r="AP209" i="8" a="1"/>
  <c r="AP209" i="8" s="1"/>
  <c r="AQ209" i="8" s="1"/>
  <c r="AP58" i="8" a="1"/>
  <c r="AP58" i="8" s="1"/>
  <c r="AQ58" i="8" s="1"/>
  <c r="AP184" i="8" a="1"/>
  <c r="AP184" i="8" s="1"/>
  <c r="AQ184" i="8" s="1"/>
  <c r="BC308" i="8"/>
  <c r="K308" i="8"/>
  <c r="I341" i="8"/>
  <c r="G341" i="8"/>
  <c r="D341" i="8"/>
  <c r="AP341" i="8" a="1"/>
  <c r="AP341" i="8" s="1"/>
  <c r="AQ341" i="8" s="1"/>
  <c r="H341" i="8"/>
  <c r="C341" i="8"/>
  <c r="AP369" i="8" a="1"/>
  <c r="AP369" i="8" s="1"/>
  <c r="AQ369" i="8" s="1"/>
  <c r="H384" i="8"/>
  <c r="AP384" i="8" a="1"/>
  <c r="AP384" i="8" s="1"/>
  <c r="AQ384" i="8" s="1"/>
  <c r="I384" i="8"/>
  <c r="G384" i="8"/>
  <c r="F384" i="8"/>
  <c r="D384" i="8"/>
  <c r="I520" i="8"/>
  <c r="AH520" i="8"/>
  <c r="BB520" i="8" s="1"/>
  <c r="AP163" i="8" a="1"/>
  <c r="AP163" i="8" s="1"/>
  <c r="AQ163" i="8" s="1"/>
  <c r="AP374" i="8" a="1"/>
  <c r="AP374" i="8" s="1"/>
  <c r="AQ374" i="8" s="1"/>
  <c r="AP71" i="8" a="1"/>
  <c r="AP71" i="8" s="1"/>
  <c r="AQ71" i="8" s="1"/>
  <c r="K85" i="8"/>
  <c r="BC85" i="8"/>
  <c r="AP346" i="8" a="1"/>
  <c r="AP346" i="8" s="1"/>
  <c r="AQ346" i="8" s="1"/>
  <c r="AH346" i="8"/>
  <c r="BB346" i="8" s="1"/>
  <c r="K59" i="8"/>
  <c r="E72" i="8"/>
  <c r="D72" i="8"/>
  <c r="G107" i="8"/>
  <c r="AP161" i="8" a="1"/>
  <c r="AP161" i="8" s="1"/>
  <c r="AQ161" i="8" s="1"/>
  <c r="H200" i="8"/>
  <c r="AP200" i="8" a="1"/>
  <c r="AP200" i="8" s="1"/>
  <c r="AQ200" i="8" s="1"/>
  <c r="E200" i="8"/>
  <c r="D200" i="8"/>
  <c r="AP299" i="8" a="1"/>
  <c r="AP299" i="8" s="1"/>
  <c r="AQ299" i="8" s="1"/>
  <c r="AP355" i="8" a="1"/>
  <c r="AP355" i="8" s="1"/>
  <c r="AQ355" i="8" s="1"/>
  <c r="AP280" i="8" a="1"/>
  <c r="AP280" i="8" s="1"/>
  <c r="AQ280" i="8" s="1"/>
  <c r="AP133" i="8" a="1"/>
  <c r="AP133" i="8" s="1"/>
  <c r="AQ133" i="8" s="1"/>
  <c r="AP56" i="8" a="1"/>
  <c r="AP56" i="8" s="1"/>
  <c r="AQ56" i="8" s="1"/>
  <c r="AP250" i="8" a="1"/>
  <c r="AP250" i="8" s="1"/>
  <c r="AQ250" i="8" s="1"/>
  <c r="AP456" i="8" a="1"/>
  <c r="AP456" i="8" s="1"/>
  <c r="AQ456" i="8" s="1"/>
  <c r="AP222" i="8" a="1"/>
  <c r="AP222" i="8" s="1"/>
  <c r="AQ222" i="8" s="1"/>
  <c r="D271" i="8"/>
  <c r="AH271" i="8"/>
  <c r="BB271" i="8" s="1"/>
  <c r="AP271" i="8" a="1"/>
  <c r="AP271" i="8" s="1"/>
  <c r="AQ271" i="8" s="1"/>
  <c r="I271" i="8"/>
  <c r="H271" i="8"/>
  <c r="G271" i="8"/>
  <c r="F271" i="8"/>
  <c r="AP38" i="8" a="1"/>
  <c r="AP38" i="8" s="1"/>
  <c r="AQ38" i="8" s="1"/>
  <c r="I72" i="8"/>
  <c r="K93" i="8"/>
  <c r="BC93" i="8"/>
  <c r="G119" i="8"/>
  <c r="AP119" i="8" a="1"/>
  <c r="AP119" i="8" s="1"/>
  <c r="AQ119" i="8" s="1"/>
  <c r="I161" i="8"/>
  <c r="I190" i="8"/>
  <c r="H190" i="8"/>
  <c r="AP190" i="8" a="1"/>
  <c r="AP190" i="8" s="1"/>
  <c r="AQ190" i="8" s="1"/>
  <c r="F190" i="8"/>
  <c r="E190" i="8"/>
  <c r="F200" i="8"/>
  <c r="AH341" i="8"/>
  <c r="BB341" i="8" s="1"/>
  <c r="AP494" i="8" a="1"/>
  <c r="AP494" i="8" s="1"/>
  <c r="AQ494" i="8" s="1"/>
  <c r="AP423" i="8" a="1"/>
  <c r="AP423" i="8" s="1"/>
  <c r="AQ423" i="8" s="1"/>
  <c r="AP343" i="8" a="1"/>
  <c r="AP343" i="8" s="1"/>
  <c r="AQ343" i="8" s="1"/>
  <c r="AP202" i="8" a="1"/>
  <c r="AP202" i="8" s="1"/>
  <c r="AQ202" i="8" s="1"/>
  <c r="AP52" i="8" a="1"/>
  <c r="AP52" i="8" s="1"/>
  <c r="AQ52" i="8" s="1"/>
  <c r="AP111" i="8" a="1"/>
  <c r="AP111" i="8" s="1"/>
  <c r="AQ111" i="8" s="1"/>
  <c r="AP361" i="8" a="1"/>
  <c r="AP361" i="8" s="1"/>
  <c r="AQ361" i="8" s="1"/>
  <c r="AP224" i="8" a="1"/>
  <c r="AP224" i="8" s="1"/>
  <c r="AQ224" i="8" s="1"/>
  <c r="I298" i="8"/>
  <c r="AP298" i="8" a="1"/>
  <c r="AP298" i="8" s="1"/>
  <c r="AQ298" i="8" s="1"/>
  <c r="I311" i="8"/>
  <c r="AP420" i="8" a="1"/>
  <c r="AP420" i="8" s="1"/>
  <c r="AQ420" i="8" s="1"/>
  <c r="AH420" i="8"/>
  <c r="BB420" i="8" s="1"/>
  <c r="AP23" i="8" a="1"/>
  <c r="AP23" i="8" s="1"/>
  <c r="AQ23" i="8" s="1"/>
  <c r="AH49" i="8"/>
  <c r="BB49" i="8" s="1"/>
  <c r="E49" i="8"/>
  <c r="AP63" i="8" a="1"/>
  <c r="AP63" i="8" s="1"/>
  <c r="AQ63" i="8" s="1"/>
  <c r="I63" i="8"/>
  <c r="H63" i="8"/>
  <c r="AP72" i="8" a="1"/>
  <c r="AP72" i="8" s="1"/>
  <c r="AQ72" i="8" s="1"/>
  <c r="AP47" i="8" a="1"/>
  <c r="AP47" i="8" s="1"/>
  <c r="AQ47" i="8" s="1"/>
  <c r="AP509" i="8" a="1"/>
  <c r="AP509" i="8" s="1"/>
  <c r="AQ509" i="8" s="1"/>
  <c r="AP86" i="8" a="1"/>
  <c r="AP86" i="8" s="1"/>
  <c r="AQ86" i="8" s="1"/>
  <c r="H474" i="8"/>
  <c r="AH474" i="8"/>
  <c r="BB474" i="8" s="1"/>
  <c r="G474" i="8"/>
  <c r="F474" i="8"/>
  <c r="AP474" i="8" a="1"/>
  <c r="AP474" i="8" s="1"/>
  <c r="AQ474" i="8" s="1"/>
  <c r="AP357" i="8" a="1"/>
  <c r="AP357" i="8" s="1"/>
  <c r="AQ357" i="8" s="1"/>
  <c r="AH429" i="8"/>
  <c r="BB429" i="8" s="1"/>
  <c r="H429" i="8"/>
  <c r="G429" i="8"/>
  <c r="F429" i="8"/>
  <c r="E429" i="8"/>
  <c r="D429" i="8"/>
  <c r="C429" i="8"/>
  <c r="F452" i="8"/>
  <c r="AH452" i="8"/>
  <c r="BB452" i="8" s="1"/>
  <c r="AP452" i="8" a="1"/>
  <c r="AP452" i="8" s="1"/>
  <c r="AQ452" i="8" s="1"/>
  <c r="E474" i="8"/>
  <c r="AP487" i="8" a="1"/>
  <c r="AP487" i="8" s="1"/>
  <c r="AQ487" i="8" s="1"/>
  <c r="AP417" i="8" a="1"/>
  <c r="AP417" i="8" s="1"/>
  <c r="AQ417" i="8" s="1"/>
  <c r="AP340" i="8" a="1"/>
  <c r="AP340" i="8" s="1"/>
  <c r="AQ340" i="8" s="1"/>
  <c r="AP269" i="8" a="1"/>
  <c r="AP269" i="8" s="1"/>
  <c r="AQ269" i="8" s="1"/>
  <c r="AP121" i="8" a="1"/>
  <c r="AP121" i="8" s="1"/>
  <c r="AQ121" i="8" s="1"/>
  <c r="AP43" i="8" a="1"/>
  <c r="AP43" i="8" s="1"/>
  <c r="AQ43" i="8" s="1"/>
  <c r="G43" i="8"/>
  <c r="C43" i="8"/>
  <c r="BC49" i="8"/>
  <c r="D77" i="8"/>
  <c r="AP142" i="8" a="1"/>
  <c r="AP142" i="8" s="1"/>
  <c r="AQ142" i="8" s="1"/>
  <c r="E142" i="8"/>
  <c r="AP164" i="8" a="1"/>
  <c r="AP164" i="8" s="1"/>
  <c r="AQ164" i="8" s="1"/>
  <c r="F164" i="8"/>
  <c r="K178" i="8"/>
  <c r="BC178" i="8"/>
  <c r="F210" i="8"/>
  <c r="AP215" i="8" a="1"/>
  <c r="AP215" i="8" s="1"/>
  <c r="AQ215" i="8" s="1"/>
  <c r="K236" i="8"/>
  <c r="BC236" i="8"/>
  <c r="C256" i="8"/>
  <c r="E256" i="8"/>
  <c r="G256" i="8"/>
  <c r="AP294" i="8" a="1"/>
  <c r="AP294" i="8" s="1"/>
  <c r="AQ294" i="8" s="1"/>
  <c r="F342" i="8"/>
  <c r="D342" i="8"/>
  <c r="I352" i="8"/>
  <c r="H352" i="8"/>
  <c r="G352" i="8"/>
  <c r="D352" i="8"/>
  <c r="C352" i="8"/>
  <c r="AP352" i="8" a="1"/>
  <c r="AP352" i="8" s="1"/>
  <c r="AQ352" i="8" s="1"/>
  <c r="BC364" i="8"/>
  <c r="G370" i="8"/>
  <c r="AP380" i="8" a="1"/>
  <c r="AP380" i="8" s="1"/>
  <c r="AQ380" i="8" s="1"/>
  <c r="G452" i="8"/>
  <c r="G457" i="8"/>
  <c r="E457" i="8"/>
  <c r="AP457" i="8" a="1"/>
  <c r="AP457" i="8" s="1"/>
  <c r="AQ457" i="8" s="1"/>
  <c r="AP469" i="8" a="1"/>
  <c r="AP469" i="8" s="1"/>
  <c r="AQ469" i="8" s="1"/>
  <c r="AP486" i="8" a="1"/>
  <c r="AP486" i="8" s="1"/>
  <c r="AQ486" i="8" s="1"/>
  <c r="AP48" i="8" a="1"/>
  <c r="AP48" i="8" s="1"/>
  <c r="AQ48" i="8" s="1"/>
  <c r="K383" i="8"/>
  <c r="BC383" i="8"/>
  <c r="AP156" i="8" a="1"/>
  <c r="AP156" i="8" s="1"/>
  <c r="AQ156" i="8" s="1"/>
  <c r="AP37" i="8" a="1"/>
  <c r="AP37" i="8" s="1"/>
  <c r="AQ37" i="8" s="1"/>
  <c r="AH37" i="8"/>
  <c r="BB37" i="8" s="1"/>
  <c r="F37" i="8"/>
  <c r="AP275" i="8" a="1"/>
  <c r="AP275" i="8" s="1"/>
  <c r="AQ275" i="8" s="1"/>
  <c r="D478" i="8"/>
  <c r="AP478" i="8" a="1"/>
  <c r="AP478" i="8" s="1"/>
  <c r="AQ478" i="8" s="1"/>
  <c r="AP293" i="8" a="1"/>
  <c r="AP293" i="8" s="1"/>
  <c r="AQ293" i="8" s="1"/>
  <c r="AP126" i="8" a="1"/>
  <c r="AP126" i="8" s="1"/>
  <c r="AQ126" i="8" s="1"/>
  <c r="AP287" i="8" a="1"/>
  <c r="AP287" i="8" s="1"/>
  <c r="AQ287" i="8" s="1"/>
  <c r="H159" i="8"/>
  <c r="F159" i="8"/>
  <c r="I195" i="8"/>
  <c r="AP24" i="8" a="1"/>
  <c r="AP24" i="8" s="1"/>
  <c r="AQ24" i="8" s="1"/>
  <c r="AP50" i="8" a="1"/>
  <c r="AP50" i="8" s="1"/>
  <c r="AQ50" i="8" s="1"/>
  <c r="H77" i="8"/>
  <c r="AP110" i="8" a="1"/>
  <c r="AP110" i="8" s="1"/>
  <c r="AQ110" i="8" s="1"/>
  <c r="AP117" i="8" a="1"/>
  <c r="AP117" i="8" s="1"/>
  <c r="AQ117" i="8" s="1"/>
  <c r="AP193" i="8" a="1"/>
  <c r="AP193" i="8" s="1"/>
  <c r="AQ193" i="8" s="1"/>
  <c r="E193" i="8"/>
  <c r="C193" i="8"/>
  <c r="AP198" i="8" a="1"/>
  <c r="AP198" i="8" s="1"/>
  <c r="AQ198" i="8" s="1"/>
  <c r="AP205" i="8" a="1"/>
  <c r="AP205" i="8" s="1"/>
  <c r="AQ205" i="8" s="1"/>
  <c r="AP360" i="8" a="1"/>
  <c r="AP360" i="8" s="1"/>
  <c r="AQ360" i="8" s="1"/>
  <c r="BC395" i="8"/>
  <c r="K395" i="8"/>
  <c r="AH416" i="8"/>
  <c r="BB416" i="8" s="1"/>
  <c r="F416" i="8"/>
  <c r="E416" i="8"/>
  <c r="AP416" i="8" a="1"/>
  <c r="AP416" i="8" s="1"/>
  <c r="AQ416" i="8" s="1"/>
  <c r="D416" i="8"/>
  <c r="AP409" i="8" a="1"/>
  <c r="AP409" i="8" s="1"/>
  <c r="AQ409" i="8" s="1"/>
  <c r="AP85" i="8" a="1"/>
  <c r="AP85" i="8" s="1"/>
  <c r="AQ85" i="8" s="1"/>
  <c r="AP225" i="8" a="1"/>
  <c r="AP225" i="8" s="1"/>
  <c r="AQ225" i="8" s="1"/>
  <c r="AP27" i="8" a="1"/>
  <c r="AP27" i="8" s="1"/>
  <c r="AQ27" i="8" s="1"/>
  <c r="AP74" i="8" a="1"/>
  <c r="AP74" i="8" s="1"/>
  <c r="AQ74" i="8" s="1"/>
  <c r="I76" i="8"/>
  <c r="F76" i="8"/>
  <c r="AP152" i="8" a="1"/>
  <c r="AP152" i="8" s="1"/>
  <c r="AQ152" i="8" s="1"/>
  <c r="AP214" i="8" a="1"/>
  <c r="AP214" i="8" s="1"/>
  <c r="AQ214" i="8" s="1"/>
  <c r="AP210" i="8" a="1"/>
  <c r="AP210" i="8" s="1"/>
  <c r="AQ210" i="8" s="1"/>
  <c r="AP421" i="8" a="1"/>
  <c r="AP421" i="8" s="1"/>
  <c r="AQ421" i="8" s="1"/>
  <c r="AH36" i="8"/>
  <c r="BB36" i="8" s="1"/>
  <c r="AP36" i="8" a="1"/>
  <c r="AP36" i="8" s="1"/>
  <c r="AQ36" i="8" s="1"/>
  <c r="I36" i="8"/>
  <c r="G36" i="8"/>
  <c r="H36" i="8"/>
  <c r="F36" i="8"/>
  <c r="E36" i="8"/>
  <c r="BC12" i="8"/>
  <c r="D46" i="8"/>
  <c r="H137" i="8"/>
  <c r="AP137" i="8" a="1"/>
  <c r="AP137" i="8" s="1"/>
  <c r="AQ137" i="8" s="1"/>
  <c r="AP188" i="8" a="1"/>
  <c r="AP188" i="8" s="1"/>
  <c r="AQ188" i="8" s="1"/>
  <c r="I375" i="8"/>
  <c r="H375" i="8"/>
  <c r="G375" i="8"/>
  <c r="AH375" i="8"/>
  <c r="BB375" i="8" s="1"/>
  <c r="AP375" i="8" a="1"/>
  <c r="AP375" i="8" s="1"/>
  <c r="AQ375" i="8" s="1"/>
  <c r="AP424" i="8" a="1"/>
  <c r="AP424" i="8" s="1"/>
  <c r="AQ424" i="8" s="1"/>
  <c r="AP405" i="8" a="1"/>
  <c r="AP405" i="8" s="1"/>
  <c r="AQ405" i="8" s="1"/>
  <c r="AP333" i="8" a="1"/>
  <c r="AP333" i="8" s="1"/>
  <c r="AQ333" i="8" s="1"/>
  <c r="AP256" i="8" a="1"/>
  <c r="AP256" i="8" s="1"/>
  <c r="AQ256" i="8" s="1"/>
  <c r="AP186" i="8" a="1"/>
  <c r="AP186" i="8" s="1"/>
  <c r="AQ186" i="8" s="1"/>
  <c r="AP226" i="8" a="1"/>
  <c r="AP226" i="8" s="1"/>
  <c r="AQ226" i="8" s="1"/>
  <c r="AP236" i="8" a="1"/>
  <c r="AP236" i="8" s="1"/>
  <c r="AQ236" i="8" s="1"/>
  <c r="AP118" i="8" a="1"/>
  <c r="AP118" i="8" s="1"/>
  <c r="AQ118" i="8" s="1"/>
  <c r="AP433" i="8" a="1"/>
  <c r="AP433" i="8" s="1"/>
  <c r="AQ433" i="8" s="1"/>
  <c r="D420" i="8"/>
  <c r="C63" i="8"/>
  <c r="AP351" i="8" a="1"/>
  <c r="AP351" i="8" s="1"/>
  <c r="AQ351" i="8" s="1"/>
  <c r="AP139" i="8" a="1"/>
  <c r="AP139" i="8" s="1"/>
  <c r="AQ139" i="8" s="1"/>
  <c r="AO16" i="8"/>
  <c r="C21" i="8"/>
  <c r="H25" i="8"/>
  <c r="AP25" i="8" a="1"/>
  <c r="AP25" i="8" s="1"/>
  <c r="AQ25" i="8" s="1"/>
  <c r="AP45" i="8" a="1"/>
  <c r="AP45" i="8" s="1"/>
  <c r="AQ45" i="8" s="1"/>
  <c r="AP274" i="8" a="1"/>
  <c r="AP274" i="8" s="1"/>
  <c r="AQ274" i="8" s="1"/>
  <c r="AP120" i="8" a="1"/>
  <c r="AP120" i="8" s="1"/>
  <c r="AQ120" i="8" s="1"/>
  <c r="AP485" i="8" a="1"/>
  <c r="AP485" i="8" s="1"/>
  <c r="AQ485" i="8" s="1"/>
  <c r="AP17" i="8" a="1"/>
  <c r="AP17" i="8" s="1"/>
  <c r="AQ17" i="8" s="1"/>
  <c r="AP435" i="8" a="1"/>
  <c r="AP435" i="8" s="1"/>
  <c r="AQ435" i="8" s="1"/>
  <c r="AP151" i="8" a="1"/>
  <c r="AP151" i="8" s="1"/>
  <c r="AQ151" i="8" s="1"/>
  <c r="AP174" i="8" a="1"/>
  <c r="AP174" i="8" s="1"/>
  <c r="AQ174" i="8" s="1"/>
  <c r="K146" i="8"/>
  <c r="BC146" i="8"/>
  <c r="AH212" i="8"/>
  <c r="BB212" i="8" s="1"/>
  <c r="I212" i="8"/>
  <c r="F212" i="8"/>
  <c r="AP212" i="8" a="1"/>
  <c r="AP212" i="8" s="1"/>
  <c r="AQ212" i="8" s="1"/>
  <c r="I251" i="8"/>
  <c r="G251" i="8"/>
  <c r="E251" i="8"/>
  <c r="AP251" i="8" a="1"/>
  <c r="AP251" i="8" s="1"/>
  <c r="AQ251" i="8" s="1"/>
  <c r="AP342" i="8" a="1"/>
  <c r="AP342" i="8" s="1"/>
  <c r="AQ342" i="8" s="1"/>
  <c r="AP70" i="8" a="1"/>
  <c r="AP70" i="8" s="1"/>
  <c r="AQ70" i="8" s="1"/>
  <c r="AP228" i="8" a="1"/>
  <c r="AP228" i="8" s="1"/>
  <c r="AQ228" i="8" s="1"/>
  <c r="AH228" i="8"/>
  <c r="BB228" i="8" s="1"/>
  <c r="AP297" i="8" a="1"/>
  <c r="AP297" i="8" s="1"/>
  <c r="AQ297" i="8" s="1"/>
  <c r="AP13" i="8" a="1"/>
  <c r="AP13" i="8" s="1"/>
  <c r="AQ13" i="8" s="1"/>
  <c r="K36" i="8"/>
  <c r="F46" i="8"/>
  <c r="AP92" i="8" a="1"/>
  <c r="AP92" i="8" s="1"/>
  <c r="AQ92" i="8" s="1"/>
  <c r="H92" i="8"/>
  <c r="G92" i="8"/>
  <c r="AP108" i="8" a="1"/>
  <c r="AP108" i="8" s="1"/>
  <c r="AQ108" i="8" s="1"/>
  <c r="AP130" i="8" a="1"/>
  <c r="AP130" i="8" s="1"/>
  <c r="AQ130" i="8" s="1"/>
  <c r="AH132" i="8"/>
  <c r="BB132" i="8" s="1"/>
  <c r="G132" i="8"/>
  <c r="F132" i="8"/>
  <c r="AP132" i="8" a="1"/>
  <c r="AP132" i="8" s="1"/>
  <c r="AQ132" i="8" s="1"/>
  <c r="AP157" i="8" a="1"/>
  <c r="AP157" i="8" s="1"/>
  <c r="AQ157" i="8" s="1"/>
  <c r="H193" i="8"/>
  <c r="AH200" i="8"/>
  <c r="BB200" i="8" s="1"/>
  <c r="AP208" i="8" a="1"/>
  <c r="AP208" i="8" s="1"/>
  <c r="AQ208" i="8" s="1"/>
  <c r="I208" i="8"/>
  <c r="H208" i="8"/>
  <c r="E208" i="8"/>
  <c r="AH208" i="8"/>
  <c r="BB208" i="8" s="1"/>
  <c r="I313" i="8"/>
  <c r="G313" i="8"/>
  <c r="F313" i="8"/>
  <c r="D313" i="8"/>
  <c r="C375" i="8"/>
  <c r="AP393" i="8" a="1"/>
  <c r="AP393" i="8" s="1"/>
  <c r="AQ393" i="8" s="1"/>
  <c r="AP472" i="8" a="1"/>
  <c r="AP472" i="8" s="1"/>
  <c r="AQ472" i="8" s="1"/>
  <c r="AP398" i="8" a="1"/>
  <c r="AP398" i="8" s="1"/>
  <c r="AQ398" i="8" s="1"/>
  <c r="AP252" i="8" a="1"/>
  <c r="AP252" i="8" s="1"/>
  <c r="AQ252" i="8" s="1"/>
  <c r="AP199" i="8" a="1"/>
  <c r="AP199" i="8" s="1"/>
  <c r="AQ199" i="8" s="1"/>
  <c r="AP438" i="8" a="1"/>
  <c r="AP438" i="8" s="1"/>
  <c r="AQ438" i="8" s="1"/>
  <c r="AP386" i="8" a="1"/>
  <c r="AP386" i="8" s="1"/>
  <c r="AQ386" i="8" s="1"/>
  <c r="AP83" i="8" a="1"/>
  <c r="AP83" i="8" s="1"/>
  <c r="AQ83" i="8" s="1"/>
  <c r="C104" i="8"/>
  <c r="AP104" i="8" a="1"/>
  <c r="AP104" i="8" s="1"/>
  <c r="AQ104" i="8" s="1"/>
  <c r="AP376" i="8" a="1"/>
  <c r="AP376" i="8" s="1"/>
  <c r="AQ376" i="8" s="1"/>
  <c r="AP59" i="8" a="1"/>
  <c r="AP59" i="8" s="1"/>
  <c r="AQ59" i="8" s="1"/>
  <c r="D59" i="8"/>
  <c r="C59" i="8"/>
  <c r="AP180" i="8" a="1"/>
  <c r="AP180" i="8" s="1"/>
  <c r="AQ180" i="8" s="1"/>
  <c r="AP379" i="8" a="1"/>
  <c r="AP379" i="8" s="1"/>
  <c r="AQ379" i="8" s="1"/>
  <c r="H251" i="8"/>
  <c r="BC291" i="8"/>
  <c r="K291" i="8"/>
  <c r="AP55" i="8" a="1"/>
  <c r="AP55" i="8" s="1"/>
  <c r="AQ55" i="8" s="1"/>
  <c r="H55" i="8"/>
  <c r="G55" i="8"/>
  <c r="AP176" i="8" a="1"/>
  <c r="AP176" i="8" s="1"/>
  <c r="AQ176" i="8" s="1"/>
  <c r="BC31" i="8"/>
  <c r="K31" i="8"/>
  <c r="G46" i="8"/>
  <c r="AP73" i="8" a="1"/>
  <c r="AP73" i="8" s="1"/>
  <c r="AQ73" i="8" s="1"/>
  <c r="K256" i="8"/>
  <c r="BC256" i="8"/>
  <c r="D375" i="8"/>
  <c r="AP404" i="8" a="1"/>
  <c r="AP404" i="8" s="1"/>
  <c r="AQ404" i="8" s="1"/>
  <c r="AP445" i="8" a="1"/>
  <c r="AP445" i="8" s="1"/>
  <c r="AQ445" i="8" s="1"/>
  <c r="K496" i="8"/>
  <c r="BC496" i="8"/>
  <c r="AP471" i="8" a="1"/>
  <c r="AP471" i="8" s="1"/>
  <c r="AQ471" i="8" s="1"/>
  <c r="AP392" i="8" a="1"/>
  <c r="AP392" i="8" s="1"/>
  <c r="AQ392" i="8" s="1"/>
  <c r="AP99" i="8" a="1"/>
  <c r="AP99" i="8" s="1"/>
  <c r="AQ99" i="8" s="1"/>
  <c r="AP33" i="8" a="1"/>
  <c r="AP33" i="8" s="1"/>
  <c r="AQ33" i="8" s="1"/>
  <c r="BC267" i="8"/>
  <c r="K267" i="8"/>
  <c r="AP306" i="8" a="1"/>
  <c r="AP306" i="8" s="1"/>
  <c r="AQ306" i="8" s="1"/>
  <c r="AP90" i="8" a="1"/>
  <c r="AP90" i="8" s="1"/>
  <c r="AQ90" i="8" s="1"/>
  <c r="C85" i="8"/>
  <c r="H85" i="8"/>
  <c r="G85" i="8"/>
  <c r="AP425" i="8" a="1"/>
  <c r="AP425" i="8" s="1"/>
  <c r="AQ425" i="8" s="1"/>
  <c r="C268" i="8"/>
  <c r="I268" i="8"/>
  <c r="H268" i="8"/>
  <c r="G268" i="8"/>
  <c r="F268" i="8"/>
  <c r="AP268" i="8" a="1"/>
  <c r="AP268" i="8" s="1"/>
  <c r="AQ268" i="8" s="1"/>
  <c r="G21" i="8"/>
  <c r="F21" i="8"/>
  <c r="AP141" i="8" a="1"/>
  <c r="AP141" i="8" s="1"/>
  <c r="AQ141" i="8" s="1"/>
  <c r="AP57" i="8" a="1"/>
  <c r="AP57" i="8" s="1"/>
  <c r="AQ57" i="8" s="1"/>
  <c r="AP372" i="8" a="1"/>
  <c r="AP372" i="8" s="1"/>
  <c r="AQ372" i="8" s="1"/>
  <c r="AP49" i="8" a="1"/>
  <c r="AP49" i="8" s="1"/>
  <c r="AQ49" i="8" s="1"/>
  <c r="AP96" i="8" a="1"/>
  <c r="AP96" i="8" s="1"/>
  <c r="AQ96" i="8" s="1"/>
  <c r="F96" i="8"/>
  <c r="H122" i="8"/>
  <c r="G122" i="8"/>
  <c r="F122" i="8"/>
  <c r="D122" i="8"/>
  <c r="BC129" i="8"/>
  <c r="K129" i="8"/>
  <c r="C31" i="8"/>
  <c r="AP31" i="8" a="1"/>
  <c r="AP31" i="8" s="1"/>
  <c r="AQ31" i="8" s="1"/>
  <c r="AP15" i="8" a="1"/>
  <c r="AP15" i="8" s="1"/>
  <c r="AQ15" i="8" s="1"/>
  <c r="AP84" i="8" a="1"/>
  <c r="AP84" i="8" s="1"/>
  <c r="AQ84" i="8" s="1"/>
  <c r="E34" i="8"/>
  <c r="H34" i="8"/>
  <c r="D34" i="8"/>
  <c r="C34" i="8"/>
  <c r="AP34" i="8" a="1"/>
  <c r="AP34" i="8" s="1"/>
  <c r="AQ34" i="8" s="1"/>
  <c r="F92" i="8"/>
  <c r="AP201" i="8" a="1"/>
  <c r="AP201" i="8" s="1"/>
  <c r="AQ201" i="8" s="1"/>
  <c r="H201" i="8"/>
  <c r="AP368" i="8" a="1"/>
  <c r="AP368" i="8" s="1"/>
  <c r="AQ368" i="8" s="1"/>
  <c r="AP373" i="8" a="1"/>
  <c r="AP373" i="8" s="1"/>
  <c r="AQ373" i="8" s="1"/>
  <c r="AP422" i="8" a="1"/>
  <c r="AP422" i="8" s="1"/>
  <c r="AQ422" i="8" s="1"/>
  <c r="K460" i="8"/>
  <c r="BC460" i="8"/>
  <c r="E519" i="8"/>
  <c r="AP519" i="8" a="1"/>
  <c r="AP519" i="8" s="1"/>
  <c r="AQ519" i="8" s="1"/>
  <c r="AP470" i="8" a="1"/>
  <c r="AP470" i="8" s="1"/>
  <c r="AQ470" i="8" s="1"/>
  <c r="AP390" i="8" a="1"/>
  <c r="AP390" i="8" s="1"/>
  <c r="AQ390" i="8" s="1"/>
  <c r="AP319" i="8" a="1"/>
  <c r="AP319" i="8" s="1"/>
  <c r="AQ319" i="8" s="1"/>
  <c r="AP239" i="8" a="1"/>
  <c r="AP239" i="8" s="1"/>
  <c r="AQ239" i="8" s="1"/>
  <c r="AP22" i="8" a="1"/>
  <c r="AP22" i="8" s="1"/>
  <c r="AQ22" i="8" s="1"/>
  <c r="AP402" i="8" a="1"/>
  <c r="AP402" i="8" s="1"/>
  <c r="AQ402" i="8" s="1"/>
  <c r="AP153" i="8" a="1"/>
  <c r="AP153" i="8" s="1"/>
  <c r="AQ153" i="8" s="1"/>
  <c r="AP440" i="8" a="1"/>
  <c r="AP440" i="8" s="1"/>
  <c r="AQ440" i="8" s="1"/>
  <c r="AP216" i="8" a="1"/>
  <c r="AP216" i="8" s="1"/>
  <c r="AQ216" i="8" s="1"/>
  <c r="H302" i="8"/>
  <c r="C302" i="8"/>
  <c r="AP302" i="8" a="1"/>
  <c r="AP302" i="8" s="1"/>
  <c r="AQ302" i="8" s="1"/>
  <c r="AP19" i="8" a="1"/>
  <c r="AP19" i="8" s="1"/>
  <c r="AQ19" i="8" s="1"/>
  <c r="AP246" i="8" a="1"/>
  <c r="AP246" i="8" s="1"/>
  <c r="AQ246" i="8" s="1"/>
  <c r="AP26" i="8" a="1"/>
  <c r="AP26" i="8" s="1"/>
  <c r="AQ26" i="8" s="1"/>
  <c r="BC70" i="8"/>
  <c r="K70" i="8"/>
  <c r="AP8" i="8" a="1"/>
  <c r="AP8" i="8" s="1"/>
  <c r="AQ8" i="8" s="1"/>
  <c r="C87" i="8"/>
  <c r="AP87" i="8" a="1"/>
  <c r="AP87" i="8" s="1"/>
  <c r="AQ87" i="8" s="1"/>
  <c r="C167" i="8"/>
  <c r="AP167" i="8" a="1"/>
  <c r="AP167" i="8" s="1"/>
  <c r="AQ167" i="8" s="1"/>
  <c r="AP39" i="8" a="1"/>
  <c r="AP39" i="8" s="1"/>
  <c r="AQ39" i="8" s="1"/>
  <c r="C39" i="8"/>
  <c r="AP69" i="8" a="1"/>
  <c r="AP69" i="8" s="1"/>
  <c r="AQ69" i="8" s="1"/>
  <c r="G87" i="8"/>
  <c r="AH122" i="8"/>
  <c r="BB122" i="8" s="1"/>
  <c r="H167" i="8"/>
  <c r="BC168" i="8"/>
  <c r="AH191" i="8"/>
  <c r="BB191" i="8" s="1"/>
  <c r="AP191" i="8" a="1"/>
  <c r="AP191" i="8" s="1"/>
  <c r="AQ191" i="8" s="1"/>
  <c r="I191" i="8"/>
  <c r="H191" i="8"/>
  <c r="AP196" i="8" a="1"/>
  <c r="AP196" i="8" s="1"/>
  <c r="AQ196" i="8" s="1"/>
  <c r="D196" i="8"/>
  <c r="E201" i="8"/>
  <c r="I270" i="8"/>
  <c r="H270" i="8"/>
  <c r="AP270" i="8" a="1"/>
  <c r="AP270" i="8" s="1"/>
  <c r="AQ270" i="8" s="1"/>
  <c r="F270" i="8"/>
  <c r="E270" i="8"/>
  <c r="H308" i="8"/>
  <c r="AP308" i="8" a="1"/>
  <c r="AP308" i="8" s="1"/>
  <c r="AQ308" i="8" s="1"/>
  <c r="I308" i="8"/>
  <c r="AP328" i="8" a="1"/>
  <c r="AP328" i="8" s="1"/>
  <c r="AQ328" i="8" s="1"/>
  <c r="I328" i="8"/>
  <c r="AP358" i="8" a="1"/>
  <c r="AP358" i="8" s="1"/>
  <c r="AQ358" i="8" s="1"/>
  <c r="AH363" i="8"/>
  <c r="BB363" i="8" s="1"/>
  <c r="AP363" i="8" a="1"/>
  <c r="AP363" i="8" s="1"/>
  <c r="AQ363" i="8" s="1"/>
  <c r="C373" i="8"/>
  <c r="AP463" i="8" a="1"/>
  <c r="AP463" i="8" s="1"/>
  <c r="AQ463" i="8" s="1"/>
  <c r="AP475" i="8" a="1"/>
  <c r="AP475" i="8" s="1"/>
  <c r="AQ475" i="8" s="1"/>
  <c r="AP166" i="8" a="1"/>
  <c r="AP166" i="8" s="1"/>
  <c r="AQ166" i="8" s="1"/>
  <c r="AP98" i="8" a="1"/>
  <c r="AP98" i="8" s="1"/>
  <c r="AQ98" i="8" s="1"/>
  <c r="AP522" i="8" a="1"/>
  <c r="AP522" i="8" s="1"/>
  <c r="AQ522" i="8" s="1"/>
  <c r="C199" i="8"/>
  <c r="I306" i="8"/>
  <c r="G306" i="8"/>
  <c r="H306" i="8"/>
  <c r="AP223" i="8" a="1"/>
  <c r="AP223" i="8" s="1"/>
  <c r="AQ223" i="8" s="1"/>
  <c r="G356" i="8"/>
  <c r="F356" i="8"/>
  <c r="I356" i="8"/>
  <c r="D356" i="8"/>
  <c r="D49" i="8"/>
  <c r="AP245" i="8" a="1"/>
  <c r="AP245" i="8" s="1"/>
  <c r="AQ245" i="8" s="1"/>
  <c r="AP397" i="8" a="1"/>
  <c r="AP397" i="8" s="1"/>
  <c r="AQ397" i="8" s="1"/>
  <c r="I30" i="8"/>
  <c r="G30" i="8"/>
  <c r="H30" i="8"/>
  <c r="F30" i="8"/>
  <c r="E30" i="8"/>
  <c r="H107" i="8"/>
  <c r="AP107" i="8" a="1"/>
  <c r="AP107" i="8" s="1"/>
  <c r="AQ107" i="8" s="1"/>
  <c r="D107" i="8"/>
  <c r="C107" i="8"/>
  <c r="H116" i="8"/>
  <c r="F116" i="8"/>
  <c r="E116" i="8"/>
  <c r="D116" i="8"/>
  <c r="AP204" i="8" a="1"/>
  <c r="AP204" i="8" s="1"/>
  <c r="AQ204" i="8" s="1"/>
  <c r="AP367" i="8" a="1"/>
  <c r="AP367" i="8" s="1"/>
  <c r="AQ367" i="8" s="1"/>
  <c r="AP320" i="8" a="1"/>
  <c r="AP320" i="8" s="1"/>
  <c r="AQ320" i="8" s="1"/>
  <c r="C320" i="8"/>
  <c r="C77" i="8"/>
  <c r="AP46" i="8" a="1"/>
  <c r="AP46" i="8" s="1"/>
  <c r="AQ46" i="8" s="1"/>
  <c r="I46" i="8"/>
  <c r="AP125" i="8" a="1"/>
  <c r="AP125" i="8" s="1"/>
  <c r="AQ125" i="8" s="1"/>
  <c r="D125" i="8"/>
  <c r="AP11" i="8" a="1"/>
  <c r="AP11" i="8" s="1"/>
  <c r="AQ11" i="8" s="1"/>
  <c r="AH31" i="8"/>
  <c r="BB31" i="8" s="1"/>
  <c r="AP128" i="8" a="1"/>
  <c r="AP128" i="8" s="1"/>
  <c r="AQ128" i="8" s="1"/>
  <c r="F135" i="8"/>
  <c r="D135" i="8"/>
  <c r="C135" i="8"/>
  <c r="AH135" i="8"/>
  <c r="BB135" i="8" s="1"/>
  <c r="AP143" i="8" a="1"/>
  <c r="AP143" i="8" s="1"/>
  <c r="AQ143" i="8" s="1"/>
  <c r="AP165" i="8" a="1"/>
  <c r="AP165" i="8" s="1"/>
  <c r="AQ165" i="8" s="1"/>
  <c r="I165" i="8"/>
  <c r="AH165" i="8"/>
  <c r="BB165" i="8" s="1"/>
  <c r="E169" i="8"/>
  <c r="AP169" i="8" a="1"/>
  <c r="AP169" i="8" s="1"/>
  <c r="AQ169" i="8" s="1"/>
  <c r="D169" i="8"/>
  <c r="C169" i="8"/>
  <c r="AP240" i="8" a="1"/>
  <c r="AP240" i="8" s="1"/>
  <c r="AQ240" i="8" s="1"/>
  <c r="AP326" i="8" a="1"/>
  <c r="AP326" i="8" s="1"/>
  <c r="AQ326" i="8" s="1"/>
  <c r="AP443" i="8" a="1"/>
  <c r="AP443" i="8" s="1"/>
  <c r="AQ443" i="8" s="1"/>
  <c r="I458" i="8"/>
  <c r="AP458" i="8" a="1"/>
  <c r="AP458" i="8" s="1"/>
  <c r="AQ458" i="8" s="1"/>
  <c r="AP514" i="8" a="1"/>
  <c r="AP514" i="8" s="1"/>
  <c r="AQ514" i="8" s="1"/>
  <c r="AP523" i="8" a="1"/>
  <c r="AP523" i="8" s="1"/>
  <c r="AQ523" i="8" s="1"/>
  <c r="AP459" i="8" a="1"/>
  <c r="AP459" i="8" s="1"/>
  <c r="AQ459" i="8" s="1"/>
  <c r="AP237" i="8" a="1"/>
  <c r="AP237" i="8" s="1"/>
  <c r="AQ237" i="8" s="1"/>
  <c r="AP21" i="8" a="1"/>
  <c r="AP21" i="8" s="1"/>
  <c r="AQ21" i="8" s="1"/>
  <c r="AP109" i="8" a="1"/>
  <c r="AP109" i="8" s="1"/>
  <c r="AQ109" i="8" s="1"/>
  <c r="H109" i="8"/>
  <c r="AP211" i="8" a="1"/>
  <c r="AP211" i="8" s="1"/>
  <c r="AQ211" i="8" s="1"/>
  <c r="I211" i="8"/>
  <c r="F211" i="8"/>
  <c r="E211" i="8"/>
  <c r="AP213" i="8" a="1"/>
  <c r="AP213" i="8" s="1"/>
  <c r="AQ213" i="8" s="1"/>
  <c r="BC239" i="8"/>
  <c r="I303" i="8"/>
  <c r="AH310" i="8"/>
  <c r="BB310" i="8" s="1"/>
  <c r="AP310" i="8" a="1"/>
  <c r="AP310" i="8" s="1"/>
  <c r="AQ310" i="8" s="1"/>
  <c r="BC338" i="8"/>
  <c r="AP447" i="8" a="1"/>
  <c r="AP447" i="8" s="1"/>
  <c r="AQ447" i="8" s="1"/>
  <c r="K461" i="8"/>
  <c r="BC461" i="8"/>
  <c r="AH472" i="8"/>
  <c r="BB472" i="8" s="1"/>
  <c r="F480" i="8"/>
  <c r="AP480" i="8" a="1"/>
  <c r="AP480" i="8" s="1"/>
  <c r="AQ480" i="8" s="1"/>
  <c r="D506" i="8"/>
  <c r="AH506" i="8"/>
  <c r="BB506" i="8" s="1"/>
  <c r="I506" i="8"/>
  <c r="G506" i="8"/>
  <c r="AP497" i="8" a="1"/>
  <c r="AP497" i="8" s="1"/>
  <c r="AQ497" i="8" s="1"/>
  <c r="AP238" i="8" a="1"/>
  <c r="AP238" i="8" s="1"/>
  <c r="AQ238" i="8" s="1"/>
  <c r="C109" i="8"/>
  <c r="AP244" i="8" a="1"/>
  <c r="AP244" i="8" s="1"/>
  <c r="AQ244" i="8" s="1"/>
  <c r="C506" i="8"/>
  <c r="AP521" i="8" a="1"/>
  <c r="AP521" i="8" s="1"/>
  <c r="AQ521" i="8" s="1"/>
  <c r="AP391" i="8" a="1"/>
  <c r="AP391" i="8" s="1"/>
  <c r="AQ391" i="8" s="1"/>
  <c r="AP318" i="8" a="1"/>
  <c r="AP318" i="8" s="1"/>
  <c r="AQ318" i="8" s="1"/>
  <c r="AP134" i="8" a="1"/>
  <c r="AP134" i="8" s="1"/>
  <c r="AQ134" i="8" s="1"/>
  <c r="AP266" i="8" a="1"/>
  <c r="AP266" i="8" s="1"/>
  <c r="AQ266" i="8" s="1"/>
  <c r="G296" i="8"/>
  <c r="AP296" i="8" a="1"/>
  <c r="AP296" i="8" s="1"/>
  <c r="AQ296" i="8" s="1"/>
  <c r="AP365" i="8" a="1"/>
  <c r="AP365" i="8" s="1"/>
  <c r="AQ365" i="8" s="1"/>
  <c r="AP439" i="8" a="1"/>
  <c r="AP439" i="8" s="1"/>
  <c r="AQ439" i="8" s="1"/>
  <c r="AP339" i="8" a="1"/>
  <c r="AP339" i="8" s="1"/>
  <c r="AQ339" i="8" s="1"/>
  <c r="AP82" i="8" a="1"/>
  <c r="AP82" i="8" s="1"/>
  <c r="AQ82" i="8" s="1"/>
  <c r="AP10" i="8" a="1"/>
  <c r="AP10" i="8" s="1"/>
  <c r="AQ10" i="8" s="1"/>
  <c r="AP67" i="8" a="1"/>
  <c r="AP67" i="8" s="1"/>
  <c r="AQ67" i="8" s="1"/>
  <c r="AP75" i="8" a="1"/>
  <c r="AP75" i="8" s="1"/>
  <c r="AQ75" i="8" s="1"/>
  <c r="I75" i="8"/>
  <c r="C83" i="8"/>
  <c r="I83" i="8"/>
  <c r="H155" i="8"/>
  <c r="D155" i="8"/>
  <c r="AP219" i="8" a="1"/>
  <c r="AP219" i="8" s="1"/>
  <c r="AQ219" i="8" s="1"/>
  <c r="H260" i="8"/>
  <c r="AP260" i="8" a="1"/>
  <c r="AP260" i="8" s="1"/>
  <c r="AQ260" i="8" s="1"/>
  <c r="BC261" i="8"/>
  <c r="BC381" i="8"/>
  <c r="BC386" i="8"/>
  <c r="K386" i="8"/>
  <c r="AP467" i="8" a="1"/>
  <c r="AP467" i="8" s="1"/>
  <c r="AQ467" i="8" s="1"/>
  <c r="AH467" i="8"/>
  <c r="BB467" i="8" s="1"/>
  <c r="AP492" i="8" a="1"/>
  <c r="AP492" i="8" s="1"/>
  <c r="AQ492" i="8" s="1"/>
  <c r="AP285" i="8" a="1"/>
  <c r="AP285" i="8" s="1"/>
  <c r="AQ285" i="8" s="1"/>
  <c r="AP258" i="8" a="1"/>
  <c r="AP258" i="8" s="1"/>
  <c r="AQ258" i="8" s="1"/>
  <c r="AP235" i="8" a="1"/>
  <c r="AP235" i="8" s="1"/>
  <c r="AQ235" i="8" s="1"/>
  <c r="AP51" i="8" a="1"/>
  <c r="AP51" i="8" s="1"/>
  <c r="AQ51" i="8" s="1"/>
  <c r="AP399" i="8" a="1"/>
  <c r="AP399" i="8" s="1"/>
  <c r="AQ399" i="8" s="1"/>
  <c r="AP493" i="8" a="1"/>
  <c r="AP493" i="8" s="1"/>
  <c r="AQ493" i="8" s="1"/>
  <c r="AP389" i="8" a="1"/>
  <c r="AP389" i="8" s="1"/>
  <c r="AQ389" i="8" s="1"/>
  <c r="AP364" i="8" a="1"/>
  <c r="AP364" i="8" s="1"/>
  <c r="AQ364" i="8" s="1"/>
  <c r="AP155" i="8" a="1"/>
  <c r="AP155" i="8" s="1"/>
  <c r="AQ155" i="8" s="1"/>
  <c r="AP105" i="8" a="1"/>
  <c r="AP105" i="8" s="1"/>
  <c r="AQ105" i="8" s="1"/>
  <c r="AP61" i="8" a="1"/>
  <c r="AP61" i="8" s="1"/>
  <c r="AQ61" i="8" s="1"/>
  <c r="C75" i="8"/>
  <c r="AP79" i="8" a="1"/>
  <c r="AP79" i="8" s="1"/>
  <c r="AQ79" i="8" s="1"/>
  <c r="F79" i="8"/>
  <c r="D83" i="8"/>
  <c r="AP94" i="8" a="1"/>
  <c r="AP94" i="8" s="1"/>
  <c r="AQ94" i="8" s="1"/>
  <c r="H101" i="8"/>
  <c r="D101" i="8"/>
  <c r="AP103" i="8" a="1"/>
  <c r="AP103" i="8" s="1"/>
  <c r="AQ103" i="8" s="1"/>
  <c r="C155" i="8"/>
  <c r="K193" i="8"/>
  <c r="BC193" i="8"/>
  <c r="C258" i="8"/>
  <c r="F260" i="8"/>
  <c r="AP262" i="8" a="1"/>
  <c r="AP262" i="8" s="1"/>
  <c r="AQ262" i="8" s="1"/>
  <c r="BC276" i="8"/>
  <c r="K452" i="8"/>
  <c r="BC452" i="8"/>
  <c r="C467" i="8"/>
  <c r="AP490" i="8" a="1"/>
  <c r="AP490" i="8" s="1"/>
  <c r="AQ490" i="8" s="1"/>
  <c r="AP518" i="8" a="1"/>
  <c r="AP518" i="8" s="1"/>
  <c r="AQ518" i="8" s="1"/>
  <c r="AP411" i="8" a="1"/>
  <c r="AP411" i="8" s="1"/>
  <c r="AQ411" i="8" s="1"/>
  <c r="AP388" i="8" a="1"/>
  <c r="AP388" i="8" s="1"/>
  <c r="AQ388" i="8" s="1"/>
  <c r="AP181" i="8" a="1"/>
  <c r="AP181" i="8" s="1"/>
  <c r="AQ181" i="8" s="1"/>
  <c r="AP154" i="8" a="1"/>
  <c r="AP154" i="8" s="1"/>
  <c r="AQ154" i="8" s="1"/>
  <c r="AH264" i="8"/>
  <c r="BB264" i="8" s="1"/>
  <c r="AP264" i="8" a="1"/>
  <c r="AP264" i="8" s="1"/>
  <c r="AQ264" i="8" s="1"/>
  <c r="AP282" i="8" a="1"/>
  <c r="AP282" i="8" s="1"/>
  <c r="AQ282" i="8" s="1"/>
  <c r="BC399" i="8"/>
  <c r="K399" i="8"/>
  <c r="AP412" i="8" a="1"/>
  <c r="AP412" i="8" s="1"/>
  <c r="AQ412" i="8" s="1"/>
  <c r="C412" i="8"/>
  <c r="AP414" i="8" a="1"/>
  <c r="AP414" i="8" s="1"/>
  <c r="AQ414" i="8" s="1"/>
  <c r="AP511" i="8" a="1"/>
  <c r="AP511" i="8" s="1"/>
  <c r="AQ511" i="8" s="1"/>
  <c r="AP528" i="8" a="1"/>
  <c r="AP528" i="8" s="1"/>
  <c r="AQ528" i="8" s="1"/>
  <c r="AP515" i="8" a="1"/>
  <c r="AP515" i="8" s="1"/>
  <c r="AQ515" i="8" s="1"/>
  <c r="AP460" i="8" a="1"/>
  <c r="AP460" i="8" s="1"/>
  <c r="AQ460" i="8" s="1"/>
  <c r="AP410" i="8" a="1"/>
  <c r="AP410" i="8" s="1"/>
  <c r="AQ410" i="8" s="1"/>
  <c r="AP334" i="8" a="1"/>
  <c r="AP334" i="8" s="1"/>
  <c r="AQ334" i="8" s="1"/>
  <c r="AP307" i="8" a="1"/>
  <c r="AP307" i="8" s="1"/>
  <c r="AQ307" i="8" s="1"/>
  <c r="AP284" i="8" a="1"/>
  <c r="AP284" i="8" s="1"/>
  <c r="AQ284" i="8" s="1"/>
  <c r="AP257" i="8" a="1"/>
  <c r="AP257" i="8" s="1"/>
  <c r="AQ257" i="8" s="1"/>
  <c r="AP234" i="8" a="1"/>
  <c r="AP234" i="8" s="1"/>
  <c r="AQ234" i="8" s="1"/>
  <c r="AP178" i="8" a="1"/>
  <c r="AP178" i="8" s="1"/>
  <c r="AQ178" i="8" s="1"/>
  <c r="AP123" i="8" a="1"/>
  <c r="AP123" i="8" s="1"/>
  <c r="AQ123" i="8" s="1"/>
  <c r="AP32" i="8" a="1"/>
  <c r="AP32" i="8" s="1"/>
  <c r="AQ32" i="8" s="1"/>
  <c r="AP129" i="8" a="1"/>
  <c r="AP129" i="8" s="1"/>
  <c r="AQ129" i="8" s="1"/>
  <c r="AP158" i="8" a="1"/>
  <c r="AP158" i="8" s="1"/>
  <c r="AQ158" i="8" s="1"/>
  <c r="AP192" i="8" a="1"/>
  <c r="AP192" i="8" s="1"/>
  <c r="AQ192" i="8" s="1"/>
  <c r="I192" i="8"/>
  <c r="AP243" i="8" a="1"/>
  <c r="AP243" i="8" s="1"/>
  <c r="AQ243" i="8" s="1"/>
  <c r="F248" i="8"/>
  <c r="AP248" i="8" a="1"/>
  <c r="AP248" i="8" s="1"/>
  <c r="AQ248" i="8" s="1"/>
  <c r="I280" i="8"/>
  <c r="AH280" i="8"/>
  <c r="BB280" i="8" s="1"/>
  <c r="AP431" i="8" a="1"/>
  <c r="AP431" i="8" s="1"/>
  <c r="AQ431" i="8" s="1"/>
  <c r="E441" i="8"/>
  <c r="D441" i="8"/>
  <c r="C441" i="8"/>
  <c r="AH441" i="8"/>
  <c r="BB441" i="8" s="1"/>
  <c r="AP446" i="8" a="1"/>
  <c r="AP446" i="8" s="1"/>
  <c r="AQ446" i="8" s="1"/>
  <c r="AP377" i="8" a="1"/>
  <c r="AP377" i="8" s="1"/>
  <c r="AQ377" i="8" s="1"/>
  <c r="AP354" i="8" a="1"/>
  <c r="AP354" i="8" s="1"/>
  <c r="AQ354" i="8" s="1"/>
  <c r="AP327" i="8" a="1"/>
  <c r="AP327" i="8" s="1"/>
  <c r="AQ327" i="8" s="1"/>
  <c r="AP304" i="8" a="1"/>
  <c r="AP304" i="8" s="1"/>
  <c r="AQ304" i="8" s="1"/>
  <c r="AP150" i="8" a="1"/>
  <c r="AP150" i="8" s="1"/>
  <c r="AQ150" i="8" s="1"/>
  <c r="AP16" i="8" a="1"/>
  <c r="AP16" i="8" s="1"/>
  <c r="AQ16" i="8" s="1"/>
  <c r="AP40" i="8" a="1"/>
  <c r="AP40" i="8" s="1"/>
  <c r="AQ40" i="8" s="1"/>
  <c r="AP97" i="8" a="1"/>
  <c r="AP97" i="8" s="1"/>
  <c r="AQ97" i="8" s="1"/>
  <c r="F6" i="8"/>
  <c r="C32" i="8"/>
  <c r="C40" i="8"/>
  <c r="AP44" i="8" a="1"/>
  <c r="AP44" i="8" s="1"/>
  <c r="AQ44" i="8" s="1"/>
  <c r="AH53" i="8"/>
  <c r="BB53" i="8" s="1"/>
  <c r="G53" i="8"/>
  <c r="K77" i="8"/>
  <c r="AP93" i="8" a="1"/>
  <c r="AP93" i="8" s="1"/>
  <c r="AQ93" i="8" s="1"/>
  <c r="AP115" i="8" a="1"/>
  <c r="AP115" i="8" s="1"/>
  <c r="AQ115" i="8" s="1"/>
  <c r="C129" i="8"/>
  <c r="AP131" i="8" a="1"/>
  <c r="AP131" i="8" s="1"/>
  <c r="AQ131" i="8" s="1"/>
  <c r="AP179" i="8" a="1"/>
  <c r="AP179" i="8" s="1"/>
  <c r="AQ179" i="8" s="1"/>
  <c r="AP220" i="8" a="1"/>
  <c r="AP220" i="8" s="1"/>
  <c r="AQ220" i="8" s="1"/>
  <c r="C241" i="8"/>
  <c r="E248" i="8"/>
  <c r="AP255" i="8" a="1"/>
  <c r="AP255" i="8" s="1"/>
  <c r="AQ255" i="8" s="1"/>
  <c r="H255" i="8"/>
  <c r="AP309" i="8" a="1"/>
  <c r="AP309" i="8" s="1"/>
  <c r="AQ309" i="8" s="1"/>
  <c r="H333" i="8"/>
  <c r="AP338" i="8" a="1"/>
  <c r="AP338" i="8" s="1"/>
  <c r="AQ338" i="8" s="1"/>
  <c r="I422" i="8"/>
  <c r="AH422" i="8"/>
  <c r="BB422" i="8" s="1"/>
  <c r="F436" i="8"/>
  <c r="E446" i="8"/>
  <c r="H472" i="8"/>
  <c r="G472" i="8"/>
  <c r="F472" i="8"/>
  <c r="E472" i="8"/>
  <c r="AP507" i="8" a="1"/>
  <c r="AP507" i="8" s="1"/>
  <c r="AQ507" i="8" s="1"/>
  <c r="AP426" i="8" a="1"/>
  <c r="AP426" i="8" s="1"/>
  <c r="AQ426" i="8" s="1"/>
  <c r="AP323" i="8" a="1"/>
  <c r="AP323" i="8" s="1"/>
  <c r="AQ323" i="8" s="1"/>
  <c r="AP273" i="8" a="1"/>
  <c r="AP273" i="8" s="1"/>
  <c r="AQ273" i="8" s="1"/>
  <c r="AP6" i="8" a="1"/>
  <c r="AP6" i="8" s="1"/>
  <c r="AQ6" i="8" s="1"/>
  <c r="AP29" i="8" a="1"/>
  <c r="AP29" i="8" s="1"/>
  <c r="AQ29" i="8" s="1"/>
  <c r="AP41" i="8" a="1"/>
  <c r="AP41" i="8" s="1"/>
  <c r="AQ41" i="8" s="1"/>
  <c r="AP53" i="8" a="1"/>
  <c r="AP53" i="8" s="1"/>
  <c r="AQ53" i="8" s="1"/>
  <c r="AP76" i="8" a="1"/>
  <c r="AP76" i="8" s="1"/>
  <c r="AQ76" i="8" s="1"/>
  <c r="AP88" i="8" a="1"/>
  <c r="AP88" i="8" s="1"/>
  <c r="AQ88" i="8" s="1"/>
  <c r="AP135" i="8" a="1"/>
  <c r="AP135" i="8" s="1"/>
  <c r="AQ135" i="8" s="1"/>
  <c r="AP147" i="8" a="1"/>
  <c r="AP147" i="8" s="1"/>
  <c r="AQ147" i="8" s="1"/>
  <c r="AP170" i="8" a="1"/>
  <c r="AP170" i="8" s="1"/>
  <c r="AQ170" i="8" s="1"/>
  <c r="AP182" i="8" a="1"/>
  <c r="AP182" i="8" s="1"/>
  <c r="AQ182" i="8" s="1"/>
  <c r="AP194" i="8" a="1"/>
  <c r="AP194" i="8" s="1"/>
  <c r="AQ194" i="8" s="1"/>
  <c r="AP229" i="8" a="1"/>
  <c r="AP229" i="8" s="1"/>
  <c r="AQ229" i="8" s="1"/>
  <c r="AP241" i="8" a="1"/>
  <c r="AP241" i="8" s="1"/>
  <c r="AQ241" i="8" s="1"/>
  <c r="AP253" i="8" a="1"/>
  <c r="AP253" i="8" s="1"/>
  <c r="AQ253" i="8" s="1"/>
  <c r="AP276" i="8" a="1"/>
  <c r="AP276" i="8" s="1"/>
  <c r="AQ276" i="8" s="1"/>
  <c r="AP288" i="8" a="1"/>
  <c r="AP288" i="8" s="1"/>
  <c r="AQ288" i="8" s="1"/>
  <c r="AP335" i="8" a="1"/>
  <c r="AP335" i="8" s="1"/>
  <c r="AQ335" i="8" s="1"/>
  <c r="AP347" i="8" a="1"/>
  <c r="AP347" i="8" s="1"/>
  <c r="AQ347" i="8" s="1"/>
  <c r="AP370" i="8" a="1"/>
  <c r="AP370" i="8" s="1"/>
  <c r="AQ370" i="8" s="1"/>
  <c r="AP382" i="8" a="1"/>
  <c r="AP382" i="8" s="1"/>
  <c r="AQ382" i="8" s="1"/>
  <c r="AP394" i="8" a="1"/>
  <c r="AP394" i="8" s="1"/>
  <c r="AQ394" i="8" s="1"/>
  <c r="AP429" i="8" a="1"/>
  <c r="AP429" i="8" s="1"/>
  <c r="AQ429" i="8" s="1"/>
  <c r="AP441" i="8" a="1"/>
  <c r="AP441" i="8" s="1"/>
  <c r="AQ441" i="8" s="1"/>
  <c r="AP453" i="8" a="1"/>
  <c r="AP453" i="8" s="1"/>
  <c r="AQ453" i="8" s="1"/>
  <c r="AP476" i="8" a="1"/>
  <c r="AP476" i="8" s="1"/>
  <c r="AQ476" i="8" s="1"/>
  <c r="AP488" i="8" a="1"/>
  <c r="AP488" i="8" s="1"/>
  <c r="AQ488" i="8" s="1"/>
  <c r="AP18" i="8" a="1"/>
  <c r="AP18" i="8" s="1"/>
  <c r="AQ18" i="8" s="1"/>
  <c r="AP65" i="8" a="1"/>
  <c r="AP65" i="8" s="1"/>
  <c r="AQ65" i="8" s="1"/>
  <c r="AP77" i="8" a="1"/>
  <c r="AP77" i="8" s="1"/>
  <c r="AQ77" i="8" s="1"/>
  <c r="AP100" i="8" a="1"/>
  <c r="AP100" i="8" s="1"/>
  <c r="AQ100" i="8" s="1"/>
  <c r="AP112" i="8" a="1"/>
  <c r="AP112" i="8" s="1"/>
  <c r="AQ112" i="8" s="1"/>
  <c r="AP124" i="8" a="1"/>
  <c r="AP124" i="8" s="1"/>
  <c r="AQ124" i="8" s="1"/>
  <c r="AP159" i="8" a="1"/>
  <c r="AP159" i="8" s="1"/>
  <c r="AQ159" i="8" s="1"/>
  <c r="AP171" i="8" a="1"/>
  <c r="AP171" i="8" s="1"/>
  <c r="AQ171" i="8" s="1"/>
  <c r="AP183" i="8" a="1"/>
  <c r="AP183" i="8" s="1"/>
  <c r="AQ183" i="8" s="1"/>
  <c r="AP206" i="8" a="1"/>
  <c r="AP206" i="8" s="1"/>
  <c r="AQ206" i="8" s="1"/>
  <c r="AP218" i="8" a="1"/>
  <c r="AP218" i="8" s="1"/>
  <c r="AQ218" i="8" s="1"/>
  <c r="AP265" i="8" a="1"/>
  <c r="AP265" i="8" s="1"/>
  <c r="AQ265" i="8" s="1"/>
  <c r="AP277" i="8" a="1"/>
  <c r="AP277" i="8" s="1"/>
  <c r="AQ277" i="8" s="1"/>
  <c r="AP300" i="8" a="1"/>
  <c r="AP300" i="8" s="1"/>
  <c r="AQ300" i="8" s="1"/>
  <c r="AP312" i="8" a="1"/>
  <c r="AP312" i="8" s="1"/>
  <c r="AQ312" i="8" s="1"/>
  <c r="AP324" i="8" a="1"/>
  <c r="AP324" i="8" s="1"/>
  <c r="AQ324" i="8" s="1"/>
  <c r="AP359" i="8" a="1"/>
  <c r="AP359" i="8" s="1"/>
  <c r="AQ359" i="8" s="1"/>
  <c r="AP371" i="8" a="1"/>
  <c r="AP371" i="8" s="1"/>
  <c r="AQ371" i="8" s="1"/>
  <c r="AP383" i="8" a="1"/>
  <c r="AP383" i="8" s="1"/>
  <c r="AQ383" i="8" s="1"/>
  <c r="AP406" i="8" a="1"/>
  <c r="AP406" i="8" s="1"/>
  <c r="AQ406" i="8" s="1"/>
  <c r="AP418" i="8" a="1"/>
  <c r="AP418" i="8" s="1"/>
  <c r="AQ418" i="8" s="1"/>
  <c r="AP465" i="8" a="1"/>
  <c r="AP465" i="8" s="1"/>
  <c r="AQ465" i="8" s="1"/>
  <c r="AP477" i="8" a="1"/>
  <c r="AP477" i="8" s="1"/>
  <c r="AQ477" i="8" s="1"/>
  <c r="AP500" i="8" a="1"/>
  <c r="AP500" i="8" s="1"/>
  <c r="AQ500" i="8" s="1"/>
  <c r="AP512" i="8" a="1"/>
  <c r="AP512" i="8" s="1"/>
  <c r="AQ512" i="8" s="1"/>
  <c r="AP524" i="8" a="1"/>
  <c r="AP524" i="8" s="1"/>
  <c r="AQ524" i="8" s="1"/>
  <c r="AP7" i="8" a="1"/>
  <c r="AP7" i="8" s="1"/>
  <c r="AQ7" i="8" s="1"/>
  <c r="AP30" i="8" a="1"/>
  <c r="AP30" i="8" s="1"/>
  <c r="AQ30" i="8" s="1"/>
  <c r="AP42" i="8" a="1"/>
  <c r="AP42" i="8" s="1"/>
  <c r="AQ42" i="8" s="1"/>
  <c r="AP54" i="8" a="1"/>
  <c r="AP54" i="8" s="1"/>
  <c r="AQ54" i="8" s="1"/>
  <c r="AP89" i="8" a="1"/>
  <c r="AP89" i="8" s="1"/>
  <c r="AQ89" i="8" s="1"/>
  <c r="AP101" i="8" a="1"/>
  <c r="AP101" i="8" s="1"/>
  <c r="AQ101" i="8" s="1"/>
  <c r="AP113" i="8" a="1"/>
  <c r="AP113" i="8" s="1"/>
  <c r="AQ113" i="8" s="1"/>
  <c r="AP136" i="8" a="1"/>
  <c r="AP136" i="8" s="1"/>
  <c r="AQ136" i="8" s="1"/>
  <c r="AP148" i="8" a="1"/>
  <c r="AP148" i="8" s="1"/>
  <c r="AQ148" i="8" s="1"/>
  <c r="AP195" i="8" a="1"/>
  <c r="AP195" i="8" s="1"/>
  <c r="AQ195" i="8" s="1"/>
  <c r="AP207" i="8" a="1"/>
  <c r="AP207" i="8" s="1"/>
  <c r="AQ207" i="8" s="1"/>
  <c r="AP230" i="8" a="1"/>
  <c r="AP230" i="8" s="1"/>
  <c r="AQ230" i="8" s="1"/>
  <c r="AP242" i="8" a="1"/>
  <c r="AP242" i="8" s="1"/>
  <c r="AQ242" i="8" s="1"/>
  <c r="AP254" i="8" a="1"/>
  <c r="AP254" i="8" s="1"/>
  <c r="AQ254" i="8" s="1"/>
  <c r="AP289" i="8" a="1"/>
  <c r="AP289" i="8" s="1"/>
  <c r="AQ289" i="8" s="1"/>
  <c r="AP301" i="8" a="1"/>
  <c r="AP301" i="8" s="1"/>
  <c r="AQ301" i="8" s="1"/>
  <c r="AP313" i="8" a="1"/>
  <c r="AP313" i="8" s="1"/>
  <c r="AQ313" i="8" s="1"/>
  <c r="AP336" i="8" a="1"/>
  <c r="AP336" i="8" s="1"/>
  <c r="AQ336" i="8" s="1"/>
  <c r="AP348" i="8" a="1"/>
  <c r="AP348" i="8" s="1"/>
  <c r="AQ348" i="8" s="1"/>
  <c r="AP395" i="8" a="1"/>
  <c r="AP395" i="8" s="1"/>
  <c r="AQ395" i="8" s="1"/>
  <c r="AP407" i="8" a="1"/>
  <c r="AP407" i="8" s="1"/>
  <c r="AQ407" i="8" s="1"/>
  <c r="AP430" i="8" a="1"/>
  <c r="AP430" i="8" s="1"/>
  <c r="AQ430" i="8" s="1"/>
  <c r="AP442" i="8" a="1"/>
  <c r="AP442" i="8" s="1"/>
  <c r="AQ442" i="8" s="1"/>
  <c r="AP454" i="8" a="1"/>
  <c r="AP454" i="8" s="1"/>
  <c r="AQ454" i="8" s="1"/>
  <c r="AP489" i="8" a="1"/>
  <c r="AP489" i="8" s="1"/>
  <c r="AQ489" i="8" s="1"/>
  <c r="AP501" i="8" a="1"/>
  <c r="AP501" i="8" s="1"/>
  <c r="AQ501" i="8" s="1"/>
  <c r="AP513" i="8" a="1"/>
  <c r="AP513" i="8" s="1"/>
  <c r="AQ513" i="8" s="1"/>
  <c r="AP479" i="8" a="1"/>
  <c r="AP479" i="8" s="1"/>
  <c r="AQ479" i="8" s="1"/>
  <c r="AP526" i="8" a="1"/>
  <c r="AP526" i="8" s="1"/>
  <c r="AQ526" i="8" s="1"/>
  <c r="AP495" i="8" a="1"/>
  <c r="AP495" i="8" s="1"/>
  <c r="AQ495" i="8" s="1"/>
  <c r="AP413" i="8" a="1"/>
  <c r="AP413" i="8" s="1"/>
  <c r="AQ413" i="8" s="1"/>
  <c r="AP428" i="8" a="1"/>
  <c r="AP428" i="8" s="1"/>
  <c r="AQ428" i="8" s="1"/>
  <c r="AP462" i="8" a="1"/>
  <c r="AP462" i="8" s="1"/>
  <c r="AQ462" i="8" s="1"/>
  <c r="AP481" i="8" a="1"/>
  <c r="AP481" i="8" s="1"/>
  <c r="AQ481" i="8" s="1"/>
  <c r="AP281" i="8" a="1"/>
  <c r="AP281" i="8" s="1"/>
  <c r="AQ281" i="8" s="1"/>
  <c r="AP315" i="8" a="1"/>
  <c r="AP315" i="8" s="1"/>
  <c r="AQ315" i="8" s="1"/>
  <c r="AP330" i="8" a="1"/>
  <c r="AP330" i="8" s="1"/>
  <c r="AQ330" i="8" s="1"/>
  <c r="AP448" i="8" a="1"/>
  <c r="AP448" i="8" s="1"/>
  <c r="AQ448" i="8" s="1"/>
  <c r="AP530" i="8" a="1"/>
  <c r="AP530" i="8" s="1"/>
  <c r="AQ530" i="8" s="1"/>
  <c r="AP263" i="8" a="1"/>
  <c r="AP263" i="8" s="1"/>
  <c r="AQ263" i="8" s="1"/>
  <c r="AP483" i="8" a="1"/>
  <c r="AP483" i="8" s="1"/>
  <c r="AQ483" i="8" s="1"/>
  <c r="AP531" i="8" a="1"/>
  <c r="AP531" i="8" s="1"/>
  <c r="AQ531" i="8" s="1"/>
  <c r="AP316" i="8" a="1"/>
  <c r="AP316" i="8" s="1"/>
  <c r="AQ316" i="8" s="1"/>
  <c r="AP350" i="8" a="1"/>
  <c r="AP350" i="8" s="1"/>
  <c r="AQ350" i="8" s="1"/>
  <c r="AP415" i="8" a="1"/>
  <c r="AP415" i="8" s="1"/>
  <c r="AQ415" i="8" s="1"/>
  <c r="AP434" i="8" a="1"/>
  <c r="AP434" i="8" s="1"/>
  <c r="AQ434" i="8" s="1"/>
  <c r="AP468" i="8" a="1"/>
  <c r="AP468" i="8" s="1"/>
  <c r="AQ468" i="8" s="1"/>
  <c r="AP332" i="8" a="1"/>
  <c r="AP332" i="8" s="1"/>
  <c r="AQ332" i="8" s="1"/>
  <c r="AP366" i="8" a="1"/>
  <c r="AP366" i="8" s="1"/>
  <c r="AQ366" i="8" s="1"/>
  <c r="AP400" i="8" a="1"/>
  <c r="AP400" i="8" s="1"/>
  <c r="AQ400" i="8" s="1"/>
  <c r="AP499" i="8" a="1"/>
  <c r="AP499" i="8" s="1"/>
  <c r="AQ499" i="8" s="1"/>
  <c r="G6" i="8"/>
  <c r="AP91" i="8" a="1"/>
  <c r="AP91" i="8" s="1"/>
  <c r="AQ91" i="8" s="1"/>
  <c r="AP95" i="8" a="1"/>
  <c r="AP95" i="8" s="1"/>
  <c r="AQ95" i="8" s="1"/>
  <c r="H140" i="8"/>
  <c r="F140" i="8"/>
  <c r="E140" i="8"/>
  <c r="AP197" i="8" a="1"/>
  <c r="AP197" i="8" s="1"/>
  <c r="AQ197" i="8" s="1"/>
  <c r="AP227" i="8" a="1"/>
  <c r="AP227" i="8" s="1"/>
  <c r="AQ227" i="8" s="1"/>
  <c r="C231" i="8"/>
  <c r="AP231" i="8" a="1"/>
  <c r="AP231" i="8" s="1"/>
  <c r="AQ231" i="8" s="1"/>
  <c r="I233" i="8"/>
  <c r="AP233" i="8" a="1"/>
  <c r="AP233" i="8" s="1"/>
  <c r="AQ233" i="8" s="1"/>
  <c r="F241" i="8"/>
  <c r="G248" i="8"/>
  <c r="C255" i="8"/>
  <c r="H273" i="8"/>
  <c r="D283" i="8"/>
  <c r="AP283" i="8" a="1"/>
  <c r="AP283" i="8" s="1"/>
  <c r="AQ283" i="8" s="1"/>
  <c r="AH317" i="8"/>
  <c r="BB317" i="8" s="1"/>
  <c r="AP317" i="8" a="1"/>
  <c r="AP317" i="8" s="1"/>
  <c r="AQ317" i="8" s="1"/>
  <c r="I333" i="8"/>
  <c r="AP349" i="8" a="1"/>
  <c r="AP349" i="8" s="1"/>
  <c r="AQ349" i="8" s="1"/>
  <c r="AH349" i="8"/>
  <c r="BB349" i="8" s="1"/>
  <c r="AH385" i="8"/>
  <c r="BB385" i="8" s="1"/>
  <c r="AP385" i="8" a="1"/>
  <c r="AP385" i="8" s="1"/>
  <c r="AQ385" i="8" s="1"/>
  <c r="C422" i="8"/>
  <c r="G436" i="8"/>
  <c r="K458" i="8"/>
  <c r="K463" i="8"/>
  <c r="D472" i="8"/>
  <c r="AH517" i="8"/>
  <c r="BB517" i="8" s="1"/>
  <c r="AP517" i="8" a="1"/>
  <c r="AP517" i="8" s="1"/>
  <c r="AQ517" i="8" s="1"/>
  <c r="AP506" i="8" a="1"/>
  <c r="AP506" i="8" s="1"/>
  <c r="AQ506" i="8" s="1"/>
  <c r="AP403" i="8" a="1"/>
  <c r="AP403" i="8" s="1"/>
  <c r="AQ403" i="8" s="1"/>
  <c r="AP353" i="8" a="1"/>
  <c r="AP353" i="8" s="1"/>
  <c r="AQ353" i="8" s="1"/>
  <c r="AP322" i="8" a="1"/>
  <c r="AP322" i="8" s="1"/>
  <c r="AQ322" i="8" s="1"/>
  <c r="AP272" i="8" a="1"/>
  <c r="AP272" i="8" s="1"/>
  <c r="AQ272" i="8" s="1"/>
  <c r="AP249" i="8" a="1"/>
  <c r="AP249" i="8" s="1"/>
  <c r="AQ249" i="8" s="1"/>
  <c r="D22" i="8"/>
  <c r="AP28" i="8" a="1"/>
  <c r="AP28" i="8" s="1"/>
  <c r="AQ28" i="8" s="1"/>
  <c r="E32" i="8"/>
  <c r="E40" i="8"/>
  <c r="AP62" i="8" a="1"/>
  <c r="AP62" i="8" s="1"/>
  <c r="AQ62" i="8" s="1"/>
  <c r="BC71" i="8"/>
  <c r="K71" i="8"/>
  <c r="G86" i="8"/>
  <c r="C95" i="8"/>
  <c r="D102" i="8"/>
  <c r="AP102" i="8" a="1"/>
  <c r="AP102" i="8" s="1"/>
  <c r="AQ102" i="8" s="1"/>
  <c r="D115" i="8"/>
  <c r="H129" i="8"/>
  <c r="F131" i="8"/>
  <c r="C140" i="8"/>
  <c r="AP172" i="8" a="1"/>
  <c r="AP172" i="8" s="1"/>
  <c r="AQ172" i="8" s="1"/>
  <c r="I188" i="8"/>
  <c r="H188" i="8"/>
  <c r="F197" i="8"/>
  <c r="D231" i="8"/>
  <c r="C233" i="8"/>
  <c r="H241" i="8"/>
  <c r="H248" i="8"/>
  <c r="G255" i="8"/>
  <c r="AH278" i="8"/>
  <c r="BB278" i="8" s="1"/>
  <c r="AP278" i="8" a="1"/>
  <c r="AP278" i="8" s="1"/>
  <c r="AQ278" i="8" s="1"/>
  <c r="AP331" i="8" a="1"/>
  <c r="AP331" i="8" s="1"/>
  <c r="AQ331" i="8" s="1"/>
  <c r="D349" i="8"/>
  <c r="AP378" i="8" a="1"/>
  <c r="AP378" i="8" s="1"/>
  <c r="AQ378" i="8" s="1"/>
  <c r="C383" i="8"/>
  <c r="AH383" i="8"/>
  <c r="BB383" i="8" s="1"/>
  <c r="D422" i="8"/>
  <c r="H436" i="8"/>
  <c r="AP444" i="8" a="1"/>
  <c r="AP444" i="8" s="1"/>
  <c r="AQ444" i="8" s="1"/>
  <c r="G444" i="8"/>
  <c r="E444" i="8"/>
  <c r="AP461" i="8" a="1"/>
  <c r="AP461" i="8" s="1"/>
  <c r="AQ461" i="8" s="1"/>
  <c r="AP466" i="8" a="1"/>
  <c r="AP466" i="8" s="1"/>
  <c r="AQ466" i="8" s="1"/>
  <c r="I466" i="8"/>
  <c r="G466" i="8"/>
  <c r="E517" i="8"/>
  <c r="AP68" i="8" a="1"/>
  <c r="AP68" i="8" s="1"/>
  <c r="AQ68" i="8" s="1"/>
  <c r="I295" i="8"/>
  <c r="AP295" i="8" a="1"/>
  <c r="AP295" i="8" s="1"/>
  <c r="AQ295" i="8" s="1"/>
  <c r="H295" i="8"/>
  <c r="BC300" i="8"/>
  <c r="K300" i="8"/>
  <c r="G303" i="8"/>
  <c r="AP303" i="8" a="1"/>
  <c r="AP303" i="8" s="1"/>
  <c r="AQ303" i="8" s="1"/>
  <c r="AP381" i="8" a="1"/>
  <c r="AP381" i="8" s="1"/>
  <c r="AQ381" i="8" s="1"/>
  <c r="E398" i="8"/>
  <c r="AH398" i="8"/>
  <c r="BB398" i="8" s="1"/>
  <c r="AH408" i="8"/>
  <c r="BB408" i="8" s="1"/>
  <c r="AP408" i="8" a="1"/>
  <c r="AP408" i="8" s="1"/>
  <c r="AQ408" i="8" s="1"/>
  <c r="E408" i="8"/>
  <c r="D408" i="8"/>
  <c r="C408" i="8"/>
  <c r="BC410" i="8"/>
  <c r="K410" i="8"/>
  <c r="AH427" i="8"/>
  <c r="BB427" i="8" s="1"/>
  <c r="AP427" i="8" a="1"/>
  <c r="AP427" i="8" s="1"/>
  <c r="AQ427" i="8" s="1"/>
  <c r="AP484" i="8" a="1"/>
  <c r="AP484" i="8" s="1"/>
  <c r="AQ484" i="8" s="1"/>
  <c r="C503" i="8"/>
  <c r="I503" i="8"/>
  <c r="H503" i="8"/>
  <c r="G503" i="8"/>
  <c r="F503" i="8"/>
  <c r="AP503" i="8" a="1"/>
  <c r="AP503" i="8" s="1"/>
  <c r="AQ503" i="8" s="1"/>
  <c r="D503" i="8"/>
  <c r="BC505" i="8"/>
  <c r="K505" i="8"/>
  <c r="E510" i="8"/>
  <c r="I510" i="8"/>
  <c r="AP510" i="8" a="1"/>
  <c r="AP510" i="8" s="1"/>
  <c r="AQ510" i="8" s="1"/>
  <c r="AP532" i="8" a="1"/>
  <c r="AP532" i="8" s="1"/>
  <c r="AQ532" i="8" s="1"/>
  <c r="AP527" i="8" a="1"/>
  <c r="AP527" i="8" s="1"/>
  <c r="AQ527" i="8" s="1"/>
  <c r="AP505" i="8" a="1"/>
  <c r="AP505" i="8" s="1"/>
  <c r="AQ505" i="8" s="1"/>
  <c r="AP321" i="8" a="1"/>
  <c r="AP321" i="8" s="1"/>
  <c r="AQ321" i="8" s="1"/>
  <c r="AP221" i="8" a="1"/>
  <c r="AP221" i="8" s="1"/>
  <c r="AQ221" i="8" s="1"/>
  <c r="AP140" i="8" a="1"/>
  <c r="AP140" i="8" s="1"/>
  <c r="AQ140" i="8" s="1"/>
  <c r="AP64" i="8" a="1"/>
  <c r="AP64" i="8" s="1"/>
  <c r="AQ64" i="8" s="1"/>
  <c r="AP14" i="8" a="1"/>
  <c r="AP14" i="8" s="1"/>
  <c r="AQ14" i="8" s="1"/>
  <c r="AP20" i="8" a="1"/>
  <c r="AP20" i="8" s="1"/>
  <c r="AQ20" i="8" s="1"/>
  <c r="H6" i="8"/>
  <c r="I6" i="8"/>
  <c r="I20" i="8"/>
  <c r="E22" i="8"/>
  <c r="H32" i="8"/>
  <c r="F40" i="8"/>
  <c r="BC41" i="8"/>
  <c r="AP127" i="8" a="1"/>
  <c r="AP127" i="8" s="1"/>
  <c r="AQ127" i="8" s="1"/>
  <c r="AP9" i="8" a="1"/>
  <c r="AP9" i="8" s="1"/>
  <c r="AQ9" i="8" s="1"/>
  <c r="G40" i="8"/>
  <c r="F51" i="8"/>
  <c r="BC73" i="8"/>
  <c r="G140" i="8"/>
  <c r="K169" i="8"/>
  <c r="BC169" i="8"/>
  <c r="AP177" i="8" a="1"/>
  <c r="AP177" i="8" s="1"/>
  <c r="AQ177" i="8" s="1"/>
  <c r="F231" i="8"/>
  <c r="F233" i="8"/>
  <c r="AP261" i="8" a="1"/>
  <c r="AP261" i="8" s="1"/>
  <c r="AQ261" i="8" s="1"/>
  <c r="D303" i="8"/>
  <c r="AP362" i="8" a="1"/>
  <c r="AP362" i="8" s="1"/>
  <c r="AQ362" i="8" s="1"/>
  <c r="H381" i="8"/>
  <c r="D398" i="8"/>
  <c r="F403" i="8"/>
  <c r="H408" i="8"/>
  <c r="F422" i="8"/>
  <c r="D427" i="8"/>
  <c r="AP482" i="8" a="1"/>
  <c r="AP482" i="8" s="1"/>
  <c r="AQ482" i="8" s="1"/>
  <c r="C484" i="8"/>
  <c r="E503" i="8"/>
  <c r="C510" i="8"/>
  <c r="AP451" i="8" a="1"/>
  <c r="AP451" i="8" s="1"/>
  <c r="AQ451" i="8" s="1"/>
  <c r="AP401" i="8" a="1"/>
  <c r="AP401" i="8" s="1"/>
  <c r="AQ401" i="8" s="1"/>
  <c r="AP345" i="8" a="1"/>
  <c r="AP345" i="8" s="1"/>
  <c r="AQ345" i="8" s="1"/>
  <c r="H502" i="8"/>
  <c r="AP502" i="8" a="1"/>
  <c r="AP502" i="8" s="1"/>
  <c r="AQ502" i="8" s="1"/>
  <c r="AP449" i="8" a="1"/>
  <c r="AP449" i="8" s="1"/>
  <c r="AQ449" i="8" s="1"/>
  <c r="AP66" i="8" a="1"/>
  <c r="AP66" i="8" s="1"/>
  <c r="AQ66" i="8" s="1"/>
  <c r="E138" i="8"/>
  <c r="AP138" i="8" a="1"/>
  <c r="AP138" i="8" s="1"/>
  <c r="AQ138" i="8" s="1"/>
  <c r="AP232" i="8" a="1"/>
  <c r="AP232" i="8" s="1"/>
  <c r="AQ232" i="8" s="1"/>
  <c r="AH285" i="8"/>
  <c r="BB285" i="8" s="1"/>
  <c r="H285" i="8"/>
  <c r="H334" i="8"/>
  <c r="AH334" i="8"/>
  <c r="BB334" i="8" s="1"/>
  <c r="AP396" i="8" a="1"/>
  <c r="AP396" i="8" s="1"/>
  <c r="AQ396" i="8" s="1"/>
  <c r="D449" i="8"/>
  <c r="C502" i="8"/>
  <c r="AP516" i="8" a="1"/>
  <c r="AP516" i="8" s="1"/>
  <c r="AQ516" i="8" s="1"/>
  <c r="AP498" i="8" a="1"/>
  <c r="AP498" i="8" s="1"/>
  <c r="AQ498" i="8" s="1"/>
  <c r="AP464" i="8" a="1"/>
  <c r="AP464" i="8" s="1"/>
  <c r="AQ464" i="8" s="1"/>
  <c r="AP145" i="8" a="1"/>
  <c r="AP145" i="8" s="1"/>
  <c r="AQ145" i="8" s="1"/>
  <c r="C223" i="8"/>
  <c r="E257" i="8"/>
  <c r="F285" i="8"/>
  <c r="AP290" i="8" a="1"/>
  <c r="AP290" i="8" s="1"/>
  <c r="AQ290" i="8" s="1"/>
  <c r="D323" i="8"/>
  <c r="AP325" i="8" a="1"/>
  <c r="AP325" i="8" s="1"/>
  <c r="AQ325" i="8" s="1"/>
  <c r="E449" i="8"/>
  <c r="AH455" i="8"/>
  <c r="BB455" i="8" s="1"/>
  <c r="AP455" i="8" a="1"/>
  <c r="AP455" i="8" s="1"/>
  <c r="AQ455" i="8" s="1"/>
  <c r="I502" i="8"/>
  <c r="AP525" i="8" a="1"/>
  <c r="AP525" i="8" s="1"/>
  <c r="AQ525" i="8" s="1"/>
  <c r="K532" i="8"/>
  <c r="AP247" i="8" a="1"/>
  <c r="AP247" i="8" s="1"/>
  <c r="AQ247" i="8" s="1"/>
  <c r="AP114" i="8" a="1"/>
  <c r="AP114" i="8" s="1"/>
  <c r="AQ114" i="8" s="1"/>
  <c r="D145" i="8"/>
  <c r="I149" i="8"/>
  <c r="AP149" i="8" a="1"/>
  <c r="AP149" i="8" s="1"/>
  <c r="AQ149" i="8" s="1"/>
  <c r="H151" i="8"/>
  <c r="E162" i="8"/>
  <c r="AP173" i="8" a="1"/>
  <c r="AP173" i="8" s="1"/>
  <c r="AQ173" i="8" s="1"/>
  <c r="E182" i="8"/>
  <c r="E223" i="8"/>
  <c r="E249" i="8"/>
  <c r="H257" i="8"/>
  <c r="G323" i="8"/>
  <c r="I345" i="8"/>
  <c r="E440" i="8"/>
  <c r="G449" i="8"/>
  <c r="D451" i="8"/>
  <c r="G455" i="8"/>
  <c r="D509" i="8"/>
  <c r="G509" i="8"/>
  <c r="F509" i="8"/>
  <c r="E509" i="8"/>
  <c r="C509" i="8"/>
  <c r="E525" i="8"/>
  <c r="AP529" i="8" a="1"/>
  <c r="AP529" i="8" s="1"/>
  <c r="AQ529" i="8" s="1"/>
  <c r="AP496" i="8" a="1"/>
  <c r="AP496" i="8" s="1"/>
  <c r="AQ496" i="8" s="1"/>
  <c r="AP162" i="8" a="1"/>
  <c r="AP162" i="8" s="1"/>
  <c r="AQ162" i="8" s="1"/>
  <c r="E145" i="8"/>
  <c r="F223" i="8"/>
  <c r="G249" i="8"/>
  <c r="G267" i="8"/>
  <c r="AP267" i="8" a="1"/>
  <c r="AP267" i="8" s="1"/>
  <c r="AQ267" i="8" s="1"/>
  <c r="I323" i="8"/>
  <c r="D406" i="8"/>
  <c r="H449" i="8"/>
  <c r="E451" i="8"/>
  <c r="H455" i="8"/>
  <c r="AP491" i="8" a="1"/>
  <c r="AP491" i="8" s="1"/>
  <c r="AQ491" i="8" s="1"/>
  <c r="H509" i="8"/>
  <c r="I525" i="8"/>
  <c r="AP160" i="8" a="1"/>
  <c r="AP160" i="8" s="1"/>
  <c r="AQ160" i="8" s="1"/>
  <c r="E267" i="8"/>
  <c r="AP279" i="8" a="1"/>
  <c r="AP279" i="8" s="1"/>
  <c r="AQ279" i="8" s="1"/>
  <c r="AP314" i="8" a="1"/>
  <c r="AP314" i="8" s="1"/>
  <c r="AQ314" i="8" s="1"/>
  <c r="I337" i="8"/>
  <c r="AP337" i="8" a="1"/>
  <c r="AP337" i="8" s="1"/>
  <c r="AQ337" i="8" s="1"/>
  <c r="H419" i="8"/>
  <c r="G419" i="8"/>
  <c r="F419" i="8"/>
  <c r="AP419" i="8" a="1"/>
  <c r="AP419" i="8" s="1"/>
  <c r="AQ419" i="8" s="1"/>
  <c r="C419" i="8"/>
  <c r="AP432" i="8" a="1"/>
  <c r="AP432" i="8" s="1"/>
  <c r="AQ432" i="8" s="1"/>
  <c r="K356" i="8"/>
  <c r="K404" i="8"/>
  <c r="C432" i="8"/>
  <c r="K443" i="8"/>
  <c r="C522" i="8"/>
  <c r="F524" i="8"/>
  <c r="K528" i="8"/>
  <c r="E448" i="8"/>
  <c r="H462" i="8"/>
  <c r="D479" i="8"/>
  <c r="D522" i="8"/>
  <c r="H524" i="8"/>
  <c r="E522" i="8"/>
  <c r="BC309" i="8"/>
  <c r="K309" i="8"/>
  <c r="BC51" i="8"/>
  <c r="K51" i="8"/>
  <c r="K18" i="8"/>
  <c r="BC18" i="8"/>
  <c r="H128" i="8"/>
  <c r="D128" i="8"/>
  <c r="F438" i="8"/>
  <c r="E438" i="8"/>
  <c r="D438" i="8"/>
  <c r="AH438" i="8"/>
  <c r="BB438" i="8" s="1"/>
  <c r="H438" i="8"/>
  <c r="G438" i="8"/>
  <c r="E39" i="8"/>
  <c r="K175" i="8"/>
  <c r="I230" i="8"/>
  <c r="AH230" i="8"/>
  <c r="BB230" i="8" s="1"/>
  <c r="BC323" i="8"/>
  <c r="K323" i="8"/>
  <c r="K422" i="8"/>
  <c r="C438" i="8"/>
  <c r="K258" i="8"/>
  <c r="BC258" i="8"/>
  <c r="I289" i="8"/>
  <c r="H289" i="8"/>
  <c r="D289" i="8"/>
  <c r="G289" i="8"/>
  <c r="F289" i="8"/>
  <c r="C289" i="8"/>
  <c r="AH73" i="8"/>
  <c r="BB73" i="8" s="1"/>
  <c r="I73" i="8"/>
  <c r="D73" i="8"/>
  <c r="C73" i="8"/>
  <c r="G73" i="8"/>
  <c r="H73" i="8"/>
  <c r="F73" i="8"/>
  <c r="AH124" i="8"/>
  <c r="BB124" i="8" s="1"/>
  <c r="F158" i="8"/>
  <c r="E158" i="8"/>
  <c r="D158" i="8"/>
  <c r="C158" i="8"/>
  <c r="I160" i="8"/>
  <c r="AH160" i="8"/>
  <c r="BB160" i="8" s="1"/>
  <c r="F160" i="8"/>
  <c r="E160" i="8"/>
  <c r="D160" i="8"/>
  <c r="H160" i="8"/>
  <c r="F204" i="8"/>
  <c r="AH204" i="8"/>
  <c r="BB204" i="8" s="1"/>
  <c r="BC81" i="8"/>
  <c r="K81" i="8"/>
  <c r="C156" i="8"/>
  <c r="H250" i="8"/>
  <c r="E250" i="8"/>
  <c r="C250" i="8"/>
  <c r="BC140" i="8"/>
  <c r="K140" i="8"/>
  <c r="BC155" i="8"/>
  <c r="K155" i="8"/>
  <c r="BC296" i="8"/>
  <c r="K296" i="8"/>
  <c r="H124" i="8"/>
  <c r="K134" i="8"/>
  <c r="BC134" i="8"/>
  <c r="BC257" i="8"/>
  <c r="K257" i="8"/>
  <c r="BC294" i="8"/>
  <c r="K294" i="8"/>
  <c r="I171" i="8"/>
  <c r="H171" i="8"/>
  <c r="F171" i="8"/>
  <c r="D171" i="8"/>
  <c r="C171" i="8"/>
  <c r="AH171" i="8"/>
  <c r="BB171" i="8" s="1"/>
  <c r="K190" i="8"/>
  <c r="BC190" i="8"/>
  <c r="K226" i="8"/>
  <c r="BC226" i="8"/>
  <c r="F421" i="8"/>
  <c r="G421" i="8"/>
  <c r="E421" i="8"/>
  <c r="H421" i="8"/>
  <c r="AH487" i="8"/>
  <c r="BB487" i="8" s="1"/>
  <c r="I487" i="8"/>
  <c r="H487" i="8"/>
  <c r="D487" i="8"/>
  <c r="C487" i="8"/>
  <c r="F487" i="8"/>
  <c r="E487" i="8"/>
  <c r="I471" i="8"/>
  <c r="H471" i="8"/>
  <c r="AH471" i="8"/>
  <c r="BB471" i="8" s="1"/>
  <c r="F471" i="8"/>
  <c r="G471" i="8"/>
  <c r="C471" i="8"/>
  <c r="E471" i="8"/>
  <c r="D471" i="8"/>
  <c r="K179" i="8"/>
  <c r="BC179" i="8"/>
  <c r="D124" i="8"/>
  <c r="F126" i="8"/>
  <c r="E126" i="8"/>
  <c r="H126" i="8"/>
  <c r="H239" i="8"/>
  <c r="AH489" i="8"/>
  <c r="BB489" i="8" s="1"/>
  <c r="C489" i="8"/>
  <c r="AH33" i="8"/>
  <c r="BB33" i="8" s="1"/>
  <c r="BC53" i="8"/>
  <c r="K53" i="8"/>
  <c r="I158" i="8"/>
  <c r="F198" i="8"/>
  <c r="D202" i="8"/>
  <c r="AH279" i="8"/>
  <c r="BB279" i="8" s="1"/>
  <c r="I279" i="8"/>
  <c r="H279" i="8"/>
  <c r="G279" i="8"/>
  <c r="F279" i="8"/>
  <c r="F25" i="8"/>
  <c r="BC66" i="8"/>
  <c r="K66" i="8"/>
  <c r="BC113" i="8"/>
  <c r="K113" i="8"/>
  <c r="BC23" i="8"/>
  <c r="K23" i="8"/>
  <c r="G25" i="8"/>
  <c r="AH59" i="8"/>
  <c r="BB59" i="8" s="1"/>
  <c r="F59" i="8"/>
  <c r="H59" i="8"/>
  <c r="I59" i="8"/>
  <c r="G59" i="8"/>
  <c r="I99" i="8"/>
  <c r="AH99" i="8"/>
  <c r="BB99" i="8" s="1"/>
  <c r="H99" i="8"/>
  <c r="E99" i="8"/>
  <c r="G99" i="8"/>
  <c r="E171" i="8"/>
  <c r="C421" i="8"/>
  <c r="C126" i="8"/>
  <c r="K60" i="8"/>
  <c r="BC60" i="8"/>
  <c r="K37" i="8"/>
  <c r="BC37" i="8"/>
  <c r="BC39" i="8"/>
  <c r="K39" i="8"/>
  <c r="I133" i="8"/>
  <c r="H133" i="8"/>
  <c r="AH133" i="8"/>
  <c r="BB133" i="8" s="1"/>
  <c r="G133" i="8"/>
  <c r="F133" i="8"/>
  <c r="BC167" i="8"/>
  <c r="K167" i="8"/>
  <c r="AH320" i="8"/>
  <c r="BB320" i="8" s="1"/>
  <c r="BC337" i="8"/>
  <c r="K337" i="8"/>
  <c r="BC170" i="8"/>
  <c r="K170" i="8"/>
  <c r="H39" i="8"/>
  <c r="BC43" i="8"/>
  <c r="K43" i="8"/>
  <c r="F50" i="8"/>
  <c r="C50" i="8"/>
  <c r="E50" i="8"/>
  <c r="D216" i="8"/>
  <c r="AH275" i="8"/>
  <c r="BB275" i="8" s="1"/>
  <c r="H275" i="8"/>
  <c r="E275" i="8"/>
  <c r="C275" i="8"/>
  <c r="K253" i="8"/>
  <c r="BC253" i="8"/>
  <c r="H29" i="8"/>
  <c r="AH29" i="8"/>
  <c r="BB29" i="8" s="1"/>
  <c r="E29" i="8"/>
  <c r="C29" i="8"/>
  <c r="D29" i="8"/>
  <c r="D126" i="8"/>
  <c r="I25" i="8"/>
  <c r="AH25" i="8"/>
  <c r="BB25" i="8" s="1"/>
  <c r="K313" i="8"/>
  <c r="BC313" i="8"/>
  <c r="K476" i="8"/>
  <c r="BC476" i="8"/>
  <c r="H481" i="8"/>
  <c r="G481" i="8"/>
  <c r="E481" i="8"/>
  <c r="D481" i="8"/>
  <c r="H158" i="8"/>
  <c r="C160" i="8"/>
  <c r="C198" i="8"/>
  <c r="G78" i="8"/>
  <c r="BC148" i="8"/>
  <c r="K148" i="8"/>
  <c r="I210" i="8"/>
  <c r="H210" i="8"/>
  <c r="F291" i="8"/>
  <c r="H291" i="8"/>
  <c r="C291" i="8"/>
  <c r="K390" i="8"/>
  <c r="BC390" i="8"/>
  <c r="C481" i="8"/>
  <c r="K138" i="8"/>
  <c r="BC138" i="8"/>
  <c r="K183" i="8"/>
  <c r="BC183" i="8"/>
  <c r="I239" i="8"/>
  <c r="E239" i="8"/>
  <c r="D239" i="8"/>
  <c r="F283" i="8"/>
  <c r="I283" i="8"/>
  <c r="H283" i="8"/>
  <c r="E283" i="8"/>
  <c r="G283" i="8"/>
  <c r="K208" i="8"/>
  <c r="BC208" i="8"/>
  <c r="C65" i="8"/>
  <c r="AH89" i="8"/>
  <c r="BB89" i="8" s="1"/>
  <c r="G89" i="8"/>
  <c r="I89" i="8"/>
  <c r="H89" i="8"/>
  <c r="E89" i="8"/>
  <c r="F89" i="8"/>
  <c r="BC99" i="8"/>
  <c r="K99" i="8"/>
  <c r="BC105" i="8"/>
  <c r="I185" i="8"/>
  <c r="AH185" i="8"/>
  <c r="BB185" i="8" s="1"/>
  <c r="D185" i="8"/>
  <c r="C210" i="8"/>
  <c r="AH338" i="8"/>
  <c r="BB338" i="8" s="1"/>
  <c r="K474" i="8"/>
  <c r="BC474" i="8"/>
  <c r="K286" i="8"/>
  <c r="BC286" i="8"/>
  <c r="G42" i="8"/>
  <c r="C42" i="8"/>
  <c r="D42" i="8"/>
  <c r="I55" i="8"/>
  <c r="AO182" i="8"/>
  <c r="F187" i="8"/>
  <c r="E187" i="8"/>
  <c r="D187" i="8"/>
  <c r="C187" i="8"/>
  <c r="AH187" i="8"/>
  <c r="BB187" i="8" s="1"/>
  <c r="I187" i="8"/>
  <c r="H187" i="8"/>
  <c r="AH237" i="8"/>
  <c r="BB237" i="8" s="1"/>
  <c r="I237" i="8"/>
  <c r="H237" i="8"/>
  <c r="C237" i="8"/>
  <c r="F237" i="8"/>
  <c r="E55" i="8"/>
  <c r="I316" i="8"/>
  <c r="H316" i="8"/>
  <c r="G316" i="8"/>
  <c r="F316" i="8"/>
  <c r="AH316" i="8"/>
  <c r="BB316" i="8" s="1"/>
  <c r="D316" i="8"/>
  <c r="C316" i="8"/>
  <c r="K320" i="8"/>
  <c r="BC320" i="8"/>
  <c r="K417" i="8"/>
  <c r="BC417" i="8"/>
  <c r="D91" i="8"/>
  <c r="AH176" i="8"/>
  <c r="BB176" i="8" s="1"/>
  <c r="E176" i="8"/>
  <c r="AH178" i="8"/>
  <c r="BB178" i="8" s="1"/>
  <c r="D178" i="8"/>
  <c r="D214" i="8"/>
  <c r="C64" i="8"/>
  <c r="E247" i="8"/>
  <c r="D6" i="8"/>
  <c r="C22" i="8"/>
  <c r="D36" i="8"/>
  <c r="I37" i="8"/>
  <c r="I43" i="8"/>
  <c r="C62" i="8"/>
  <c r="E68" i="8"/>
  <c r="E74" i="8"/>
  <c r="I92" i="8"/>
  <c r="D92" i="8"/>
  <c r="E102" i="8"/>
  <c r="H118" i="8"/>
  <c r="F136" i="8"/>
  <c r="I150" i="8"/>
  <c r="AH169" i="8"/>
  <c r="BB169" i="8" s="1"/>
  <c r="F169" i="8"/>
  <c r="F177" i="8"/>
  <c r="H179" i="8"/>
  <c r="E181" i="8"/>
  <c r="I200" i="8"/>
  <c r="F213" i="8"/>
  <c r="G262" i="8"/>
  <c r="E262" i="8"/>
  <c r="AH262" i="8"/>
  <c r="BB262" i="8" s="1"/>
  <c r="H262" i="8"/>
  <c r="I325" i="8"/>
  <c r="H335" i="8"/>
  <c r="I363" i="8"/>
  <c r="C363" i="8"/>
  <c r="H391" i="8"/>
  <c r="K446" i="8"/>
  <c r="BC446" i="8"/>
  <c r="I493" i="8"/>
  <c r="D493" i="8"/>
  <c r="C15" i="8"/>
  <c r="AM17" i="8"/>
  <c r="AH147" i="8"/>
  <c r="BB147" i="8" s="1"/>
  <c r="E147" i="8"/>
  <c r="I221" i="8"/>
  <c r="H221" i="8"/>
  <c r="E221" i="8"/>
  <c r="C221" i="8"/>
  <c r="K235" i="8"/>
  <c r="BC235" i="8"/>
  <c r="BC260" i="8"/>
  <c r="K260" i="8"/>
  <c r="AH308" i="8"/>
  <c r="BB308" i="8" s="1"/>
  <c r="F477" i="8"/>
  <c r="E477" i="8"/>
  <c r="D485" i="8"/>
  <c r="I22" i="8"/>
  <c r="G32" i="8"/>
  <c r="C35" i="8"/>
  <c r="C67" i="8"/>
  <c r="F70" i="8"/>
  <c r="K92" i="8"/>
  <c r="D94" i="8"/>
  <c r="AH94" i="8"/>
  <c r="BB94" i="8" s="1"/>
  <c r="C98" i="8"/>
  <c r="G101" i="8"/>
  <c r="C101" i="8"/>
  <c r="D142" i="8"/>
  <c r="C147" i="8"/>
  <c r="I162" i="8"/>
  <c r="E164" i="8"/>
  <c r="F221" i="8"/>
  <c r="AH226" i="8"/>
  <c r="BB226" i="8" s="1"/>
  <c r="D252" i="8"/>
  <c r="H252" i="8"/>
  <c r="AH252" i="8"/>
  <c r="BB252" i="8" s="1"/>
  <c r="D273" i="8"/>
  <c r="G273" i="8"/>
  <c r="C273" i="8"/>
  <c r="AH273" i="8"/>
  <c r="BB273" i="8" s="1"/>
  <c r="C287" i="8"/>
  <c r="AH302" i="8"/>
  <c r="BB302" i="8" s="1"/>
  <c r="I302" i="8"/>
  <c r="G302" i="8"/>
  <c r="F302" i="8"/>
  <c r="D302" i="8"/>
  <c r="G308" i="8"/>
  <c r="K322" i="8"/>
  <c r="BC322" i="8"/>
  <c r="G359" i="8"/>
  <c r="F359" i="8"/>
  <c r="D359" i="8"/>
  <c r="I359" i="8"/>
  <c r="AH451" i="8"/>
  <c r="BB451" i="8" s="1"/>
  <c r="H451" i="8"/>
  <c r="I455" i="8"/>
  <c r="AH466" i="8"/>
  <c r="BB466" i="8" s="1"/>
  <c r="H466" i="8"/>
  <c r="K467" i="8"/>
  <c r="G469" i="8"/>
  <c r="F469" i="8"/>
  <c r="E469" i="8"/>
  <c r="D469" i="8"/>
  <c r="I469" i="8"/>
  <c r="H469" i="8"/>
  <c r="C469" i="8"/>
  <c r="AH469" i="8"/>
  <c r="BB469" i="8" s="1"/>
  <c r="D477" i="8"/>
  <c r="AH485" i="8"/>
  <c r="BB485" i="8" s="1"/>
  <c r="F485" i="8"/>
  <c r="AH166" i="8"/>
  <c r="BB166" i="8" s="1"/>
  <c r="F166" i="8"/>
  <c r="BC447" i="8"/>
  <c r="K447" i="8"/>
  <c r="F142" i="8"/>
  <c r="H147" i="8"/>
  <c r="C245" i="8"/>
  <c r="C353" i="8"/>
  <c r="G523" i="8"/>
  <c r="AH523" i="8"/>
  <c r="BB523" i="8" s="1"/>
  <c r="D353" i="8"/>
  <c r="G392" i="8"/>
  <c r="H401" i="8"/>
  <c r="G401" i="8"/>
  <c r="BC436" i="8"/>
  <c r="K436" i="8"/>
  <c r="I21" i="8"/>
  <c r="H24" i="8"/>
  <c r="D31" i="8"/>
  <c r="I32" i="8"/>
  <c r="H35" i="8"/>
  <c r="D41" i="8"/>
  <c r="D58" i="8"/>
  <c r="E64" i="8"/>
  <c r="BC65" i="8"/>
  <c r="E88" i="8"/>
  <c r="K89" i="8"/>
  <c r="H91" i="8"/>
  <c r="AH92" i="8"/>
  <c r="BB92" i="8" s="1"/>
  <c r="D110" i="8"/>
  <c r="F117" i="8"/>
  <c r="C119" i="8"/>
  <c r="F121" i="8"/>
  <c r="F125" i="8"/>
  <c r="F176" i="8"/>
  <c r="F191" i="8"/>
  <c r="E191" i="8"/>
  <c r="I197" i="8"/>
  <c r="H197" i="8"/>
  <c r="D197" i="8"/>
  <c r="C197" i="8"/>
  <c r="K214" i="8"/>
  <c r="BC214" i="8"/>
  <c r="I236" i="8"/>
  <c r="F236" i="8"/>
  <c r="H245" i="8"/>
  <c r="K247" i="8"/>
  <c r="F298" i="8"/>
  <c r="E328" i="8"/>
  <c r="AH328" i="8"/>
  <c r="BB328" i="8" s="1"/>
  <c r="H328" i="8"/>
  <c r="E330" i="8"/>
  <c r="I330" i="8"/>
  <c r="H330" i="8"/>
  <c r="AH330" i="8"/>
  <c r="BB330" i="8" s="1"/>
  <c r="D330" i="8"/>
  <c r="F353" i="8"/>
  <c r="AH397" i="8"/>
  <c r="BB397" i="8" s="1"/>
  <c r="I397" i="8"/>
  <c r="F401" i="8"/>
  <c r="K407" i="8"/>
  <c r="BC407" i="8"/>
  <c r="G464" i="8"/>
  <c r="D523" i="8"/>
  <c r="AH104" i="8"/>
  <c r="BB104" i="8" s="1"/>
  <c r="H104" i="8"/>
  <c r="G106" i="8"/>
  <c r="K429" i="8"/>
  <c r="BC429" i="8"/>
  <c r="H144" i="8"/>
  <c r="E254" i="8"/>
  <c r="F254" i="8"/>
  <c r="C41" i="8"/>
  <c r="F245" i="8"/>
  <c r="AH296" i="8"/>
  <c r="BB296" i="8" s="1"/>
  <c r="D298" i="8"/>
  <c r="D300" i="8"/>
  <c r="C523" i="8"/>
  <c r="BC6" i="8"/>
  <c r="H9" i="8"/>
  <c r="AM102" i="8"/>
  <c r="I9" i="8"/>
  <c r="BC15" i="8"/>
  <c r="BC17" i="8"/>
  <c r="I24" i="8"/>
  <c r="E31" i="8"/>
  <c r="I35" i="8"/>
  <c r="AH40" i="8"/>
  <c r="BB40" i="8" s="1"/>
  <c r="F41" i="8"/>
  <c r="BC55" i="8"/>
  <c r="H58" i="8"/>
  <c r="F64" i="8"/>
  <c r="G66" i="8"/>
  <c r="E66" i="8"/>
  <c r="AH69" i="8"/>
  <c r="BB69" i="8" s="1"/>
  <c r="C69" i="8"/>
  <c r="AH77" i="8"/>
  <c r="BB77" i="8" s="1"/>
  <c r="F88" i="8"/>
  <c r="K98" i="8"/>
  <c r="E110" i="8"/>
  <c r="D119" i="8"/>
  <c r="K130" i="8"/>
  <c r="I132" i="8"/>
  <c r="E132" i="8"/>
  <c r="K142" i="8"/>
  <c r="K144" i="8"/>
  <c r="BC144" i="8"/>
  <c r="K147" i="8"/>
  <c r="BC147" i="8"/>
  <c r="BC185" i="8"/>
  <c r="AH203" i="8"/>
  <c r="BB203" i="8" s="1"/>
  <c r="BC206" i="8"/>
  <c r="AH221" i="8"/>
  <c r="BB221" i="8" s="1"/>
  <c r="I245" i="8"/>
  <c r="G298" i="8"/>
  <c r="C328" i="8"/>
  <c r="C330" i="8"/>
  <c r="F339" i="8"/>
  <c r="C397" i="8"/>
  <c r="I401" i="8"/>
  <c r="BC455" i="8"/>
  <c r="K455" i="8"/>
  <c r="E523" i="8"/>
  <c r="G98" i="8"/>
  <c r="D35" i="8"/>
  <c r="C88" i="8"/>
  <c r="E91" i="8"/>
  <c r="I147" i="8"/>
  <c r="K287" i="8"/>
  <c r="BC287" i="8"/>
  <c r="AH355" i="8"/>
  <c r="BB355" i="8" s="1"/>
  <c r="D355" i="8"/>
  <c r="C355" i="8"/>
  <c r="AH473" i="8"/>
  <c r="BB473" i="8" s="1"/>
  <c r="H473" i="8"/>
  <c r="G473" i="8"/>
  <c r="F473" i="8"/>
  <c r="E473" i="8"/>
  <c r="D473" i="8"/>
  <c r="C473" i="8"/>
  <c r="I473" i="8"/>
  <c r="H142" i="8"/>
  <c r="D176" i="8"/>
  <c r="K310" i="8"/>
  <c r="BC310" i="8"/>
  <c r="AN23" i="8"/>
  <c r="F31" i="8"/>
  <c r="H41" i="8"/>
  <c r="I58" i="8"/>
  <c r="BC62" i="8"/>
  <c r="G88" i="8"/>
  <c r="F93" i="8"/>
  <c r="F103" i="8"/>
  <c r="AH107" i="8"/>
  <c r="BB107" i="8" s="1"/>
  <c r="F110" i="8"/>
  <c r="D112" i="8"/>
  <c r="E119" i="8"/>
  <c r="AH123" i="8"/>
  <c r="BB123" i="8" s="1"/>
  <c r="D132" i="8"/>
  <c r="E139" i="8"/>
  <c r="K157" i="8"/>
  <c r="AH186" i="8"/>
  <c r="BB186" i="8" s="1"/>
  <c r="AH189" i="8"/>
  <c r="BB189" i="8" s="1"/>
  <c r="D191" i="8"/>
  <c r="F195" i="8"/>
  <c r="C195" i="8"/>
  <c r="E203" i="8"/>
  <c r="H249" i="8"/>
  <c r="AH249" i="8"/>
  <c r="BB249" i="8" s="1"/>
  <c r="F249" i="8"/>
  <c r="I263" i="8"/>
  <c r="AH263" i="8"/>
  <c r="BB263" i="8" s="1"/>
  <c r="K326" i="8"/>
  <c r="D328" i="8"/>
  <c r="F330" i="8"/>
  <c r="AH347" i="8"/>
  <c r="BB347" i="8" s="1"/>
  <c r="AH359" i="8"/>
  <c r="BB359" i="8" s="1"/>
  <c r="D397" i="8"/>
  <c r="AH505" i="8"/>
  <c r="BB505" i="8" s="1"/>
  <c r="G505" i="8"/>
  <c r="C52" i="8"/>
  <c r="F98" i="8"/>
  <c r="K385" i="8"/>
  <c r="BC385" i="8"/>
  <c r="F392" i="8"/>
  <c r="D392" i="8"/>
  <c r="AH26" i="8"/>
  <c r="BB26" i="8" s="1"/>
  <c r="G31" i="8"/>
  <c r="I41" i="8"/>
  <c r="G45" i="8"/>
  <c r="I88" i="8"/>
  <c r="AH95" i="8"/>
  <c r="BB95" i="8" s="1"/>
  <c r="F95" i="8"/>
  <c r="D95" i="8"/>
  <c r="G110" i="8"/>
  <c r="K117" i="8"/>
  <c r="BC117" i="8"/>
  <c r="D129" i="8"/>
  <c r="AH129" i="8"/>
  <c r="BB129" i="8" s="1"/>
  <c r="D209" i="8"/>
  <c r="D272" i="8"/>
  <c r="H272" i="8"/>
  <c r="G272" i="8"/>
  <c r="E272" i="8"/>
  <c r="I276" i="8"/>
  <c r="H276" i="8"/>
  <c r="G276" i="8"/>
  <c r="E276" i="8"/>
  <c r="K285" i="8"/>
  <c r="BC285" i="8"/>
  <c r="G328" i="8"/>
  <c r="I395" i="8"/>
  <c r="G397" i="8"/>
  <c r="H437" i="8"/>
  <c r="G437" i="8"/>
  <c r="D437" i="8"/>
  <c r="K464" i="8"/>
  <c r="BC464" i="8"/>
  <c r="BC510" i="8"/>
  <c r="K510" i="8"/>
  <c r="BC525" i="8"/>
  <c r="K525" i="8"/>
  <c r="I64" i="8"/>
  <c r="C137" i="8"/>
  <c r="I485" i="8"/>
  <c r="G11" i="8"/>
  <c r="F35" i="8"/>
  <c r="H61" i="8"/>
  <c r="BC469" i="8"/>
  <c r="K469" i="8"/>
  <c r="G9" i="8"/>
  <c r="G35" i="8"/>
  <c r="C141" i="8"/>
  <c r="AH144" i="8"/>
  <c r="BB144" i="8" s="1"/>
  <c r="BC204" i="8"/>
  <c r="AH220" i="8"/>
  <c r="BB220" i="8" s="1"/>
  <c r="AH274" i="8"/>
  <c r="BB274" i="8" s="1"/>
  <c r="K349" i="8"/>
  <c r="BC349" i="8"/>
  <c r="K353" i="8"/>
  <c r="BC353" i="8"/>
  <c r="AH435" i="8"/>
  <c r="BB435" i="8" s="1"/>
  <c r="H435" i="8"/>
  <c r="F435" i="8"/>
  <c r="K492" i="8"/>
  <c r="BC492" i="8"/>
  <c r="AH499" i="8"/>
  <c r="BB499" i="8" s="1"/>
  <c r="I499" i="8"/>
  <c r="H499" i="8"/>
  <c r="G499" i="8"/>
  <c r="E499" i="8"/>
  <c r="D499" i="8"/>
  <c r="E35" i="8"/>
  <c r="AH464" i="8"/>
  <c r="BB464" i="8" s="1"/>
  <c r="C110" i="8"/>
  <c r="C117" i="8"/>
  <c r="AH119" i="8"/>
  <c r="BB119" i="8" s="1"/>
  <c r="F119" i="8"/>
  <c r="H31" i="8"/>
  <c r="H119" i="8"/>
  <c r="E20" i="8"/>
  <c r="D43" i="8"/>
  <c r="G51" i="8"/>
  <c r="C81" i="8"/>
  <c r="E95" i="8"/>
  <c r="C100" i="8"/>
  <c r="F105" i="8"/>
  <c r="E129" i="8"/>
  <c r="AH137" i="8"/>
  <c r="BB137" i="8" s="1"/>
  <c r="D141" i="8"/>
  <c r="D150" i="8"/>
  <c r="C205" i="8"/>
  <c r="H205" i="8"/>
  <c r="E220" i="8"/>
  <c r="E260" i="8"/>
  <c r="BC298" i="8"/>
  <c r="K298" i="8"/>
  <c r="C325" i="8"/>
  <c r="BC330" i="8"/>
  <c r="K330" i="8"/>
  <c r="H395" i="8"/>
  <c r="G435" i="8"/>
  <c r="AH446" i="8"/>
  <c r="BB446" i="8" s="1"/>
  <c r="F446" i="8"/>
  <c r="G446" i="8"/>
  <c r="C499" i="8"/>
  <c r="AH513" i="8"/>
  <c r="BB513" i="8" s="1"/>
  <c r="I513" i="8"/>
  <c r="D104" i="8"/>
  <c r="H485" i="8"/>
  <c r="C9" i="8"/>
  <c r="F11" i="8"/>
  <c r="AH353" i="8"/>
  <c r="BB353" i="8" s="1"/>
  <c r="H353" i="8"/>
  <c r="D137" i="8"/>
  <c r="G142" i="8"/>
  <c r="C176" i="8"/>
  <c r="K316" i="8"/>
  <c r="BC316" i="8"/>
  <c r="H110" i="8"/>
  <c r="D26" i="8"/>
  <c r="D28" i="8"/>
  <c r="I31" i="8"/>
  <c r="C37" i="8"/>
  <c r="F20" i="8"/>
  <c r="E26" i="8"/>
  <c r="C30" i="8"/>
  <c r="D37" i="8"/>
  <c r="F43" i="8"/>
  <c r="C71" i="8"/>
  <c r="D81" i="8"/>
  <c r="D100" i="8"/>
  <c r="G109" i="8"/>
  <c r="K110" i="8"/>
  <c r="H112" i="8"/>
  <c r="AH116" i="8"/>
  <c r="BB116" i="8" s="1"/>
  <c r="G116" i="8"/>
  <c r="C116" i="8"/>
  <c r="F129" i="8"/>
  <c r="E141" i="8"/>
  <c r="AH142" i="8"/>
  <c r="BB142" i="8" s="1"/>
  <c r="E150" i="8"/>
  <c r="D205" i="8"/>
  <c r="BC223" i="8"/>
  <c r="C228" i="8"/>
  <c r="C260" i="8"/>
  <c r="K290" i="8"/>
  <c r="F325" i="8"/>
  <c r="K374" i="8"/>
  <c r="BC412" i="8"/>
  <c r="K412" i="8"/>
  <c r="BC418" i="8"/>
  <c r="K418" i="8"/>
  <c r="K462" i="8"/>
  <c r="BC462" i="8"/>
  <c r="BC478" i="8"/>
  <c r="K478" i="8"/>
  <c r="K480" i="8"/>
  <c r="BC480" i="8"/>
  <c r="H513" i="8"/>
  <c r="I70" i="8"/>
  <c r="D98" i="8"/>
  <c r="E245" i="8"/>
  <c r="C298" i="8"/>
  <c r="AH298" i="8"/>
  <c r="BB298" i="8" s="1"/>
  <c r="H298" i="8"/>
  <c r="C58" i="8"/>
  <c r="D64" i="8"/>
  <c r="E81" i="8"/>
  <c r="F90" i="8"/>
  <c r="G100" i="8"/>
  <c r="AH117" i="8"/>
  <c r="BB117" i="8" s="1"/>
  <c r="AH138" i="8"/>
  <c r="BB138" i="8" s="1"/>
  <c r="G138" i="8"/>
  <c r="C138" i="8"/>
  <c r="F141" i="8"/>
  <c r="F150" i="8"/>
  <c r="K201" i="8"/>
  <c r="BC201" i="8"/>
  <c r="AH218" i="8"/>
  <c r="BB218" i="8" s="1"/>
  <c r="F235" i="8"/>
  <c r="C235" i="8"/>
  <c r="AH245" i="8"/>
  <c r="BB245" i="8" s="1"/>
  <c r="G325" i="8"/>
  <c r="K347" i="8"/>
  <c r="BC347" i="8"/>
  <c r="AH370" i="8"/>
  <c r="BB370" i="8" s="1"/>
  <c r="BC414" i="8"/>
  <c r="K414" i="8"/>
  <c r="BC437" i="8"/>
  <c r="K437" i="8"/>
  <c r="I511" i="8"/>
  <c r="C511" i="8"/>
  <c r="G67" i="8"/>
  <c r="BC419" i="8"/>
  <c r="K419" i="8"/>
  <c r="F9" i="8"/>
  <c r="F91" i="8"/>
  <c r="H98" i="8"/>
  <c r="C6" i="8"/>
  <c r="AO19" i="8"/>
  <c r="C36" i="8"/>
  <c r="H37" i="8"/>
  <c r="H43" i="8"/>
  <c r="C68" i="8"/>
  <c r="D74" i="8"/>
  <c r="AH83" i="8"/>
  <c r="BB83" i="8" s="1"/>
  <c r="F83" i="8"/>
  <c r="I85" i="8"/>
  <c r="E85" i="8"/>
  <c r="AH87" i="8"/>
  <c r="BB87" i="8" s="1"/>
  <c r="H87" i="8"/>
  <c r="D87" i="8"/>
  <c r="AH98" i="8"/>
  <c r="BB98" i="8" s="1"/>
  <c r="I122" i="8"/>
  <c r="E122" i="8"/>
  <c r="D138" i="8"/>
  <c r="H143" i="8"/>
  <c r="G143" i="8"/>
  <c r="F143" i="8"/>
  <c r="H150" i="8"/>
  <c r="D235" i="8"/>
  <c r="I257" i="8"/>
  <c r="F257" i="8"/>
  <c r="AH269" i="8"/>
  <c r="BB269" i="8" s="1"/>
  <c r="BC311" i="8"/>
  <c r="K311" i="8"/>
  <c r="AH322" i="8"/>
  <c r="BB322" i="8" s="1"/>
  <c r="H325" i="8"/>
  <c r="I340" i="8"/>
  <c r="D340" i="8"/>
  <c r="C340" i="8"/>
  <c r="F340" i="8"/>
  <c r="F370" i="8"/>
  <c r="K435" i="8"/>
  <c r="BC435" i="8"/>
  <c r="BC441" i="8"/>
  <c r="I491" i="8"/>
  <c r="AH491" i="8"/>
  <c r="BB491" i="8" s="1"/>
  <c r="H491" i="8"/>
  <c r="E491" i="8"/>
  <c r="E511" i="8"/>
  <c r="AH174" i="8"/>
  <c r="BB174" i="8" s="1"/>
  <c r="D190" i="8"/>
  <c r="D293" i="8"/>
  <c r="AH293" i="8"/>
  <c r="BB293" i="8" s="1"/>
  <c r="H293" i="8"/>
  <c r="K306" i="8"/>
  <c r="BC306" i="8"/>
  <c r="F362" i="8"/>
  <c r="I362" i="8"/>
  <c r="H450" i="8"/>
  <c r="G450" i="8"/>
  <c r="K471" i="8"/>
  <c r="BC471" i="8"/>
  <c r="AH266" i="8"/>
  <c r="BB266" i="8" s="1"/>
  <c r="G266" i="8"/>
  <c r="C266" i="8"/>
  <c r="G278" i="8"/>
  <c r="H278" i="8"/>
  <c r="F278" i="8"/>
  <c r="D278" i="8"/>
  <c r="I297" i="8"/>
  <c r="H297" i="8"/>
  <c r="BC373" i="8"/>
  <c r="K373" i="8"/>
  <c r="G414" i="8"/>
  <c r="F414" i="8"/>
  <c r="AH414" i="8"/>
  <c r="BB414" i="8" s="1"/>
  <c r="G508" i="8"/>
  <c r="AH75" i="8"/>
  <c r="BB75" i="8" s="1"/>
  <c r="C242" i="8"/>
  <c r="F266" i="8"/>
  <c r="C278" i="8"/>
  <c r="D297" i="8"/>
  <c r="F324" i="8"/>
  <c r="D324" i="8"/>
  <c r="C414" i="8"/>
  <c r="AH482" i="8"/>
  <c r="BB482" i="8" s="1"/>
  <c r="AH484" i="8"/>
  <c r="BB484" i="8" s="1"/>
  <c r="H484" i="8"/>
  <c r="G484" i="8"/>
  <c r="E484" i="8"/>
  <c r="D508" i="8"/>
  <c r="H526" i="8"/>
  <c r="G526" i="8"/>
  <c r="F526" i="8"/>
  <c r="E526" i="8"/>
  <c r="I526" i="8"/>
  <c r="D526" i="8"/>
  <c r="C526" i="8"/>
  <c r="K249" i="8"/>
  <c r="BC249" i="8"/>
  <c r="F282" i="8"/>
  <c r="D282" i="8"/>
  <c r="C282" i="8"/>
  <c r="E301" i="8"/>
  <c r="C301" i="8"/>
  <c r="AH301" i="8"/>
  <c r="BB301" i="8" s="1"/>
  <c r="I307" i="8"/>
  <c r="K331" i="8"/>
  <c r="BC331" i="8"/>
  <c r="AH360" i="8"/>
  <c r="BB360" i="8" s="1"/>
  <c r="AH377" i="8"/>
  <c r="BB377" i="8" s="1"/>
  <c r="D377" i="8"/>
  <c r="C377" i="8"/>
  <c r="I470" i="8"/>
  <c r="H470" i="8"/>
  <c r="G470" i="8"/>
  <c r="F470" i="8"/>
  <c r="AH470" i="8"/>
  <c r="BB470" i="8" s="1"/>
  <c r="E470" i="8"/>
  <c r="D470" i="8"/>
  <c r="C470" i="8"/>
  <c r="D53" i="8"/>
  <c r="I135" i="8"/>
  <c r="K149" i="8"/>
  <c r="C173" i="8"/>
  <c r="D299" i="8"/>
  <c r="AH299" i="8"/>
  <c r="BB299" i="8" s="1"/>
  <c r="D301" i="8"/>
  <c r="D307" i="8"/>
  <c r="I360" i="8"/>
  <c r="BC369" i="8"/>
  <c r="K369" i="8"/>
  <c r="F377" i="8"/>
  <c r="H379" i="8"/>
  <c r="AH379" i="8"/>
  <c r="BB379" i="8" s="1"/>
  <c r="D379" i="8"/>
  <c r="I402" i="8"/>
  <c r="H402" i="8"/>
  <c r="G402" i="8"/>
  <c r="F402" i="8"/>
  <c r="C402" i="8"/>
  <c r="H414" i="8"/>
  <c r="AH418" i="8"/>
  <c r="BB418" i="8" s="1"/>
  <c r="C418" i="8"/>
  <c r="K289" i="8"/>
  <c r="BC289" i="8"/>
  <c r="BC293" i="8"/>
  <c r="K293" i="8"/>
  <c r="C299" i="8"/>
  <c r="F301" i="8"/>
  <c r="H307" i="8"/>
  <c r="F358" i="8"/>
  <c r="I374" i="8"/>
  <c r="AH374" i="8"/>
  <c r="BB374" i="8" s="1"/>
  <c r="G377" i="8"/>
  <c r="G379" i="8"/>
  <c r="AH465" i="8"/>
  <c r="BB465" i="8" s="1"/>
  <c r="I465" i="8"/>
  <c r="H465" i="8"/>
  <c r="G465" i="8"/>
  <c r="E465" i="8"/>
  <c r="D465" i="8"/>
  <c r="I474" i="8"/>
  <c r="BC526" i="8"/>
  <c r="K526" i="8"/>
  <c r="C201" i="8"/>
  <c r="C206" i="8"/>
  <c r="I342" i="8"/>
  <c r="H342" i="8"/>
  <c r="H377" i="8"/>
  <c r="I394" i="8"/>
  <c r="F394" i="8"/>
  <c r="D394" i="8"/>
  <c r="I396" i="8"/>
  <c r="G396" i="8"/>
  <c r="K423" i="8"/>
  <c r="BC423" i="8"/>
  <c r="AH461" i="8"/>
  <c r="BB461" i="8" s="1"/>
  <c r="H461" i="8"/>
  <c r="G461" i="8"/>
  <c r="D461" i="8"/>
  <c r="C465" i="8"/>
  <c r="C474" i="8"/>
  <c r="D163" i="8"/>
  <c r="C175" i="8"/>
  <c r="D201" i="8"/>
  <c r="I206" i="8"/>
  <c r="F208" i="8"/>
  <c r="C225" i="8"/>
  <c r="BC251" i="8"/>
  <c r="K251" i="8"/>
  <c r="H253" i="8"/>
  <c r="E255" i="8"/>
  <c r="H258" i="8"/>
  <c r="C270" i="8"/>
  <c r="H332" i="8"/>
  <c r="C342" i="8"/>
  <c r="H348" i="8"/>
  <c r="H374" i="8"/>
  <c r="K375" i="8"/>
  <c r="BC375" i="8"/>
  <c r="I377" i="8"/>
  <c r="G394" i="8"/>
  <c r="D396" i="8"/>
  <c r="D474" i="8"/>
  <c r="AH476" i="8"/>
  <c r="BB476" i="8" s="1"/>
  <c r="I476" i="8"/>
  <c r="H476" i="8"/>
  <c r="G476" i="8"/>
  <c r="AH345" i="8"/>
  <c r="BB345" i="8" s="1"/>
  <c r="AH380" i="8"/>
  <c r="BB380" i="8" s="1"/>
  <c r="F405" i="8"/>
  <c r="E405" i="8"/>
  <c r="D405" i="8"/>
  <c r="C405" i="8"/>
  <c r="K466" i="8"/>
  <c r="K495" i="8"/>
  <c r="BC495" i="8"/>
  <c r="K499" i="8"/>
  <c r="K377" i="8"/>
  <c r="BC377" i="8"/>
  <c r="G381" i="8"/>
  <c r="F381" i="8"/>
  <c r="D381" i="8"/>
  <c r="F411" i="8"/>
  <c r="E411" i="8"/>
  <c r="AH433" i="8"/>
  <c r="BB433" i="8" s="1"/>
  <c r="AH356" i="8"/>
  <c r="BB356" i="8" s="1"/>
  <c r="C381" i="8"/>
  <c r="D411" i="8"/>
  <c r="G433" i="8"/>
  <c r="I357" i="8"/>
  <c r="H357" i="8"/>
  <c r="BC409" i="8"/>
  <c r="K409" i="8"/>
  <c r="D285" i="8"/>
  <c r="K327" i="8"/>
  <c r="C343" i="8"/>
  <c r="F357" i="8"/>
  <c r="G369" i="8"/>
  <c r="C385" i="8"/>
  <c r="I389" i="8"/>
  <c r="C428" i="8"/>
  <c r="C443" i="8"/>
  <c r="AH458" i="8"/>
  <c r="BB458" i="8" s="1"/>
  <c r="C285" i="8"/>
  <c r="C326" i="8"/>
  <c r="I343" i="8"/>
  <c r="C345" i="8"/>
  <c r="C365" i="8"/>
  <c r="D367" i="8"/>
  <c r="AH367" i="8"/>
  <c r="BB367" i="8" s="1"/>
  <c r="H369" i="8"/>
  <c r="AH378" i="8"/>
  <c r="BB378" i="8" s="1"/>
  <c r="I378" i="8"/>
  <c r="D385" i="8"/>
  <c r="C389" i="8"/>
  <c r="C426" i="8"/>
  <c r="D443" i="8"/>
  <c r="C458" i="8"/>
  <c r="AH492" i="8"/>
  <c r="BB492" i="8" s="1"/>
  <c r="F494" i="8"/>
  <c r="D500" i="8"/>
  <c r="D502" i="8"/>
  <c r="E285" i="8"/>
  <c r="C318" i="8"/>
  <c r="D326" i="8"/>
  <c r="D345" i="8"/>
  <c r="K348" i="8"/>
  <c r="BC348" i="8"/>
  <c r="D365" i="8"/>
  <c r="C367" i="8"/>
  <c r="I369" i="8"/>
  <c r="E371" i="8"/>
  <c r="H371" i="8"/>
  <c r="C371" i="8"/>
  <c r="D373" i="8"/>
  <c r="D378" i="8"/>
  <c r="G385" i="8"/>
  <c r="G389" i="8"/>
  <c r="I406" i="8"/>
  <c r="F406" i="8"/>
  <c r="E406" i="8"/>
  <c r="AH406" i="8"/>
  <c r="BB406" i="8" s="1"/>
  <c r="G408" i="8"/>
  <c r="I419" i="8"/>
  <c r="E419" i="8"/>
  <c r="D419" i="8"/>
  <c r="E443" i="8"/>
  <c r="D458" i="8"/>
  <c r="I494" i="8"/>
  <c r="G500" i="8"/>
  <c r="E502" i="8"/>
  <c r="F311" i="8"/>
  <c r="D311" i="8"/>
  <c r="G365" i="8"/>
  <c r="F367" i="8"/>
  <c r="G378" i="8"/>
  <c r="H385" i="8"/>
  <c r="H389" i="8"/>
  <c r="H412" i="8"/>
  <c r="G412" i="8"/>
  <c r="F412" i="8"/>
  <c r="D412" i="8"/>
  <c r="I432" i="8"/>
  <c r="F432" i="8"/>
  <c r="E432" i="8"/>
  <c r="D432" i="8"/>
  <c r="H432" i="8"/>
  <c r="AH440" i="8"/>
  <c r="BB440" i="8" s="1"/>
  <c r="G443" i="8"/>
  <c r="E458" i="8"/>
  <c r="G492" i="8"/>
  <c r="H500" i="8"/>
  <c r="F502" i="8"/>
  <c r="C528" i="8"/>
  <c r="G285" i="8"/>
  <c r="F306" i="8"/>
  <c r="D306" i="8"/>
  <c r="G311" i="8"/>
  <c r="G318" i="8"/>
  <c r="G326" i="8"/>
  <c r="G333" i="8"/>
  <c r="H367" i="8"/>
  <c r="H378" i="8"/>
  <c r="I385" i="8"/>
  <c r="AH424" i="8"/>
  <c r="BB424" i="8" s="1"/>
  <c r="H443" i="8"/>
  <c r="G458" i="8"/>
  <c r="I460" i="8"/>
  <c r="G460" i="8"/>
  <c r="E460" i="8"/>
  <c r="D460" i="8"/>
  <c r="K477" i="8"/>
  <c r="BC477" i="8"/>
  <c r="G502" i="8"/>
  <c r="H427" i="8"/>
  <c r="G427" i="8"/>
  <c r="E430" i="8"/>
  <c r="D430" i="8"/>
  <c r="H507" i="8"/>
  <c r="G507" i="8"/>
  <c r="F507" i="8"/>
  <c r="E507" i="8"/>
  <c r="F398" i="8"/>
  <c r="E427" i="8"/>
  <c r="E442" i="8"/>
  <c r="H447" i="8"/>
  <c r="F447" i="8"/>
  <c r="C507" i="8"/>
  <c r="C527" i="8"/>
  <c r="K379" i="8"/>
  <c r="BC379" i="8"/>
  <c r="G398" i="8"/>
  <c r="H423" i="8"/>
  <c r="G423" i="8"/>
  <c r="F427" i="8"/>
  <c r="C436" i="8"/>
  <c r="F442" i="8"/>
  <c r="C447" i="8"/>
  <c r="D507" i="8"/>
  <c r="D527" i="8"/>
  <c r="C366" i="8"/>
  <c r="F388" i="8"/>
  <c r="D388" i="8"/>
  <c r="C393" i="8"/>
  <c r="H398" i="8"/>
  <c r="C400" i="8"/>
  <c r="E423" i="8"/>
  <c r="D436" i="8"/>
  <c r="E452" i="8"/>
  <c r="D462" i="8"/>
  <c r="F468" i="8"/>
  <c r="E468" i="8"/>
  <c r="D468" i="8"/>
  <c r="C468" i="8"/>
  <c r="I472" i="8"/>
  <c r="I507" i="8"/>
  <c r="E527" i="8"/>
  <c r="I531" i="8"/>
  <c r="E531" i="8"/>
  <c r="C531" i="8"/>
  <c r="D366" i="8"/>
  <c r="G388" i="8"/>
  <c r="I398" i="8"/>
  <c r="F423" i="8"/>
  <c r="E436" i="8"/>
  <c r="H441" i="8"/>
  <c r="G441" i="8"/>
  <c r="F441" i="8"/>
  <c r="G468" i="8"/>
  <c r="C472" i="8"/>
  <c r="I498" i="8"/>
  <c r="D501" i="8"/>
  <c r="E524" i="8"/>
  <c r="K527" i="8"/>
  <c r="G529" i="8"/>
  <c r="K28" i="8"/>
  <c r="BC28" i="8"/>
  <c r="K126" i="8"/>
  <c r="BC126" i="8"/>
  <c r="BC162" i="8"/>
  <c r="K162" i="8"/>
  <c r="K56" i="8"/>
  <c r="BC56" i="8"/>
  <c r="K38" i="8"/>
  <c r="BC38" i="8"/>
  <c r="BC25" i="8"/>
  <c r="K25" i="8"/>
  <c r="BC82" i="8"/>
  <c r="K82" i="8"/>
  <c r="K135" i="8"/>
  <c r="BC135" i="8"/>
  <c r="BC27" i="8"/>
  <c r="K27" i="8"/>
  <c r="AV143" i="8"/>
  <c r="AN22" i="8"/>
  <c r="AO40" i="8"/>
  <c r="AV75" i="8"/>
  <c r="AV19" i="8"/>
  <c r="BC26" i="8"/>
  <c r="K26" i="8"/>
  <c r="K19" i="8"/>
  <c r="BC19" i="8"/>
  <c r="K33" i="8"/>
  <c r="BC33" i="8"/>
  <c r="AH47" i="8"/>
  <c r="BB47" i="8" s="1"/>
  <c r="I47" i="8"/>
  <c r="AV47" i="8"/>
  <c r="H47" i="8"/>
  <c r="AX47" i="8" a="1"/>
  <c r="AX47" i="8" s="1"/>
  <c r="AY47" i="8" s="1"/>
  <c r="G47" i="8"/>
  <c r="F47" i="8"/>
  <c r="AO47" i="8"/>
  <c r="D47" i="8"/>
  <c r="AN47" i="8"/>
  <c r="C47" i="8"/>
  <c r="AM47" i="8"/>
  <c r="AH57" i="8"/>
  <c r="BB57" i="8" s="1"/>
  <c r="I57" i="8"/>
  <c r="F57" i="8"/>
  <c r="AX57" i="8" a="1"/>
  <c r="AX57" i="8" s="1"/>
  <c r="AY57" i="8" s="1"/>
  <c r="E57" i="8"/>
  <c r="AO57" i="8"/>
  <c r="AN57" i="8"/>
  <c r="H57" i="8"/>
  <c r="G57" i="8"/>
  <c r="C57" i="8"/>
  <c r="D57" i="8"/>
  <c r="AM83" i="8"/>
  <c r="AN7" i="8"/>
  <c r="AV43" i="8"/>
  <c r="AN83" i="8"/>
  <c r="AV99" i="8"/>
  <c r="AN63" i="8"/>
  <c r="C10" i="8"/>
  <c r="AV18" i="8"/>
  <c r="AN107" i="8"/>
  <c r="D10" i="8"/>
  <c r="E10" i="8"/>
  <c r="AN30" i="8"/>
  <c r="AX60" i="8" a="1"/>
  <c r="AX60" i="8" s="1"/>
  <c r="AY60" i="8" s="1"/>
  <c r="AO67" i="8"/>
  <c r="AV337" i="8"/>
  <c r="AM7" i="8"/>
  <c r="AV15" i="8"/>
  <c r="I17" i="8"/>
  <c r="AM52" i="8"/>
  <c r="AO21" i="8"/>
  <c r="AN13" i="8"/>
  <c r="AH16" i="8"/>
  <c r="BB16" i="8" s="1"/>
  <c r="AX16" i="8" a="1"/>
  <c r="AX16" i="8" s="1"/>
  <c r="AY16" i="8" s="1"/>
  <c r="D16" i="8"/>
  <c r="C16" i="8"/>
  <c r="AM16" i="8"/>
  <c r="I16" i="8"/>
  <c r="H16" i="8"/>
  <c r="AV53" i="8"/>
  <c r="AV66" i="8"/>
  <c r="BC88" i="8"/>
  <c r="K88" i="8"/>
  <c r="AO132" i="8"/>
  <c r="BC292" i="8"/>
  <c r="K292" i="8"/>
  <c r="AV12" i="8"/>
  <c r="AM20" i="8"/>
  <c r="BC42" i="8"/>
  <c r="K42" i="8"/>
  <c r="E47" i="8"/>
  <c r="AV113" i="8"/>
  <c r="K14" i="8"/>
  <c r="BC14" i="8"/>
  <c r="AN52" i="8"/>
  <c r="AN74" i="8"/>
  <c r="AO7" i="8"/>
  <c r="I27" i="8"/>
  <c r="H27" i="8"/>
  <c r="AO27" i="8"/>
  <c r="G27" i="8"/>
  <c r="AN27" i="8"/>
  <c r="F27" i="8"/>
  <c r="AM27" i="8"/>
  <c r="E27" i="8"/>
  <c r="D27" i="8"/>
  <c r="C27" i="8"/>
  <c r="AX27" i="8" a="1"/>
  <c r="AX27" i="8" s="1"/>
  <c r="AY27" i="8" s="1"/>
  <c r="AV27" i="8"/>
  <c r="K64" i="8"/>
  <c r="BC64" i="8"/>
  <c r="AM65" i="8"/>
  <c r="AO196" i="8"/>
  <c r="K20" i="8"/>
  <c r="BC20" i="8"/>
  <c r="K74" i="8"/>
  <c r="BC74" i="8"/>
  <c r="I404" i="8"/>
  <c r="AM404" i="8"/>
  <c r="E404" i="8"/>
  <c r="AO404" i="8"/>
  <c r="F404" i="8"/>
  <c r="C404" i="8"/>
  <c r="AV404" i="8"/>
  <c r="H404" i="8"/>
  <c r="AN404" i="8"/>
  <c r="AX404" i="8" a="1"/>
  <c r="AX404" i="8" s="1"/>
  <c r="AY404" i="8" s="1"/>
  <c r="AH404" i="8"/>
  <c r="BB404" i="8" s="1"/>
  <c r="G404" i="8"/>
  <c r="D404" i="8"/>
  <c r="AM154" i="8"/>
  <c r="H10" i="8"/>
  <c r="AN42" i="8"/>
  <c r="K13" i="8"/>
  <c r="BC13" i="8"/>
  <c r="AM57" i="8"/>
  <c r="AV59" i="8"/>
  <c r="AO103" i="8"/>
  <c r="AN184" i="8"/>
  <c r="G184" i="8"/>
  <c r="C184" i="8"/>
  <c r="AV184" i="8"/>
  <c r="I184" i="8"/>
  <c r="H184" i="8"/>
  <c r="AO184" i="8"/>
  <c r="E184" i="8"/>
  <c r="F184" i="8"/>
  <c r="D184" i="8"/>
  <c r="AM184" i="8"/>
  <c r="AH184" i="8"/>
  <c r="BB184" i="8" s="1"/>
  <c r="AX184" i="8" a="1"/>
  <c r="AX184" i="8" s="1"/>
  <c r="AY184" i="8" s="1"/>
  <c r="AM149" i="8"/>
  <c r="K80" i="8"/>
  <c r="BC80" i="8"/>
  <c r="C17" i="8"/>
  <c r="AV165" i="8"/>
  <c r="BC521" i="8"/>
  <c r="K521" i="8"/>
  <c r="H17" i="8"/>
  <c r="AN65" i="8"/>
  <c r="AO42" i="8"/>
  <c r="BC188" i="8"/>
  <c r="K188" i="8"/>
  <c r="C8" i="8"/>
  <c r="AO10" i="8"/>
  <c r="AX51" i="8" a="1"/>
  <c r="AX51" i="8" s="1"/>
  <c r="AY51" i="8" s="1"/>
  <c r="AO60" i="8"/>
  <c r="BC72" i="8"/>
  <c r="K72" i="8"/>
  <c r="K87" i="8"/>
  <c r="BC87" i="8"/>
  <c r="AM130" i="8"/>
  <c r="AM317" i="8"/>
  <c r="AN128" i="8"/>
  <c r="BC48" i="8"/>
  <c r="K48" i="8"/>
  <c r="AV58" i="8"/>
  <c r="C7" i="8"/>
  <c r="AN17" i="8"/>
  <c r="AM24" i="8"/>
  <c r="AM50" i="8"/>
  <c r="AV105" i="8"/>
  <c r="K107" i="8"/>
  <c r="BC107" i="8"/>
  <c r="AV177" i="8"/>
  <c r="AN18" i="8"/>
  <c r="AN132" i="8"/>
  <c r="AV16" i="8"/>
  <c r="AM128" i="8"/>
  <c r="AV62" i="8"/>
  <c r="F10" i="8"/>
  <c r="BC120" i="8"/>
  <c r="K120" i="8"/>
  <c r="AX38" i="8" a="1"/>
  <c r="AX38" i="8" s="1"/>
  <c r="AY38" i="8" s="1"/>
  <c r="K21" i="8"/>
  <c r="BC21" i="8"/>
  <c r="AO23" i="8"/>
  <c r="AN24" i="8"/>
  <c r="AM34" i="8"/>
  <c r="AN35" i="8"/>
  <c r="AO50" i="8"/>
  <c r="K54" i="8"/>
  <c r="BC54" i="8"/>
  <c r="AV57" i="8"/>
  <c r="AX73" i="8" a="1"/>
  <c r="AX73" i="8" s="1"/>
  <c r="AY73" i="8" s="1"/>
  <c r="AH86" i="8"/>
  <c r="BB86" i="8" s="1"/>
  <c r="AN86" i="8"/>
  <c r="D86" i="8"/>
  <c r="AM86" i="8"/>
  <c r="C86" i="8"/>
  <c r="I86" i="8"/>
  <c r="AX86" i="8" a="1"/>
  <c r="AX86" i="8" s="1"/>
  <c r="AY86" i="8" s="1"/>
  <c r="H86" i="8"/>
  <c r="F86" i="8"/>
  <c r="E86" i="8"/>
  <c r="AV86" i="8"/>
  <c r="AH10" i="8"/>
  <c r="BB10" i="8" s="1"/>
  <c r="AX10" i="8" a="1"/>
  <c r="AX10" i="8" s="1"/>
  <c r="AY10" i="8" s="1"/>
  <c r="AN10" i="8"/>
  <c r="AM10" i="8"/>
  <c r="I10" i="8"/>
  <c r="AH45" i="8"/>
  <c r="BB45" i="8" s="1"/>
  <c r="AX45" i="8" a="1"/>
  <c r="AX45" i="8" s="1"/>
  <c r="AY45" i="8" s="1"/>
  <c r="AV45" i="8"/>
  <c r="I45" i="8"/>
  <c r="H45" i="8"/>
  <c r="E45" i="8"/>
  <c r="AN45" i="8"/>
  <c r="AM45" i="8"/>
  <c r="AO45" i="8"/>
  <c r="F45" i="8"/>
  <c r="D45" i="8"/>
  <c r="C45" i="8"/>
  <c r="I111" i="8"/>
  <c r="AH111" i="8"/>
  <c r="BB111" i="8" s="1"/>
  <c r="AV111" i="8"/>
  <c r="H111" i="8"/>
  <c r="G111" i="8"/>
  <c r="AO111" i="8"/>
  <c r="E111" i="8"/>
  <c r="AN111" i="8"/>
  <c r="D111" i="8"/>
  <c r="F111" i="8"/>
  <c r="C111" i="8"/>
  <c r="AM111" i="8"/>
  <c r="AX111" i="8" a="1"/>
  <c r="AX111" i="8" s="1"/>
  <c r="AY111" i="8" s="1"/>
  <c r="AN170" i="8"/>
  <c r="G170" i="8"/>
  <c r="AH170" i="8"/>
  <c r="BB170" i="8" s="1"/>
  <c r="AX170" i="8" a="1"/>
  <c r="AX170" i="8" s="1"/>
  <c r="AY170" i="8" s="1"/>
  <c r="AV170" i="8"/>
  <c r="I170" i="8"/>
  <c r="H170" i="8"/>
  <c r="F170" i="8"/>
  <c r="AO170" i="8"/>
  <c r="D170" i="8"/>
  <c r="AM170" i="8"/>
  <c r="C170" i="8"/>
  <c r="E170" i="8"/>
  <c r="AN209" i="8"/>
  <c r="G209" i="8"/>
  <c r="I209" i="8"/>
  <c r="AX209" i="8" a="1"/>
  <c r="AX209" i="8" s="1"/>
  <c r="AY209" i="8" s="1"/>
  <c r="AV209" i="8"/>
  <c r="H209" i="8"/>
  <c r="F209" i="8"/>
  <c r="E209" i="8"/>
  <c r="AM209" i="8"/>
  <c r="C209" i="8"/>
  <c r="AO209" i="8"/>
  <c r="AH209" i="8"/>
  <c r="BB209" i="8" s="1"/>
  <c r="AO8" i="8"/>
  <c r="AX146" i="8" a="1"/>
  <c r="AX146" i="8" s="1"/>
  <c r="AY146" i="8" s="1"/>
  <c r="AO61" i="8"/>
  <c r="AO86" i="8"/>
  <c r="AM11" i="8"/>
  <c r="AN55" i="8"/>
  <c r="AN11" i="8"/>
  <c r="AM261" i="8"/>
  <c r="AO11" i="8"/>
  <c r="AH7" i="8"/>
  <c r="BB7" i="8" s="1"/>
  <c r="AX7" i="8" a="1"/>
  <c r="AX7" i="8" s="1"/>
  <c r="AY7" i="8" s="1"/>
  <c r="AM22" i="8"/>
  <c r="AV21" i="8"/>
  <c r="AO128" i="8"/>
  <c r="AN20" i="8"/>
  <c r="AM6" i="8"/>
  <c r="AO317" i="8"/>
  <c r="AO154" i="8"/>
  <c r="AM39" i="8"/>
  <c r="AN130" i="8"/>
  <c r="AM21" i="8"/>
  <c r="G7" i="8"/>
  <c r="AV7" i="8"/>
  <c r="F7" i="8"/>
  <c r="AV131" i="8"/>
  <c r="AV115" i="8"/>
  <c r="E7" i="8"/>
  <c r="AX132" i="8" a="1"/>
  <c r="AX132" i="8" s="1"/>
  <c r="AY132" i="8" s="1"/>
  <c r="AN100" i="8"/>
  <c r="AX83" i="8" a="1"/>
  <c r="AX83" i="8" s="1"/>
  <c r="AY83" i="8" s="1"/>
  <c r="AO65" i="8"/>
  <c r="AM59" i="8"/>
  <c r="AH15" i="8"/>
  <c r="BB15" i="8" s="1"/>
  <c r="AX15" i="8" a="1"/>
  <c r="AX15" i="8" s="1"/>
  <c r="AY15" i="8" s="1"/>
  <c r="I15" i="8"/>
  <c r="H15" i="8"/>
  <c r="AN15" i="8"/>
  <c r="AO15" i="8"/>
  <c r="AM15" i="8"/>
  <c r="AM33" i="8"/>
  <c r="D7" i="8"/>
  <c r="BC68" i="8"/>
  <c r="K68" i="8"/>
  <c r="AX101" i="8" a="1"/>
  <c r="AX101" i="8" s="1"/>
  <c r="AY101" i="8" s="1"/>
  <c r="AN106" i="8"/>
  <c r="AX134" i="8" a="1"/>
  <c r="AX134" i="8" s="1"/>
  <c r="AY134" i="8" s="1"/>
  <c r="K221" i="8"/>
  <c r="BC221" i="8"/>
  <c r="K278" i="8"/>
  <c r="BC278" i="8"/>
  <c r="AV284" i="8"/>
  <c r="BC86" i="8"/>
  <c r="K86" i="8"/>
  <c r="AM91" i="8"/>
  <c r="AN9" i="8"/>
  <c r="G10" i="8"/>
  <c r="AM23" i="8"/>
  <c r="AO36" i="8"/>
  <c r="AX33" i="8" a="1"/>
  <c r="AX33" i="8" s="1"/>
  <c r="AY33" i="8" s="1"/>
  <c r="AO48" i="8"/>
  <c r="AM153" i="8"/>
  <c r="H7" i="8"/>
  <c r="AV10" i="8"/>
  <c r="AO13" i="8"/>
  <c r="E15" i="8"/>
  <c r="BC10" i="8"/>
  <c r="F15" i="8"/>
  <c r="AH27" i="8"/>
  <c r="BB27" i="8" s="1"/>
  <c r="AX31" i="8" a="1"/>
  <c r="AX31" i="8" s="1"/>
  <c r="AY31" i="8" s="1"/>
  <c r="K46" i="8"/>
  <c r="AH80" i="8"/>
  <c r="BB80" i="8" s="1"/>
  <c r="H80" i="8"/>
  <c r="G80" i="8"/>
  <c r="AN80" i="8"/>
  <c r="D80" i="8"/>
  <c r="AM80" i="8"/>
  <c r="C80" i="8"/>
  <c r="AV80" i="8"/>
  <c r="AO80" i="8"/>
  <c r="I80" i="8"/>
  <c r="F80" i="8"/>
  <c r="AX80" i="8" a="1"/>
  <c r="AX80" i="8" s="1"/>
  <c r="AY80" i="8" s="1"/>
  <c r="E80" i="8"/>
  <c r="AX102" i="8" a="1"/>
  <c r="AX102" i="8" s="1"/>
  <c r="AY102" i="8" s="1"/>
  <c r="K176" i="8"/>
  <c r="BC176" i="8"/>
  <c r="AV55" i="8"/>
  <c r="AO78" i="8"/>
  <c r="AH17" i="8"/>
  <c r="BB17" i="8" s="1"/>
  <c r="AX17" i="8" a="1"/>
  <c r="AX17" i="8" s="1"/>
  <c r="AY17" i="8" s="1"/>
  <c r="G17" i="8"/>
  <c r="F17" i="8"/>
  <c r="E17" i="8"/>
  <c r="AN61" i="8"/>
  <c r="D17" i="8"/>
  <c r="AV6" i="8"/>
  <c r="AH8" i="8"/>
  <c r="BB8" i="8" s="1"/>
  <c r="AX8" i="8" a="1"/>
  <c r="AX8" i="8" s="1"/>
  <c r="AY8" i="8" s="1"/>
  <c r="I8" i="8"/>
  <c r="H8" i="8"/>
  <c r="G8" i="8"/>
  <c r="AV8" i="8"/>
  <c r="F8" i="8"/>
  <c r="D8" i="8"/>
  <c r="E8" i="8"/>
  <c r="AN8" i="8"/>
  <c r="AM8" i="8"/>
  <c r="AN157" i="8"/>
  <c r="G157" i="8"/>
  <c r="AX157" i="8" a="1"/>
  <c r="AX157" i="8" s="1"/>
  <c r="AY157" i="8" s="1"/>
  <c r="H157" i="8"/>
  <c r="F157" i="8"/>
  <c r="E157" i="8"/>
  <c r="AH157" i="8"/>
  <c r="BB157" i="8" s="1"/>
  <c r="I157" i="8"/>
  <c r="D157" i="8"/>
  <c r="C157" i="8"/>
  <c r="AV157" i="8"/>
  <c r="AM157" i="8"/>
  <c r="AO157" i="8"/>
  <c r="K8" i="8"/>
  <c r="BC8" i="8"/>
  <c r="AH12" i="8"/>
  <c r="BB12" i="8" s="1"/>
  <c r="AX12" i="8" a="1"/>
  <c r="AX12" i="8" s="1"/>
  <c r="AY12" i="8" s="1"/>
  <c r="D12" i="8"/>
  <c r="C12" i="8"/>
  <c r="E12" i="8"/>
  <c r="I12" i="8"/>
  <c r="H12" i="8"/>
  <c r="G12" i="8"/>
  <c r="F12" i="8"/>
  <c r="AO12" i="8"/>
  <c r="AN12" i="8"/>
  <c r="AM12" i="8"/>
  <c r="D15" i="8"/>
  <c r="AO17" i="8"/>
  <c r="AX37" i="8" a="1"/>
  <c r="AX37" i="8" s="1"/>
  <c r="AY37" i="8" s="1"/>
  <c r="AV24" i="8"/>
  <c r="AV31" i="8"/>
  <c r="AV32" i="8"/>
  <c r="AN34" i="8"/>
  <c r="I7" i="8"/>
  <c r="AV22" i="8"/>
  <c r="AH11" i="8"/>
  <c r="BB11" i="8" s="1"/>
  <c r="AX11" i="8" a="1"/>
  <c r="AX11" i="8" s="1"/>
  <c r="AY11" i="8" s="1"/>
  <c r="I11" i="8"/>
  <c r="H11" i="8"/>
  <c r="AV11" i="8"/>
  <c r="E11" i="8"/>
  <c r="D11" i="8"/>
  <c r="C11" i="8"/>
  <c r="G15" i="8"/>
  <c r="AN16" i="8"/>
  <c r="AV17" i="8"/>
  <c r="AM18" i="8"/>
  <c r="AH23" i="8"/>
  <c r="BB23" i="8" s="1"/>
  <c r="AV23" i="8"/>
  <c r="AX23" i="8" a="1"/>
  <c r="AX23" i="8" s="1"/>
  <c r="AY23" i="8" s="1"/>
  <c r="I23" i="8"/>
  <c r="H23" i="8"/>
  <c r="G23" i="8"/>
  <c r="F23" i="8"/>
  <c r="AX32" i="8" a="1"/>
  <c r="AX32" i="8" s="1"/>
  <c r="AY32" i="8" s="1"/>
  <c r="BC44" i="8"/>
  <c r="AN87" i="8"/>
  <c r="AX158" i="8" a="1"/>
  <c r="AX158" i="8" s="1"/>
  <c r="AY158" i="8" s="1"/>
  <c r="AM182" i="8"/>
  <c r="AH54" i="8"/>
  <c r="BB54" i="8" s="1"/>
  <c r="H54" i="8"/>
  <c r="AX54" i="8" a="1"/>
  <c r="AX54" i="8" s="1"/>
  <c r="AY54" i="8" s="1"/>
  <c r="I54" i="8"/>
  <c r="E54" i="8"/>
  <c r="AV54" i="8"/>
  <c r="G54" i="8"/>
  <c r="F54" i="8"/>
  <c r="D54" i="8"/>
  <c r="AO54" i="8"/>
  <c r="C54" i="8"/>
  <c r="AM54" i="8"/>
  <c r="AH61" i="8"/>
  <c r="BB61" i="8" s="1"/>
  <c r="AV61" i="8"/>
  <c r="AX61" i="8" a="1"/>
  <c r="AX61" i="8" s="1"/>
  <c r="AY61" i="8" s="1"/>
  <c r="I61" i="8"/>
  <c r="G61" i="8"/>
  <c r="F61" i="8"/>
  <c r="AM61" i="8"/>
  <c r="AX145" i="8" a="1"/>
  <c r="AX145" i="8" s="1"/>
  <c r="AY145" i="8" s="1"/>
  <c r="AO160" i="8"/>
  <c r="K209" i="8"/>
  <c r="BC209" i="8"/>
  <c r="AO235" i="8"/>
  <c r="BC487" i="8"/>
  <c r="K487" i="8"/>
  <c r="AH18" i="8"/>
  <c r="BB18" i="8" s="1"/>
  <c r="AX18" i="8" a="1"/>
  <c r="AX18" i="8" s="1"/>
  <c r="AY18" i="8" s="1"/>
  <c r="AO18" i="8"/>
  <c r="AO24" i="8"/>
  <c r="AM35" i="8"/>
  <c r="AN59" i="8"/>
  <c r="C61" i="8"/>
  <c r="AX62" i="8" a="1"/>
  <c r="AX62" i="8" s="1"/>
  <c r="AY62" i="8" s="1"/>
  <c r="AN67" i="8"/>
  <c r="AM72" i="8"/>
  <c r="AV78" i="8"/>
  <c r="AM82" i="8"/>
  <c r="K96" i="8"/>
  <c r="BC96" i="8"/>
  <c r="BC104" i="8"/>
  <c r="K104" i="8"/>
  <c r="AN116" i="8"/>
  <c r="BC151" i="8"/>
  <c r="K151" i="8"/>
  <c r="BC171" i="8"/>
  <c r="K171" i="8"/>
  <c r="AN175" i="8"/>
  <c r="G175" i="8"/>
  <c r="AM175" i="8"/>
  <c r="E175" i="8"/>
  <c r="AH175" i="8"/>
  <c r="BB175" i="8" s="1"/>
  <c r="AV175" i="8"/>
  <c r="AO175" i="8"/>
  <c r="AX175" i="8" a="1"/>
  <c r="AX175" i="8" s="1"/>
  <c r="AY175" i="8" s="1"/>
  <c r="I175" i="8"/>
  <c r="F175" i="8"/>
  <c r="D175" i="8"/>
  <c r="AV181" i="8"/>
  <c r="AM13" i="8"/>
  <c r="AX49" i="8" a="1"/>
  <c r="AX49" i="8" s="1"/>
  <c r="AY49" i="8" s="1"/>
  <c r="AX50" i="8" a="1"/>
  <c r="AX50" i="8" s="1"/>
  <c r="AY50" i="8" s="1"/>
  <c r="D61" i="8"/>
  <c r="AV64" i="8"/>
  <c r="AV88" i="8"/>
  <c r="AN89" i="8"/>
  <c r="AO116" i="8"/>
  <c r="AV121" i="8"/>
  <c r="AX131" i="8" a="1"/>
  <c r="AX131" i="8" s="1"/>
  <c r="AY131" i="8" s="1"/>
  <c r="AV161" i="8"/>
  <c r="AO164" i="8"/>
  <c r="K200" i="8"/>
  <c r="BC200" i="8"/>
  <c r="AM251" i="8"/>
  <c r="BC269" i="8"/>
  <c r="K269" i="8"/>
  <c r="AM19" i="8"/>
  <c r="AN25" i="8"/>
  <c r="AV36" i="8"/>
  <c r="BC7" i="8"/>
  <c r="AN19" i="8"/>
  <c r="BC22" i="8"/>
  <c r="K22" i="8"/>
  <c r="AO25" i="8"/>
  <c r="BC30" i="8"/>
  <c r="K30" i="8"/>
  <c r="AX36" i="8" a="1"/>
  <c r="AX36" i="8" s="1"/>
  <c r="AY36" i="8" s="1"/>
  <c r="AV37" i="8"/>
  <c r="AM38" i="8"/>
  <c r="AM42" i="8"/>
  <c r="E61" i="8"/>
  <c r="AM63" i="8"/>
  <c r="AM71" i="8"/>
  <c r="AO89" i="8"/>
  <c r="AM97" i="8"/>
  <c r="AV98" i="8"/>
  <c r="AM112" i="8"/>
  <c r="H175" i="8"/>
  <c r="BC263" i="8"/>
  <c r="K263" i="8"/>
  <c r="AM281" i="8"/>
  <c r="K333" i="8"/>
  <c r="BC333" i="8"/>
  <c r="AH13" i="8"/>
  <c r="BB13" i="8" s="1"/>
  <c r="AX13" i="8" a="1"/>
  <c r="AX13" i="8" s="1"/>
  <c r="AY13" i="8" s="1"/>
  <c r="AO100" i="8"/>
  <c r="AN215" i="8"/>
  <c r="G215" i="8"/>
  <c r="AH215" i="8"/>
  <c r="BB215" i="8" s="1"/>
  <c r="AM215" i="8"/>
  <c r="I215" i="8"/>
  <c r="AO215" i="8"/>
  <c r="H215" i="8"/>
  <c r="AX215" i="8" a="1"/>
  <c r="AX215" i="8" s="1"/>
  <c r="AY215" i="8" s="1"/>
  <c r="AV215" i="8"/>
  <c r="C13" i="8"/>
  <c r="AV13" i="8"/>
  <c r="AM14" i="8"/>
  <c r="C19" i="8"/>
  <c r="AO20" i="8"/>
  <c r="AN21" i="8"/>
  <c r="AV41" i="8"/>
  <c r="BC45" i="8"/>
  <c r="K45" i="8"/>
  <c r="AN71" i="8"/>
  <c r="C78" i="8"/>
  <c r="AO81" i="8"/>
  <c r="AO92" i="8"/>
  <c r="I105" i="8"/>
  <c r="H105" i="8"/>
  <c r="AO105" i="8"/>
  <c r="G105" i="8"/>
  <c r="AX105" i="8" a="1"/>
  <c r="AX105" i="8" s="1"/>
  <c r="AY105" i="8" s="1"/>
  <c r="E105" i="8"/>
  <c r="AN105" i="8"/>
  <c r="D105" i="8"/>
  <c r="AH105" i="8"/>
  <c r="BB105" i="8" s="1"/>
  <c r="AM105" i="8"/>
  <c r="BC114" i="8"/>
  <c r="BC118" i="8"/>
  <c r="K118" i="8"/>
  <c r="AV129" i="8"/>
  <c r="AO130" i="8"/>
  <c r="K136" i="8"/>
  <c r="BC136" i="8"/>
  <c r="AN141" i="8"/>
  <c r="AX143" i="8" a="1"/>
  <c r="AX143" i="8" s="1"/>
  <c r="AY143" i="8" s="1"/>
  <c r="AN156" i="8"/>
  <c r="G156" i="8"/>
  <c r="H156" i="8"/>
  <c r="AV156" i="8"/>
  <c r="AX156" i="8" a="1"/>
  <c r="AX156" i="8" s="1"/>
  <c r="AY156" i="8" s="1"/>
  <c r="I156" i="8"/>
  <c r="F156" i="8"/>
  <c r="E156" i="8"/>
  <c r="AO156" i="8"/>
  <c r="D156" i="8"/>
  <c r="AH156" i="8"/>
  <c r="BB156" i="8" s="1"/>
  <c r="AM156" i="8"/>
  <c r="C215" i="8"/>
  <c r="BC321" i="8"/>
  <c r="K321" i="8"/>
  <c r="AH19" i="8"/>
  <c r="BB19" i="8" s="1"/>
  <c r="AX19" i="8" a="1"/>
  <c r="AX19" i="8" s="1"/>
  <c r="AY19" i="8" s="1"/>
  <c r="I19" i="8"/>
  <c r="H19" i="8"/>
  <c r="AM74" i="8"/>
  <c r="AM9" i="8"/>
  <c r="D13" i="8"/>
  <c r="AN14" i="8"/>
  <c r="D19" i="8"/>
  <c r="AV20" i="8"/>
  <c r="AV25" i="8"/>
  <c r="AM28" i="8"/>
  <c r="K32" i="8"/>
  <c r="BC32" i="8"/>
  <c r="AV40" i="8"/>
  <c r="AH44" i="8"/>
  <c r="BB44" i="8" s="1"/>
  <c r="AX44" i="8" a="1"/>
  <c r="AX44" i="8" s="1"/>
  <c r="AY44" i="8" s="1"/>
  <c r="AV44" i="8"/>
  <c r="I44" i="8"/>
  <c r="H44" i="8"/>
  <c r="E44" i="8"/>
  <c r="G44" i="8"/>
  <c r="F44" i="8"/>
  <c r="AO44" i="8"/>
  <c r="D44" i="8"/>
  <c r="AN44" i="8"/>
  <c r="C44" i="8"/>
  <c r="AM44" i="8"/>
  <c r="AV48" i="8"/>
  <c r="K58" i="8"/>
  <c r="D78" i="8"/>
  <c r="AX92" i="8" a="1"/>
  <c r="AX92" i="8" s="1"/>
  <c r="AY92" i="8" s="1"/>
  <c r="AO96" i="8"/>
  <c r="C105" i="8"/>
  <c r="AV122" i="8"/>
  <c r="K163" i="8"/>
  <c r="BC163" i="8"/>
  <c r="AX195" i="8" a="1"/>
  <c r="AX195" i="8" s="1"/>
  <c r="AY195" i="8" s="1"/>
  <c r="K197" i="8"/>
  <c r="BC197" i="8"/>
  <c r="D215" i="8"/>
  <c r="K280" i="8"/>
  <c r="BC280" i="8"/>
  <c r="BC69" i="8"/>
  <c r="K69" i="8"/>
  <c r="E13" i="8"/>
  <c r="AH14" i="8"/>
  <c r="BB14" i="8" s="1"/>
  <c r="AX14" i="8" a="1"/>
  <c r="AX14" i="8" s="1"/>
  <c r="AY14" i="8" s="1"/>
  <c r="AO14" i="8"/>
  <c r="E19" i="8"/>
  <c r="AH20" i="8"/>
  <c r="BB20" i="8" s="1"/>
  <c r="AX20" i="8" a="1"/>
  <c r="AX20" i="8" s="1"/>
  <c r="AY20" i="8" s="1"/>
  <c r="D20" i="8"/>
  <c r="C20" i="8"/>
  <c r="AV26" i="8"/>
  <c r="AX41" i="8" a="1"/>
  <c r="AX41" i="8" s="1"/>
  <c r="AY41" i="8" s="1"/>
  <c r="AH48" i="8"/>
  <c r="BB48" i="8" s="1"/>
  <c r="AX48" i="8" a="1"/>
  <c r="AX48" i="8" s="1"/>
  <c r="AY48" i="8" s="1"/>
  <c r="E48" i="8"/>
  <c r="AN48" i="8"/>
  <c r="AM48" i="8"/>
  <c r="AN54" i="8"/>
  <c r="AO106" i="8"/>
  <c r="BC108" i="8"/>
  <c r="K108" i="8"/>
  <c r="AV110" i="8"/>
  <c r="AM158" i="8"/>
  <c r="AV200" i="8"/>
  <c r="K213" i="8"/>
  <c r="BC213" i="8"/>
  <c r="E215" i="8"/>
  <c r="K232" i="8"/>
  <c r="BC232" i="8"/>
  <c r="AH78" i="8"/>
  <c r="BB78" i="8" s="1"/>
  <c r="AX78" i="8" a="1"/>
  <c r="AX78" i="8" s="1"/>
  <c r="AY78" i="8" s="1"/>
  <c r="H78" i="8"/>
  <c r="I78" i="8"/>
  <c r="F78" i="8"/>
  <c r="E78" i="8"/>
  <c r="AN78" i="8"/>
  <c r="AM78" i="8"/>
  <c r="AM88" i="8"/>
  <c r="BC91" i="8"/>
  <c r="K91" i="8"/>
  <c r="AH9" i="8"/>
  <c r="BB9" i="8" s="1"/>
  <c r="AX9" i="8" a="1"/>
  <c r="AX9" i="8" s="1"/>
  <c r="AY9" i="8" s="1"/>
  <c r="D9" i="8"/>
  <c r="AO9" i="8"/>
  <c r="F13" i="8"/>
  <c r="F19" i="8"/>
  <c r="AH21" i="8"/>
  <c r="BB21" i="8" s="1"/>
  <c r="AX21" i="8" a="1"/>
  <c r="AX21" i="8" s="1"/>
  <c r="AY21" i="8" s="1"/>
  <c r="AX25" i="8" a="1"/>
  <c r="AX25" i="8" s="1"/>
  <c r="AY25" i="8" s="1"/>
  <c r="AX28" i="8" a="1"/>
  <c r="AX28" i="8" s="1"/>
  <c r="AY28" i="8" s="1"/>
  <c r="AM29" i="8"/>
  <c r="AM69" i="8"/>
  <c r="BC101" i="8"/>
  <c r="K101" i="8"/>
  <c r="I120" i="8"/>
  <c r="AH120" i="8"/>
  <c r="BB120" i="8" s="1"/>
  <c r="AX120" i="8" a="1"/>
  <c r="AX120" i="8" s="1"/>
  <c r="AY120" i="8" s="1"/>
  <c r="AV120" i="8"/>
  <c r="H120" i="8"/>
  <c r="G120" i="8"/>
  <c r="E120" i="8"/>
  <c r="AO120" i="8"/>
  <c r="D120" i="8"/>
  <c r="AM120" i="8"/>
  <c r="AN120" i="8"/>
  <c r="AV144" i="8"/>
  <c r="AX181" i="8" a="1"/>
  <c r="AX181" i="8" s="1"/>
  <c r="AY181" i="8" s="1"/>
  <c r="K192" i="8"/>
  <c r="BC192" i="8"/>
  <c r="AO194" i="8"/>
  <c r="F215" i="8"/>
  <c r="K246" i="8"/>
  <c r="BC246" i="8"/>
  <c r="G13" i="8"/>
  <c r="AV76" i="8"/>
  <c r="K79" i="8"/>
  <c r="AN81" i="8"/>
  <c r="AX110" i="8" a="1"/>
  <c r="AX110" i="8" s="1"/>
  <c r="AY110" i="8" s="1"/>
  <c r="C120" i="8"/>
  <c r="AN121" i="8"/>
  <c r="I128" i="8"/>
  <c r="AX128" i="8" a="1"/>
  <c r="AX128" i="8" s="1"/>
  <c r="AY128" i="8" s="1"/>
  <c r="AV128" i="8"/>
  <c r="G128" i="8"/>
  <c r="AH128" i="8"/>
  <c r="BB128" i="8" s="1"/>
  <c r="F128" i="8"/>
  <c r="E128" i="8"/>
  <c r="AN148" i="8"/>
  <c r="G148" i="8"/>
  <c r="AV148" i="8"/>
  <c r="AX148" i="8" a="1"/>
  <c r="AX148" i="8" s="1"/>
  <c r="AY148" i="8" s="1"/>
  <c r="H148" i="8"/>
  <c r="F148" i="8"/>
  <c r="I148" i="8"/>
  <c r="E148" i="8"/>
  <c r="AO148" i="8"/>
  <c r="AM148" i="8"/>
  <c r="AH148" i="8"/>
  <c r="BB148" i="8" s="1"/>
  <c r="K156" i="8"/>
  <c r="BC156" i="8"/>
  <c r="BC172" i="8"/>
  <c r="K172" i="8"/>
  <c r="AN243" i="8"/>
  <c r="G243" i="8"/>
  <c r="AX243" i="8" a="1"/>
  <c r="AX243" i="8" s="1"/>
  <c r="AY243" i="8" s="1"/>
  <c r="F243" i="8"/>
  <c r="I243" i="8"/>
  <c r="H243" i="8"/>
  <c r="AH243" i="8"/>
  <c r="BB243" i="8" s="1"/>
  <c r="AM243" i="8"/>
  <c r="E243" i="8"/>
  <c r="AV243" i="8"/>
  <c r="AO243" i="8"/>
  <c r="AX26" i="8" a="1"/>
  <c r="AX26" i="8" s="1"/>
  <c r="AY26" i="8" s="1"/>
  <c r="AN29" i="8"/>
  <c r="AO30" i="8"/>
  <c r="AM31" i="8"/>
  <c r="BC35" i="8"/>
  <c r="K35" i="8"/>
  <c r="AV46" i="8"/>
  <c r="AH55" i="8"/>
  <c r="BB55" i="8" s="1"/>
  <c r="AX55" i="8" a="1"/>
  <c r="AX55" i="8" s="1"/>
  <c r="AY55" i="8" s="1"/>
  <c r="F55" i="8"/>
  <c r="AO55" i="8"/>
  <c r="AM55" i="8"/>
  <c r="AN6" i="8"/>
  <c r="E9" i="8"/>
  <c r="AV9" i="8"/>
  <c r="H13" i="8"/>
  <c r="E14" i="8"/>
  <c r="AV14" i="8"/>
  <c r="G20" i="8"/>
  <c r="D21" i="8"/>
  <c r="BC29" i="8"/>
  <c r="AO31" i="8"/>
  <c r="AH42" i="8"/>
  <c r="BB42" i="8" s="1"/>
  <c r="AX42" i="8" a="1"/>
  <c r="AX42" i="8" s="1"/>
  <c r="AY42" i="8" s="1"/>
  <c r="AV42" i="8"/>
  <c r="I42" i="8"/>
  <c r="H42" i="8"/>
  <c r="F42" i="8"/>
  <c r="E42" i="8"/>
  <c r="F48" i="8"/>
  <c r="BC50" i="8"/>
  <c r="K50" i="8"/>
  <c r="C55" i="8"/>
  <c r="BC57" i="8"/>
  <c r="K57" i="8"/>
  <c r="BC78" i="8"/>
  <c r="K78" i="8"/>
  <c r="AX109" i="8" a="1"/>
  <c r="AX109" i="8" s="1"/>
  <c r="AY109" i="8" s="1"/>
  <c r="F120" i="8"/>
  <c r="C128" i="8"/>
  <c r="AM136" i="8"/>
  <c r="C148" i="8"/>
  <c r="C243" i="8"/>
  <c r="G19" i="8"/>
  <c r="G31" i="15"/>
  <c r="T24" i="15" a="1"/>
  <c r="T24" i="15" s="1"/>
  <c r="U24" i="15" s="1"/>
  <c r="R22" i="15"/>
  <c r="L16" i="15"/>
  <c r="M16" i="15" s="1"/>
  <c r="K15" i="15"/>
  <c r="J14" i="15"/>
  <c r="G11" i="15"/>
  <c r="AX527" i="8" a="1"/>
  <c r="AX527" i="8" s="1"/>
  <c r="AY527" i="8" s="1"/>
  <c r="G32" i="15"/>
  <c r="T25" i="15" a="1"/>
  <c r="T25" i="15" s="1"/>
  <c r="U25" i="15" s="1"/>
  <c r="R23" i="15"/>
  <c r="L17" i="15"/>
  <c r="M17" i="15" s="1"/>
  <c r="K16" i="15"/>
  <c r="J15" i="15"/>
  <c r="G12" i="15"/>
  <c r="AX528" i="8" a="1"/>
  <c r="AX528" i="8" s="1"/>
  <c r="AY528" i="8" s="1"/>
  <c r="G33" i="15"/>
  <c r="T26" i="15" a="1"/>
  <c r="T26" i="15" s="1"/>
  <c r="U26" i="15" s="1"/>
  <c r="R24" i="15"/>
  <c r="L18" i="15"/>
  <c r="M18" i="15" s="1"/>
  <c r="K17" i="15"/>
  <c r="J16" i="15"/>
  <c r="G13" i="15"/>
  <c r="T6" i="15" a="1"/>
  <c r="T6" i="15" s="1"/>
  <c r="U6" i="15" s="1"/>
  <c r="AX529" i="8" a="1"/>
  <c r="AX529" i="8" s="1"/>
  <c r="AY529" i="8" s="1"/>
  <c r="T27" i="15" a="1"/>
  <c r="T27" i="15" s="1"/>
  <c r="U27" i="15" s="1"/>
  <c r="R25" i="15"/>
  <c r="L19" i="15"/>
  <c r="M19" i="15" s="1"/>
  <c r="K18" i="15"/>
  <c r="J17" i="15"/>
  <c r="G14" i="15"/>
  <c r="T7" i="15" a="1"/>
  <c r="T7" i="15" s="1"/>
  <c r="U7" i="15" s="1"/>
  <c r="AX530" i="8" a="1"/>
  <c r="AX530" i="8" s="1"/>
  <c r="AY530" i="8" s="1"/>
  <c r="T28" i="15" a="1"/>
  <c r="T28" i="15" s="1"/>
  <c r="U28" i="15" s="1"/>
  <c r="R26" i="15"/>
  <c r="L20" i="15"/>
  <c r="M20" i="15" s="1"/>
  <c r="K19" i="15"/>
  <c r="J18" i="15"/>
  <c r="G15" i="15"/>
  <c r="T8" i="15" a="1"/>
  <c r="T8" i="15" s="1"/>
  <c r="U8" i="15" s="1"/>
  <c r="R6" i="15"/>
  <c r="AX531" i="8" a="1"/>
  <c r="AX531" i="8" s="1"/>
  <c r="AY531" i="8" s="1"/>
  <c r="T29" i="15" a="1"/>
  <c r="T29" i="15" s="1"/>
  <c r="U29" i="15" s="1"/>
  <c r="R27" i="15"/>
  <c r="L21" i="15"/>
  <c r="M21" i="15" s="1"/>
  <c r="K20" i="15"/>
  <c r="J19" i="15"/>
  <c r="T30" i="15" a="1"/>
  <c r="T30" i="15" s="1"/>
  <c r="U30" i="15" s="1"/>
  <c r="R28" i="15"/>
  <c r="L22" i="15"/>
  <c r="M22" i="15" s="1"/>
  <c r="K21" i="15"/>
  <c r="J20" i="15"/>
  <c r="G17" i="15"/>
  <c r="T10" i="15" a="1"/>
  <c r="T10" i="15" s="1"/>
  <c r="U10" i="15" s="1"/>
  <c r="R8" i="15"/>
  <c r="J32" i="15"/>
  <c r="R29" i="15"/>
  <c r="G27" i="15"/>
  <c r="L25" i="15"/>
  <c r="M25" i="15" s="1"/>
  <c r="J13" i="15"/>
  <c r="L8" i="15"/>
  <c r="M8" i="15" s="1"/>
  <c r="G7" i="15"/>
  <c r="AO527" i="8"/>
  <c r="AO522" i="8"/>
  <c r="L28" i="15"/>
  <c r="M28" i="15" s="1"/>
  <c r="K25" i="15"/>
  <c r="G22" i="15"/>
  <c r="R20" i="15"/>
  <c r="T15" i="15" a="1"/>
  <c r="T15" i="15" s="1"/>
  <c r="U15" i="15" s="1"/>
  <c r="R10" i="15"/>
  <c r="K8" i="15"/>
  <c r="AX519" i="8" a="1"/>
  <c r="AX519" i="8" s="1"/>
  <c r="AY519" i="8" s="1"/>
  <c r="L33" i="15"/>
  <c r="M33" i="15" s="1"/>
  <c r="K28" i="15"/>
  <c r="J25" i="15"/>
  <c r="T11" i="15" a="1"/>
  <c r="T11" i="15" s="1"/>
  <c r="U11" i="15" s="1"/>
  <c r="J8" i="15"/>
  <c r="AM527" i="8"/>
  <c r="AM522" i="8"/>
  <c r="K33" i="15"/>
  <c r="J28" i="15"/>
  <c r="T23" i="15" a="1"/>
  <c r="T23" i="15" s="1"/>
  <c r="U23" i="15" s="1"/>
  <c r="T18" i="15" a="1"/>
  <c r="T18" i="15" s="1"/>
  <c r="U18" i="15" s="1"/>
  <c r="R15" i="15"/>
  <c r="L14" i="15"/>
  <c r="M14" i="15" s="1"/>
  <c r="J33" i="15"/>
  <c r="R30" i="15"/>
  <c r="L23" i="15"/>
  <c r="M23" i="15" s="1"/>
  <c r="K14" i="15"/>
  <c r="R11" i="15"/>
  <c r="L9" i="15"/>
  <c r="M9" i="15" s="1"/>
  <c r="G25" i="15"/>
  <c r="K23" i="15"/>
  <c r="G20" i="15"/>
  <c r="R18" i="15"/>
  <c r="K9" i="15"/>
  <c r="G8" i="15"/>
  <c r="T33" i="15" a="1"/>
  <c r="T33" i="15" s="1"/>
  <c r="U33" i="15" s="1"/>
  <c r="K32" i="15"/>
  <c r="K27" i="15"/>
  <c r="J21" i="15"/>
  <c r="K12" i="15"/>
  <c r="J7" i="15"/>
  <c r="G29" i="15"/>
  <c r="J27" i="15"/>
  <c r="G23" i="15"/>
  <c r="G19" i="15"/>
  <c r="L15" i="15"/>
  <c r="M15" i="15" s="1"/>
  <c r="J12" i="15"/>
  <c r="R33" i="15"/>
  <c r="L10" i="15"/>
  <c r="M10" i="15" s="1"/>
  <c r="AX523" i="8" a="1"/>
  <c r="AX523" i="8" s="1"/>
  <c r="AY523" i="8" s="1"/>
  <c r="AV521" i="8"/>
  <c r="J10" i="15"/>
  <c r="J30" i="15"/>
  <c r="L24" i="15"/>
  <c r="M24" i="15" s="1"/>
  <c r="K24" i="15"/>
  <c r="K22" i="15"/>
  <c r="T20" i="15" a="1"/>
  <c r="T20" i="15" s="1"/>
  <c r="U20" i="15" s="1"/>
  <c r="G18" i="15"/>
  <c r="R14" i="15"/>
  <c r="AX509" i="8" a="1"/>
  <c r="AX509" i="8" s="1"/>
  <c r="AY509" i="8" s="1"/>
  <c r="T22" i="15" a="1"/>
  <c r="T22" i="15" s="1"/>
  <c r="U22" i="15" s="1"/>
  <c r="G9" i="15"/>
  <c r="AM526" i="8"/>
  <c r="AX517" i="8" a="1"/>
  <c r="AX517" i="8" s="1"/>
  <c r="AY517" i="8" s="1"/>
  <c r="AO507" i="8"/>
  <c r="AO503" i="8"/>
  <c r="R31" i="15"/>
  <c r="J22" i="15"/>
  <c r="T19" i="15" a="1"/>
  <c r="T19" i="15" s="1"/>
  <c r="U19" i="15" s="1"/>
  <c r="AX525" i="8" a="1"/>
  <c r="AX525" i="8" s="1"/>
  <c r="AY525" i="8" s="1"/>
  <c r="T12" i="15" a="1"/>
  <c r="T12" i="15" s="1"/>
  <c r="U12" i="15" s="1"/>
  <c r="L27" i="15"/>
  <c r="M27" i="15" s="1"/>
  <c r="R19" i="15"/>
  <c r="AX511" i="8" a="1"/>
  <c r="AX511" i="8" s="1"/>
  <c r="AY511" i="8" s="1"/>
  <c r="L29" i="15"/>
  <c r="M29" i="15" s="1"/>
  <c r="T14" i="15" a="1"/>
  <c r="T14" i="15" s="1"/>
  <c r="U14" i="15" s="1"/>
  <c r="R12" i="15"/>
  <c r="J31" i="15"/>
  <c r="J6" i="15"/>
  <c r="R32" i="15"/>
  <c r="G24" i="15"/>
  <c r="T21" i="15" a="1"/>
  <c r="T21" i="15" s="1"/>
  <c r="U21" i="15" s="1"/>
  <c r="R16" i="15"/>
  <c r="AN521" i="8"/>
  <c r="L26" i="15"/>
  <c r="M26" i="15" s="1"/>
  <c r="G10" i="15"/>
  <c r="AM521" i="8"/>
  <c r="L30" i="15"/>
  <c r="M30" i="15" s="1"/>
  <c r="R17" i="15"/>
  <c r="J9" i="15"/>
  <c r="T32" i="15" a="1"/>
  <c r="T32" i="15" s="1"/>
  <c r="U32" i="15" s="1"/>
  <c r="K30" i="15"/>
  <c r="AN506" i="8"/>
  <c r="AV502" i="8"/>
  <c r="AV499" i="8"/>
  <c r="AN498" i="8"/>
  <c r="G30" i="15"/>
  <c r="L6" i="15"/>
  <c r="M6" i="15" s="1"/>
  <c r="J23" i="15"/>
  <c r="T16" i="15" a="1"/>
  <c r="T16" i="15" s="1"/>
  <c r="U16" i="15" s="1"/>
  <c r="L32" i="15"/>
  <c r="M32" i="15" s="1"/>
  <c r="K26" i="15"/>
  <c r="T13" i="15" a="1"/>
  <c r="T13" i="15" s="1"/>
  <c r="U13" i="15" s="1"/>
  <c r="K11" i="15"/>
  <c r="G6" i="15"/>
  <c r="AO531" i="8"/>
  <c r="AO523" i="8"/>
  <c r="AX503" i="8" a="1"/>
  <c r="AX503" i="8" s="1"/>
  <c r="AY503" i="8" s="1"/>
  <c r="AN502" i="8"/>
  <c r="AO499" i="8"/>
  <c r="K29" i="15"/>
  <c r="G16" i="15"/>
  <c r="R13" i="15"/>
  <c r="AM531" i="8"/>
  <c r="AX522" i="8" a="1"/>
  <c r="AX522" i="8" s="1"/>
  <c r="AY522" i="8" s="1"/>
  <c r="AX513" i="8" a="1"/>
  <c r="AX513" i="8" s="1"/>
  <c r="AY513" i="8" s="1"/>
  <c r="AV503" i="8"/>
  <c r="J29" i="15"/>
  <c r="AO526" i="8"/>
  <c r="AM520" i="8"/>
  <c r="AX518" i="8" a="1"/>
  <c r="AX518" i="8" s="1"/>
  <c r="AY518" i="8" s="1"/>
  <c r="L31" i="15"/>
  <c r="M31" i="15" s="1"/>
  <c r="T9" i="15" a="1"/>
  <c r="T9" i="15" s="1"/>
  <c r="U9" i="15" s="1"/>
  <c r="AN509" i="8"/>
  <c r="AX502" i="8" a="1"/>
  <c r="AX502" i="8" s="1"/>
  <c r="AY502" i="8" s="1"/>
  <c r="AO491" i="8"/>
  <c r="AO484" i="8"/>
  <c r="K31" i="15"/>
  <c r="R9" i="15"/>
  <c r="AM509" i="8"/>
  <c r="AN491" i="8"/>
  <c r="AV485" i="8"/>
  <c r="AN484" i="8"/>
  <c r="AN531" i="8"/>
  <c r="AM491" i="8"/>
  <c r="AM484" i="8"/>
  <c r="K6" i="15"/>
  <c r="AO502" i="8"/>
  <c r="AX499" i="8" a="1"/>
  <c r="AX499" i="8" s="1"/>
  <c r="AY499" i="8" s="1"/>
  <c r="L12" i="15"/>
  <c r="M12" i="15" s="1"/>
  <c r="AN525" i="8"/>
  <c r="AO519" i="8"/>
  <c r="AM502" i="8"/>
  <c r="AN474" i="8"/>
  <c r="AM473" i="8"/>
  <c r="AM472" i="8"/>
  <c r="AM471" i="8"/>
  <c r="AM470" i="8"/>
  <c r="AM469" i="8"/>
  <c r="AM468" i="8"/>
  <c r="G26" i="15"/>
  <c r="AX516" i="8" a="1"/>
  <c r="AX516" i="8" s="1"/>
  <c r="AY516" i="8" s="1"/>
  <c r="AO513" i="8"/>
  <c r="T31" i="15" a="1"/>
  <c r="T31" i="15" s="1"/>
  <c r="U31" i="15" s="1"/>
  <c r="AN469" i="8"/>
  <c r="AV506" i="8"/>
  <c r="AV494" i="8"/>
  <c r="AX487" i="8" a="1"/>
  <c r="AX487" i="8" s="1"/>
  <c r="AY487" i="8" s="1"/>
  <c r="L11" i="15"/>
  <c r="M11" i="15" s="1"/>
  <c r="R7" i="15"/>
  <c r="AX498" i="8" a="1"/>
  <c r="AX498" i="8" s="1"/>
  <c r="AY498" i="8" s="1"/>
  <c r="AO485" i="8"/>
  <c r="L7" i="15"/>
  <c r="M7" i="15" s="1"/>
  <c r="K10" i="15"/>
  <c r="K7" i="15"/>
  <c r="AN487" i="8"/>
  <c r="AV484" i="8"/>
  <c r="AO476" i="8"/>
  <c r="R21" i="15"/>
  <c r="AX526" i="8" a="1"/>
  <c r="AX526" i="8" s="1"/>
  <c r="AY526" i="8" s="1"/>
  <c r="AO498" i="8"/>
  <c r="AM487" i="8"/>
  <c r="AX474" i="8" a="1"/>
  <c r="AX474" i="8" s="1"/>
  <c r="AY474" i="8" s="1"/>
  <c r="AN472" i="8"/>
  <c r="AV467" i="8"/>
  <c r="AO466" i="8"/>
  <c r="AO496" i="8"/>
  <c r="AV476" i="8"/>
  <c r="J24" i="15"/>
  <c r="AN496" i="8"/>
  <c r="AO492" i="8"/>
  <c r="AX491" i="8" a="1"/>
  <c r="AX491" i="8" s="1"/>
  <c r="AY491" i="8" s="1"/>
  <c r="AO474" i="8"/>
  <c r="AX468" i="8" a="1"/>
  <c r="AX468" i="8" s="1"/>
  <c r="AY468" i="8" s="1"/>
  <c r="AN503" i="8"/>
  <c r="AM496" i="8"/>
  <c r="AM492" i="8"/>
  <c r="AM474" i="8"/>
  <c r="AO467" i="8"/>
  <c r="G28" i="15"/>
  <c r="AO518" i="8"/>
  <c r="AM503" i="8"/>
  <c r="AV491" i="8"/>
  <c r="AX472" i="8" a="1"/>
  <c r="AX472" i="8" s="1"/>
  <c r="AY472" i="8" s="1"/>
  <c r="AO471" i="8"/>
  <c r="AV468" i="8"/>
  <c r="AN467" i="8"/>
  <c r="AX507" i="8" a="1"/>
  <c r="AX507" i="8" s="1"/>
  <c r="AY507" i="8" s="1"/>
  <c r="AV500" i="8"/>
  <c r="AO479" i="8"/>
  <c r="AN471" i="8"/>
  <c r="AX521" i="8" a="1"/>
  <c r="AX521" i="8" s="1"/>
  <c r="AY521" i="8" s="1"/>
  <c r="AV507" i="8"/>
  <c r="AX501" i="8" a="1"/>
  <c r="AX501" i="8" s="1"/>
  <c r="AY501" i="8" s="1"/>
  <c r="AN499" i="8"/>
  <c r="AV498" i="8"/>
  <c r="AN497" i="8"/>
  <c r="AX494" i="8" a="1"/>
  <c r="AX494" i="8" s="1"/>
  <c r="AY494" i="8" s="1"/>
  <c r="J11" i="15"/>
  <c r="AN507" i="8"/>
  <c r="AO489" i="8"/>
  <c r="AV509" i="8"/>
  <c r="AO508" i="8"/>
  <c r="AX488" i="8" a="1"/>
  <c r="AX488" i="8" s="1"/>
  <c r="AY488" i="8" s="1"/>
  <c r="AV469" i="8"/>
  <c r="AN468" i="8"/>
  <c r="AV522" i="8"/>
  <c r="AV511" i="8"/>
  <c r="AV510" i="8"/>
  <c r="AO509" i="8"/>
  <c r="J26" i="15"/>
  <c r="K13" i="15"/>
  <c r="AX466" i="8" a="1"/>
  <c r="AX466" i="8" s="1"/>
  <c r="AY466" i="8" s="1"/>
  <c r="AN461" i="8"/>
  <c r="AM444" i="8"/>
  <c r="AV512" i="8"/>
  <c r="AN489" i="8"/>
  <c r="AO473" i="8"/>
  <c r="AX441" i="8" a="1"/>
  <c r="AX441" i="8" s="1"/>
  <c r="AY441" i="8" s="1"/>
  <c r="G21" i="15"/>
  <c r="AO477" i="8"/>
  <c r="AN473" i="8"/>
  <c r="AV466" i="8"/>
  <c r="AO451" i="8"/>
  <c r="AV517" i="8"/>
  <c r="AV482" i="8"/>
  <c r="AN477" i="8"/>
  <c r="AX470" i="8" a="1"/>
  <c r="AX470" i="8" s="1"/>
  <c r="AY470" i="8" s="1"/>
  <c r="AN451" i="8"/>
  <c r="AV441" i="8"/>
  <c r="AN482" i="8"/>
  <c r="AM477" i="8"/>
  <c r="AV472" i="8"/>
  <c r="AO468" i="8"/>
  <c r="AM451" i="8"/>
  <c r="AX510" i="8" a="1"/>
  <c r="AX510" i="8" s="1"/>
  <c r="AY510" i="8" s="1"/>
  <c r="AV490" i="8"/>
  <c r="AO486" i="8"/>
  <c r="AX485" i="8" a="1"/>
  <c r="AX485" i="8" s="1"/>
  <c r="AY485" i="8" s="1"/>
  <c r="AN481" i="8"/>
  <c r="AO470" i="8"/>
  <c r="AN441" i="8"/>
  <c r="AX512" i="8" a="1"/>
  <c r="AX512" i="8" s="1"/>
  <c r="AY512" i="8" s="1"/>
  <c r="AN466" i="8"/>
  <c r="AX461" i="8" a="1"/>
  <c r="AX461" i="8" s="1"/>
  <c r="AY461" i="8" s="1"/>
  <c r="AX458" i="8" a="1"/>
  <c r="AX458" i="8" s="1"/>
  <c r="AY458" i="8" s="1"/>
  <c r="AV443" i="8"/>
  <c r="AX438" i="8" a="1"/>
  <c r="AX438" i="8" s="1"/>
  <c r="AY438" i="8" s="1"/>
  <c r="AM427" i="8"/>
  <c r="AX473" i="8" a="1"/>
  <c r="AX473" i="8" s="1"/>
  <c r="AY473" i="8" s="1"/>
  <c r="AX465" i="8" a="1"/>
  <c r="AX465" i="8" s="1"/>
  <c r="AY465" i="8" s="1"/>
  <c r="AO436" i="8"/>
  <c r="AV465" i="8"/>
  <c r="AV461" i="8"/>
  <c r="AV458" i="8"/>
  <c r="AV438" i="8"/>
  <c r="AN436" i="8"/>
  <c r="AM483" i="8"/>
  <c r="AV473" i="8"/>
  <c r="AO469" i="8"/>
  <c r="AX450" i="8" a="1"/>
  <c r="AX450" i="8" s="1"/>
  <c r="AY450" i="8" s="1"/>
  <c r="AM436" i="8"/>
  <c r="AN485" i="8"/>
  <c r="AX484" i="8" a="1"/>
  <c r="AX484" i="8" s="1"/>
  <c r="AY484" i="8" s="1"/>
  <c r="AO455" i="8"/>
  <c r="AO443" i="8"/>
  <c r="AO472" i="8"/>
  <c r="AN455" i="8"/>
  <c r="AV450" i="8"/>
  <c r="AX433" i="8" a="1"/>
  <c r="AX433" i="8" s="1"/>
  <c r="AY433" i="8" s="1"/>
  <c r="T17" i="15" a="1"/>
  <c r="T17" i="15" s="1"/>
  <c r="U17" i="15" s="1"/>
  <c r="AV479" i="8"/>
  <c r="AN465" i="8"/>
  <c r="AM507" i="8"/>
  <c r="AV451" i="8"/>
  <c r="AX427" i="8" a="1"/>
  <c r="AX427" i="8" s="1"/>
  <c r="AY427" i="8" s="1"/>
  <c r="L13" i="15"/>
  <c r="M13" i="15" s="1"/>
  <c r="AM481" i="8"/>
  <c r="AX480" i="8" a="1"/>
  <c r="AX480" i="8" s="1"/>
  <c r="AY480" i="8" s="1"/>
  <c r="AV422" i="8"/>
  <c r="AN511" i="8"/>
  <c r="AM482" i="8"/>
  <c r="AN470" i="8"/>
  <c r="AO458" i="8"/>
  <c r="AX420" i="8" a="1"/>
  <c r="AX420" i="8" s="1"/>
  <c r="AY420" i="8" s="1"/>
  <c r="AO408" i="8"/>
  <c r="AV406" i="8"/>
  <c r="AN526" i="8"/>
  <c r="AN458" i="8"/>
  <c r="AN408" i="8"/>
  <c r="AX444" i="8" a="1"/>
  <c r="AX444" i="8" s="1"/>
  <c r="AY444" i="8" s="1"/>
  <c r="AO438" i="8"/>
  <c r="AV433" i="8"/>
  <c r="AO429" i="8"/>
  <c r="AO427" i="8"/>
  <c r="AV449" i="8"/>
  <c r="AV432" i="8"/>
  <c r="AX419" i="8" a="1"/>
  <c r="AX419" i="8" s="1"/>
  <c r="AY419" i="8" s="1"/>
  <c r="AV414" i="8"/>
  <c r="AV487" i="8"/>
  <c r="AO444" i="8"/>
  <c r="AO442" i="8"/>
  <c r="AO501" i="8"/>
  <c r="AN442" i="8"/>
  <c r="AN432" i="8"/>
  <c r="AN421" i="8"/>
  <c r="AX375" i="8" a="1"/>
  <c r="AX375" i="8" s="1"/>
  <c r="AY375" i="8" s="1"/>
  <c r="AV488" i="8"/>
  <c r="AV474" i="8"/>
  <c r="AN457" i="8"/>
  <c r="AX443" i="8" a="1"/>
  <c r="AX443" i="8" s="1"/>
  <c r="AY443" i="8" s="1"/>
  <c r="AM442" i="8"/>
  <c r="AM432" i="8"/>
  <c r="AX414" i="8" a="1"/>
  <c r="AX414" i="8" s="1"/>
  <c r="AY414" i="8" s="1"/>
  <c r="AX394" i="8" a="1"/>
  <c r="AX394" i="8" s="1"/>
  <c r="AY394" i="8" s="1"/>
  <c r="AN366" i="8"/>
  <c r="AX436" i="8" a="1"/>
  <c r="AX436" i="8" s="1"/>
  <c r="AY436" i="8" s="1"/>
  <c r="AO411" i="8"/>
  <c r="AX385" i="8" a="1"/>
  <c r="AX385" i="8" s="1"/>
  <c r="AY385" i="8" s="1"/>
  <c r="AV375" i="8"/>
  <c r="AN352" i="8"/>
  <c r="AN341" i="8"/>
  <c r="AV444" i="8"/>
  <c r="AN437" i="8"/>
  <c r="AV436" i="8"/>
  <c r="AV419" i="8"/>
  <c r="AX398" i="8" a="1"/>
  <c r="AX398" i="8" s="1"/>
  <c r="AY398" i="8" s="1"/>
  <c r="AV394" i="8"/>
  <c r="AN378" i="8"/>
  <c r="AO510" i="8"/>
  <c r="AO506" i="8"/>
  <c r="AN479" i="8"/>
  <c r="AX471" i="8" a="1"/>
  <c r="AX471" i="8" s="1"/>
  <c r="AY471" i="8" s="1"/>
  <c r="AX469" i="8" a="1"/>
  <c r="AX469" i="8" s="1"/>
  <c r="AY469" i="8" s="1"/>
  <c r="AM437" i="8"/>
  <c r="AX403" i="8" a="1"/>
  <c r="AX403" i="8" s="1"/>
  <c r="AY403" i="8" s="1"/>
  <c r="AV385" i="8"/>
  <c r="AO452" i="8"/>
  <c r="AN419" i="8"/>
  <c r="AO406" i="8"/>
  <c r="AV402" i="8"/>
  <c r="AN398" i="8"/>
  <c r="AX388" i="8" a="1"/>
  <c r="AX388" i="8" s="1"/>
  <c r="AY388" i="8" s="1"/>
  <c r="AN486" i="8"/>
  <c r="AO464" i="8"/>
  <c r="AO461" i="8"/>
  <c r="AN452" i="8"/>
  <c r="AX423" i="8" a="1"/>
  <c r="AX423" i="8" s="1"/>
  <c r="AY423" i="8" s="1"/>
  <c r="AM419" i="8"/>
  <c r="AN406" i="8"/>
  <c r="AM398" i="8"/>
  <c r="AN394" i="8"/>
  <c r="AO385" i="8"/>
  <c r="AN460" i="8"/>
  <c r="AX449" i="8" a="1"/>
  <c r="AX449" i="8" s="1"/>
  <c r="AY449" i="8" s="1"/>
  <c r="AX448" i="8" a="1"/>
  <c r="AX448" i="8" s="1"/>
  <c r="AY448" i="8" s="1"/>
  <c r="AX432" i="8" a="1"/>
  <c r="AX432" i="8" s="1"/>
  <c r="AY432" i="8" s="1"/>
  <c r="AO396" i="8"/>
  <c r="AO381" i="8"/>
  <c r="AX366" i="8" a="1"/>
  <c r="AX366" i="8" s="1"/>
  <c r="AY366" i="8" s="1"/>
  <c r="AX358" i="8" a="1"/>
  <c r="AX358" i="8" s="1"/>
  <c r="AY358" i="8" s="1"/>
  <c r="AX347" i="8" a="1"/>
  <c r="AX347" i="8" s="1"/>
  <c r="AY347" i="8" s="1"/>
  <c r="AV462" i="8"/>
  <c r="AM448" i="8"/>
  <c r="AN438" i="8"/>
  <c r="AX437" i="8" a="1"/>
  <c r="AX437" i="8" s="1"/>
  <c r="AY437" i="8" s="1"/>
  <c r="AO421" i="8"/>
  <c r="AV403" i="8"/>
  <c r="AM396" i="8"/>
  <c r="AV384" i="8"/>
  <c r="AN381" i="8"/>
  <c r="AX377" i="8" a="1"/>
  <c r="AX377" i="8" s="1"/>
  <c r="AY377" i="8" s="1"/>
  <c r="AV349" i="8"/>
  <c r="AO449" i="8"/>
  <c r="AM438" i="8"/>
  <c r="AX405" i="8" a="1"/>
  <c r="AX405" i="8" s="1"/>
  <c r="AY405" i="8" s="1"/>
  <c r="AM381" i="8"/>
  <c r="AX374" i="8" a="1"/>
  <c r="AX374" i="8" s="1"/>
  <c r="AY374" i="8" s="1"/>
  <c r="AV366" i="8"/>
  <c r="AX342" i="8" a="1"/>
  <c r="AX342" i="8" s="1"/>
  <c r="AY342" i="8" s="1"/>
  <c r="AV340" i="8"/>
  <c r="AV328" i="8"/>
  <c r="AO313" i="8"/>
  <c r="AN303" i="8"/>
  <c r="AO450" i="8"/>
  <c r="AN449" i="8"/>
  <c r="AN416" i="8"/>
  <c r="AO403" i="8"/>
  <c r="AV377" i="8"/>
  <c r="AX353" i="8" a="1"/>
  <c r="AX353" i="8" s="1"/>
  <c r="AY353" i="8" s="1"/>
  <c r="AN464" i="8"/>
  <c r="AM449" i="8"/>
  <c r="AO432" i="8"/>
  <c r="AN427" i="8"/>
  <c r="AN402" i="8"/>
  <c r="AV374" i="8"/>
  <c r="AX362" i="8" a="1"/>
  <c r="AX362" i="8" s="1"/>
  <c r="AY362" i="8" s="1"/>
  <c r="AV342" i="8"/>
  <c r="AM330" i="8"/>
  <c r="AO465" i="8"/>
  <c r="AN444" i="8"/>
  <c r="AN405" i="8"/>
  <c r="AO400" i="8"/>
  <c r="AM394" i="8"/>
  <c r="AV389" i="8"/>
  <c r="AX371" i="8" a="1"/>
  <c r="AX371" i="8" s="1"/>
  <c r="AY371" i="8" s="1"/>
  <c r="AM363" i="8"/>
  <c r="AN358" i="8"/>
  <c r="AV353" i="8"/>
  <c r="AM322" i="8"/>
  <c r="AM316" i="8"/>
  <c r="AV471" i="8"/>
  <c r="AN401" i="8"/>
  <c r="AO388" i="8"/>
  <c r="AN377" i="8"/>
  <c r="AN371" i="8"/>
  <c r="AX467" i="8" a="1"/>
  <c r="AX467" i="8" s="1"/>
  <c r="AY467" i="8" s="1"/>
  <c r="AM401" i="8"/>
  <c r="AN388" i="8"/>
  <c r="AO383" i="8"/>
  <c r="AM377" i="8"/>
  <c r="AM371" i="8"/>
  <c r="AM353" i="8"/>
  <c r="AM340" i="8"/>
  <c r="AN429" i="8"/>
  <c r="AM429" i="8"/>
  <c r="AX367" i="8" a="1"/>
  <c r="AX367" i="8" s="1"/>
  <c r="AY367" i="8" s="1"/>
  <c r="AX340" i="8" a="1"/>
  <c r="AX340" i="8" s="1"/>
  <c r="AY340" i="8" s="1"/>
  <c r="AV330" i="8"/>
  <c r="AO419" i="8"/>
  <c r="AO362" i="8"/>
  <c r="AO353" i="8"/>
  <c r="AX345" i="8" a="1"/>
  <c r="AX345" i="8" s="1"/>
  <c r="AY345" i="8" s="1"/>
  <c r="AM334" i="8"/>
  <c r="AV316" i="8"/>
  <c r="AN418" i="8"/>
  <c r="AV369" i="8"/>
  <c r="AO367" i="8"/>
  <c r="AO365" i="8"/>
  <c r="AN362" i="8"/>
  <c r="AN353" i="8"/>
  <c r="AO340" i="8"/>
  <c r="AN330" i="8"/>
  <c r="AX459" i="8" a="1"/>
  <c r="AX459" i="8" s="1"/>
  <c r="AY459" i="8" s="1"/>
  <c r="AX451" i="8" a="1"/>
  <c r="AX451" i="8" s="1"/>
  <c r="AY451" i="8" s="1"/>
  <c r="AM418" i="8"/>
  <c r="AO401" i="8"/>
  <c r="AM367" i="8"/>
  <c r="AO318" i="8"/>
  <c r="AX303" i="8" a="1"/>
  <c r="AX303" i="8" s="1"/>
  <c r="AY303" i="8" s="1"/>
  <c r="AX440" i="8" a="1"/>
  <c r="AX440" i="8" s="1"/>
  <c r="AY440" i="8" s="1"/>
  <c r="AV423" i="8"/>
  <c r="AO414" i="8"/>
  <c r="AV412" i="8"/>
  <c r="AV352" i="8"/>
  <c r="AO441" i="8"/>
  <c r="AN414" i="8"/>
  <c r="AX402" i="8" a="1"/>
  <c r="AX402" i="8" s="1"/>
  <c r="AY402" i="8" s="1"/>
  <c r="AM360" i="8"/>
  <c r="AN344" i="8"/>
  <c r="AM441" i="8"/>
  <c r="AO423" i="8"/>
  <c r="AO398" i="8"/>
  <c r="AO384" i="8"/>
  <c r="AM383" i="8"/>
  <c r="AM352" i="8"/>
  <c r="AM342" i="8"/>
  <c r="AX341" i="8" a="1"/>
  <c r="AX341" i="8" s="1"/>
  <c r="AY341" i="8" s="1"/>
  <c r="AO316" i="8"/>
  <c r="AV313" i="8"/>
  <c r="AV308" i="8"/>
  <c r="AV303" i="8"/>
  <c r="AN298" i="8"/>
  <c r="AN285" i="8"/>
  <c r="AO273" i="8"/>
  <c r="AM272" i="8"/>
  <c r="AM423" i="8"/>
  <c r="AV410" i="8"/>
  <c r="AX396" i="8" a="1"/>
  <c r="AX396" i="8" s="1"/>
  <c r="AY396" i="8" s="1"/>
  <c r="AV318" i="8"/>
  <c r="AM298" i="8"/>
  <c r="AM285" i="8"/>
  <c r="AV442" i="8"/>
  <c r="AM385" i="8"/>
  <c r="AV341" i="8"/>
  <c r="AV322" i="8"/>
  <c r="AX397" i="8" a="1"/>
  <c r="AX397" i="8" s="1"/>
  <c r="AY397" i="8" s="1"/>
  <c r="AV396" i="8"/>
  <c r="AN343" i="8"/>
  <c r="AX334" i="8" a="1"/>
  <c r="AX334" i="8" s="1"/>
  <c r="AY334" i="8" s="1"/>
  <c r="AO293" i="8"/>
  <c r="AV424" i="8"/>
  <c r="AM344" i="8"/>
  <c r="AM343" i="8"/>
  <c r="AN338" i="8"/>
  <c r="AX330" i="8" a="1"/>
  <c r="AX330" i="8" s="1"/>
  <c r="AY330" i="8" s="1"/>
  <c r="AV329" i="8"/>
  <c r="AM318" i="8"/>
  <c r="AN313" i="8"/>
  <c r="AN293" i="8"/>
  <c r="AV397" i="8"/>
  <c r="AO359" i="8"/>
  <c r="AX357" i="8" a="1"/>
  <c r="AX357" i="8" s="1"/>
  <c r="AY357" i="8" s="1"/>
  <c r="AM338" i="8"/>
  <c r="AV334" i="8"/>
  <c r="AX325" i="8" a="1"/>
  <c r="AX325" i="8" s="1"/>
  <c r="AY325" i="8" s="1"/>
  <c r="AO308" i="8"/>
  <c r="AO303" i="8"/>
  <c r="AM293" i="8"/>
  <c r="AX481" i="8" a="1"/>
  <c r="AX481" i="8" s="1"/>
  <c r="AY481" i="8" s="1"/>
  <c r="AX406" i="8" a="1"/>
  <c r="AX406" i="8" s="1"/>
  <c r="AY406" i="8" s="1"/>
  <c r="AV356" i="8"/>
  <c r="AO355" i="8"/>
  <c r="AO329" i="8"/>
  <c r="AX328" i="8" a="1"/>
  <c r="AX328" i="8" s="1"/>
  <c r="AY328" i="8" s="1"/>
  <c r="AX307" i="8" a="1"/>
  <c r="AX307" i="8" s="1"/>
  <c r="AY307" i="8" s="1"/>
  <c r="AM406" i="8"/>
  <c r="AN400" i="8"/>
  <c r="AV365" i="8"/>
  <c r="AM355" i="8"/>
  <c r="AN329" i="8"/>
  <c r="AV383" i="8"/>
  <c r="AV357" i="8"/>
  <c r="AX346" i="8" a="1"/>
  <c r="AX346" i="8" s="1"/>
  <c r="AY346" i="8" s="1"/>
  <c r="AM303" i="8"/>
  <c r="AV273" i="8"/>
  <c r="AO263" i="8"/>
  <c r="AN258" i="8"/>
  <c r="AV255" i="8"/>
  <c r="AO453" i="8"/>
  <c r="AX280" i="8" a="1"/>
  <c r="AX280" i="8" s="1"/>
  <c r="AY280" i="8" s="1"/>
  <c r="AX271" i="8" a="1"/>
  <c r="AX271" i="8" s="1"/>
  <c r="AY271" i="8" s="1"/>
  <c r="AM258" i="8"/>
  <c r="AM453" i="8"/>
  <c r="AN383" i="8"/>
  <c r="AX361" i="8" a="1"/>
  <c r="AX361" i="8" s="1"/>
  <c r="AY361" i="8" s="1"/>
  <c r="AO357" i="8"/>
  <c r="AO283" i="8"/>
  <c r="AX275" i="8" a="1"/>
  <c r="AX275" i="8" s="1"/>
  <c r="AY275" i="8" s="1"/>
  <c r="AX266" i="8" a="1"/>
  <c r="AX266" i="8" s="1"/>
  <c r="AY266" i="8" s="1"/>
  <c r="AO252" i="8"/>
  <c r="AO392" i="8"/>
  <c r="AX384" i="8" a="1"/>
  <c r="AX384" i="8" s="1"/>
  <c r="AY384" i="8" s="1"/>
  <c r="AO361" i="8"/>
  <c r="AN357" i="8"/>
  <c r="AO328" i="8"/>
  <c r="AX327" i="8" a="1"/>
  <c r="AX327" i="8" s="1"/>
  <c r="AY327" i="8" s="1"/>
  <c r="AV324" i="8"/>
  <c r="AV302" i="8"/>
  <c r="AV271" i="8"/>
  <c r="AO255" i="8"/>
  <c r="AN252" i="8"/>
  <c r="AO249" i="8"/>
  <c r="AM388" i="8"/>
  <c r="AX376" i="8" a="1"/>
  <c r="AX376" i="8" s="1"/>
  <c r="AY376" i="8" s="1"/>
  <c r="AN361" i="8"/>
  <c r="AM328" i="8"/>
  <c r="AV326" i="8"/>
  <c r="AV320" i="8"/>
  <c r="AO289" i="8"/>
  <c r="AX285" i="8" a="1"/>
  <c r="AX285" i="8" s="1"/>
  <c r="AY285" i="8" s="1"/>
  <c r="AN275" i="8"/>
  <c r="AO266" i="8"/>
  <c r="AX262" i="8" a="1"/>
  <c r="AX262" i="8" s="1"/>
  <c r="AY262" i="8" s="1"/>
  <c r="AM252" i="8"/>
  <c r="AM362" i="8"/>
  <c r="AM361" i="8"/>
  <c r="AO324" i="8"/>
  <c r="AV296" i="8"/>
  <c r="AN289" i="8"/>
  <c r="AM275" i="8"/>
  <c r="AV470" i="8"/>
  <c r="AX409" i="8" a="1"/>
  <c r="AX409" i="8" s="1"/>
  <c r="AY409" i="8" s="1"/>
  <c r="AO376" i="8"/>
  <c r="AM365" i="8"/>
  <c r="AM349" i="8"/>
  <c r="AO327" i="8"/>
  <c r="AN324" i="8"/>
  <c r="AX318" i="8" a="1"/>
  <c r="AX318" i="8" s="1"/>
  <c r="AY318" i="8" s="1"/>
  <c r="AO302" i="8"/>
  <c r="AM289" i="8"/>
  <c r="AV285" i="8"/>
  <c r="AX279" i="8" a="1"/>
  <c r="AX279" i="8" s="1"/>
  <c r="AY279" i="8" s="1"/>
  <c r="AM266" i="8"/>
  <c r="AV262" i="8"/>
  <c r="AO409" i="8"/>
  <c r="AO399" i="8"/>
  <c r="AM376" i="8"/>
  <c r="AM327" i="8"/>
  <c r="AM302" i="8"/>
  <c r="AX272" i="8" a="1"/>
  <c r="AX272" i="8" s="1"/>
  <c r="AY272" i="8" s="1"/>
  <c r="AO271" i="8"/>
  <c r="AN409" i="8"/>
  <c r="AO371" i="8"/>
  <c r="AO326" i="8"/>
  <c r="AX306" i="8" a="1"/>
  <c r="AX306" i="8" s="1"/>
  <c r="AY306" i="8" s="1"/>
  <c r="AV295" i="8"/>
  <c r="AX283" i="8" a="1"/>
  <c r="AX283" i="8" s="1"/>
  <c r="AY283" i="8" s="1"/>
  <c r="AN279" i="8"/>
  <c r="AN271" i="8"/>
  <c r="AM409" i="8"/>
  <c r="AO348" i="8"/>
  <c r="AX319" i="8" a="1"/>
  <c r="AX319" i="8" s="1"/>
  <c r="AY319" i="8" s="1"/>
  <c r="AV289" i="8"/>
  <c r="AV278" i="8"/>
  <c r="AM271" i="8"/>
  <c r="AX270" i="8" a="1"/>
  <c r="AX270" i="8" s="1"/>
  <c r="AY270" i="8" s="1"/>
  <c r="AO208" i="8"/>
  <c r="AX206" i="8" a="1"/>
  <c r="AX206" i="8" s="1"/>
  <c r="AY206" i="8" s="1"/>
  <c r="AX356" i="8" a="1"/>
  <c r="AX356" i="8" s="1"/>
  <c r="AY356" i="8" s="1"/>
  <c r="AN348" i="8"/>
  <c r="AN307" i="8"/>
  <c r="AV306" i="8"/>
  <c r="AM299" i="8"/>
  <c r="AX298" i="8" a="1"/>
  <c r="AX298" i="8" s="1"/>
  <c r="AY298" i="8" s="1"/>
  <c r="AO284" i="8"/>
  <c r="AX258" i="8" a="1"/>
  <c r="AX258" i="8" s="1"/>
  <c r="AY258" i="8" s="1"/>
  <c r="AO245" i="8"/>
  <c r="AX241" i="8" a="1"/>
  <c r="AX241" i="8" s="1"/>
  <c r="AY241" i="8" s="1"/>
  <c r="AN359" i="8"/>
  <c r="AV319" i="8"/>
  <c r="AM307" i="8"/>
  <c r="AM295" i="8"/>
  <c r="AN284" i="8"/>
  <c r="AV270" i="8"/>
  <c r="AM380" i="8"/>
  <c r="AO375" i="8"/>
  <c r="AN327" i="8"/>
  <c r="AN320" i="8"/>
  <c r="AX293" i="8" a="1"/>
  <c r="AX293" i="8" s="1"/>
  <c r="AY293" i="8" s="1"/>
  <c r="AM284" i="8"/>
  <c r="AO278" i="8"/>
  <c r="AM276" i="8"/>
  <c r="AV241" i="8"/>
  <c r="AX230" i="8" a="1"/>
  <c r="AX230" i="8" s="1"/>
  <c r="AY230" i="8" s="1"/>
  <c r="AO460" i="8"/>
  <c r="AV454" i="8"/>
  <c r="AX413" i="8" a="1"/>
  <c r="AX413" i="8" s="1"/>
  <c r="AY413" i="8" s="1"/>
  <c r="AO311" i="8"/>
  <c r="AN278" i="8"/>
  <c r="AM277" i="8"/>
  <c r="AN264" i="8"/>
  <c r="AN376" i="8"/>
  <c r="AX313" i="8" a="1"/>
  <c r="AX313" i="8" s="1"/>
  <c r="AY313" i="8" s="1"/>
  <c r="AN311" i="8"/>
  <c r="AV293" i="8"/>
  <c r="AM278" i="8"/>
  <c r="AX268" i="8" a="1"/>
  <c r="AX268" i="8" s="1"/>
  <c r="AY268" i="8" s="1"/>
  <c r="AX263" i="8" a="1"/>
  <c r="AX263" i="8" s="1"/>
  <c r="AY263" i="8" s="1"/>
  <c r="AX255" i="8" a="1"/>
  <c r="AX255" i="8" s="1"/>
  <c r="AY255" i="8" s="1"/>
  <c r="AM413" i="8"/>
  <c r="AX410" i="8" a="1"/>
  <c r="AX410" i="8" s="1"/>
  <c r="AY410" i="8" s="1"/>
  <c r="AV381" i="8"/>
  <c r="AM301" i="8"/>
  <c r="AO270" i="8"/>
  <c r="AV263" i="8"/>
  <c r="AN350" i="8"/>
  <c r="AX331" i="8" a="1"/>
  <c r="AX331" i="8" s="1"/>
  <c r="AY331" i="8" s="1"/>
  <c r="AO314" i="8"/>
  <c r="AN302" i="8"/>
  <c r="AO297" i="8"/>
  <c r="AN270" i="8"/>
  <c r="AN269" i="8"/>
  <c r="AX254" i="8" a="1"/>
  <c r="AX254" i="8" s="1"/>
  <c r="AY254" i="8" s="1"/>
  <c r="AN251" i="8"/>
  <c r="AN250" i="8"/>
  <c r="AN342" i="8"/>
  <c r="AO323" i="8"/>
  <c r="AO321" i="8"/>
  <c r="AX311" i="8" a="1"/>
  <c r="AX311" i="8" s="1"/>
  <c r="AY311" i="8" s="1"/>
  <c r="AO268" i="8"/>
  <c r="AX212" i="8" a="1"/>
  <c r="AX212" i="8" s="1"/>
  <c r="AY212" i="8" s="1"/>
  <c r="AV201" i="8"/>
  <c r="AO195" i="8"/>
  <c r="AM168" i="8"/>
  <c r="AO162" i="8"/>
  <c r="AX160" i="8" a="1"/>
  <c r="AX160" i="8" s="1"/>
  <c r="AY160" i="8" s="1"/>
  <c r="AO155" i="8"/>
  <c r="AO377" i="8"/>
  <c r="AV370" i="8"/>
  <c r="AN323" i="8"/>
  <c r="AM314" i="8"/>
  <c r="AM311" i="8"/>
  <c r="AV307" i="8"/>
  <c r="AN268" i="8"/>
  <c r="AO258" i="8"/>
  <c r="AX221" i="8" a="1"/>
  <c r="AX221" i="8" s="1"/>
  <c r="AY221" i="8" s="1"/>
  <c r="AO185" i="8"/>
  <c r="AO373" i="8"/>
  <c r="AO370" i="8"/>
  <c r="AN367" i="8"/>
  <c r="AM324" i="8"/>
  <c r="AM265" i="8"/>
  <c r="AV257" i="8"/>
  <c r="AO233" i="8"/>
  <c r="AX191" i="8" a="1"/>
  <c r="AX191" i="8" s="1"/>
  <c r="AY191" i="8" s="1"/>
  <c r="AX182" i="8" a="1"/>
  <c r="AX182" i="8" s="1"/>
  <c r="AY182" i="8" s="1"/>
  <c r="AO171" i="8"/>
  <c r="AV160" i="8"/>
  <c r="AX308" i="8" a="1"/>
  <c r="AX308" i="8" s="1"/>
  <c r="AY308" i="8" s="1"/>
  <c r="AX273" i="8" a="1"/>
  <c r="AX273" i="8" s="1"/>
  <c r="AY273" i="8" s="1"/>
  <c r="AV272" i="8"/>
  <c r="AM267" i="8"/>
  <c r="AM250" i="8"/>
  <c r="AX229" i="8" a="1"/>
  <c r="AX229" i="8" s="1"/>
  <c r="AY229" i="8" s="1"/>
  <c r="AV221" i="8"/>
  <c r="AO201" i="8"/>
  <c r="AO187" i="8"/>
  <c r="AM171" i="8"/>
  <c r="AX422" i="8" a="1"/>
  <c r="AX422" i="8" s="1"/>
  <c r="AY422" i="8" s="1"/>
  <c r="AN420" i="8"/>
  <c r="AX378" i="8" a="1"/>
  <c r="AX378" i="8" s="1"/>
  <c r="AY378" i="8" s="1"/>
  <c r="AV279" i="8"/>
  <c r="AX208" i="8" a="1"/>
  <c r="AX208" i="8" s="1"/>
  <c r="AY208" i="8" s="1"/>
  <c r="AM201" i="8"/>
  <c r="AX197" i="8" a="1"/>
  <c r="AX197" i="8" s="1"/>
  <c r="AY197" i="8" s="1"/>
  <c r="AV191" i="8"/>
  <c r="AM187" i="8"/>
  <c r="AV182" i="8"/>
  <c r="AV176" i="8"/>
  <c r="AN145" i="8"/>
  <c r="AN135" i="8"/>
  <c r="AO422" i="8"/>
  <c r="AX348" i="8" a="1"/>
  <c r="AX348" i="8" s="1"/>
  <c r="AY348" i="8" s="1"/>
  <c r="AN315" i="8"/>
  <c r="AX278" i="8" a="1"/>
  <c r="AX278" i="8" s="1"/>
  <c r="AY278" i="8" s="1"/>
  <c r="AX260" i="8" a="1"/>
  <c r="AX260" i="8" s="1"/>
  <c r="AY260" i="8" s="1"/>
  <c r="AV249" i="8"/>
  <c r="AX248" i="8" a="1"/>
  <c r="AX248" i="8" s="1"/>
  <c r="AY248" i="8" s="1"/>
  <c r="AO247" i="8"/>
  <c r="AX245" i="8" a="1"/>
  <c r="AX245" i="8" s="1"/>
  <c r="AY245" i="8" s="1"/>
  <c r="AV229" i="8"/>
  <c r="AM220" i="8"/>
  <c r="AM212" i="8"/>
  <c r="AM145" i="8"/>
  <c r="AN422" i="8"/>
  <c r="AV421" i="8"/>
  <c r="AM315" i="8"/>
  <c r="AM269" i="8"/>
  <c r="AO257" i="8"/>
  <c r="AV254" i="8"/>
  <c r="AX252" i="8" a="1"/>
  <c r="AX252" i="8" s="1"/>
  <c r="AY252" i="8" s="1"/>
  <c r="AO221" i="8"/>
  <c r="AV197" i="8"/>
  <c r="AO169" i="8"/>
  <c r="AM422" i="8"/>
  <c r="AO351" i="8"/>
  <c r="AN325" i="8"/>
  <c r="AX297" i="8" a="1"/>
  <c r="AX297" i="8" s="1"/>
  <c r="AY297" i="8" s="1"/>
  <c r="AO279" i="8"/>
  <c r="AO262" i="8"/>
  <c r="AV260" i="8"/>
  <c r="AN257" i="8"/>
  <c r="AO253" i="8"/>
  <c r="AV245" i="8"/>
  <c r="AX211" i="8" a="1"/>
  <c r="AX211" i="8" s="1"/>
  <c r="AY211" i="8" s="1"/>
  <c r="AX200" i="8" a="1"/>
  <c r="AX200" i="8" s="1"/>
  <c r="AY200" i="8" s="1"/>
  <c r="AO189" i="8"/>
  <c r="AM178" i="8"/>
  <c r="AM169" i="8"/>
  <c r="AN351" i="8"/>
  <c r="AO298" i="8"/>
  <c r="AV291" i="8"/>
  <c r="AN274" i="8"/>
  <c r="AO272" i="8"/>
  <c r="AN262" i="8"/>
  <c r="AV252" i="8"/>
  <c r="AO229" i="8"/>
  <c r="AX218" i="8" a="1"/>
  <c r="AX218" i="8" s="1"/>
  <c r="AY218" i="8" s="1"/>
  <c r="AO191" i="8"/>
  <c r="AM160" i="8"/>
  <c r="AX382" i="8" a="1"/>
  <c r="AX382" i="8" s="1"/>
  <c r="AY382" i="8" s="1"/>
  <c r="AX352" i="8" a="1"/>
  <c r="AX352" i="8" s="1"/>
  <c r="AY352" i="8" s="1"/>
  <c r="AM339" i="8"/>
  <c r="AX237" i="8" a="1"/>
  <c r="AX237" i="8" s="1"/>
  <c r="AY237" i="8" s="1"/>
  <c r="AV211" i="8"/>
  <c r="AM191" i="8"/>
  <c r="AX190" i="8" a="1"/>
  <c r="AX190" i="8" s="1"/>
  <c r="AY190" i="8" s="1"/>
  <c r="AV142" i="8"/>
  <c r="AX133" i="8" a="1"/>
  <c r="AX133" i="8" s="1"/>
  <c r="AY133" i="8" s="1"/>
  <c r="AO129" i="8"/>
  <c r="AM116" i="8"/>
  <c r="AM101" i="8"/>
  <c r="AM95" i="8"/>
  <c r="AX93" i="8" a="1"/>
  <c r="AX93" i="8" s="1"/>
  <c r="AY93" i="8" s="1"/>
  <c r="AM92" i="8"/>
  <c r="AM89" i="8"/>
  <c r="AV190" i="8"/>
  <c r="AX162" i="8" a="1"/>
  <c r="AX162" i="8" s="1"/>
  <c r="AY162" i="8" s="1"/>
  <c r="AX155" i="8" a="1"/>
  <c r="AX155" i="8" s="1"/>
  <c r="AY155" i="8" s="1"/>
  <c r="AO140" i="8"/>
  <c r="AN129" i="8"/>
  <c r="AV102" i="8"/>
  <c r="AM341" i="8"/>
  <c r="AV237" i="8"/>
  <c r="AO168" i="8"/>
  <c r="AV133" i="8"/>
  <c r="AN413" i="8"/>
  <c r="AO386" i="8"/>
  <c r="AV345" i="8"/>
  <c r="AO342" i="8"/>
  <c r="AM292" i="8"/>
  <c r="AX236" i="8" a="1"/>
  <c r="AX236" i="8" s="1"/>
  <c r="AY236" i="8" s="1"/>
  <c r="AO193" i="8"/>
  <c r="AX171" i="8" a="1"/>
  <c r="AX171" i="8" s="1"/>
  <c r="AY171" i="8" s="1"/>
  <c r="AV155" i="8"/>
  <c r="AM140" i="8"/>
  <c r="AO122" i="8"/>
  <c r="AV408" i="8"/>
  <c r="AX225" i="8" a="1"/>
  <c r="AX225" i="8" s="1"/>
  <c r="AY225" i="8" s="1"/>
  <c r="AX187" i="8" a="1"/>
  <c r="AX187" i="8" s="1"/>
  <c r="AY187" i="8" s="1"/>
  <c r="AX144" i="8" a="1"/>
  <c r="AX144" i="8" s="1"/>
  <c r="AY144" i="8" s="1"/>
  <c r="AO142" i="8"/>
  <c r="AX135" i="8" a="1"/>
  <c r="AX135" i="8" s="1"/>
  <c r="AY135" i="8" s="1"/>
  <c r="AM131" i="8"/>
  <c r="AN301" i="8"/>
  <c r="AV238" i="8"/>
  <c r="AO237" i="8"/>
  <c r="AV231" i="8"/>
  <c r="AO210" i="8"/>
  <c r="AM194" i="8"/>
  <c r="AV171" i="8"/>
  <c r="AX151" i="8" a="1"/>
  <c r="AX151" i="8" s="1"/>
  <c r="AY151" i="8" s="1"/>
  <c r="AN142" i="8"/>
  <c r="AM122" i="8"/>
  <c r="AO102" i="8"/>
  <c r="AM99" i="8"/>
  <c r="AM400" i="8"/>
  <c r="AV225" i="8"/>
  <c r="AO190" i="8"/>
  <c r="AV187" i="8"/>
  <c r="AM142" i="8"/>
  <c r="AV135" i="8"/>
  <c r="AO133" i="8"/>
  <c r="AX112" i="8" a="1"/>
  <c r="AX112" i="8" s="1"/>
  <c r="AY112" i="8" s="1"/>
  <c r="AN102" i="8"/>
  <c r="AO93" i="8"/>
  <c r="AX430" i="8" a="1"/>
  <c r="AX430" i="8" s="1"/>
  <c r="AY430" i="8" s="1"/>
  <c r="AN254" i="8"/>
  <c r="AM240" i="8"/>
  <c r="AV239" i="8"/>
  <c r="AO224" i="8"/>
  <c r="AO219" i="8"/>
  <c r="AO186" i="8"/>
  <c r="AM161" i="8"/>
  <c r="AO137" i="8"/>
  <c r="AO285" i="8"/>
  <c r="AM254" i="8"/>
  <c r="AO241" i="8"/>
  <c r="AO225" i="8"/>
  <c r="AM219" i="8"/>
  <c r="AX203" i="8" a="1"/>
  <c r="AX203" i="8" s="1"/>
  <c r="AY203" i="8" s="1"/>
  <c r="AM186" i="8"/>
  <c r="AV132" i="8"/>
  <c r="AO288" i="8"/>
  <c r="AV223" i="8"/>
  <c r="AO214" i="8"/>
  <c r="AX142" i="8" a="1"/>
  <c r="AX142" i="8" s="1"/>
  <c r="AY142" i="8" s="1"/>
  <c r="AO110" i="8"/>
  <c r="AN92" i="8"/>
  <c r="AX77" i="8" a="1"/>
  <c r="AX77" i="8" s="1"/>
  <c r="AY77" i="8" s="1"/>
  <c r="AX70" i="8" a="1"/>
  <c r="AX70" i="8" s="1"/>
  <c r="AY70" i="8" s="1"/>
  <c r="AO64" i="8"/>
  <c r="AV60" i="8"/>
  <c r="AX56" i="8" a="1"/>
  <c r="AX56" i="8" s="1"/>
  <c r="AY56" i="8" s="1"/>
  <c r="AM53" i="8"/>
  <c r="AV49" i="8"/>
  <c r="AO339" i="8"/>
  <c r="AM288" i="8"/>
  <c r="AO223" i="8"/>
  <c r="AM190" i="8"/>
  <c r="AV185" i="8"/>
  <c r="AN110" i="8"/>
  <c r="AV101" i="8"/>
  <c r="AO98" i="8"/>
  <c r="AV95" i="8"/>
  <c r="AH6" i="8"/>
  <c r="BB6" i="8" s="1"/>
  <c r="AO37" i="8"/>
  <c r="AN125" i="8"/>
  <c r="AV104" i="8"/>
  <c r="AX87" i="8" a="1"/>
  <c r="AX87" i="8" s="1"/>
  <c r="AY87" i="8" s="1"/>
  <c r="AN41" i="8"/>
  <c r="AM32" i="8"/>
  <c r="AX63" i="8" a="1"/>
  <c r="AX63" i="8" s="1"/>
  <c r="AY63" i="8" s="1"/>
  <c r="AN340" i="8"/>
  <c r="AN339" i="8"/>
  <c r="AO227" i="8"/>
  <c r="AX140" i="8" a="1"/>
  <c r="AX140" i="8" s="1"/>
  <c r="AY140" i="8" s="1"/>
  <c r="AX126" i="8" a="1"/>
  <c r="AX126" i="8" s="1"/>
  <c r="AY126" i="8" s="1"/>
  <c r="AO119" i="8"/>
  <c r="AX104" i="8" a="1"/>
  <c r="AX104" i="8" s="1"/>
  <c r="AY104" i="8" s="1"/>
  <c r="AN98" i="8"/>
  <c r="AO85" i="8"/>
  <c r="AX79" i="8" a="1"/>
  <c r="AX79" i="8" s="1"/>
  <c r="AY79" i="8" s="1"/>
  <c r="AN68" i="8"/>
  <c r="AM64" i="8"/>
  <c r="AO62" i="8"/>
  <c r="AO46" i="8"/>
  <c r="AM26" i="8"/>
  <c r="AO141" i="8"/>
  <c r="AX113" i="8" a="1"/>
  <c r="AX113" i="8" s="1"/>
  <c r="AY113" i="8" s="1"/>
  <c r="AM85" i="8"/>
  <c r="AV79" i="8"/>
  <c r="AV74" i="8"/>
  <c r="AM62" i="8"/>
  <c r="AN58" i="8"/>
  <c r="AM58" i="8"/>
  <c r="AO49" i="8"/>
  <c r="AM227" i="8"/>
  <c r="AV159" i="8"/>
  <c r="AO143" i="8"/>
  <c r="AV140" i="8"/>
  <c r="AV125" i="8"/>
  <c r="AN119" i="8"/>
  <c r="AM98" i="8"/>
  <c r="AN95" i="8"/>
  <c r="AO66" i="8"/>
  <c r="AN32" i="8"/>
  <c r="AM119" i="8"/>
  <c r="AV100" i="8"/>
  <c r="AN77" i="8"/>
  <c r="AM60" i="8"/>
  <c r="AM37" i="8"/>
  <c r="AM77" i="8"/>
  <c r="AO239" i="8"/>
  <c r="AN143" i="8"/>
  <c r="AO70" i="8"/>
  <c r="AM41" i="8"/>
  <c r="AM262" i="8"/>
  <c r="AO366" i="8"/>
  <c r="AM228" i="8"/>
  <c r="AX199" i="8" a="1"/>
  <c r="AX199" i="8" s="1"/>
  <c r="AY199" i="8" s="1"/>
  <c r="AO138" i="8"/>
  <c r="AN126" i="8"/>
  <c r="AO101" i="8"/>
  <c r="AV94" i="8"/>
  <c r="AO240" i="8"/>
  <c r="AO198" i="8"/>
  <c r="AN138" i="8"/>
  <c r="AM126" i="8"/>
  <c r="AV112" i="8"/>
  <c r="AN101" i="8"/>
  <c r="AX69" i="8" a="1"/>
  <c r="AX69" i="8" s="1"/>
  <c r="AY69" i="8" s="1"/>
  <c r="AX59" i="8" a="1"/>
  <c r="AX59" i="8" s="1"/>
  <c r="AY59" i="8" s="1"/>
  <c r="AX6" i="8" a="1"/>
  <c r="AX6" i="8" s="1"/>
  <c r="AY6" i="8" s="1"/>
  <c r="AO305" i="8"/>
  <c r="AO256" i="8"/>
  <c r="AM176" i="8"/>
  <c r="AM138" i="8"/>
  <c r="AX89" i="8" a="1"/>
  <c r="AX89" i="8" s="1"/>
  <c r="AY89" i="8" s="1"/>
  <c r="AV63" i="8"/>
  <c r="AX261" i="8" a="1"/>
  <c r="AX261" i="8" s="1"/>
  <c r="AY261" i="8" s="1"/>
  <c r="AX233" i="8" a="1"/>
  <c r="AX233" i="8" s="1"/>
  <c r="AY233" i="8" s="1"/>
  <c r="AM199" i="8"/>
  <c r="AV151" i="8"/>
  <c r="AX150" i="8" a="1"/>
  <c r="AX150" i="8" s="1"/>
  <c r="AY150" i="8" s="1"/>
  <c r="AO112" i="8"/>
  <c r="AV89" i="8"/>
  <c r="AM87" i="8"/>
  <c r="AO79" i="8"/>
  <c r="AV164" i="8"/>
  <c r="AN136" i="8"/>
  <c r="AV124" i="8"/>
  <c r="AO123" i="8"/>
  <c r="AX122" i="8" a="1"/>
  <c r="AX122" i="8" s="1"/>
  <c r="AY122" i="8" s="1"/>
  <c r="AN79" i="8"/>
  <c r="AX24" i="8" a="1"/>
  <c r="AX24" i="8" s="1"/>
  <c r="AY24" i="8" s="1"/>
  <c r="AX177" i="8" a="1"/>
  <c r="AX177" i="8" s="1"/>
  <c r="AY177" i="8" s="1"/>
  <c r="AO117" i="8"/>
  <c r="AN112" i="8"/>
  <c r="AX99" i="8" a="1"/>
  <c r="AX99" i="8" s="1"/>
  <c r="AY99" i="8" s="1"/>
  <c r="AV145" i="8"/>
  <c r="AN133" i="8"/>
  <c r="AM132" i="8"/>
  <c r="AO59" i="8"/>
  <c r="AX53" i="8" a="1"/>
  <c r="AX53" i="8" s="1"/>
  <c r="AY53" i="8" s="1"/>
  <c r="AX43" i="8" a="1"/>
  <c r="AX43" i="8" s="1"/>
  <c r="AY43" i="8" s="1"/>
  <c r="AX202" i="8" a="1"/>
  <c r="AX202" i="8" s="1"/>
  <c r="AY202" i="8" s="1"/>
  <c r="AV150" i="8"/>
  <c r="AN93" i="8"/>
  <c r="AV92" i="8"/>
  <c r="AO88" i="8"/>
  <c r="AN336" i="8"/>
  <c r="AN272" i="8"/>
  <c r="AV119" i="8"/>
  <c r="AV91" i="8"/>
  <c r="AX75" i="8" a="1"/>
  <c r="AX75" i="8" s="1"/>
  <c r="AY75" i="8" s="1"/>
  <c r="AV202" i="8"/>
  <c r="AV73" i="8"/>
  <c r="AX284" i="8" a="1"/>
  <c r="AX284" i="8" s="1"/>
  <c r="AY284" i="8" s="1"/>
  <c r="AO179" i="8"/>
  <c r="AO163" i="8"/>
  <c r="AX106" i="8" a="1"/>
  <c r="AX106" i="8" s="1"/>
  <c r="AY106" i="8" s="1"/>
  <c r="AV233" i="8"/>
  <c r="AO206" i="8"/>
  <c r="AM179" i="8"/>
  <c r="AO107" i="8"/>
  <c r="AM196" i="8"/>
  <c r="AX165" i="8" a="1"/>
  <c r="AX165" i="8" s="1"/>
  <c r="AY165" i="8" s="1"/>
  <c r="AM150" i="8"/>
  <c r="AN122" i="8"/>
  <c r="AM107" i="8"/>
  <c r="AM79" i="8"/>
  <c r="AO76" i="8"/>
  <c r="AN73" i="8"/>
  <c r="AO69" i="8"/>
  <c r="AN56" i="8"/>
  <c r="AN53" i="8"/>
  <c r="AN43" i="8"/>
  <c r="AN36" i="8"/>
  <c r="AN31" i="8"/>
  <c r="AO199" i="8"/>
  <c r="AM73" i="8"/>
  <c r="AX72" i="8" a="1"/>
  <c r="AX72" i="8" s="1"/>
  <c r="AY72" i="8" s="1"/>
  <c r="AN69" i="8"/>
  <c r="AV68" i="8"/>
  <c r="AM36" i="8"/>
  <c r="AX210" i="8" a="1"/>
  <c r="AX210" i="8" s="1"/>
  <c r="AY210" i="8" s="1"/>
  <c r="AM164" i="8"/>
  <c r="AO99" i="8"/>
  <c r="AX95" i="8" a="1"/>
  <c r="AX95" i="8" s="1"/>
  <c r="AY95" i="8" s="1"/>
  <c r="AN40" i="8"/>
  <c r="E6" i="8"/>
  <c r="AX66" i="8" a="1"/>
  <c r="AX66" i="8" s="1"/>
  <c r="AY66" i="8" s="1"/>
  <c r="AX370" i="8" a="1"/>
  <c r="AX370" i="8" s="1"/>
  <c r="AY370" i="8" s="1"/>
  <c r="AV222" i="8"/>
  <c r="AN123" i="8"/>
  <c r="AX116" i="8" a="1"/>
  <c r="AX116" i="8" s="1"/>
  <c r="AY116" i="8" s="1"/>
  <c r="AN99" i="8"/>
  <c r="AV83" i="8"/>
  <c r="AM81" i="8"/>
  <c r="AM67" i="8"/>
  <c r="AM40" i="8"/>
  <c r="AN39" i="8"/>
  <c r="AO6" i="8"/>
  <c r="I13" i="8"/>
  <c r="E21" i="8"/>
  <c r="AH22" i="8"/>
  <c r="BB22" i="8" s="1"/>
  <c r="AX22" i="8" a="1"/>
  <c r="AX22" i="8" s="1"/>
  <c r="AY22" i="8" s="1"/>
  <c r="AO22" i="8"/>
  <c r="AH30" i="8"/>
  <c r="BB30" i="8" s="1"/>
  <c r="AX30" i="8" a="1"/>
  <c r="AX30" i="8" s="1"/>
  <c r="AY30" i="8" s="1"/>
  <c r="AV30" i="8"/>
  <c r="AM30" i="8"/>
  <c r="AX46" i="8" a="1"/>
  <c r="AX46" i="8" s="1"/>
  <c r="AY46" i="8" s="1"/>
  <c r="D55" i="8"/>
  <c r="AV69" i="8"/>
  <c r="AO75" i="8"/>
  <c r="AM84" i="8"/>
  <c r="AX85" i="8" a="1"/>
  <c r="AX85" i="8" s="1"/>
  <c r="AY85" i="8" s="1"/>
  <c r="BC90" i="8"/>
  <c r="K90" i="8"/>
  <c r="BC123" i="8"/>
  <c r="K123" i="8"/>
  <c r="AX124" i="8" a="1"/>
  <c r="AX124" i="8" s="1"/>
  <c r="AY124" i="8" s="1"/>
  <c r="AX136" i="8" a="1"/>
  <c r="AX136" i="8" s="1"/>
  <c r="AY136" i="8" s="1"/>
  <c r="D148" i="8"/>
  <c r="AO150" i="8"/>
  <c r="AO153" i="8"/>
  <c r="K194" i="8"/>
  <c r="BC194" i="8"/>
  <c r="D243" i="8"/>
  <c r="AO121" i="8"/>
  <c r="BC141" i="8"/>
  <c r="K141" i="8"/>
  <c r="AM167" i="8"/>
  <c r="K173" i="8"/>
  <c r="BC173" i="8"/>
  <c r="K224" i="8"/>
  <c r="BC224" i="8"/>
  <c r="AV29" i="8"/>
  <c r="AX29" i="8" a="1"/>
  <c r="AX29" i="8" s="1"/>
  <c r="AY29" i="8" s="1"/>
  <c r="I29" i="8"/>
  <c r="G29" i="8"/>
  <c r="AO29" i="8"/>
  <c r="F29" i="8"/>
  <c r="AV33" i="8"/>
  <c r="AX34" i="8" a="1"/>
  <c r="AX34" i="8" s="1"/>
  <c r="AY34" i="8" s="1"/>
  <c r="AV34" i="8"/>
  <c r="I34" i="8"/>
  <c r="G34" i="8"/>
  <c r="F34" i="8"/>
  <c r="AO34" i="8"/>
  <c r="AH481" i="8"/>
  <c r="BB481" i="8" s="1"/>
  <c r="AH39" i="8"/>
  <c r="BB39" i="8" s="1"/>
  <c r="AX39" i="8" a="1"/>
  <c r="AX39" i="8" s="1"/>
  <c r="AY39" i="8" s="1"/>
  <c r="AV39" i="8"/>
  <c r="I39" i="8"/>
  <c r="G39" i="8"/>
  <c r="F39" i="8"/>
  <c r="AO39" i="8"/>
  <c r="AN109" i="8"/>
  <c r="BC125" i="8"/>
  <c r="K125" i="8"/>
  <c r="AN153" i="8"/>
  <c r="G153" i="8"/>
  <c r="AX153" i="8" a="1"/>
  <c r="AX153" i="8" s="1"/>
  <c r="AY153" i="8" s="1"/>
  <c r="AV153" i="8"/>
  <c r="H153" i="8"/>
  <c r="AH153" i="8"/>
  <c r="BB153" i="8" s="1"/>
  <c r="F153" i="8"/>
  <c r="E153" i="8"/>
  <c r="AN172" i="8"/>
  <c r="G172" i="8"/>
  <c r="AH172" i="8"/>
  <c r="BB172" i="8" s="1"/>
  <c r="F172" i="8"/>
  <c r="AO172" i="8"/>
  <c r="E172" i="8"/>
  <c r="AX172" i="8" a="1"/>
  <c r="AX172" i="8" s="1"/>
  <c r="AY172" i="8" s="1"/>
  <c r="I172" i="8"/>
  <c r="AV172" i="8"/>
  <c r="H172" i="8"/>
  <c r="D172" i="8"/>
  <c r="AM172" i="8"/>
  <c r="AN183" i="8"/>
  <c r="G183" i="8"/>
  <c r="F183" i="8"/>
  <c r="AO183" i="8"/>
  <c r="E183" i="8"/>
  <c r="AM183" i="8"/>
  <c r="D183" i="8"/>
  <c r="C183" i="8"/>
  <c r="AH183" i="8"/>
  <c r="BB183" i="8" s="1"/>
  <c r="I183" i="8"/>
  <c r="H183" i="8"/>
  <c r="AX183" i="8" a="1"/>
  <c r="AX183" i="8" s="1"/>
  <c r="AY183" i="8" s="1"/>
  <c r="AV183" i="8"/>
  <c r="K187" i="8"/>
  <c r="K212" i="8"/>
  <c r="BC212" i="8"/>
  <c r="K230" i="8"/>
  <c r="BC230" i="8"/>
  <c r="AH35" i="8"/>
  <c r="BB35" i="8" s="1"/>
  <c r="AX35" i="8" a="1"/>
  <c r="AX35" i="8" s="1"/>
  <c r="AY35" i="8" s="1"/>
  <c r="AV35" i="8"/>
  <c r="AO35" i="8"/>
  <c r="D39" i="8"/>
  <c r="AH65" i="8"/>
  <c r="BB65" i="8" s="1"/>
  <c r="I65" i="8"/>
  <c r="AX65" i="8" a="1"/>
  <c r="AX65" i="8" s="1"/>
  <c r="AY65" i="8" s="1"/>
  <c r="AV65" i="8"/>
  <c r="H65" i="8"/>
  <c r="G65" i="8"/>
  <c r="E65" i="8"/>
  <c r="D65" i="8"/>
  <c r="AN103" i="8"/>
  <c r="AM106" i="8"/>
  <c r="I115" i="8"/>
  <c r="H115" i="8"/>
  <c r="AO115" i="8"/>
  <c r="G115" i="8"/>
  <c r="AH115" i="8"/>
  <c r="BB115" i="8" s="1"/>
  <c r="AX115" i="8" a="1"/>
  <c r="AX115" i="8" s="1"/>
  <c r="AY115" i="8" s="1"/>
  <c r="AN115" i="8"/>
  <c r="AM115" i="8"/>
  <c r="D153" i="8"/>
  <c r="AX282" i="8" a="1"/>
  <c r="AX282" i="8" s="1"/>
  <c r="AY282" i="8" s="1"/>
  <c r="AV282" i="8"/>
  <c r="G282" i="8"/>
  <c r="I282" i="8"/>
  <c r="H282" i="8"/>
  <c r="E282" i="8"/>
  <c r="AO282" i="8"/>
  <c r="AN282" i="8"/>
  <c r="AM282" i="8"/>
  <c r="AH282" i="8"/>
  <c r="BB282" i="8" s="1"/>
  <c r="AH67" i="8"/>
  <c r="BB67" i="8" s="1"/>
  <c r="AV67" i="8"/>
  <c r="I67" i="8"/>
  <c r="F67" i="8"/>
  <c r="AX67" i="8" a="1"/>
  <c r="AX67" i="8" s="1"/>
  <c r="AY67" i="8" s="1"/>
  <c r="H67" i="8"/>
  <c r="E67" i="8"/>
  <c r="D67" i="8"/>
  <c r="AH71" i="8"/>
  <c r="BB71" i="8" s="1"/>
  <c r="AV71" i="8"/>
  <c r="I71" i="8"/>
  <c r="AX71" i="8" a="1"/>
  <c r="AX71" i="8" s="1"/>
  <c r="AY71" i="8" s="1"/>
  <c r="H71" i="8"/>
  <c r="AO71" i="8"/>
  <c r="AH81" i="8"/>
  <c r="BB81" i="8" s="1"/>
  <c r="AV81" i="8"/>
  <c r="I81" i="8"/>
  <c r="F81" i="8"/>
  <c r="AX81" i="8" a="1"/>
  <c r="AX81" i="8" s="1"/>
  <c r="AY81" i="8" s="1"/>
  <c r="H81" i="8"/>
  <c r="G81" i="8"/>
  <c r="AH84" i="8"/>
  <c r="BB84" i="8" s="1"/>
  <c r="AX84" i="8" a="1"/>
  <c r="AX84" i="8" s="1"/>
  <c r="AY84" i="8" s="1"/>
  <c r="H84" i="8"/>
  <c r="G84" i="8"/>
  <c r="AN84" i="8"/>
  <c r="D84" i="8"/>
  <c r="F84" i="8"/>
  <c r="I84" i="8"/>
  <c r="E84" i="8"/>
  <c r="AV84" i="8"/>
  <c r="C84" i="8"/>
  <c r="AO84" i="8"/>
  <c r="I97" i="8"/>
  <c r="AX97" i="8" a="1"/>
  <c r="AX97" i="8" s="1"/>
  <c r="AY97" i="8" s="1"/>
  <c r="AV97" i="8"/>
  <c r="G97" i="8"/>
  <c r="H97" i="8"/>
  <c r="F97" i="8"/>
  <c r="E97" i="8"/>
  <c r="AO97" i="8"/>
  <c r="D97" i="8"/>
  <c r="AN97" i="8"/>
  <c r="C97" i="8"/>
  <c r="BC119" i="8"/>
  <c r="K119" i="8"/>
  <c r="K133" i="8"/>
  <c r="BC133" i="8"/>
  <c r="AX205" i="8" a="1"/>
  <c r="AX205" i="8" s="1"/>
  <c r="AY205" i="8" s="1"/>
  <c r="K283" i="8"/>
  <c r="BC283" i="8"/>
  <c r="I127" i="8"/>
  <c r="AX127" i="8" a="1"/>
  <c r="AX127" i="8" s="1"/>
  <c r="AY127" i="8" s="1"/>
  <c r="AV127" i="8"/>
  <c r="H127" i="8"/>
  <c r="G127" i="8"/>
  <c r="AO127" i="8"/>
  <c r="F127" i="8"/>
  <c r="AN127" i="8"/>
  <c r="E127" i="8"/>
  <c r="AM127" i="8"/>
  <c r="D127" i="8"/>
  <c r="C127" i="8"/>
  <c r="AH127" i="8"/>
  <c r="BB127" i="8" s="1"/>
  <c r="K195" i="8"/>
  <c r="BC195" i="8"/>
  <c r="K270" i="8"/>
  <c r="K277" i="8"/>
  <c r="BC277" i="8"/>
  <c r="I96" i="8"/>
  <c r="AV96" i="8"/>
  <c r="AX96" i="8" a="1"/>
  <c r="AX96" i="8" s="1"/>
  <c r="AY96" i="8" s="1"/>
  <c r="H96" i="8"/>
  <c r="AN96" i="8"/>
  <c r="E96" i="8"/>
  <c r="AM96" i="8"/>
  <c r="D96" i="8"/>
  <c r="AH96" i="8"/>
  <c r="BB96" i="8" s="1"/>
  <c r="G96" i="8"/>
  <c r="K266" i="8"/>
  <c r="BC266" i="8"/>
  <c r="AV108" i="8"/>
  <c r="I121" i="8"/>
  <c r="AH121" i="8"/>
  <c r="BB121" i="8" s="1"/>
  <c r="AX121" i="8" a="1"/>
  <c r="AX121" i="8" s="1"/>
  <c r="AY121" i="8" s="1"/>
  <c r="AM121" i="8"/>
  <c r="H121" i="8"/>
  <c r="G121" i="8"/>
  <c r="K124" i="8"/>
  <c r="BC124" i="8"/>
  <c r="I139" i="8"/>
  <c r="AX139" i="8" a="1"/>
  <c r="AX139" i="8" s="1"/>
  <c r="AY139" i="8" s="1"/>
  <c r="H139" i="8"/>
  <c r="G139" i="8"/>
  <c r="AV139" i="8"/>
  <c r="F139" i="8"/>
  <c r="D139" i="8"/>
  <c r="AO139" i="8"/>
  <c r="C139" i="8"/>
  <c r="AN139" i="8"/>
  <c r="AM139" i="8"/>
  <c r="AH139" i="8"/>
  <c r="BB139" i="8" s="1"/>
  <c r="AN152" i="8"/>
  <c r="G152" i="8"/>
  <c r="AH152" i="8"/>
  <c r="BB152" i="8" s="1"/>
  <c r="AV152" i="8"/>
  <c r="I152" i="8"/>
  <c r="H152" i="8"/>
  <c r="F152" i="8"/>
  <c r="C152" i="8"/>
  <c r="AX152" i="8" a="1"/>
  <c r="AX152" i="8" s="1"/>
  <c r="AY152" i="8" s="1"/>
  <c r="AO152" i="8"/>
  <c r="AM152" i="8"/>
  <c r="E152" i="8"/>
  <c r="D152" i="8"/>
  <c r="K244" i="8"/>
  <c r="BC244" i="8"/>
  <c r="D246" i="8"/>
  <c r="AV246" i="8"/>
  <c r="H246" i="8"/>
  <c r="AX246" i="8" a="1"/>
  <c r="AX246" i="8" s="1"/>
  <c r="AY246" i="8" s="1"/>
  <c r="I246" i="8"/>
  <c r="G246" i="8"/>
  <c r="F246" i="8"/>
  <c r="AO246" i="8"/>
  <c r="E246" i="8"/>
  <c r="AH246" i="8"/>
  <c r="BB246" i="8" s="1"/>
  <c r="AN246" i="8"/>
  <c r="AM246" i="8"/>
  <c r="BC102" i="8"/>
  <c r="K102" i="8"/>
  <c r="BC103" i="8"/>
  <c r="K103" i="8"/>
  <c r="BC109" i="8"/>
  <c r="K109" i="8"/>
  <c r="K116" i="8"/>
  <c r="BC116" i="8"/>
  <c r="AX123" i="8" a="1"/>
  <c r="AX123" i="8" s="1"/>
  <c r="AY123" i="8" s="1"/>
  <c r="AN181" i="8"/>
  <c r="G181" i="8"/>
  <c r="AH181" i="8"/>
  <c r="BB181" i="8" s="1"/>
  <c r="AO181" i="8"/>
  <c r="AM181" i="8"/>
  <c r="I181" i="8"/>
  <c r="H181" i="8"/>
  <c r="C246" i="8"/>
  <c r="K301" i="8"/>
  <c r="BC301" i="8"/>
  <c r="I106" i="8"/>
  <c r="AV106" i="8"/>
  <c r="H106" i="8"/>
  <c r="AH106" i="8"/>
  <c r="BB106" i="8" s="1"/>
  <c r="F106" i="8"/>
  <c r="E106" i="8"/>
  <c r="I114" i="8"/>
  <c r="AO114" i="8"/>
  <c r="G114" i="8"/>
  <c r="AN114" i="8"/>
  <c r="F114" i="8"/>
  <c r="AM114" i="8"/>
  <c r="E114" i="8"/>
  <c r="AX114" i="8" a="1"/>
  <c r="AX114" i="8" s="1"/>
  <c r="AY114" i="8" s="1"/>
  <c r="D114" i="8"/>
  <c r="C114" i="8"/>
  <c r="AV114" i="8"/>
  <c r="AH114" i="8"/>
  <c r="BB114" i="8" s="1"/>
  <c r="D121" i="8"/>
  <c r="C181" i="8"/>
  <c r="AX265" i="8" a="1"/>
  <c r="AX265" i="8" s="1"/>
  <c r="AY265" i="8" s="1"/>
  <c r="AO269" i="8"/>
  <c r="AH50" i="8"/>
  <c r="BB50" i="8" s="1"/>
  <c r="G50" i="8"/>
  <c r="AN50" i="8"/>
  <c r="D50" i="8"/>
  <c r="I50" i="8"/>
  <c r="AV50" i="8"/>
  <c r="H50" i="8"/>
  <c r="AH52" i="8"/>
  <c r="BB52" i="8" s="1"/>
  <c r="AV52" i="8"/>
  <c r="I52" i="8"/>
  <c r="AX52" i="8" a="1"/>
  <c r="AX52" i="8" s="1"/>
  <c r="AY52" i="8" s="1"/>
  <c r="H52" i="8"/>
  <c r="G52" i="8"/>
  <c r="E52" i="8"/>
  <c r="AO52" i="8"/>
  <c r="D52" i="8"/>
  <c r="BC83" i="8"/>
  <c r="K83" i="8"/>
  <c r="BC100" i="8"/>
  <c r="K100" i="8"/>
  <c r="C106" i="8"/>
  <c r="H114" i="8"/>
  <c r="E121" i="8"/>
  <c r="AM173" i="8"/>
  <c r="BC177" i="8"/>
  <c r="K177" i="8"/>
  <c r="D181" i="8"/>
  <c r="K241" i="8"/>
  <c r="BC241" i="8"/>
  <c r="BC255" i="8"/>
  <c r="K255" i="8"/>
  <c r="E335" i="8"/>
  <c r="AN335" i="8"/>
  <c r="F335" i="8"/>
  <c r="AO335" i="8"/>
  <c r="D335" i="8"/>
  <c r="AM335" i="8"/>
  <c r="C335" i="8"/>
  <c r="AH335" i="8"/>
  <c r="BB335" i="8" s="1"/>
  <c r="AX335" i="8" a="1"/>
  <c r="AX335" i="8" s="1"/>
  <c r="AY335" i="8" s="1"/>
  <c r="AV335" i="8"/>
  <c r="I335" i="8"/>
  <c r="AH76" i="8"/>
  <c r="BB76" i="8" s="1"/>
  <c r="AN76" i="8"/>
  <c r="D76" i="8"/>
  <c r="AM76" i="8"/>
  <c r="C76" i="8"/>
  <c r="K198" i="8"/>
  <c r="BC198" i="8"/>
  <c r="AN217" i="8"/>
  <c r="G217" i="8"/>
  <c r="AO217" i="8"/>
  <c r="E217" i="8"/>
  <c r="C217" i="8"/>
  <c r="AM217" i="8"/>
  <c r="AH217" i="8"/>
  <c r="BB217" i="8" s="1"/>
  <c r="I217" i="8"/>
  <c r="H217" i="8"/>
  <c r="AX217" i="8" a="1"/>
  <c r="AX217" i="8" s="1"/>
  <c r="AY217" i="8" s="1"/>
  <c r="AV217" i="8"/>
  <c r="BC483" i="8"/>
  <c r="K483" i="8"/>
  <c r="AX40" i="8" a="1"/>
  <c r="AX40" i="8" s="1"/>
  <c r="AY40" i="8" s="1"/>
  <c r="I130" i="8"/>
  <c r="AH130" i="8"/>
  <c r="BB130" i="8" s="1"/>
  <c r="AX130" i="8" a="1"/>
  <c r="AX130" i="8" s="1"/>
  <c r="AY130" i="8" s="1"/>
  <c r="AV130" i="8"/>
  <c r="H130" i="8"/>
  <c r="F130" i="8"/>
  <c r="E130" i="8"/>
  <c r="BC161" i="8"/>
  <c r="K161" i="8"/>
  <c r="C28" i="8"/>
  <c r="C33" i="8"/>
  <c r="C38" i="8"/>
  <c r="E76" i="8"/>
  <c r="AO90" i="8"/>
  <c r="AM100" i="8"/>
  <c r="BC115" i="8"/>
  <c r="K115" i="8"/>
  <c r="C130" i="8"/>
  <c r="AV134" i="8"/>
  <c r="BC143" i="8"/>
  <c r="K143" i="8"/>
  <c r="I146" i="8"/>
  <c r="AV146" i="8"/>
  <c r="AZ146" i="8" s="1"/>
  <c r="H146" i="8"/>
  <c r="AO146" i="8"/>
  <c r="G146" i="8"/>
  <c r="D146" i="8"/>
  <c r="F146" i="8"/>
  <c r="E146" i="8"/>
  <c r="C146" i="8"/>
  <c r="AN146" i="8"/>
  <c r="AM146" i="8"/>
  <c r="AO149" i="8"/>
  <c r="AN179" i="8"/>
  <c r="G179" i="8"/>
  <c r="AX179" i="8" a="1"/>
  <c r="AX179" i="8" s="1"/>
  <c r="AY179" i="8" s="1"/>
  <c r="AV179" i="8"/>
  <c r="F179" i="8"/>
  <c r="AH179" i="8"/>
  <c r="BB179" i="8" s="1"/>
  <c r="I179" i="8"/>
  <c r="AV196" i="8"/>
  <c r="AV205" i="8"/>
  <c r="D217" i="8"/>
  <c r="BC366" i="8"/>
  <c r="K366" i="8"/>
  <c r="E28" i="8"/>
  <c r="E33" i="8"/>
  <c r="AN33" i="8"/>
  <c r="E38" i="8"/>
  <c r="AN38" i="8"/>
  <c r="AM49" i="8"/>
  <c r="AH56" i="8"/>
  <c r="BB56" i="8" s="1"/>
  <c r="AM56" i="8"/>
  <c r="C56" i="8"/>
  <c r="AO56" i="8"/>
  <c r="AH72" i="8"/>
  <c r="BB72" i="8" s="1"/>
  <c r="AN72" i="8"/>
  <c r="AH74" i="8"/>
  <c r="BB74" i="8" s="1"/>
  <c r="AX74" i="8" a="1"/>
  <c r="AX74" i="8" s="1"/>
  <c r="AY74" i="8" s="1"/>
  <c r="H74" i="8"/>
  <c r="G74" i="8"/>
  <c r="AO74" i="8"/>
  <c r="G76" i="8"/>
  <c r="AH82" i="8"/>
  <c r="BB82" i="8" s="1"/>
  <c r="AX82" i="8" a="1"/>
  <c r="AX82" i="8" s="1"/>
  <c r="AY82" i="8" s="1"/>
  <c r="AN82" i="8"/>
  <c r="AN108" i="8"/>
  <c r="G130" i="8"/>
  <c r="K150" i="8"/>
  <c r="K158" i="8"/>
  <c r="AN164" i="8"/>
  <c r="G164" i="8"/>
  <c r="C164" i="8"/>
  <c r="AH164" i="8"/>
  <c r="BB164" i="8" s="1"/>
  <c r="AX164" i="8" a="1"/>
  <c r="AX164" i="8" s="1"/>
  <c r="AY164" i="8" s="1"/>
  <c r="I164" i="8"/>
  <c r="H164" i="8"/>
  <c r="K189" i="8"/>
  <c r="BC189" i="8"/>
  <c r="BC302" i="8"/>
  <c r="K302" i="8"/>
  <c r="E312" i="8"/>
  <c r="AX312" i="8" a="1"/>
  <c r="AX312" i="8" s="1"/>
  <c r="AY312" i="8" s="1"/>
  <c r="AN312" i="8"/>
  <c r="F312" i="8"/>
  <c r="AH312" i="8"/>
  <c r="BB312" i="8" s="1"/>
  <c r="I312" i="8"/>
  <c r="H312" i="8"/>
  <c r="D312" i="8"/>
  <c r="G312" i="8"/>
  <c r="AV312" i="8"/>
  <c r="C312" i="8"/>
  <c r="AM312" i="8"/>
  <c r="AO312" i="8"/>
  <c r="AN28" i="8"/>
  <c r="F28" i="8"/>
  <c r="AO28" i="8"/>
  <c r="F33" i="8"/>
  <c r="AO33" i="8"/>
  <c r="F38" i="8"/>
  <c r="AO38" i="8"/>
  <c r="AH41" i="8"/>
  <c r="BB41" i="8" s="1"/>
  <c r="C49" i="8"/>
  <c r="AN49" i="8"/>
  <c r="D56" i="8"/>
  <c r="AH58" i="8"/>
  <c r="BB58" i="8" s="1"/>
  <c r="AX58" i="8" a="1"/>
  <c r="AX58" i="8" s="1"/>
  <c r="AY58" i="8" s="1"/>
  <c r="C72" i="8"/>
  <c r="AO72" i="8"/>
  <c r="C74" i="8"/>
  <c r="H76" i="8"/>
  <c r="AX76" i="8" a="1"/>
  <c r="AX76" i="8" s="1"/>
  <c r="AY76" i="8" s="1"/>
  <c r="C82" i="8"/>
  <c r="AO82" i="8"/>
  <c r="AX90" i="8" a="1"/>
  <c r="AX90" i="8" s="1"/>
  <c r="AY90" i="8" s="1"/>
  <c r="I100" i="8"/>
  <c r="AH100" i="8"/>
  <c r="BB100" i="8" s="1"/>
  <c r="AX100" i="8" a="1"/>
  <c r="AX100" i="8" s="1"/>
  <c r="AY100" i="8" s="1"/>
  <c r="F100" i="8"/>
  <c r="I103" i="8"/>
  <c r="AM103" i="8"/>
  <c r="E103" i="8"/>
  <c r="D103" i="8"/>
  <c r="C103" i="8"/>
  <c r="AV103" i="8"/>
  <c r="H103" i="8"/>
  <c r="I117" i="8"/>
  <c r="AX117" i="8" a="1"/>
  <c r="AX117" i="8" s="1"/>
  <c r="AY117" i="8" s="1"/>
  <c r="AV117" i="8"/>
  <c r="H117" i="8"/>
  <c r="G117" i="8"/>
  <c r="AN117" i="8"/>
  <c r="E117" i="8"/>
  <c r="AM117" i="8"/>
  <c r="D117" i="8"/>
  <c r="BC121" i="8"/>
  <c r="K121" i="8"/>
  <c r="AM141" i="8"/>
  <c r="K160" i="8"/>
  <c r="BC160" i="8"/>
  <c r="D164" i="8"/>
  <c r="K174" i="8"/>
  <c r="BC174" i="8"/>
  <c r="E179" i="8"/>
  <c r="BC182" i="8"/>
  <c r="K182" i="8"/>
  <c r="AM210" i="8"/>
  <c r="K248" i="8"/>
  <c r="K106" i="8"/>
  <c r="BC106" i="8"/>
  <c r="BC111" i="8"/>
  <c r="K111" i="8"/>
  <c r="I134" i="8"/>
  <c r="AO134" i="8"/>
  <c r="G134" i="8"/>
  <c r="AN134" i="8"/>
  <c r="F134" i="8"/>
  <c r="AM134" i="8"/>
  <c r="E134" i="8"/>
  <c r="D134" i="8"/>
  <c r="C134" i="8"/>
  <c r="AH134" i="8"/>
  <c r="BB134" i="8" s="1"/>
  <c r="K153" i="8"/>
  <c r="BC153" i="8"/>
  <c r="AN207" i="8"/>
  <c r="G207" i="8"/>
  <c r="AO207" i="8"/>
  <c r="E207" i="8"/>
  <c r="I207" i="8"/>
  <c r="H207" i="8"/>
  <c r="AX207" i="8" a="1"/>
  <c r="AX207" i="8" s="1"/>
  <c r="AY207" i="8" s="1"/>
  <c r="F207" i="8"/>
  <c r="D207" i="8"/>
  <c r="AV207" i="8"/>
  <c r="C207" i="8"/>
  <c r="AM207" i="8"/>
  <c r="AH207" i="8"/>
  <c r="BB207" i="8" s="1"/>
  <c r="K217" i="8"/>
  <c r="BC217" i="8"/>
  <c r="AN222" i="8"/>
  <c r="G222" i="8"/>
  <c r="H222" i="8"/>
  <c r="AO222" i="8"/>
  <c r="E222" i="8"/>
  <c r="AM222" i="8"/>
  <c r="D222" i="8"/>
  <c r="I222" i="8"/>
  <c r="F222" i="8"/>
  <c r="AX222" i="8" a="1"/>
  <c r="AX222" i="8" s="1"/>
  <c r="AY222" i="8" s="1"/>
  <c r="C222" i="8"/>
  <c r="AH222" i="8"/>
  <c r="BB222" i="8" s="1"/>
  <c r="AO306" i="8"/>
  <c r="G33" i="8"/>
  <c r="G38" i="8"/>
  <c r="I118" i="8"/>
  <c r="AX118" i="8" a="1"/>
  <c r="AX118" i="8" s="1"/>
  <c r="AY118" i="8" s="1"/>
  <c r="AV118" i="8"/>
  <c r="G118" i="8"/>
  <c r="I123" i="8"/>
  <c r="AM123" i="8"/>
  <c r="E123" i="8"/>
  <c r="D123" i="8"/>
  <c r="C123" i="8"/>
  <c r="AV123" i="8"/>
  <c r="G123" i="8"/>
  <c r="D259" i="8"/>
  <c r="AX259" i="8" a="1"/>
  <c r="AX259" i="8" s="1"/>
  <c r="AY259" i="8" s="1"/>
  <c r="AV259" i="8"/>
  <c r="I259" i="8"/>
  <c r="H259" i="8"/>
  <c r="G259" i="8"/>
  <c r="F259" i="8"/>
  <c r="AO259" i="8"/>
  <c r="C259" i="8"/>
  <c r="AN259" i="8"/>
  <c r="AM259" i="8"/>
  <c r="AH259" i="8"/>
  <c r="BB259" i="8" s="1"/>
  <c r="K275" i="8"/>
  <c r="BC275" i="8"/>
  <c r="H38" i="8"/>
  <c r="AH51" i="8"/>
  <c r="BB51" i="8" s="1"/>
  <c r="AV51" i="8"/>
  <c r="AX94" i="8" a="1"/>
  <c r="AX94" i="8" s="1"/>
  <c r="AY94" i="8" s="1"/>
  <c r="I33" i="8"/>
  <c r="E37" i="8"/>
  <c r="AN37" i="8"/>
  <c r="I38" i="8"/>
  <c r="E41" i="8"/>
  <c r="AO41" i="8"/>
  <c r="AH46" i="8"/>
  <c r="BB46" i="8" s="1"/>
  <c r="AM46" i="8"/>
  <c r="C46" i="8"/>
  <c r="AN46" i="8"/>
  <c r="K47" i="8"/>
  <c r="F49" i="8"/>
  <c r="C51" i="8"/>
  <c r="AM51" i="8"/>
  <c r="K52" i="8"/>
  <c r="G56" i="8"/>
  <c r="E58" i="8"/>
  <c r="AO58" i="8"/>
  <c r="AH62" i="8"/>
  <c r="BB62" i="8" s="1"/>
  <c r="AN62" i="8"/>
  <c r="K63" i="8"/>
  <c r="AH68" i="8"/>
  <c r="BB68" i="8" s="1"/>
  <c r="AX68" i="8" a="1"/>
  <c r="AX68" i="8" s="1"/>
  <c r="AY68" i="8" s="1"/>
  <c r="AM68" i="8"/>
  <c r="F72" i="8"/>
  <c r="F74" i="8"/>
  <c r="K76" i="8"/>
  <c r="F82" i="8"/>
  <c r="AH85" i="8"/>
  <c r="BB85" i="8" s="1"/>
  <c r="AV85" i="8"/>
  <c r="AN85" i="8"/>
  <c r="E90" i="8"/>
  <c r="C94" i="8"/>
  <c r="E100" i="8"/>
  <c r="AX103" i="8" a="1"/>
  <c r="AX103" i="8" s="1"/>
  <c r="AY103" i="8" s="1"/>
  <c r="I113" i="8"/>
  <c r="AM113" i="8"/>
  <c r="E113" i="8"/>
  <c r="D113" i="8"/>
  <c r="C113" i="8"/>
  <c r="AO113" i="8"/>
  <c r="AN113" i="8"/>
  <c r="AH113" i="8"/>
  <c r="BB113" i="8" s="1"/>
  <c r="C118" i="8"/>
  <c r="AN118" i="8"/>
  <c r="K122" i="8"/>
  <c r="F123" i="8"/>
  <c r="K131" i="8"/>
  <c r="I136" i="8"/>
  <c r="AV136" i="8"/>
  <c r="H136" i="8"/>
  <c r="AO136" i="8"/>
  <c r="G136" i="8"/>
  <c r="D136" i="8"/>
  <c r="AH136" i="8"/>
  <c r="BB136" i="8" s="1"/>
  <c r="AN163" i="8"/>
  <c r="G163" i="8"/>
  <c r="AX163" i="8" a="1"/>
  <c r="AX163" i="8" s="1"/>
  <c r="AY163" i="8" s="1"/>
  <c r="AV163" i="8"/>
  <c r="I163" i="8"/>
  <c r="H163" i="8"/>
  <c r="F163" i="8"/>
  <c r="AM163" i="8"/>
  <c r="C163" i="8"/>
  <c r="AH163" i="8"/>
  <c r="BB163" i="8" s="1"/>
  <c r="AN177" i="8"/>
  <c r="G177" i="8"/>
  <c r="AM177" i="8"/>
  <c r="E177" i="8"/>
  <c r="D177" i="8"/>
  <c r="C177" i="8"/>
  <c r="AH177" i="8"/>
  <c r="BB177" i="8" s="1"/>
  <c r="AO177" i="8"/>
  <c r="K219" i="8"/>
  <c r="BC219" i="8"/>
  <c r="E259" i="8"/>
  <c r="K281" i="8"/>
  <c r="BC281" i="8"/>
  <c r="H287" i="8"/>
  <c r="AX287" i="8" a="1"/>
  <c r="AX287" i="8" s="1"/>
  <c r="AY287" i="8" s="1"/>
  <c r="AV287" i="8"/>
  <c r="I287" i="8"/>
  <c r="G287" i="8"/>
  <c r="AM287" i="8"/>
  <c r="D287" i="8"/>
  <c r="AH287" i="8"/>
  <c r="BB287" i="8" s="1"/>
  <c r="AO287" i="8"/>
  <c r="AN287" i="8"/>
  <c r="G28" i="8"/>
  <c r="H28" i="8"/>
  <c r="BC84" i="8"/>
  <c r="AM118" i="8"/>
  <c r="BC154" i="8"/>
  <c r="K154" i="8"/>
  <c r="C25" i="8"/>
  <c r="I28" i="8"/>
  <c r="G49" i="8"/>
  <c r="D51" i="8"/>
  <c r="AN51" i="8"/>
  <c r="H56" i="8"/>
  <c r="AV56" i="8"/>
  <c r="F58" i="8"/>
  <c r="AH60" i="8"/>
  <c r="BB60" i="8" s="1"/>
  <c r="H60" i="8"/>
  <c r="G60" i="8"/>
  <c r="AN60" i="8"/>
  <c r="D60" i="8"/>
  <c r="AH70" i="8"/>
  <c r="BB70" i="8" s="1"/>
  <c r="H70" i="8"/>
  <c r="G70" i="8"/>
  <c r="AN70" i="8"/>
  <c r="D70" i="8"/>
  <c r="AM70" i="8"/>
  <c r="C70" i="8"/>
  <c r="AV70" i="8"/>
  <c r="G72" i="8"/>
  <c r="I74" i="8"/>
  <c r="G82" i="8"/>
  <c r="I91" i="8"/>
  <c r="AH91" i="8"/>
  <c r="BB91" i="8" s="1"/>
  <c r="AX91" i="8" a="1"/>
  <c r="AX91" i="8" s="1"/>
  <c r="AY91" i="8" s="1"/>
  <c r="G91" i="8"/>
  <c r="AN91" i="8"/>
  <c r="I108" i="8"/>
  <c r="AX108" i="8" a="1"/>
  <c r="AX108" i="8" s="1"/>
  <c r="AY108" i="8" s="1"/>
  <c r="H108" i="8"/>
  <c r="G108" i="8"/>
  <c r="AO108" i="8"/>
  <c r="F108" i="8"/>
  <c r="AM108" i="8"/>
  <c r="D108" i="8"/>
  <c r="C108" i="8"/>
  <c r="AM109" i="8"/>
  <c r="D118" i="8"/>
  <c r="AO118" i="8"/>
  <c r="H123" i="8"/>
  <c r="BC152" i="8"/>
  <c r="K152" i="8"/>
  <c r="K211" i="8"/>
  <c r="BC211" i="8"/>
  <c r="K245" i="8"/>
  <c r="BC245" i="8"/>
  <c r="BC346" i="8"/>
  <c r="K346" i="8"/>
  <c r="H33" i="8"/>
  <c r="AH90" i="8"/>
  <c r="BB90" i="8" s="1"/>
  <c r="AV90" i="8"/>
  <c r="I90" i="8"/>
  <c r="H90" i="8"/>
  <c r="G90" i="8"/>
  <c r="AN90" i="8"/>
  <c r="D90" i="8"/>
  <c r="AM90" i="8"/>
  <c r="C90" i="8"/>
  <c r="I94" i="8"/>
  <c r="AO94" i="8"/>
  <c r="G94" i="8"/>
  <c r="AN94" i="8"/>
  <c r="F94" i="8"/>
  <c r="AM94" i="8"/>
  <c r="E94" i="8"/>
  <c r="D25" i="8"/>
  <c r="F26" i="8"/>
  <c r="AN26" i="8"/>
  <c r="F32" i="8"/>
  <c r="AO32" i="8"/>
  <c r="C24" i="8"/>
  <c r="E25" i="8"/>
  <c r="AM25" i="8"/>
  <c r="G26" i="8"/>
  <c r="AO26" i="8"/>
  <c r="AV28" i="8"/>
  <c r="G37" i="8"/>
  <c r="AV38" i="8"/>
  <c r="G41" i="8"/>
  <c r="E46" i="8"/>
  <c r="H49" i="8"/>
  <c r="E51" i="8"/>
  <c r="AO51" i="8"/>
  <c r="I56" i="8"/>
  <c r="G58" i="8"/>
  <c r="C60" i="8"/>
  <c r="D62" i="8"/>
  <c r="AH64" i="8"/>
  <c r="BB64" i="8" s="1"/>
  <c r="AX64" i="8" a="1"/>
  <c r="AX64" i="8" s="1"/>
  <c r="AY64" i="8" s="1"/>
  <c r="H64" i="8"/>
  <c r="AN64" i="8"/>
  <c r="AH66" i="8"/>
  <c r="BB66" i="8" s="1"/>
  <c r="AN66" i="8"/>
  <c r="D66" i="8"/>
  <c r="AM66" i="8"/>
  <c r="C66" i="8"/>
  <c r="D68" i="8"/>
  <c r="AO68" i="8"/>
  <c r="E70" i="8"/>
  <c r="H72" i="8"/>
  <c r="AV72" i="8"/>
  <c r="AM75" i="8"/>
  <c r="H82" i="8"/>
  <c r="AV82" i="8"/>
  <c r="D85" i="8"/>
  <c r="C91" i="8"/>
  <c r="AO91" i="8"/>
  <c r="H94" i="8"/>
  <c r="H100" i="8"/>
  <c r="E108" i="8"/>
  <c r="G113" i="8"/>
  <c r="E118" i="8"/>
  <c r="I125" i="8"/>
  <c r="H125" i="8"/>
  <c r="AO125" i="8"/>
  <c r="G125" i="8"/>
  <c r="AM125" i="8"/>
  <c r="E125" i="8"/>
  <c r="AX125" i="8" a="1"/>
  <c r="AX125" i="8" s="1"/>
  <c r="AY125" i="8" s="1"/>
  <c r="C125" i="8"/>
  <c r="I126" i="8"/>
  <c r="AV126" i="8"/>
  <c r="AO126" i="8"/>
  <c r="G126" i="8"/>
  <c r="AH126" i="8"/>
  <c r="BB126" i="8" s="1"/>
  <c r="BC132" i="8"/>
  <c r="K132" i="8"/>
  <c r="E136" i="8"/>
  <c r="E163" i="8"/>
  <c r="K165" i="8"/>
  <c r="BC165" i="8"/>
  <c r="H177" i="8"/>
  <c r="AN188" i="8"/>
  <c r="G188" i="8"/>
  <c r="AV188" i="8"/>
  <c r="F188" i="8"/>
  <c r="AO188" i="8"/>
  <c r="E188" i="8"/>
  <c r="AM188" i="8"/>
  <c r="D188" i="8"/>
  <c r="C188" i="8"/>
  <c r="AH188" i="8"/>
  <c r="BB188" i="8" s="1"/>
  <c r="AX188" i="8" a="1"/>
  <c r="AX188" i="8" s="1"/>
  <c r="AY188" i="8" s="1"/>
  <c r="AN192" i="8"/>
  <c r="G192" i="8"/>
  <c r="AO192" i="8"/>
  <c r="E192" i="8"/>
  <c r="AV192" i="8"/>
  <c r="H192" i="8"/>
  <c r="F192" i="8"/>
  <c r="D192" i="8"/>
  <c r="C192" i="8"/>
  <c r="AX192" i="8" a="1"/>
  <c r="AX192" i="8" s="1"/>
  <c r="AY192" i="8" s="1"/>
  <c r="AM192" i="8"/>
  <c r="AH192" i="8"/>
  <c r="BB192" i="8" s="1"/>
  <c r="AV199" i="8"/>
  <c r="K222" i="8"/>
  <c r="BC222" i="8"/>
  <c r="K234" i="8"/>
  <c r="BC234" i="8"/>
  <c r="E287" i="8"/>
  <c r="E290" i="8"/>
  <c r="I290" i="8"/>
  <c r="H290" i="8"/>
  <c r="G290" i="8"/>
  <c r="AO290" i="8"/>
  <c r="F290" i="8"/>
  <c r="AN290" i="8"/>
  <c r="D290" i="8"/>
  <c r="AM290" i="8"/>
  <c r="C290" i="8"/>
  <c r="AH290" i="8"/>
  <c r="BB290" i="8" s="1"/>
  <c r="AX290" i="8" a="1"/>
  <c r="AX290" i="8" s="1"/>
  <c r="AY290" i="8" s="1"/>
  <c r="AV290" i="8"/>
  <c r="AH43" i="8"/>
  <c r="BB43" i="8" s="1"/>
  <c r="AO43" i="8"/>
  <c r="E43" i="8"/>
  <c r="AM43" i="8"/>
  <c r="AN75" i="8"/>
  <c r="AH88" i="8"/>
  <c r="BB88" i="8" s="1"/>
  <c r="AX88" i="8" a="1"/>
  <c r="AX88" i="8" s="1"/>
  <c r="AY88" i="8" s="1"/>
  <c r="H88" i="8"/>
  <c r="AN88" i="8"/>
  <c r="BC97" i="8"/>
  <c r="K97" i="8"/>
  <c r="I109" i="8"/>
  <c r="AV109" i="8"/>
  <c r="F109" i="8"/>
  <c r="AO109" i="8"/>
  <c r="BC112" i="8"/>
  <c r="K112" i="8"/>
  <c r="F118" i="8"/>
  <c r="I141" i="8"/>
  <c r="AH141" i="8"/>
  <c r="BB141" i="8" s="1"/>
  <c r="H141" i="8"/>
  <c r="AV141" i="8"/>
  <c r="G141" i="8"/>
  <c r="AX141" i="8" a="1"/>
  <c r="AX141" i="8" s="1"/>
  <c r="AY141" i="8" s="1"/>
  <c r="AN205" i="8"/>
  <c r="G205" i="8"/>
  <c r="AH205" i="8"/>
  <c r="BB205" i="8" s="1"/>
  <c r="AO205" i="8"/>
  <c r="AM205" i="8"/>
  <c r="I205" i="8"/>
  <c r="F205" i="8"/>
  <c r="E205" i="8"/>
  <c r="AN216" i="8"/>
  <c r="G216" i="8"/>
  <c r="AX216" i="8" a="1"/>
  <c r="AX216" i="8" s="1"/>
  <c r="AY216" i="8" s="1"/>
  <c r="I216" i="8"/>
  <c r="H216" i="8"/>
  <c r="AV216" i="8"/>
  <c r="F216" i="8"/>
  <c r="E216" i="8"/>
  <c r="C216" i="8"/>
  <c r="AH216" i="8"/>
  <c r="BB216" i="8" s="1"/>
  <c r="AO216" i="8"/>
  <c r="AM216" i="8"/>
  <c r="AN244" i="8"/>
  <c r="G244" i="8"/>
  <c r="AH244" i="8"/>
  <c r="BB244" i="8" s="1"/>
  <c r="AX244" i="8" a="1"/>
  <c r="AX244" i="8" s="1"/>
  <c r="AY244" i="8" s="1"/>
  <c r="I244" i="8"/>
  <c r="H244" i="8"/>
  <c r="AV244" i="8"/>
  <c r="F244" i="8"/>
  <c r="E244" i="8"/>
  <c r="D244" i="8"/>
  <c r="AO244" i="8"/>
  <c r="C244" i="8"/>
  <c r="AM244" i="8"/>
  <c r="K259" i="8"/>
  <c r="BC259" i="8"/>
  <c r="F287" i="8"/>
  <c r="I137" i="8"/>
  <c r="AX137" i="8" a="1"/>
  <c r="AX137" i="8" s="1"/>
  <c r="AY137" i="8" s="1"/>
  <c r="AV137" i="8"/>
  <c r="AN137" i="8"/>
  <c r="F137" i="8"/>
  <c r="AM137" i="8"/>
  <c r="AN202" i="8"/>
  <c r="G202" i="8"/>
  <c r="AO202" i="8"/>
  <c r="E202" i="8"/>
  <c r="AH202" i="8"/>
  <c r="BB202" i="8" s="1"/>
  <c r="AM202" i="8"/>
  <c r="K216" i="8"/>
  <c r="BC216" i="8"/>
  <c r="E304" i="8"/>
  <c r="I304" i="8"/>
  <c r="G304" i="8"/>
  <c r="AO304" i="8"/>
  <c r="F304" i="8"/>
  <c r="AH304" i="8"/>
  <c r="BB304" i="8" s="1"/>
  <c r="AN304" i="8"/>
  <c r="AM304" i="8"/>
  <c r="H304" i="8"/>
  <c r="D304" i="8"/>
  <c r="C304" i="8"/>
  <c r="AX304" i="8" a="1"/>
  <c r="AX304" i="8" s="1"/>
  <c r="AY304" i="8" s="1"/>
  <c r="AV304" i="8"/>
  <c r="E368" i="8"/>
  <c r="AV368" i="8"/>
  <c r="C368" i="8"/>
  <c r="AX368" i="8" a="1"/>
  <c r="AX368" i="8" s="1"/>
  <c r="AY368" i="8" s="1"/>
  <c r="H368" i="8"/>
  <c r="G368" i="8"/>
  <c r="I368" i="8"/>
  <c r="F368" i="8"/>
  <c r="AO368" i="8"/>
  <c r="AN368" i="8"/>
  <c r="AM368" i="8"/>
  <c r="AH368" i="8"/>
  <c r="BB368" i="8" s="1"/>
  <c r="AN154" i="8"/>
  <c r="G154" i="8"/>
  <c r="C154" i="8"/>
  <c r="AH154" i="8"/>
  <c r="BB154" i="8" s="1"/>
  <c r="AX154" i="8" a="1"/>
  <c r="AX154" i="8" s="1"/>
  <c r="AY154" i="8" s="1"/>
  <c r="BC191" i="8"/>
  <c r="K191" i="8"/>
  <c r="AN199" i="8"/>
  <c r="G199" i="8"/>
  <c r="I199" i="8"/>
  <c r="AH199" i="8"/>
  <c r="BB199" i="8" s="1"/>
  <c r="H199" i="8"/>
  <c r="AN214" i="8"/>
  <c r="G214" i="8"/>
  <c r="AX214" i="8" a="1"/>
  <c r="AX214" i="8" s="1"/>
  <c r="AY214" i="8" s="1"/>
  <c r="AV214" i="8"/>
  <c r="I214" i="8"/>
  <c r="H214" i="8"/>
  <c r="F214" i="8"/>
  <c r="E214" i="8"/>
  <c r="AM214" i="8"/>
  <c r="C214" i="8"/>
  <c r="AH214" i="8"/>
  <c r="BB214" i="8" s="1"/>
  <c r="E300" i="8"/>
  <c r="AM300" i="8"/>
  <c r="AH300" i="8"/>
  <c r="BB300" i="8" s="1"/>
  <c r="I300" i="8"/>
  <c r="H300" i="8"/>
  <c r="G300" i="8"/>
  <c r="AX300" i="8" a="1"/>
  <c r="AX300" i="8" s="1"/>
  <c r="AY300" i="8" s="1"/>
  <c r="F300" i="8"/>
  <c r="AV300" i="8"/>
  <c r="C300" i="8"/>
  <c r="AO300" i="8"/>
  <c r="AN300" i="8"/>
  <c r="BC363" i="8"/>
  <c r="K363" i="8"/>
  <c r="D368" i="8"/>
  <c r="I426" i="8"/>
  <c r="AH426" i="8"/>
  <c r="BB426" i="8" s="1"/>
  <c r="F426" i="8"/>
  <c r="AX426" i="8" a="1"/>
  <c r="AX426" i="8" s="1"/>
  <c r="AY426" i="8" s="1"/>
  <c r="E426" i="8"/>
  <c r="H426" i="8"/>
  <c r="G426" i="8"/>
  <c r="D426" i="8"/>
  <c r="AV426" i="8"/>
  <c r="AO426" i="8"/>
  <c r="AN426" i="8"/>
  <c r="AM426" i="8"/>
  <c r="BC438" i="8"/>
  <c r="K438" i="8"/>
  <c r="E77" i="8"/>
  <c r="AO77" i="8"/>
  <c r="E87" i="8"/>
  <c r="AO87" i="8"/>
  <c r="K128" i="8"/>
  <c r="E137" i="8"/>
  <c r="E154" i="8"/>
  <c r="AV154" i="8"/>
  <c r="AN186" i="8"/>
  <c r="G186" i="8"/>
  <c r="H186" i="8"/>
  <c r="AX186" i="8" a="1"/>
  <c r="AX186" i="8" s="1"/>
  <c r="AY186" i="8" s="1"/>
  <c r="I186" i="8"/>
  <c r="AV186" i="8"/>
  <c r="F186" i="8"/>
  <c r="D199" i="8"/>
  <c r="F202" i="8"/>
  <c r="E294" i="8"/>
  <c r="AM294" i="8"/>
  <c r="D294" i="8"/>
  <c r="C294" i="8"/>
  <c r="AX294" i="8" a="1"/>
  <c r="AX294" i="8" s="1"/>
  <c r="AY294" i="8" s="1"/>
  <c r="AV294" i="8"/>
  <c r="G294" i="8"/>
  <c r="H294" i="8"/>
  <c r="AO294" i="8"/>
  <c r="AN294" i="8"/>
  <c r="AH294" i="8"/>
  <c r="BB294" i="8" s="1"/>
  <c r="E309" i="8"/>
  <c r="H309" i="8"/>
  <c r="I309" i="8"/>
  <c r="AO309" i="8"/>
  <c r="F309" i="8"/>
  <c r="AN309" i="8"/>
  <c r="D309" i="8"/>
  <c r="AM309" i="8"/>
  <c r="AH309" i="8"/>
  <c r="BB309" i="8" s="1"/>
  <c r="G309" i="8"/>
  <c r="AX309" i="8" a="1"/>
  <c r="AX309" i="8" s="1"/>
  <c r="AY309" i="8" s="1"/>
  <c r="AV309" i="8"/>
  <c r="AH63" i="8"/>
  <c r="BB63" i="8" s="1"/>
  <c r="F77" i="8"/>
  <c r="F87" i="8"/>
  <c r="I93" i="8"/>
  <c r="AM93" i="8"/>
  <c r="E93" i="8"/>
  <c r="D93" i="8"/>
  <c r="C93" i="8"/>
  <c r="G137" i="8"/>
  <c r="I144" i="8"/>
  <c r="AO144" i="8"/>
  <c r="G144" i="8"/>
  <c r="AN144" i="8"/>
  <c r="F144" i="8"/>
  <c r="AM144" i="8"/>
  <c r="E144" i="8"/>
  <c r="D144" i="8"/>
  <c r="C144" i="8"/>
  <c r="F154" i="8"/>
  <c r="AN158" i="8"/>
  <c r="G158" i="8"/>
  <c r="AV158" i="8"/>
  <c r="AH158" i="8"/>
  <c r="BB158" i="8" s="1"/>
  <c r="AO158" i="8"/>
  <c r="BC164" i="8"/>
  <c r="K164" i="8"/>
  <c r="BC166" i="8"/>
  <c r="AN196" i="8"/>
  <c r="G196" i="8"/>
  <c r="AH196" i="8"/>
  <c r="BB196" i="8" s="1"/>
  <c r="I196" i="8"/>
  <c r="AX196" i="8" a="1"/>
  <c r="AX196" i="8" s="1"/>
  <c r="AY196" i="8" s="1"/>
  <c r="H196" i="8"/>
  <c r="E199" i="8"/>
  <c r="H202" i="8"/>
  <c r="AN213" i="8"/>
  <c r="G213" i="8"/>
  <c r="AV213" i="8"/>
  <c r="AO213" i="8"/>
  <c r="E213" i="8"/>
  <c r="AM213" i="8"/>
  <c r="D213" i="8"/>
  <c r="AH213" i="8"/>
  <c r="BB213" i="8" s="1"/>
  <c r="AX213" i="8" a="1"/>
  <c r="AX213" i="8" s="1"/>
  <c r="AY213" i="8" s="1"/>
  <c r="AN223" i="8"/>
  <c r="G223" i="8"/>
  <c r="AX223" i="8" a="1"/>
  <c r="AX223" i="8" s="1"/>
  <c r="AY223" i="8" s="1"/>
  <c r="AH223" i="8"/>
  <c r="BB223" i="8" s="1"/>
  <c r="AM223" i="8"/>
  <c r="AN242" i="8"/>
  <c r="G242" i="8"/>
  <c r="AV242" i="8"/>
  <c r="I242" i="8"/>
  <c r="H242" i="8"/>
  <c r="F242" i="8"/>
  <c r="AO242" i="8"/>
  <c r="E242" i="8"/>
  <c r="AM242" i="8"/>
  <c r="D242" i="8"/>
  <c r="AX242" i="8" a="1"/>
  <c r="AX242" i="8" s="1"/>
  <c r="AY242" i="8" s="1"/>
  <c r="AH242" i="8"/>
  <c r="BB242" i="8" s="1"/>
  <c r="K273" i="8"/>
  <c r="BC273" i="8"/>
  <c r="F294" i="8"/>
  <c r="BC304" i="8"/>
  <c r="K304" i="8"/>
  <c r="C309" i="8"/>
  <c r="AN149" i="8"/>
  <c r="G149" i="8"/>
  <c r="AX149" i="8" a="1"/>
  <c r="AX149" i="8" s="1"/>
  <c r="AY149" i="8" s="1"/>
  <c r="AH149" i="8"/>
  <c r="BB149" i="8" s="1"/>
  <c r="H154" i="8"/>
  <c r="AN166" i="8"/>
  <c r="G166" i="8"/>
  <c r="H166" i="8"/>
  <c r="AO166" i="8"/>
  <c r="E166" i="8"/>
  <c r="AM166" i="8"/>
  <c r="D166" i="8"/>
  <c r="AX166" i="8" a="1"/>
  <c r="AX166" i="8" s="1"/>
  <c r="AY166" i="8" s="1"/>
  <c r="AV166" i="8"/>
  <c r="I166" i="8"/>
  <c r="C166" i="8"/>
  <c r="AN167" i="8"/>
  <c r="G167" i="8"/>
  <c r="I167" i="8"/>
  <c r="AH167" i="8"/>
  <c r="BB167" i="8" s="1"/>
  <c r="AO167" i="8"/>
  <c r="K184" i="8"/>
  <c r="BC184" i="8"/>
  <c r="C196" i="8"/>
  <c r="AN198" i="8"/>
  <c r="G198" i="8"/>
  <c r="AV198" i="8"/>
  <c r="AM198" i="8"/>
  <c r="D198" i="8"/>
  <c r="AX198" i="8" a="1"/>
  <c r="AX198" i="8" s="1"/>
  <c r="AY198" i="8" s="1"/>
  <c r="I198" i="8"/>
  <c r="H198" i="8"/>
  <c r="E198" i="8"/>
  <c r="AH198" i="8"/>
  <c r="BB198" i="8" s="1"/>
  <c r="F199" i="8"/>
  <c r="I202" i="8"/>
  <c r="AN210" i="8"/>
  <c r="G210" i="8"/>
  <c r="AH210" i="8"/>
  <c r="BB210" i="8" s="1"/>
  <c r="C213" i="8"/>
  <c r="AN227" i="8"/>
  <c r="G227" i="8"/>
  <c r="AX227" i="8" a="1"/>
  <c r="AX227" i="8" s="1"/>
  <c r="AY227" i="8" s="1"/>
  <c r="AH227" i="8"/>
  <c r="BB227" i="8" s="1"/>
  <c r="I227" i="8"/>
  <c r="H227" i="8"/>
  <c r="F227" i="8"/>
  <c r="E227" i="8"/>
  <c r="D227" i="8"/>
  <c r="AV227" i="8"/>
  <c r="C227" i="8"/>
  <c r="K228" i="8"/>
  <c r="BC228" i="8"/>
  <c r="K229" i="8"/>
  <c r="BC229" i="8"/>
  <c r="AM235" i="8"/>
  <c r="AN239" i="8"/>
  <c r="G239" i="8"/>
  <c r="AX239" i="8" a="1"/>
  <c r="AX239" i="8" s="1"/>
  <c r="AY239" i="8" s="1"/>
  <c r="F239" i="8"/>
  <c r="AH239" i="8"/>
  <c r="BB239" i="8" s="1"/>
  <c r="AM239" i="8"/>
  <c r="AN240" i="8"/>
  <c r="G240" i="8"/>
  <c r="AH240" i="8"/>
  <c r="BB240" i="8" s="1"/>
  <c r="AX240" i="8" a="1"/>
  <c r="AX240" i="8" s="1"/>
  <c r="AY240" i="8" s="1"/>
  <c r="I240" i="8"/>
  <c r="AV240" i="8"/>
  <c r="F240" i="8"/>
  <c r="E240" i="8"/>
  <c r="I294" i="8"/>
  <c r="BC365" i="8"/>
  <c r="K365" i="8"/>
  <c r="BC402" i="8"/>
  <c r="K402" i="8"/>
  <c r="I131" i="8"/>
  <c r="AH131" i="8"/>
  <c r="BB131" i="8" s="1"/>
  <c r="AN131" i="8"/>
  <c r="BC139" i="8"/>
  <c r="I154" i="8"/>
  <c r="AN161" i="8"/>
  <c r="G161" i="8"/>
  <c r="F161" i="8"/>
  <c r="AO161" i="8"/>
  <c r="E161" i="8"/>
  <c r="AH161" i="8"/>
  <c r="BB161" i="8" s="1"/>
  <c r="AX161" i="8" a="1"/>
  <c r="AX161" i="8" s="1"/>
  <c r="AY161" i="8" s="1"/>
  <c r="K205" i="8"/>
  <c r="BC205" i="8"/>
  <c r="K233" i="8"/>
  <c r="BC233" i="8"/>
  <c r="BC318" i="8"/>
  <c r="K318" i="8"/>
  <c r="E53" i="8"/>
  <c r="AO53" i="8"/>
  <c r="E63" i="8"/>
  <c r="AO63" i="8"/>
  <c r="E73" i="8"/>
  <c r="AO73" i="8"/>
  <c r="I77" i="8"/>
  <c r="E83" i="8"/>
  <c r="AO83" i="8"/>
  <c r="I87" i="8"/>
  <c r="H93" i="8"/>
  <c r="AV93" i="8"/>
  <c r="F99" i="8"/>
  <c r="I116" i="8"/>
  <c r="AV116" i="8"/>
  <c r="I129" i="8"/>
  <c r="AX129" i="8" a="1"/>
  <c r="AX129" i="8" s="1"/>
  <c r="AY129" i="8" s="1"/>
  <c r="AM129" i="8"/>
  <c r="C131" i="8"/>
  <c r="AO131" i="8"/>
  <c r="I140" i="8"/>
  <c r="AH140" i="8"/>
  <c r="BB140" i="8" s="1"/>
  <c r="AN140" i="8"/>
  <c r="D149" i="8"/>
  <c r="C161" i="8"/>
  <c r="D167" i="8"/>
  <c r="AV167" i="8"/>
  <c r="E196" i="8"/>
  <c r="H213" i="8"/>
  <c r="AN224" i="8"/>
  <c r="G224" i="8"/>
  <c r="AX224" i="8" a="1"/>
  <c r="AX224" i="8" s="1"/>
  <c r="AY224" i="8" s="1"/>
  <c r="I224" i="8"/>
  <c r="AV224" i="8"/>
  <c r="H224" i="8"/>
  <c r="F224" i="8"/>
  <c r="E224" i="8"/>
  <c r="AM224" i="8"/>
  <c r="C224" i="8"/>
  <c r="AH224" i="8"/>
  <c r="BB224" i="8" s="1"/>
  <c r="AN232" i="8"/>
  <c r="G232" i="8"/>
  <c r="AX232" i="8" a="1"/>
  <c r="AX232" i="8" s="1"/>
  <c r="AY232" i="8" s="1"/>
  <c r="I232" i="8"/>
  <c r="AV232" i="8"/>
  <c r="H232" i="8"/>
  <c r="F232" i="8"/>
  <c r="E232" i="8"/>
  <c r="AO232" i="8"/>
  <c r="D232" i="8"/>
  <c r="AM232" i="8"/>
  <c r="C232" i="8"/>
  <c r="AH232" i="8"/>
  <c r="BB232" i="8" s="1"/>
  <c r="K279" i="8"/>
  <c r="BC279" i="8"/>
  <c r="AV281" i="8"/>
  <c r="I281" i="8"/>
  <c r="H281" i="8"/>
  <c r="G281" i="8"/>
  <c r="AO281" i="8"/>
  <c r="F281" i="8"/>
  <c r="C281" i="8"/>
  <c r="AH281" i="8"/>
  <c r="BB281" i="8" s="1"/>
  <c r="AX281" i="8" a="1"/>
  <c r="AX281" i="8" s="1"/>
  <c r="AY281" i="8" s="1"/>
  <c r="AN281" i="8"/>
  <c r="E281" i="8"/>
  <c r="D281" i="8"/>
  <c r="AV77" i="8"/>
  <c r="AH79" i="8"/>
  <c r="BB79" i="8" s="1"/>
  <c r="AV87" i="8"/>
  <c r="I95" i="8"/>
  <c r="H95" i="8"/>
  <c r="AO95" i="8"/>
  <c r="G95" i="8"/>
  <c r="I101" i="8"/>
  <c r="AH101" i="8"/>
  <c r="BB101" i="8" s="1"/>
  <c r="I107" i="8"/>
  <c r="AX107" i="8" a="1"/>
  <c r="AX107" i="8" s="1"/>
  <c r="AY107" i="8" s="1"/>
  <c r="AV107" i="8"/>
  <c r="BC137" i="8"/>
  <c r="E149" i="8"/>
  <c r="AV149" i="8"/>
  <c r="D161" i="8"/>
  <c r="E167" i="8"/>
  <c r="AN173" i="8"/>
  <c r="G173" i="8"/>
  <c r="AV173" i="8"/>
  <c r="AO173" i="8"/>
  <c r="E173" i="8"/>
  <c r="AH173" i="8"/>
  <c r="BB173" i="8" s="1"/>
  <c r="AX173" i="8" a="1"/>
  <c r="AX173" i="8" s="1"/>
  <c r="AY173" i="8" s="1"/>
  <c r="AN193" i="8"/>
  <c r="G193" i="8"/>
  <c r="AV193" i="8"/>
  <c r="AM193" i="8"/>
  <c r="D193" i="8"/>
  <c r="AX193" i="8" a="1"/>
  <c r="AX193" i="8" s="1"/>
  <c r="AY193" i="8" s="1"/>
  <c r="I193" i="8"/>
  <c r="F196" i="8"/>
  <c r="E210" i="8"/>
  <c r="AV210" i="8"/>
  <c r="I213" i="8"/>
  <c r="K220" i="8"/>
  <c r="BC220" i="8"/>
  <c r="D224" i="8"/>
  <c r="AO231" i="8"/>
  <c r="BC252" i="8"/>
  <c r="K252" i="8"/>
  <c r="E390" i="8"/>
  <c r="AX390" i="8" a="1"/>
  <c r="AX390" i="8" s="1"/>
  <c r="AY390" i="8" s="1"/>
  <c r="AV390" i="8"/>
  <c r="H390" i="8"/>
  <c r="AO390" i="8"/>
  <c r="G390" i="8"/>
  <c r="D390" i="8"/>
  <c r="AN390" i="8"/>
  <c r="C390" i="8"/>
  <c r="AM390" i="8"/>
  <c r="AH390" i="8"/>
  <c r="BB390" i="8" s="1"/>
  <c r="I390" i="8"/>
  <c r="F390" i="8"/>
  <c r="I98" i="8"/>
  <c r="AX98" i="8" a="1"/>
  <c r="AX98" i="8" s="1"/>
  <c r="AY98" i="8" s="1"/>
  <c r="I104" i="8"/>
  <c r="AO104" i="8"/>
  <c r="G104" i="8"/>
  <c r="AN104" i="8"/>
  <c r="F104" i="8"/>
  <c r="AM104" i="8"/>
  <c r="E104" i="8"/>
  <c r="I110" i="8"/>
  <c r="AH110" i="8"/>
  <c r="BB110" i="8" s="1"/>
  <c r="AM110" i="8"/>
  <c r="I119" i="8"/>
  <c r="AX119" i="8" a="1"/>
  <c r="AX119" i="8" s="1"/>
  <c r="AY119" i="8" s="1"/>
  <c r="I124" i="8"/>
  <c r="AO124" i="8"/>
  <c r="G124" i="8"/>
  <c r="AN124" i="8"/>
  <c r="F124" i="8"/>
  <c r="AM124" i="8"/>
  <c r="E124" i="8"/>
  <c r="C124" i="8"/>
  <c r="E131" i="8"/>
  <c r="I138" i="8"/>
  <c r="AX138" i="8" a="1"/>
  <c r="AX138" i="8" s="1"/>
  <c r="AY138" i="8" s="1"/>
  <c r="AV138" i="8"/>
  <c r="H138" i="8"/>
  <c r="AN147" i="8"/>
  <c r="G147" i="8"/>
  <c r="AX147" i="8" a="1"/>
  <c r="AX147" i="8" s="1"/>
  <c r="AY147" i="8" s="1"/>
  <c r="AV147" i="8"/>
  <c r="AO147" i="8"/>
  <c r="F147" i="8"/>
  <c r="AM147" i="8"/>
  <c r="F149" i="8"/>
  <c r="H161" i="8"/>
  <c r="F167" i="8"/>
  <c r="AX167" i="8" a="1"/>
  <c r="AX167" i="8" s="1"/>
  <c r="AY167" i="8" s="1"/>
  <c r="AM189" i="8"/>
  <c r="K203" i="8"/>
  <c r="BC203" i="8"/>
  <c r="AN235" i="8"/>
  <c r="G235" i="8"/>
  <c r="AX235" i="8" a="1"/>
  <c r="AX235" i="8" s="1"/>
  <c r="AY235" i="8" s="1"/>
  <c r="AH235" i="8"/>
  <c r="BB235" i="8" s="1"/>
  <c r="AV235" i="8"/>
  <c r="K271" i="8"/>
  <c r="BC271" i="8"/>
  <c r="E364" i="8"/>
  <c r="C364" i="8"/>
  <c r="AX364" i="8" a="1"/>
  <c r="AX364" i="8" s="1"/>
  <c r="AY364" i="8" s="1"/>
  <c r="AV364" i="8"/>
  <c r="G364" i="8"/>
  <c r="AO364" i="8"/>
  <c r="F364" i="8"/>
  <c r="AH364" i="8"/>
  <c r="BB364" i="8" s="1"/>
  <c r="AN364" i="8"/>
  <c r="AM364" i="8"/>
  <c r="H364" i="8"/>
  <c r="I364" i="8"/>
  <c r="D364" i="8"/>
  <c r="E387" i="8"/>
  <c r="AN387" i="8"/>
  <c r="F387" i="8"/>
  <c r="AX387" i="8" a="1"/>
  <c r="AX387" i="8" s="1"/>
  <c r="AY387" i="8" s="1"/>
  <c r="AV387" i="8"/>
  <c r="I387" i="8"/>
  <c r="H387" i="8"/>
  <c r="G387" i="8"/>
  <c r="D387" i="8"/>
  <c r="C387" i="8"/>
  <c r="AH387" i="8"/>
  <c r="BB387" i="8" s="1"/>
  <c r="AO387" i="8"/>
  <c r="AM387" i="8"/>
  <c r="AN169" i="8"/>
  <c r="G169" i="8"/>
  <c r="AX169" i="8" a="1"/>
  <c r="AX169" i="8" s="1"/>
  <c r="AY169" i="8" s="1"/>
  <c r="AN176" i="8"/>
  <c r="G176" i="8"/>
  <c r="H176" i="8"/>
  <c r="AO176" i="8"/>
  <c r="K181" i="8"/>
  <c r="D257" i="8"/>
  <c r="AX257" i="8" a="1"/>
  <c r="AX257" i="8" s="1"/>
  <c r="AY257" i="8" s="1"/>
  <c r="AH257" i="8"/>
  <c r="BB257" i="8" s="1"/>
  <c r="AM257" i="8"/>
  <c r="AN260" i="8"/>
  <c r="K265" i="8"/>
  <c r="AN286" i="8"/>
  <c r="F286" i="8"/>
  <c r="I286" i="8"/>
  <c r="H286" i="8"/>
  <c r="G286" i="8"/>
  <c r="AO286" i="8"/>
  <c r="E286" i="8"/>
  <c r="AM286" i="8"/>
  <c r="D286" i="8"/>
  <c r="C286" i="8"/>
  <c r="AX286" i="8" a="1"/>
  <c r="AX286" i="8" s="1"/>
  <c r="AY286" i="8" s="1"/>
  <c r="AV286" i="8"/>
  <c r="AH286" i="8"/>
  <c r="BB286" i="8" s="1"/>
  <c r="K314" i="8"/>
  <c r="BC314" i="8"/>
  <c r="AN174" i="8"/>
  <c r="G174" i="8"/>
  <c r="C174" i="8"/>
  <c r="AX174" i="8" a="1"/>
  <c r="AX174" i="8" s="1"/>
  <c r="AY174" i="8" s="1"/>
  <c r="AM174" i="8"/>
  <c r="AN219" i="8"/>
  <c r="G219" i="8"/>
  <c r="AX219" i="8" a="1"/>
  <c r="AX219" i="8" s="1"/>
  <c r="AY219" i="8" s="1"/>
  <c r="AH219" i="8"/>
  <c r="BB219" i="8" s="1"/>
  <c r="AV219" i="8"/>
  <c r="K268" i="8"/>
  <c r="BC268" i="8"/>
  <c r="K328" i="8"/>
  <c r="BC328" i="8"/>
  <c r="K354" i="8"/>
  <c r="BC354" i="8"/>
  <c r="K359" i="8"/>
  <c r="BC359" i="8"/>
  <c r="D174" i="8"/>
  <c r="AO174" i="8"/>
  <c r="AN180" i="8"/>
  <c r="G180" i="8"/>
  <c r="AX180" i="8" a="1"/>
  <c r="AX180" i="8" s="1"/>
  <c r="AY180" i="8" s="1"/>
  <c r="AN189" i="8"/>
  <c r="G189" i="8"/>
  <c r="AX189" i="8" a="1"/>
  <c r="AX189" i="8" s="1"/>
  <c r="AY189" i="8" s="1"/>
  <c r="AV189" i="8"/>
  <c r="I189" i="8"/>
  <c r="F189" i="8"/>
  <c r="AN194" i="8"/>
  <c r="G194" i="8"/>
  <c r="I194" i="8"/>
  <c r="AH194" i="8"/>
  <c r="BB194" i="8" s="1"/>
  <c r="K210" i="8"/>
  <c r="BC210" i="8"/>
  <c r="C219" i="8"/>
  <c r="BC225" i="8"/>
  <c r="E292" i="8"/>
  <c r="AH292" i="8"/>
  <c r="BB292" i="8" s="1"/>
  <c r="AV292" i="8"/>
  <c r="I292" i="8"/>
  <c r="H292" i="8"/>
  <c r="G292" i="8"/>
  <c r="AX292" i="8" a="1"/>
  <c r="AX292" i="8" s="1"/>
  <c r="AY292" i="8" s="1"/>
  <c r="F292" i="8"/>
  <c r="D292" i="8"/>
  <c r="C292" i="8"/>
  <c r="AO292" i="8"/>
  <c r="AN292" i="8"/>
  <c r="K426" i="8"/>
  <c r="BC426" i="8"/>
  <c r="E135" i="8"/>
  <c r="AM135" i="8"/>
  <c r="AN151" i="8"/>
  <c r="G151" i="8"/>
  <c r="E174" i="8"/>
  <c r="AN178" i="8"/>
  <c r="G178" i="8"/>
  <c r="AV178" i="8"/>
  <c r="I178" i="8"/>
  <c r="H178" i="8"/>
  <c r="AO178" i="8"/>
  <c r="F178" i="8"/>
  <c r="C178" i="8"/>
  <c r="C180" i="8"/>
  <c r="AM180" i="8"/>
  <c r="C189" i="8"/>
  <c r="C194" i="8"/>
  <c r="AV194" i="8"/>
  <c r="K199" i="8"/>
  <c r="BC199" i="8"/>
  <c r="K215" i="8"/>
  <c r="BC215" i="8"/>
  <c r="D219" i="8"/>
  <c r="K237" i="8"/>
  <c r="BC237" i="8"/>
  <c r="K238" i="8"/>
  <c r="BC238" i="8"/>
  <c r="D256" i="8"/>
  <c r="AV256" i="8"/>
  <c r="H256" i="8"/>
  <c r="AX256" i="8" a="1"/>
  <c r="AX256" i="8" s="1"/>
  <c r="AY256" i="8" s="1"/>
  <c r="I256" i="8"/>
  <c r="F256" i="8"/>
  <c r="AN256" i="8"/>
  <c r="AM256" i="8"/>
  <c r="AH256" i="8"/>
  <c r="BB256" i="8" s="1"/>
  <c r="AN299" i="8"/>
  <c r="E310" i="8"/>
  <c r="I310" i="8"/>
  <c r="AX310" i="8" a="1"/>
  <c r="AX310" i="8" s="1"/>
  <c r="AY310" i="8" s="1"/>
  <c r="AV310" i="8"/>
  <c r="H310" i="8"/>
  <c r="G310" i="8"/>
  <c r="AO310" i="8"/>
  <c r="F310" i="8"/>
  <c r="AN310" i="8"/>
  <c r="D310" i="8"/>
  <c r="C310" i="8"/>
  <c r="AM310" i="8"/>
  <c r="AV456" i="8"/>
  <c r="I143" i="8"/>
  <c r="AN159" i="8"/>
  <c r="G159" i="8"/>
  <c r="AX159" i="8" a="1"/>
  <c r="AX159" i="8" s="1"/>
  <c r="AY159" i="8" s="1"/>
  <c r="AH159" i="8"/>
  <c r="BB159" i="8" s="1"/>
  <c r="F174" i="8"/>
  <c r="D180" i="8"/>
  <c r="AO180" i="8"/>
  <c r="D189" i="8"/>
  <c r="D194" i="8"/>
  <c r="K196" i="8"/>
  <c r="BC196" i="8"/>
  <c r="AN204" i="8"/>
  <c r="G204" i="8"/>
  <c r="I204" i="8"/>
  <c r="AX204" i="8" a="1"/>
  <c r="AX204" i="8" s="1"/>
  <c r="AY204" i="8" s="1"/>
  <c r="AV204" i="8"/>
  <c r="H204" i="8"/>
  <c r="AM204" i="8"/>
  <c r="E219" i="8"/>
  <c r="K303" i="8"/>
  <c r="BC303" i="8"/>
  <c r="C133" i="8"/>
  <c r="G135" i="8"/>
  <c r="AO135" i="8"/>
  <c r="C143" i="8"/>
  <c r="G145" i="8"/>
  <c r="AO145" i="8"/>
  <c r="D151" i="8"/>
  <c r="AM151" i="8"/>
  <c r="C159" i="8"/>
  <c r="AM159" i="8"/>
  <c r="AN165" i="8"/>
  <c r="G165" i="8"/>
  <c r="AM165" i="8"/>
  <c r="E165" i="8"/>
  <c r="AO165" i="8"/>
  <c r="AN168" i="8"/>
  <c r="G168" i="8"/>
  <c r="AV168" i="8"/>
  <c r="AX168" i="8" a="1"/>
  <c r="AX168" i="8" s="1"/>
  <c r="AY168" i="8" s="1"/>
  <c r="H169" i="8"/>
  <c r="H174" i="8"/>
  <c r="I176" i="8"/>
  <c r="E178" i="8"/>
  <c r="AX178" i="8" a="1"/>
  <c r="AX178" i="8" s="1"/>
  <c r="AY178" i="8" s="1"/>
  <c r="E180" i="8"/>
  <c r="E189" i="8"/>
  <c r="AH190" i="8"/>
  <c r="BB190" i="8" s="1"/>
  <c r="E194" i="8"/>
  <c r="AX194" i="8" a="1"/>
  <c r="AX194" i="8" s="1"/>
  <c r="AY194" i="8" s="1"/>
  <c r="C204" i="8"/>
  <c r="AO204" i="8"/>
  <c r="F219" i="8"/>
  <c r="AN248" i="8"/>
  <c r="AV280" i="8"/>
  <c r="AM320" i="8"/>
  <c r="K340" i="8"/>
  <c r="BC340" i="8"/>
  <c r="E372" i="8"/>
  <c r="AH372" i="8"/>
  <c r="BB372" i="8" s="1"/>
  <c r="AV372" i="8"/>
  <c r="AX372" i="8" a="1"/>
  <c r="AX372" i="8" s="1"/>
  <c r="AY372" i="8" s="1"/>
  <c r="H372" i="8"/>
  <c r="G372" i="8"/>
  <c r="AN372" i="8"/>
  <c r="AM372" i="8"/>
  <c r="AO372" i="8"/>
  <c r="F372" i="8"/>
  <c r="D372" i="8"/>
  <c r="I102" i="8"/>
  <c r="I112" i="8"/>
  <c r="D133" i="8"/>
  <c r="H135" i="8"/>
  <c r="I142" i="8"/>
  <c r="D143" i="8"/>
  <c r="H145" i="8"/>
  <c r="AN150" i="8"/>
  <c r="G150" i="8"/>
  <c r="E151" i="8"/>
  <c r="AO151" i="8"/>
  <c r="D159" i="8"/>
  <c r="AO159" i="8"/>
  <c r="AN162" i="8"/>
  <c r="G162" i="8"/>
  <c r="AH162" i="8"/>
  <c r="BB162" i="8" s="1"/>
  <c r="AV162" i="8"/>
  <c r="C165" i="8"/>
  <c r="C168" i="8"/>
  <c r="I169" i="8"/>
  <c r="I174" i="8"/>
  <c r="AV174" i="8"/>
  <c r="AX176" i="8" a="1"/>
  <c r="AX176" i="8" s="1"/>
  <c r="AY176" i="8" s="1"/>
  <c r="F180" i="8"/>
  <c r="AN185" i="8"/>
  <c r="G185" i="8"/>
  <c r="AM185" i="8"/>
  <c r="E185" i="8"/>
  <c r="AX185" i="8" a="1"/>
  <c r="AX185" i="8" s="1"/>
  <c r="AY185" i="8" s="1"/>
  <c r="H189" i="8"/>
  <c r="F194" i="8"/>
  <c r="AN201" i="8"/>
  <c r="G201" i="8"/>
  <c r="AX201" i="8" a="1"/>
  <c r="AX201" i="8" s="1"/>
  <c r="AY201" i="8" s="1"/>
  <c r="I201" i="8"/>
  <c r="F201" i="8"/>
  <c r="D204" i="8"/>
  <c r="AN212" i="8"/>
  <c r="G212" i="8"/>
  <c r="AO212" i="8"/>
  <c r="E212" i="8"/>
  <c r="H212" i="8"/>
  <c r="H219" i="8"/>
  <c r="AN220" i="8"/>
  <c r="G220" i="8"/>
  <c r="AX220" i="8" a="1"/>
  <c r="AX220" i="8" s="1"/>
  <c r="AY220" i="8" s="1"/>
  <c r="I220" i="8"/>
  <c r="AV220" i="8"/>
  <c r="H220" i="8"/>
  <c r="F220" i="8"/>
  <c r="AO220" i="8"/>
  <c r="D220" i="8"/>
  <c r="AM231" i="8"/>
  <c r="AM249" i="8"/>
  <c r="K264" i="8"/>
  <c r="BC264" i="8"/>
  <c r="D267" i="8"/>
  <c r="AX267" i="8" a="1"/>
  <c r="AX267" i="8" s="1"/>
  <c r="AY267" i="8" s="1"/>
  <c r="AV267" i="8"/>
  <c r="AH267" i="8"/>
  <c r="BB267" i="8" s="1"/>
  <c r="AN267" i="8"/>
  <c r="E288" i="8"/>
  <c r="AV288" i="8"/>
  <c r="I288" i="8"/>
  <c r="AX288" i="8" a="1"/>
  <c r="AX288" i="8" s="1"/>
  <c r="AY288" i="8" s="1"/>
  <c r="H288" i="8"/>
  <c r="G288" i="8"/>
  <c r="F288" i="8"/>
  <c r="AN288" i="8"/>
  <c r="C288" i="8"/>
  <c r="AH288" i="8"/>
  <c r="BB288" i="8" s="1"/>
  <c r="AX295" i="8" a="1"/>
  <c r="AX295" i="8" s="1"/>
  <c r="AY295" i="8" s="1"/>
  <c r="C372" i="8"/>
  <c r="C92" i="8"/>
  <c r="C102" i="8"/>
  <c r="C112" i="8"/>
  <c r="C122" i="8"/>
  <c r="C132" i="8"/>
  <c r="E133" i="8"/>
  <c r="AM133" i="8"/>
  <c r="C142" i="8"/>
  <c r="E143" i="8"/>
  <c r="AM143" i="8"/>
  <c r="C150" i="8"/>
  <c r="F151" i="8"/>
  <c r="AN155" i="8"/>
  <c r="G155" i="8"/>
  <c r="AM155" i="8"/>
  <c r="E155" i="8"/>
  <c r="F155" i="8"/>
  <c r="E159" i="8"/>
  <c r="C162" i="8"/>
  <c r="AM162" i="8"/>
  <c r="D165" i="8"/>
  <c r="D168" i="8"/>
  <c r="AV169" i="8"/>
  <c r="H180" i="8"/>
  <c r="H194" i="8"/>
  <c r="E204" i="8"/>
  <c r="K207" i="8"/>
  <c r="BC207" i="8"/>
  <c r="C212" i="8"/>
  <c r="AV212" i="8"/>
  <c r="I219" i="8"/>
  <c r="C220" i="8"/>
  <c r="AO251" i="8"/>
  <c r="C267" i="8"/>
  <c r="AO267" i="8"/>
  <c r="D288" i="8"/>
  <c r="E291" i="8"/>
  <c r="AO291" i="8"/>
  <c r="D291" i="8"/>
  <c r="AX291" i="8" a="1"/>
  <c r="AX291" i="8" s="1"/>
  <c r="AY291" i="8" s="1"/>
  <c r="G291" i="8"/>
  <c r="I291" i="8"/>
  <c r="AN291" i="8"/>
  <c r="AM291" i="8"/>
  <c r="AH291" i="8"/>
  <c r="BB291" i="8" s="1"/>
  <c r="I372" i="8"/>
  <c r="I180" i="8"/>
  <c r="AV180" i="8"/>
  <c r="AN190" i="8"/>
  <c r="G190" i="8"/>
  <c r="AN231" i="8"/>
  <c r="G231" i="8"/>
  <c r="AX231" i="8" a="1"/>
  <c r="AX231" i="8" s="1"/>
  <c r="AY231" i="8" s="1"/>
  <c r="AH231" i="8"/>
  <c r="BB231" i="8" s="1"/>
  <c r="AX274" i="8" a="1"/>
  <c r="AX274" i="8" s="1"/>
  <c r="AY274" i="8" s="1"/>
  <c r="K344" i="8"/>
  <c r="BC344" i="8"/>
  <c r="BC227" i="8"/>
  <c r="D247" i="8"/>
  <c r="AX247" i="8" a="1"/>
  <c r="AX247" i="8" s="1"/>
  <c r="AY247" i="8" s="1"/>
  <c r="I247" i="8"/>
  <c r="AM247" i="8"/>
  <c r="D253" i="8"/>
  <c r="AN253" i="8"/>
  <c r="F253" i="8"/>
  <c r="AM253" i="8"/>
  <c r="E253" i="8"/>
  <c r="AX253" i="8" a="1"/>
  <c r="AX253" i="8" s="1"/>
  <c r="AY253" i="8" s="1"/>
  <c r="AV253" i="8"/>
  <c r="I253" i="8"/>
  <c r="C253" i="8"/>
  <c r="E305" i="8"/>
  <c r="AH305" i="8"/>
  <c r="BB305" i="8" s="1"/>
  <c r="AX305" i="8" a="1"/>
  <c r="AX305" i="8" s="1"/>
  <c r="AY305" i="8" s="1"/>
  <c r="AV305" i="8"/>
  <c r="I305" i="8"/>
  <c r="G305" i="8"/>
  <c r="H305" i="8"/>
  <c r="F305" i="8"/>
  <c r="D305" i="8"/>
  <c r="AN305" i="8"/>
  <c r="AM305" i="8"/>
  <c r="AN195" i="8"/>
  <c r="G195" i="8"/>
  <c r="AM195" i="8"/>
  <c r="AN206" i="8"/>
  <c r="G206" i="8"/>
  <c r="AM206" i="8"/>
  <c r="AN218" i="8"/>
  <c r="G218" i="8"/>
  <c r="H218" i="8"/>
  <c r="AO218" i="8"/>
  <c r="E218" i="8"/>
  <c r="AM218" i="8"/>
  <c r="D218" i="8"/>
  <c r="AV218" i="8"/>
  <c r="AN228" i="8"/>
  <c r="G228" i="8"/>
  <c r="BC231" i="8"/>
  <c r="C247" i="8"/>
  <c r="AN247" i="8"/>
  <c r="D250" i="8"/>
  <c r="AH250" i="8"/>
  <c r="BB250" i="8" s="1"/>
  <c r="AX250" i="8" a="1"/>
  <c r="AX250" i="8" s="1"/>
  <c r="AY250" i="8" s="1"/>
  <c r="AV250" i="8"/>
  <c r="G250" i="8"/>
  <c r="AO250" i="8"/>
  <c r="G253" i="8"/>
  <c r="D254" i="8"/>
  <c r="H254" i="8"/>
  <c r="AO254" i="8"/>
  <c r="G254" i="8"/>
  <c r="C254" i="8"/>
  <c r="AH254" i="8"/>
  <c r="BB254" i="8" s="1"/>
  <c r="AV274" i="8"/>
  <c r="C305" i="8"/>
  <c r="K335" i="8"/>
  <c r="BC384" i="8"/>
  <c r="K384" i="8"/>
  <c r="D195" i="8"/>
  <c r="AN203" i="8"/>
  <c r="G203" i="8"/>
  <c r="AV203" i="8"/>
  <c r="AM203" i="8"/>
  <c r="D203" i="8"/>
  <c r="D206" i="8"/>
  <c r="F218" i="8"/>
  <c r="AN226" i="8"/>
  <c r="G226" i="8"/>
  <c r="H226" i="8"/>
  <c r="AO226" i="8"/>
  <c r="E226" i="8"/>
  <c r="AM226" i="8"/>
  <c r="D226" i="8"/>
  <c r="AV226" i="8"/>
  <c r="D228" i="8"/>
  <c r="AO228" i="8"/>
  <c r="AN236" i="8"/>
  <c r="G236" i="8"/>
  <c r="AN238" i="8"/>
  <c r="G238" i="8"/>
  <c r="H238" i="8"/>
  <c r="AO238" i="8"/>
  <c r="E238" i="8"/>
  <c r="AM238" i="8"/>
  <c r="D238" i="8"/>
  <c r="AX238" i="8" a="1"/>
  <c r="AX238" i="8" s="1"/>
  <c r="AY238" i="8" s="1"/>
  <c r="F247" i="8"/>
  <c r="BC272" i="8"/>
  <c r="K272" i="8"/>
  <c r="BC329" i="8"/>
  <c r="K329" i="8"/>
  <c r="E332" i="8"/>
  <c r="AH332" i="8"/>
  <c r="BB332" i="8" s="1"/>
  <c r="AX332" i="8" a="1"/>
  <c r="AX332" i="8" s="1"/>
  <c r="AY332" i="8" s="1"/>
  <c r="AV332" i="8"/>
  <c r="G332" i="8"/>
  <c r="AO332" i="8"/>
  <c r="F332" i="8"/>
  <c r="AN332" i="8"/>
  <c r="AM332" i="8"/>
  <c r="I332" i="8"/>
  <c r="D332" i="8"/>
  <c r="C332" i="8"/>
  <c r="AO334" i="8"/>
  <c r="BC433" i="8"/>
  <c r="K433" i="8"/>
  <c r="K451" i="8"/>
  <c r="BC451" i="8"/>
  <c r="E195" i="8"/>
  <c r="C203" i="8"/>
  <c r="AO203" i="8"/>
  <c r="E206" i="8"/>
  <c r="I218" i="8"/>
  <c r="C226" i="8"/>
  <c r="AX226" i="8" a="1"/>
  <c r="AX226" i="8" s="1"/>
  <c r="AY226" i="8" s="1"/>
  <c r="E228" i="8"/>
  <c r="AN230" i="8"/>
  <c r="G230" i="8"/>
  <c r="H230" i="8"/>
  <c r="AO230" i="8"/>
  <c r="E230" i="8"/>
  <c r="AM230" i="8"/>
  <c r="D230" i="8"/>
  <c r="AV230" i="8"/>
  <c r="C236" i="8"/>
  <c r="AM236" i="8"/>
  <c r="C238" i="8"/>
  <c r="G247" i="8"/>
  <c r="F250" i="8"/>
  <c r="I254" i="8"/>
  <c r="AN317" i="8"/>
  <c r="K325" i="8"/>
  <c r="K355" i="8"/>
  <c r="BC355" i="8"/>
  <c r="K358" i="8"/>
  <c r="BC358" i="8"/>
  <c r="I417" i="8"/>
  <c r="AV417" i="8"/>
  <c r="AH417" i="8"/>
  <c r="BB417" i="8" s="1"/>
  <c r="H417" i="8"/>
  <c r="AN417" i="8"/>
  <c r="AM417" i="8"/>
  <c r="AX417" i="8" a="1"/>
  <c r="AX417" i="8" s="1"/>
  <c r="AY417" i="8" s="1"/>
  <c r="AO417" i="8"/>
  <c r="F417" i="8"/>
  <c r="E417" i="8"/>
  <c r="G417" i="8"/>
  <c r="D417" i="8"/>
  <c r="C417" i="8"/>
  <c r="BC459" i="8"/>
  <c r="K459" i="8"/>
  <c r="AN160" i="8"/>
  <c r="G160" i="8"/>
  <c r="AN200" i="8"/>
  <c r="G200" i="8"/>
  <c r="AM200" i="8"/>
  <c r="F206" i="8"/>
  <c r="AN211" i="8"/>
  <c r="G211" i="8"/>
  <c r="AM211" i="8"/>
  <c r="F226" i="8"/>
  <c r="F228" i="8"/>
  <c r="AN234" i="8"/>
  <c r="G234" i="8"/>
  <c r="H234" i="8"/>
  <c r="AO234" i="8"/>
  <c r="E234" i="8"/>
  <c r="AM234" i="8"/>
  <c r="D234" i="8"/>
  <c r="AV234" i="8"/>
  <c r="D236" i="8"/>
  <c r="AO236" i="8"/>
  <c r="F238" i="8"/>
  <c r="H247" i="8"/>
  <c r="AV247" i="8"/>
  <c r="AM248" i="8"/>
  <c r="D251" i="8"/>
  <c r="AH251" i="8"/>
  <c r="BB251" i="8" s="1"/>
  <c r="AV265" i="8"/>
  <c r="D274" i="8"/>
  <c r="I274" i="8"/>
  <c r="H274" i="8"/>
  <c r="AO274" i="8"/>
  <c r="G274" i="8"/>
  <c r="AM274" i="8"/>
  <c r="E274" i="8"/>
  <c r="C274" i="8"/>
  <c r="BC345" i="8"/>
  <c r="K345" i="8"/>
  <c r="AN171" i="8"/>
  <c r="G171" i="8"/>
  <c r="AN182" i="8"/>
  <c r="G182" i="8"/>
  <c r="AH182" i="8"/>
  <c r="BB182" i="8" s="1"/>
  <c r="AN187" i="8"/>
  <c r="G187" i="8"/>
  <c r="H195" i="8"/>
  <c r="AV195" i="8"/>
  <c r="AN197" i="8"/>
  <c r="G197" i="8"/>
  <c r="AO197" i="8"/>
  <c r="E197" i="8"/>
  <c r="AM197" i="8"/>
  <c r="C200" i="8"/>
  <c r="AO200" i="8"/>
  <c r="F203" i="8"/>
  <c r="H206" i="8"/>
  <c r="AV206" i="8"/>
  <c r="C211" i="8"/>
  <c r="AO211" i="8"/>
  <c r="I226" i="8"/>
  <c r="H228" i="8"/>
  <c r="AV228" i="8"/>
  <c r="C234" i="8"/>
  <c r="AX234" i="8" a="1"/>
  <c r="AX234" i="8" s="1"/>
  <c r="AY234" i="8" s="1"/>
  <c r="E236" i="8"/>
  <c r="I238" i="8"/>
  <c r="I250" i="8"/>
  <c r="C251" i="8"/>
  <c r="AV251" i="8"/>
  <c r="K254" i="8"/>
  <c r="F274" i="8"/>
  <c r="AN276" i="8"/>
  <c r="F276" i="8"/>
  <c r="AX276" i="8" a="1"/>
  <c r="AX276" i="8" s="1"/>
  <c r="AY276" i="8" s="1"/>
  <c r="AV276" i="8"/>
  <c r="AH276" i="8"/>
  <c r="BB276" i="8" s="1"/>
  <c r="AO276" i="8"/>
  <c r="BC361" i="8"/>
  <c r="K361" i="8"/>
  <c r="E382" i="8"/>
  <c r="AH382" i="8"/>
  <c r="BB382" i="8" s="1"/>
  <c r="AV382" i="8"/>
  <c r="I382" i="8"/>
  <c r="H382" i="8"/>
  <c r="G382" i="8"/>
  <c r="AO382" i="8"/>
  <c r="F382" i="8"/>
  <c r="AN382" i="8"/>
  <c r="D382" i="8"/>
  <c r="C382" i="8"/>
  <c r="AM382" i="8"/>
  <c r="E391" i="8"/>
  <c r="AX391" i="8" a="1"/>
  <c r="AX391" i="8" s="1"/>
  <c r="AY391" i="8" s="1"/>
  <c r="I391" i="8"/>
  <c r="AM391" i="8"/>
  <c r="AH391" i="8"/>
  <c r="BB391" i="8" s="1"/>
  <c r="AV391" i="8"/>
  <c r="AO391" i="8"/>
  <c r="AN391" i="8"/>
  <c r="G391" i="8"/>
  <c r="F391" i="8"/>
  <c r="AN208" i="8"/>
  <c r="G208" i="8"/>
  <c r="AV208" i="8"/>
  <c r="AM208" i="8"/>
  <c r="D208" i="8"/>
  <c r="I228" i="8"/>
  <c r="K240" i="8"/>
  <c r="BC240" i="8"/>
  <c r="D248" i="8"/>
  <c r="AV248" i="8"/>
  <c r="AH248" i="8"/>
  <c r="BB248" i="8" s="1"/>
  <c r="AO248" i="8"/>
  <c r="AM260" i="8"/>
  <c r="D269" i="8"/>
  <c r="AX269" i="8" a="1"/>
  <c r="AX269" i="8" s="1"/>
  <c r="AY269" i="8" s="1"/>
  <c r="I269" i="8"/>
  <c r="AV269" i="8"/>
  <c r="H269" i="8"/>
  <c r="G269" i="8"/>
  <c r="F269" i="8"/>
  <c r="C269" i="8"/>
  <c r="E297" i="8"/>
  <c r="AV297" i="8"/>
  <c r="G297" i="8"/>
  <c r="F297" i="8"/>
  <c r="AN297" i="8"/>
  <c r="AM297" i="8"/>
  <c r="AH297" i="8"/>
  <c r="BB297" i="8" s="1"/>
  <c r="AX321" i="8" a="1"/>
  <c r="AX321" i="8" s="1"/>
  <c r="AY321" i="8" s="1"/>
  <c r="BC332" i="8"/>
  <c r="K332" i="8"/>
  <c r="AO350" i="8"/>
  <c r="C391" i="8"/>
  <c r="BC218" i="8"/>
  <c r="AX228" i="8" a="1"/>
  <c r="AX228" i="8" s="1"/>
  <c r="AY228" i="8" s="1"/>
  <c r="I234" i="8"/>
  <c r="H236" i="8"/>
  <c r="AV236" i="8"/>
  <c r="C248" i="8"/>
  <c r="F251" i="8"/>
  <c r="AX251" i="8" a="1"/>
  <c r="AX251" i="8" s="1"/>
  <c r="AY251" i="8" s="1"/>
  <c r="E269" i="8"/>
  <c r="D276" i="8"/>
  <c r="C297" i="8"/>
  <c r="E311" i="8"/>
  <c r="AV311" i="8"/>
  <c r="C311" i="8"/>
  <c r="AH311" i="8"/>
  <c r="BB311" i="8" s="1"/>
  <c r="H311" i="8"/>
  <c r="E354" i="8"/>
  <c r="C354" i="8"/>
  <c r="AX354" i="8" a="1"/>
  <c r="AX354" i="8" s="1"/>
  <c r="AY354" i="8" s="1"/>
  <c r="AV354" i="8"/>
  <c r="G354" i="8"/>
  <c r="AO354" i="8"/>
  <c r="F354" i="8"/>
  <c r="AM354" i="8"/>
  <c r="AH354" i="8"/>
  <c r="BB354" i="8" s="1"/>
  <c r="AN354" i="8"/>
  <c r="D391" i="8"/>
  <c r="BC427" i="8"/>
  <c r="K427" i="8"/>
  <c r="D260" i="8"/>
  <c r="AH260" i="8"/>
  <c r="BB260" i="8" s="1"/>
  <c r="AO260" i="8"/>
  <c r="D265" i="8"/>
  <c r="I265" i="8"/>
  <c r="AO265" i="8"/>
  <c r="G265" i="8"/>
  <c r="AN265" i="8"/>
  <c r="F265" i="8"/>
  <c r="AH265" i="8"/>
  <c r="BB265" i="8" s="1"/>
  <c r="BC274" i="8"/>
  <c r="K274" i="8"/>
  <c r="BC339" i="8"/>
  <c r="K339" i="8"/>
  <c r="BC394" i="8"/>
  <c r="K394" i="8"/>
  <c r="K405" i="8"/>
  <c r="BC405" i="8"/>
  <c r="BC305" i="8"/>
  <c r="K305" i="8"/>
  <c r="E331" i="8"/>
  <c r="AV331" i="8"/>
  <c r="I331" i="8"/>
  <c r="AM331" i="8"/>
  <c r="D331" i="8"/>
  <c r="C331" i="8"/>
  <c r="AO331" i="8"/>
  <c r="AN331" i="8"/>
  <c r="AH331" i="8"/>
  <c r="BB331" i="8" s="1"/>
  <c r="AM350" i="8"/>
  <c r="BC456" i="8"/>
  <c r="K456" i="8"/>
  <c r="K468" i="8"/>
  <c r="BC468" i="8"/>
  <c r="D261" i="8"/>
  <c r="AN261" i="8"/>
  <c r="D264" i="8"/>
  <c r="H264" i="8"/>
  <c r="AO264" i="8"/>
  <c r="G264" i="8"/>
  <c r="AM264" i="8"/>
  <c r="E264" i="8"/>
  <c r="C264" i="8"/>
  <c r="H277" i="8"/>
  <c r="AH277" i="8"/>
  <c r="BB277" i="8" s="1"/>
  <c r="AN277" i="8"/>
  <c r="K284" i="8"/>
  <c r="BC284" i="8"/>
  <c r="BC307" i="8"/>
  <c r="K307" i="8"/>
  <c r="E314" i="8"/>
  <c r="AX314" i="8" a="1"/>
  <c r="AX314" i="8" s="1"/>
  <c r="AY314" i="8" s="1"/>
  <c r="AV314" i="8"/>
  <c r="I314" i="8"/>
  <c r="G314" i="8"/>
  <c r="F314" i="8"/>
  <c r="AN314" i="8"/>
  <c r="C314" i="8"/>
  <c r="AH314" i="8"/>
  <c r="BB314" i="8" s="1"/>
  <c r="E317" i="8"/>
  <c r="C317" i="8"/>
  <c r="AX317" i="8" a="1"/>
  <c r="AX317" i="8" s="1"/>
  <c r="AY317" i="8" s="1"/>
  <c r="AV317" i="8"/>
  <c r="H317" i="8"/>
  <c r="G317" i="8"/>
  <c r="C261" i="8"/>
  <c r="AO261" i="8"/>
  <c r="K262" i="8"/>
  <c r="F264" i="8"/>
  <c r="AV264" i="8"/>
  <c r="D266" i="8"/>
  <c r="AV266" i="8"/>
  <c r="I266" i="8"/>
  <c r="H266" i="8"/>
  <c r="AN266" i="8"/>
  <c r="AH268" i="8"/>
  <c r="BB268" i="8" s="1"/>
  <c r="C277" i="8"/>
  <c r="AO277" i="8"/>
  <c r="BC282" i="8"/>
  <c r="D314" i="8"/>
  <c r="D317" i="8"/>
  <c r="AM326" i="8"/>
  <c r="K360" i="8"/>
  <c r="D249" i="8"/>
  <c r="AX249" i="8" a="1"/>
  <c r="AX249" i="8" s="1"/>
  <c r="AY249" i="8" s="1"/>
  <c r="AN249" i="8"/>
  <c r="K250" i="8"/>
  <c r="D255" i="8"/>
  <c r="I255" i="8"/>
  <c r="AN255" i="8"/>
  <c r="F255" i="8"/>
  <c r="AM255" i="8"/>
  <c r="E261" i="8"/>
  <c r="I264" i="8"/>
  <c r="D277" i="8"/>
  <c r="AH283" i="8"/>
  <c r="BB283" i="8" s="1"/>
  <c r="AV283" i="8"/>
  <c r="AM283" i="8"/>
  <c r="E295" i="8"/>
  <c r="AO295" i="8"/>
  <c r="G295" i="8"/>
  <c r="AN295" i="8"/>
  <c r="F295" i="8"/>
  <c r="D295" i="8"/>
  <c r="AH295" i="8"/>
  <c r="BB295" i="8" s="1"/>
  <c r="H314" i="8"/>
  <c r="F317" i="8"/>
  <c r="K334" i="8"/>
  <c r="BC382" i="8"/>
  <c r="K382" i="8"/>
  <c r="BC397" i="8"/>
  <c r="K397" i="8"/>
  <c r="AV420" i="8"/>
  <c r="D258" i="8"/>
  <c r="AV258" i="8"/>
  <c r="F261" i="8"/>
  <c r="AX264" i="8" a="1"/>
  <c r="AX264" i="8" s="1"/>
  <c r="AY264" i="8" s="1"/>
  <c r="E266" i="8"/>
  <c r="D275" i="8"/>
  <c r="AV275" i="8"/>
  <c r="I275" i="8"/>
  <c r="G275" i="8"/>
  <c r="AO275" i="8"/>
  <c r="F275" i="8"/>
  <c r="E277" i="8"/>
  <c r="C283" i="8"/>
  <c r="AN283" i="8"/>
  <c r="C295" i="8"/>
  <c r="I317" i="8"/>
  <c r="E320" i="8"/>
  <c r="AO320" i="8"/>
  <c r="G320" i="8"/>
  <c r="AX320" i="8" a="1"/>
  <c r="AX320" i="8" s="1"/>
  <c r="AY320" i="8" s="1"/>
  <c r="I320" i="8"/>
  <c r="F320" i="8"/>
  <c r="H320" i="8"/>
  <c r="D320" i="8"/>
  <c r="E336" i="8"/>
  <c r="H336" i="8"/>
  <c r="I336" i="8"/>
  <c r="AO336" i="8"/>
  <c r="F336" i="8"/>
  <c r="G336" i="8"/>
  <c r="AX336" i="8" a="1"/>
  <c r="AX336" i="8" s="1"/>
  <c r="AY336" i="8" s="1"/>
  <c r="D336" i="8"/>
  <c r="C336" i="8"/>
  <c r="AM336" i="8"/>
  <c r="AH336" i="8"/>
  <c r="BB336" i="8" s="1"/>
  <c r="AV336" i="8"/>
  <c r="AV363" i="8"/>
  <c r="BC367" i="8"/>
  <c r="K367" i="8"/>
  <c r="E386" i="8"/>
  <c r="H386" i="8"/>
  <c r="C386" i="8"/>
  <c r="AH386" i="8"/>
  <c r="BB386" i="8" s="1"/>
  <c r="AM386" i="8"/>
  <c r="AN386" i="8"/>
  <c r="I386" i="8"/>
  <c r="G386" i="8"/>
  <c r="F386" i="8"/>
  <c r="AX386" i="8" a="1"/>
  <c r="AX386" i="8" s="1"/>
  <c r="AY386" i="8" s="1"/>
  <c r="AV386" i="8"/>
  <c r="K465" i="8"/>
  <c r="BC465" i="8"/>
  <c r="AN221" i="8"/>
  <c r="G221" i="8"/>
  <c r="AN225" i="8"/>
  <c r="G225" i="8"/>
  <c r="AN229" i="8"/>
  <c r="G229" i="8"/>
  <c r="AN233" i="8"/>
  <c r="G233" i="8"/>
  <c r="AN237" i="8"/>
  <c r="G237" i="8"/>
  <c r="AN241" i="8"/>
  <c r="G241" i="8"/>
  <c r="AN245" i="8"/>
  <c r="G245" i="8"/>
  <c r="G261" i="8"/>
  <c r="D268" i="8"/>
  <c r="AV268" i="8"/>
  <c r="F277" i="8"/>
  <c r="AV277" i="8"/>
  <c r="E319" i="8"/>
  <c r="H319" i="8"/>
  <c r="AM319" i="8"/>
  <c r="D319" i="8"/>
  <c r="AH319" i="8"/>
  <c r="BB319" i="8" s="1"/>
  <c r="F319" i="8"/>
  <c r="C319" i="8"/>
  <c r="AN319" i="8"/>
  <c r="AO319" i="8"/>
  <c r="E321" i="8"/>
  <c r="AV321" i="8"/>
  <c r="I321" i="8"/>
  <c r="C321" i="8"/>
  <c r="AH321" i="8"/>
  <c r="BB321" i="8" s="1"/>
  <c r="AN321" i="8"/>
  <c r="AM321" i="8"/>
  <c r="H321" i="8"/>
  <c r="G321" i="8"/>
  <c r="F321" i="8"/>
  <c r="E350" i="8"/>
  <c r="AV350" i="8"/>
  <c r="AH350" i="8"/>
  <c r="BB350" i="8" s="1"/>
  <c r="AX350" i="8" a="1"/>
  <c r="AX350" i="8" s="1"/>
  <c r="AY350" i="8" s="1"/>
  <c r="H350" i="8"/>
  <c r="G350" i="8"/>
  <c r="F350" i="8"/>
  <c r="D350" i="8"/>
  <c r="C350" i="8"/>
  <c r="BC352" i="8"/>
  <c r="K352" i="8"/>
  <c r="E376" i="8"/>
  <c r="H376" i="8"/>
  <c r="AH376" i="8"/>
  <c r="BB376" i="8" s="1"/>
  <c r="AV376" i="8"/>
  <c r="I376" i="8"/>
  <c r="F376" i="8"/>
  <c r="D376" i="8"/>
  <c r="G376" i="8"/>
  <c r="K439" i="8"/>
  <c r="BC449" i="8"/>
  <c r="K449" i="8"/>
  <c r="H261" i="8"/>
  <c r="G277" i="8"/>
  <c r="BC315" i="8"/>
  <c r="K315" i="8"/>
  <c r="G319" i="8"/>
  <c r="D321" i="8"/>
  <c r="E333" i="8"/>
  <c r="AV333" i="8"/>
  <c r="F333" i="8"/>
  <c r="D333" i="8"/>
  <c r="C333" i="8"/>
  <c r="AO333" i="8"/>
  <c r="AN333" i="8"/>
  <c r="AX333" i="8" a="1"/>
  <c r="AX333" i="8" s="1"/>
  <c r="AY333" i="8" s="1"/>
  <c r="AM333" i="8"/>
  <c r="I350" i="8"/>
  <c r="C376" i="8"/>
  <c r="E393" i="8"/>
  <c r="AH393" i="8"/>
  <c r="BB393" i="8" s="1"/>
  <c r="AX393" i="8" a="1"/>
  <c r="AX393" i="8" s="1"/>
  <c r="AY393" i="8" s="1"/>
  <c r="AM393" i="8"/>
  <c r="I393" i="8"/>
  <c r="H393" i="8"/>
  <c r="G393" i="8"/>
  <c r="F393" i="8"/>
  <c r="D393" i="8"/>
  <c r="AV393" i="8"/>
  <c r="AO393" i="8"/>
  <c r="AN393" i="8"/>
  <c r="K403" i="8"/>
  <c r="BC403" i="8"/>
  <c r="I409" i="8"/>
  <c r="D409" i="8"/>
  <c r="C409" i="8"/>
  <c r="G409" i="8"/>
  <c r="F409" i="8"/>
  <c r="AV409" i="8"/>
  <c r="H409" i="8"/>
  <c r="AH409" i="8"/>
  <c r="BB409" i="8" s="1"/>
  <c r="E409" i="8"/>
  <c r="BC415" i="8"/>
  <c r="AN191" i="8"/>
  <c r="G191" i="8"/>
  <c r="D221" i="8"/>
  <c r="AM221" i="8"/>
  <c r="D225" i="8"/>
  <c r="AM225" i="8"/>
  <c r="D229" i="8"/>
  <c r="AM229" i="8"/>
  <c r="D233" i="8"/>
  <c r="AM233" i="8"/>
  <c r="D237" i="8"/>
  <c r="AM237" i="8"/>
  <c r="D241" i="8"/>
  <c r="AM241" i="8"/>
  <c r="D245" i="8"/>
  <c r="AM245" i="8"/>
  <c r="I261" i="8"/>
  <c r="AV261" i="8"/>
  <c r="E268" i="8"/>
  <c r="AM268" i="8"/>
  <c r="D270" i="8"/>
  <c r="AH270" i="8"/>
  <c r="BB270" i="8" s="1"/>
  <c r="AM270" i="8"/>
  <c r="I277" i="8"/>
  <c r="AX277" i="8" a="1"/>
  <c r="AX277" i="8" s="1"/>
  <c r="AY277" i="8" s="1"/>
  <c r="H280" i="8"/>
  <c r="AO280" i="8"/>
  <c r="G280" i="8"/>
  <c r="AN280" i="8"/>
  <c r="F280" i="8"/>
  <c r="AM280" i="8"/>
  <c r="E280" i="8"/>
  <c r="D280" i="8"/>
  <c r="C280" i="8"/>
  <c r="I319" i="8"/>
  <c r="K336" i="8"/>
  <c r="BC336" i="8"/>
  <c r="BC341" i="8"/>
  <c r="K341" i="8"/>
  <c r="BC342" i="8"/>
  <c r="K342" i="8"/>
  <c r="E348" i="8"/>
  <c r="AV348" i="8"/>
  <c r="I348" i="8"/>
  <c r="AM348" i="8"/>
  <c r="D348" i="8"/>
  <c r="C348" i="8"/>
  <c r="AH348" i="8"/>
  <c r="BB348" i="8" s="1"/>
  <c r="G348" i="8"/>
  <c r="F348" i="8"/>
  <c r="E373" i="8"/>
  <c r="AX373" i="8" a="1"/>
  <c r="AX373" i="8" s="1"/>
  <c r="AY373" i="8" s="1"/>
  <c r="AH373" i="8"/>
  <c r="BB373" i="8" s="1"/>
  <c r="H373" i="8"/>
  <c r="AV373" i="8"/>
  <c r="G373" i="8"/>
  <c r="AN373" i="8"/>
  <c r="AM373" i="8"/>
  <c r="I373" i="8"/>
  <c r="F373" i="8"/>
  <c r="AO301" i="8"/>
  <c r="E315" i="8"/>
  <c r="AH315" i="8"/>
  <c r="BB315" i="8" s="1"/>
  <c r="AV315" i="8"/>
  <c r="AO315" i="8"/>
  <c r="E324" i="8"/>
  <c r="AH324" i="8"/>
  <c r="BB324" i="8" s="1"/>
  <c r="AX324" i="8" a="1"/>
  <c r="AX324" i="8" s="1"/>
  <c r="AY324" i="8" s="1"/>
  <c r="K398" i="8"/>
  <c r="BC398" i="8"/>
  <c r="AM454" i="8"/>
  <c r="F454" i="8"/>
  <c r="I454" i="8"/>
  <c r="AH454" i="8"/>
  <c r="BB454" i="8" s="1"/>
  <c r="H454" i="8"/>
  <c r="AX454" i="8" a="1"/>
  <c r="AX454" i="8" s="1"/>
  <c r="AY454" i="8" s="1"/>
  <c r="G454" i="8"/>
  <c r="E454" i="8"/>
  <c r="D454" i="8"/>
  <c r="C454" i="8"/>
  <c r="AO454" i="8"/>
  <c r="E299" i="8"/>
  <c r="AX299" i="8" a="1"/>
  <c r="AX299" i="8" s="1"/>
  <c r="AY299" i="8" s="1"/>
  <c r="H299" i="8"/>
  <c r="G299" i="8"/>
  <c r="AO299" i="8"/>
  <c r="C315" i="8"/>
  <c r="C324" i="8"/>
  <c r="AO337" i="8"/>
  <c r="AO347" i="8"/>
  <c r="I447" i="8"/>
  <c r="AX447" i="8" a="1"/>
  <c r="AX447" i="8" s="1"/>
  <c r="AY447" i="8" s="1"/>
  <c r="AV447" i="8"/>
  <c r="AO447" i="8"/>
  <c r="G447" i="8"/>
  <c r="AH447" i="8"/>
  <c r="BB447" i="8" s="1"/>
  <c r="E447" i="8"/>
  <c r="D447" i="8"/>
  <c r="AN447" i="8"/>
  <c r="AM447" i="8"/>
  <c r="F299" i="8"/>
  <c r="AV299" i="8"/>
  <c r="G301" i="8"/>
  <c r="G315" i="8"/>
  <c r="AH326" i="8"/>
  <c r="BB326" i="8" s="1"/>
  <c r="E361" i="8"/>
  <c r="AV361" i="8"/>
  <c r="AH361" i="8"/>
  <c r="BB361" i="8" s="1"/>
  <c r="F361" i="8"/>
  <c r="D361" i="8"/>
  <c r="C361" i="8"/>
  <c r="K372" i="8"/>
  <c r="D263" i="8"/>
  <c r="AH289" i="8"/>
  <c r="BB289" i="8" s="1"/>
  <c r="E296" i="8"/>
  <c r="I296" i="8"/>
  <c r="H296" i="8"/>
  <c r="AX296" i="8" a="1"/>
  <c r="AX296" i="8" s="1"/>
  <c r="AY296" i="8" s="1"/>
  <c r="AM296" i="8"/>
  <c r="I299" i="8"/>
  <c r="H301" i="8"/>
  <c r="AV301" i="8"/>
  <c r="H315" i="8"/>
  <c r="E337" i="8"/>
  <c r="AX337" i="8" a="1"/>
  <c r="AX337" i="8" s="1"/>
  <c r="AY337" i="8" s="1"/>
  <c r="AN337" i="8"/>
  <c r="F337" i="8"/>
  <c r="AM337" i="8"/>
  <c r="D337" i="8"/>
  <c r="AH337" i="8"/>
  <c r="BB337" i="8" s="1"/>
  <c r="AN356" i="8"/>
  <c r="G361" i="8"/>
  <c r="K420" i="8"/>
  <c r="C296" i="8"/>
  <c r="AN296" i="8"/>
  <c r="I301" i="8"/>
  <c r="AM306" i="8"/>
  <c r="E308" i="8"/>
  <c r="AN308" i="8"/>
  <c r="F308" i="8"/>
  <c r="AM308" i="8"/>
  <c r="C308" i="8"/>
  <c r="K312" i="8"/>
  <c r="I315" i="8"/>
  <c r="AX315" i="8" a="1"/>
  <c r="AX315" i="8" s="1"/>
  <c r="AY315" i="8" s="1"/>
  <c r="K317" i="8"/>
  <c r="BC317" i="8"/>
  <c r="I324" i="8"/>
  <c r="E329" i="8"/>
  <c r="H329" i="8"/>
  <c r="AM329" i="8"/>
  <c r="D329" i="8"/>
  <c r="AH329" i="8"/>
  <c r="BB329" i="8" s="1"/>
  <c r="AX329" i="8" a="1"/>
  <c r="AX329" i="8" s="1"/>
  <c r="AY329" i="8" s="1"/>
  <c r="I329" i="8"/>
  <c r="G329" i="8"/>
  <c r="C337" i="8"/>
  <c r="E346" i="8"/>
  <c r="H346" i="8"/>
  <c r="AN346" i="8"/>
  <c r="D346" i="8"/>
  <c r="AM346" i="8"/>
  <c r="C346" i="8"/>
  <c r="F346" i="8"/>
  <c r="AV346" i="8"/>
  <c r="AO346" i="8"/>
  <c r="BC350" i="8"/>
  <c r="K350" i="8"/>
  <c r="H361" i="8"/>
  <c r="I425" i="8"/>
  <c r="H425" i="8"/>
  <c r="AO425" i="8"/>
  <c r="G425" i="8"/>
  <c r="AX425" i="8" a="1"/>
  <c r="AX425" i="8" s="1"/>
  <c r="AY425" i="8" s="1"/>
  <c r="AM425" i="8"/>
  <c r="F425" i="8"/>
  <c r="E425" i="8"/>
  <c r="AV425" i="8"/>
  <c r="AN425" i="8"/>
  <c r="AH425" i="8"/>
  <c r="BB425" i="8" s="1"/>
  <c r="D425" i="8"/>
  <c r="C425" i="8"/>
  <c r="AM446" i="8"/>
  <c r="AM463" i="8"/>
  <c r="F463" i="8"/>
  <c r="H463" i="8"/>
  <c r="G463" i="8"/>
  <c r="E463" i="8"/>
  <c r="AO463" i="8"/>
  <c r="D463" i="8"/>
  <c r="AN463" i="8"/>
  <c r="AH463" i="8"/>
  <c r="BB463" i="8" s="1"/>
  <c r="I463" i="8"/>
  <c r="AX463" i="8" a="1"/>
  <c r="AX463" i="8" s="1"/>
  <c r="AY463" i="8" s="1"/>
  <c r="AV463" i="8"/>
  <c r="D262" i="8"/>
  <c r="E263" i="8"/>
  <c r="AM263" i="8"/>
  <c r="E273" i="8"/>
  <c r="AM273" i="8"/>
  <c r="C279" i="8"/>
  <c r="D296" i="8"/>
  <c r="AO296" i="8"/>
  <c r="K297" i="8"/>
  <c r="BC297" i="8"/>
  <c r="K299" i="8"/>
  <c r="AX301" i="8" a="1"/>
  <c r="AX301" i="8" s="1"/>
  <c r="AY301" i="8" s="1"/>
  <c r="AN306" i="8"/>
  <c r="D308" i="8"/>
  <c r="C329" i="8"/>
  <c r="G337" i="8"/>
  <c r="G346" i="8"/>
  <c r="E357" i="8"/>
  <c r="AM357" i="8"/>
  <c r="D357" i="8"/>
  <c r="C357" i="8"/>
  <c r="G357" i="8"/>
  <c r="AH357" i="8"/>
  <c r="BB357" i="8" s="1"/>
  <c r="I361" i="8"/>
  <c r="C463" i="8"/>
  <c r="F263" i="8"/>
  <c r="AN263" i="8"/>
  <c r="F273" i="8"/>
  <c r="AN273" i="8"/>
  <c r="D279" i="8"/>
  <c r="BC288" i="8"/>
  <c r="F296" i="8"/>
  <c r="F329" i="8"/>
  <c r="H337" i="8"/>
  <c r="I346" i="8"/>
  <c r="AO369" i="8"/>
  <c r="BC401" i="8"/>
  <c r="K401" i="8"/>
  <c r="K450" i="8"/>
  <c r="BC450" i="8"/>
  <c r="BC473" i="8"/>
  <c r="K473" i="8"/>
  <c r="E279" i="8"/>
  <c r="AM279" i="8"/>
  <c r="E289" i="8"/>
  <c r="AX289" i="8" a="1"/>
  <c r="AX289" i="8" s="1"/>
  <c r="AY289" i="8" s="1"/>
  <c r="E306" i="8"/>
  <c r="AH306" i="8"/>
  <c r="BB306" i="8" s="1"/>
  <c r="BC324" i="8"/>
  <c r="K324" i="8"/>
  <c r="E326" i="8"/>
  <c r="AX326" i="8" a="1"/>
  <c r="AX326" i="8" s="1"/>
  <c r="AY326" i="8" s="1"/>
  <c r="AN326" i="8"/>
  <c r="BC362" i="8"/>
  <c r="K362" i="8"/>
  <c r="BC370" i="8"/>
  <c r="K370" i="8"/>
  <c r="BC371" i="8"/>
  <c r="K371" i="8"/>
  <c r="AM397" i="8"/>
  <c r="I439" i="8"/>
  <c r="G439" i="8"/>
  <c r="AO439" i="8"/>
  <c r="F439" i="8"/>
  <c r="AN439" i="8"/>
  <c r="E439" i="8"/>
  <c r="AM439" i="8"/>
  <c r="D439" i="8"/>
  <c r="C439" i="8"/>
  <c r="AH439" i="8"/>
  <c r="BB439" i="8" s="1"/>
  <c r="AX439" i="8" a="1"/>
  <c r="AX439" i="8" s="1"/>
  <c r="AY439" i="8" s="1"/>
  <c r="AV439" i="8"/>
  <c r="AN454" i="8"/>
  <c r="E338" i="8"/>
  <c r="AV338" i="8"/>
  <c r="AX338" i="8" a="1"/>
  <c r="AX338" i="8" s="1"/>
  <c r="AY338" i="8" s="1"/>
  <c r="I338" i="8"/>
  <c r="H338" i="8"/>
  <c r="G338" i="8"/>
  <c r="F338" i="8"/>
  <c r="AO338" i="8"/>
  <c r="D338" i="8"/>
  <c r="E339" i="8"/>
  <c r="AX339" i="8" a="1"/>
  <c r="AX339" i="8" s="1"/>
  <c r="AY339" i="8" s="1"/>
  <c r="AH339" i="8"/>
  <c r="BB339" i="8" s="1"/>
  <c r="AV339" i="8"/>
  <c r="BC378" i="8"/>
  <c r="K416" i="8"/>
  <c r="BC416" i="8"/>
  <c r="AM443" i="8"/>
  <c r="E327" i="8"/>
  <c r="C327" i="8"/>
  <c r="AH327" i="8"/>
  <c r="BB327" i="8" s="1"/>
  <c r="C338" i="8"/>
  <c r="C339" i="8"/>
  <c r="BC357" i="8"/>
  <c r="K357" i="8"/>
  <c r="K387" i="8"/>
  <c r="BC387" i="8"/>
  <c r="K400" i="8"/>
  <c r="BC400" i="8"/>
  <c r="AN412" i="8"/>
  <c r="K444" i="8"/>
  <c r="E307" i="8"/>
  <c r="C307" i="8"/>
  <c r="AO307" i="8"/>
  <c r="D327" i="8"/>
  <c r="D339" i="8"/>
  <c r="E343" i="8"/>
  <c r="AX343" i="8" a="1"/>
  <c r="AX343" i="8" s="1"/>
  <c r="AY343" i="8" s="1"/>
  <c r="AV343" i="8"/>
  <c r="G343" i="8"/>
  <c r="AO343" i="8"/>
  <c r="F343" i="8"/>
  <c r="AH343" i="8"/>
  <c r="BB343" i="8" s="1"/>
  <c r="AN403" i="8"/>
  <c r="AM407" i="8"/>
  <c r="I415" i="8"/>
  <c r="AO415" i="8"/>
  <c r="G415" i="8"/>
  <c r="F415" i="8"/>
  <c r="AN415" i="8"/>
  <c r="E415" i="8"/>
  <c r="C415" i="8"/>
  <c r="AM415" i="8"/>
  <c r="AX415" i="8" a="1"/>
  <c r="AX415" i="8" s="1"/>
  <c r="AY415" i="8" s="1"/>
  <c r="AH415" i="8"/>
  <c r="BB415" i="8" s="1"/>
  <c r="AV415" i="8"/>
  <c r="BC428" i="8"/>
  <c r="K428" i="8"/>
  <c r="I431" i="8"/>
  <c r="AH431" i="8"/>
  <c r="BB431" i="8" s="1"/>
  <c r="AX431" i="8" a="1"/>
  <c r="AX431" i="8" s="1"/>
  <c r="AY431" i="8" s="1"/>
  <c r="AV431" i="8"/>
  <c r="H431" i="8"/>
  <c r="G431" i="8"/>
  <c r="F431" i="8"/>
  <c r="E431" i="8"/>
  <c r="AO431" i="8"/>
  <c r="AN431" i="8"/>
  <c r="AM431" i="8"/>
  <c r="BC388" i="8"/>
  <c r="K388" i="8"/>
  <c r="D415" i="8"/>
  <c r="C431" i="8"/>
  <c r="K485" i="8"/>
  <c r="BC485" i="8"/>
  <c r="BC493" i="8"/>
  <c r="K493" i="8"/>
  <c r="F307" i="8"/>
  <c r="E323" i="8"/>
  <c r="H323" i="8"/>
  <c r="AX323" i="8" a="1"/>
  <c r="AX323" i="8" s="1"/>
  <c r="AY323" i="8" s="1"/>
  <c r="AV323" i="8"/>
  <c r="G327" i="8"/>
  <c r="AV327" i="8"/>
  <c r="G339" i="8"/>
  <c r="D343" i="8"/>
  <c r="AO345" i="8"/>
  <c r="E395" i="8"/>
  <c r="AN395" i="8"/>
  <c r="F395" i="8"/>
  <c r="C395" i="8"/>
  <c r="AO395" i="8"/>
  <c r="AM395" i="8"/>
  <c r="AH395" i="8"/>
  <c r="BB395" i="8" s="1"/>
  <c r="AX395" i="8" a="1"/>
  <c r="AX395" i="8" s="1"/>
  <c r="AY395" i="8" s="1"/>
  <c r="AV395" i="8"/>
  <c r="H415" i="8"/>
  <c r="D431" i="8"/>
  <c r="E298" i="8"/>
  <c r="AV298" i="8"/>
  <c r="G307" i="8"/>
  <c r="C323" i="8"/>
  <c r="AM323" i="8"/>
  <c r="H327" i="8"/>
  <c r="H339" i="8"/>
  <c r="H343" i="8"/>
  <c r="E344" i="8"/>
  <c r="C344" i="8"/>
  <c r="AV344" i="8"/>
  <c r="I344" i="8"/>
  <c r="AX344" i="8" a="1"/>
  <c r="AX344" i="8" s="1"/>
  <c r="AY344" i="8" s="1"/>
  <c r="H344" i="8"/>
  <c r="G344" i="8"/>
  <c r="AO344" i="8"/>
  <c r="E351" i="8"/>
  <c r="AH351" i="8"/>
  <c r="BB351" i="8" s="1"/>
  <c r="AX351" i="8" a="1"/>
  <c r="AX351" i="8" s="1"/>
  <c r="AY351" i="8" s="1"/>
  <c r="I351" i="8"/>
  <c r="H351" i="8"/>
  <c r="AV351" i="8"/>
  <c r="G351" i="8"/>
  <c r="F351" i="8"/>
  <c r="D351" i="8"/>
  <c r="C351" i="8"/>
  <c r="AM351" i="8"/>
  <c r="D395" i="8"/>
  <c r="AO437" i="8"/>
  <c r="AO457" i="8"/>
  <c r="I339" i="8"/>
  <c r="K434" i="8"/>
  <c r="BC434" i="8"/>
  <c r="C475" i="8"/>
  <c r="AV475" i="8"/>
  <c r="H475" i="8"/>
  <c r="D475" i="8"/>
  <c r="F475" i="8"/>
  <c r="AH475" i="8"/>
  <c r="BB475" i="8" s="1"/>
  <c r="G475" i="8"/>
  <c r="AX475" i="8" a="1"/>
  <c r="AX475" i="8" s="1"/>
  <c r="AY475" i="8" s="1"/>
  <c r="I475" i="8"/>
  <c r="E475" i="8"/>
  <c r="AN475" i="8"/>
  <c r="AM475" i="8"/>
  <c r="AO475" i="8"/>
  <c r="BC380" i="8"/>
  <c r="K380" i="8"/>
  <c r="BC343" i="8"/>
  <c r="E355" i="8"/>
  <c r="AN355" i="8"/>
  <c r="F355" i="8"/>
  <c r="AV355" i="8"/>
  <c r="E365" i="8"/>
  <c r="AN365" i="8"/>
  <c r="F365" i="8"/>
  <c r="AH365" i="8"/>
  <c r="BB365" i="8" s="1"/>
  <c r="AX365" i="8" a="1"/>
  <c r="AX365" i="8" s="1"/>
  <c r="AY365" i="8" s="1"/>
  <c r="AX424" i="8" a="1"/>
  <c r="AX424" i="8" s="1"/>
  <c r="AY424" i="8" s="1"/>
  <c r="I430" i="8"/>
  <c r="AH430" i="8"/>
  <c r="BB430" i="8" s="1"/>
  <c r="AO430" i="8"/>
  <c r="AN430" i="8"/>
  <c r="AM430" i="8"/>
  <c r="AV430" i="8"/>
  <c r="K504" i="8"/>
  <c r="BC504" i="8"/>
  <c r="E383" i="8"/>
  <c r="AX383" i="8" a="1"/>
  <c r="AX383" i="8" s="1"/>
  <c r="AY383" i="8" s="1"/>
  <c r="G383" i="8"/>
  <c r="F383" i="8"/>
  <c r="BC408" i="8"/>
  <c r="K408" i="8"/>
  <c r="BC411" i="8"/>
  <c r="K411" i="8"/>
  <c r="BC421" i="8"/>
  <c r="K421" i="8"/>
  <c r="C430" i="8"/>
  <c r="E303" i="8"/>
  <c r="E313" i="8"/>
  <c r="H313" i="8"/>
  <c r="AN334" i="8"/>
  <c r="AM347" i="8"/>
  <c r="E349" i="8"/>
  <c r="AX349" i="8" a="1"/>
  <c r="AX349" i="8" s="1"/>
  <c r="AY349" i="8" s="1"/>
  <c r="H349" i="8"/>
  <c r="G349" i="8"/>
  <c r="AN349" i="8"/>
  <c r="H355" i="8"/>
  <c r="AX355" i="8" a="1"/>
  <c r="AX355" i="8" s="1"/>
  <c r="AY355" i="8" s="1"/>
  <c r="E360" i="8"/>
  <c r="AX360" i="8" a="1"/>
  <c r="AX360" i="8" s="1"/>
  <c r="AY360" i="8" s="1"/>
  <c r="AV360" i="8"/>
  <c r="H360" i="8"/>
  <c r="AO360" i="8"/>
  <c r="G360" i="8"/>
  <c r="AN360" i="8"/>
  <c r="H365" i="8"/>
  <c r="E380" i="8"/>
  <c r="H380" i="8"/>
  <c r="AV380" i="8"/>
  <c r="AN380" i="8"/>
  <c r="H383" i="8"/>
  <c r="E399" i="8"/>
  <c r="AX399" i="8" a="1"/>
  <c r="AX399" i="8" s="1"/>
  <c r="AY399" i="8" s="1"/>
  <c r="AV399" i="8"/>
  <c r="AN399" i="8"/>
  <c r="F399" i="8"/>
  <c r="AM399" i="8"/>
  <c r="D399" i="8"/>
  <c r="AH399" i="8"/>
  <c r="BB399" i="8" s="1"/>
  <c r="BC413" i="8"/>
  <c r="K413" i="8"/>
  <c r="F430" i="8"/>
  <c r="I453" i="8"/>
  <c r="AN453" i="8"/>
  <c r="F453" i="8"/>
  <c r="AX453" i="8" a="1"/>
  <c r="AX453" i="8" s="1"/>
  <c r="AY453" i="8" s="1"/>
  <c r="H453" i="8"/>
  <c r="AH453" i="8"/>
  <c r="BB453" i="8" s="1"/>
  <c r="D453" i="8"/>
  <c r="AV453" i="8"/>
  <c r="C453" i="8"/>
  <c r="G453" i="8"/>
  <c r="BC497" i="8"/>
  <c r="K497" i="8"/>
  <c r="BC507" i="8"/>
  <c r="K507" i="8"/>
  <c r="E293" i="8"/>
  <c r="C303" i="8"/>
  <c r="C313" i="8"/>
  <c r="AM313" i="8"/>
  <c r="E316" i="8"/>
  <c r="AX316" i="8" a="1"/>
  <c r="AX316" i="8" s="1"/>
  <c r="AY316" i="8" s="1"/>
  <c r="AN316" i="8"/>
  <c r="E322" i="8"/>
  <c r="AX322" i="8" a="1"/>
  <c r="AX322" i="8" s="1"/>
  <c r="AY322" i="8" s="1"/>
  <c r="AN322" i="8"/>
  <c r="F322" i="8"/>
  <c r="AO322" i="8"/>
  <c r="E325" i="8"/>
  <c r="AH325" i="8"/>
  <c r="BB325" i="8" s="1"/>
  <c r="AV325" i="8"/>
  <c r="AM325" i="8"/>
  <c r="C349" i="8"/>
  <c r="AO349" i="8"/>
  <c r="I355" i="8"/>
  <c r="C360" i="8"/>
  <c r="AN363" i="8"/>
  <c r="I365" i="8"/>
  <c r="AM369" i="8"/>
  <c r="C380" i="8"/>
  <c r="AO380" i="8"/>
  <c r="I383" i="8"/>
  <c r="C399" i="8"/>
  <c r="G430" i="8"/>
  <c r="E453" i="8"/>
  <c r="E334" i="8"/>
  <c r="C334" i="8"/>
  <c r="E347" i="8"/>
  <c r="I347" i="8"/>
  <c r="H347" i="8"/>
  <c r="AN347" i="8"/>
  <c r="F347" i="8"/>
  <c r="AM356" i="8"/>
  <c r="E358" i="8"/>
  <c r="AV358" i="8"/>
  <c r="H358" i="8"/>
  <c r="AO358" i="8"/>
  <c r="G358" i="8"/>
  <c r="AM358" i="8"/>
  <c r="D358" i="8"/>
  <c r="AH358" i="8"/>
  <c r="BB358" i="8" s="1"/>
  <c r="D360" i="8"/>
  <c r="D380" i="8"/>
  <c r="AM384" i="8"/>
  <c r="G399" i="8"/>
  <c r="E401" i="8"/>
  <c r="AV401" i="8"/>
  <c r="AH401" i="8"/>
  <c r="BB401" i="8" s="1"/>
  <c r="H430" i="8"/>
  <c r="E302" i="8"/>
  <c r="AX302" i="8" a="1"/>
  <c r="AX302" i="8" s="1"/>
  <c r="AY302" i="8" s="1"/>
  <c r="D322" i="8"/>
  <c r="D325" i="8"/>
  <c r="AO325" i="8"/>
  <c r="D334" i="8"/>
  <c r="AM345" i="8"/>
  <c r="C347" i="8"/>
  <c r="AV347" i="8"/>
  <c r="F349" i="8"/>
  <c r="C358" i="8"/>
  <c r="F360" i="8"/>
  <c r="K368" i="8"/>
  <c r="F380" i="8"/>
  <c r="H399" i="8"/>
  <c r="E400" i="8"/>
  <c r="AX400" i="8" a="1"/>
  <c r="AX400" i="8" s="1"/>
  <c r="AY400" i="8" s="1"/>
  <c r="I400" i="8"/>
  <c r="H400" i="8"/>
  <c r="AV400" i="8"/>
  <c r="G400" i="8"/>
  <c r="F400" i="8"/>
  <c r="C401" i="8"/>
  <c r="AX401" i="8" a="1"/>
  <c r="AX401" i="8" s="1"/>
  <c r="AY401" i="8" s="1"/>
  <c r="AM412" i="8"/>
  <c r="E356" i="8"/>
  <c r="H356" i="8"/>
  <c r="AO356" i="8"/>
  <c r="E369" i="8"/>
  <c r="AX369" i="8" a="1"/>
  <c r="AX369" i="8" s="1"/>
  <c r="AY369" i="8" s="1"/>
  <c r="AN369" i="8"/>
  <c r="F369" i="8"/>
  <c r="AH369" i="8"/>
  <c r="BB369" i="8" s="1"/>
  <c r="G380" i="8"/>
  <c r="AO389" i="8"/>
  <c r="BC392" i="8"/>
  <c r="K392" i="8"/>
  <c r="I399" i="8"/>
  <c r="D401" i="8"/>
  <c r="I428" i="8"/>
  <c r="AX428" i="8" a="1"/>
  <c r="AX428" i="8" s="1"/>
  <c r="AY428" i="8" s="1"/>
  <c r="G428" i="8"/>
  <c r="AO428" i="8"/>
  <c r="F428" i="8"/>
  <c r="AN428" i="8"/>
  <c r="E428" i="8"/>
  <c r="AM428" i="8"/>
  <c r="D428" i="8"/>
  <c r="AH428" i="8"/>
  <c r="BB428" i="8" s="1"/>
  <c r="AV428" i="8"/>
  <c r="K440" i="8"/>
  <c r="BC440" i="8"/>
  <c r="E345" i="8"/>
  <c r="AN345" i="8"/>
  <c r="F345" i="8"/>
  <c r="E363" i="8"/>
  <c r="AX363" i="8" a="1"/>
  <c r="AX363" i="8" s="1"/>
  <c r="AY363" i="8" s="1"/>
  <c r="H363" i="8"/>
  <c r="G363" i="8"/>
  <c r="F363" i="8"/>
  <c r="AO363" i="8"/>
  <c r="D363" i="8"/>
  <c r="C369" i="8"/>
  <c r="I380" i="8"/>
  <c r="AX380" i="8" a="1"/>
  <c r="AX380" i="8" s="1"/>
  <c r="AY380" i="8" s="1"/>
  <c r="I412" i="8"/>
  <c r="AX412" i="8" a="1"/>
  <c r="AX412" i="8" s="1"/>
  <c r="AY412" i="8" s="1"/>
  <c r="AH412" i="8"/>
  <c r="BB412" i="8" s="1"/>
  <c r="AO412" i="8"/>
  <c r="E359" i="8"/>
  <c r="AX359" i="8" a="1"/>
  <c r="AX359" i="8" s="1"/>
  <c r="AY359" i="8" s="1"/>
  <c r="E379" i="8"/>
  <c r="AX379" i="8" a="1"/>
  <c r="AX379" i="8" s="1"/>
  <c r="AY379" i="8" s="1"/>
  <c r="AN379" i="8"/>
  <c r="F379" i="8"/>
  <c r="AM379" i="8"/>
  <c r="E392" i="8"/>
  <c r="AH392" i="8"/>
  <c r="BB392" i="8" s="1"/>
  <c r="AV392" i="8"/>
  <c r="AM392" i="8"/>
  <c r="BC431" i="8"/>
  <c r="K431" i="8"/>
  <c r="AM460" i="8"/>
  <c r="F460" i="8"/>
  <c r="AX460" i="8" a="1"/>
  <c r="AX460" i="8" s="1"/>
  <c r="AY460" i="8" s="1"/>
  <c r="AV460" i="8"/>
  <c r="H460" i="8"/>
  <c r="AH460" i="8"/>
  <c r="BB460" i="8" s="1"/>
  <c r="E342" i="8"/>
  <c r="AH342" i="8"/>
  <c r="BB342" i="8" s="1"/>
  <c r="E353" i="8"/>
  <c r="C359" i="8"/>
  <c r="AM359" i="8"/>
  <c r="E367" i="8"/>
  <c r="E375" i="8"/>
  <c r="AN375" i="8"/>
  <c r="F375" i="8"/>
  <c r="AM375" i="8"/>
  <c r="C379" i="8"/>
  <c r="AO379" i="8"/>
  <c r="E385" i="8"/>
  <c r="AN385" i="8"/>
  <c r="F385" i="8"/>
  <c r="C392" i="8"/>
  <c r="AN392" i="8"/>
  <c r="E394" i="8"/>
  <c r="C394" i="8"/>
  <c r="AH394" i="8"/>
  <c r="BB394" i="8" s="1"/>
  <c r="AO394" i="8"/>
  <c r="E396" i="8"/>
  <c r="H396" i="8"/>
  <c r="AN396" i="8"/>
  <c r="F396" i="8"/>
  <c r="C396" i="8"/>
  <c r="AH396" i="8"/>
  <c r="BB396" i="8" s="1"/>
  <c r="I418" i="8"/>
  <c r="AX418" i="8" a="1"/>
  <c r="AX418" i="8" s="1"/>
  <c r="AY418" i="8" s="1"/>
  <c r="AV418" i="8"/>
  <c r="H418" i="8"/>
  <c r="G418" i="8"/>
  <c r="F418" i="8"/>
  <c r="AO418" i="8"/>
  <c r="E418" i="8"/>
  <c r="BC432" i="8"/>
  <c r="K432" i="8"/>
  <c r="C460" i="8"/>
  <c r="E318" i="8"/>
  <c r="G330" i="8"/>
  <c r="AO330" i="8"/>
  <c r="E341" i="8"/>
  <c r="G342" i="8"/>
  <c r="E352" i="8"/>
  <c r="AH352" i="8"/>
  <c r="BB352" i="8" s="1"/>
  <c r="G353" i="8"/>
  <c r="H359" i="8"/>
  <c r="G367" i="8"/>
  <c r="G371" i="8"/>
  <c r="E378" i="8"/>
  <c r="AV378" i="8"/>
  <c r="C378" i="8"/>
  <c r="AM378" i="8"/>
  <c r="I379" i="8"/>
  <c r="AH381" i="8"/>
  <c r="BB381" i="8" s="1"/>
  <c r="H392" i="8"/>
  <c r="BC406" i="8"/>
  <c r="I410" i="8"/>
  <c r="G410" i="8"/>
  <c r="AO410" i="8"/>
  <c r="F410" i="8"/>
  <c r="AM410" i="8"/>
  <c r="D410" i="8"/>
  <c r="AN410" i="8"/>
  <c r="I424" i="8"/>
  <c r="AN424" i="8"/>
  <c r="F424" i="8"/>
  <c r="AM424" i="8"/>
  <c r="E424" i="8"/>
  <c r="H424" i="8"/>
  <c r="G424" i="8"/>
  <c r="AO424" i="8"/>
  <c r="C424" i="8"/>
  <c r="D424" i="8"/>
  <c r="AV495" i="8"/>
  <c r="AM495" i="8"/>
  <c r="E495" i="8"/>
  <c r="AX495" i="8" a="1"/>
  <c r="AX495" i="8" s="1"/>
  <c r="AY495" i="8" s="1"/>
  <c r="I495" i="8"/>
  <c r="AO495" i="8"/>
  <c r="D495" i="8"/>
  <c r="AH495" i="8"/>
  <c r="BB495" i="8" s="1"/>
  <c r="H495" i="8"/>
  <c r="AN495" i="8"/>
  <c r="F495" i="8"/>
  <c r="AV504" i="8"/>
  <c r="D504" i="8"/>
  <c r="G504" i="8"/>
  <c r="AM504" i="8"/>
  <c r="C504" i="8"/>
  <c r="AO504" i="8"/>
  <c r="AN504" i="8"/>
  <c r="I504" i="8"/>
  <c r="H504" i="8"/>
  <c r="F504" i="8"/>
  <c r="AH504" i="8"/>
  <c r="BB504" i="8" s="1"/>
  <c r="AX504" i="8" a="1"/>
  <c r="AX504" i="8" s="1"/>
  <c r="AY504" i="8" s="1"/>
  <c r="E370" i="8"/>
  <c r="H370" i="8"/>
  <c r="E374" i="8"/>
  <c r="C374" i="8"/>
  <c r="AM374" i="8"/>
  <c r="AV379" i="8"/>
  <c r="K396" i="8"/>
  <c r="I407" i="8"/>
  <c r="AV407" i="8"/>
  <c r="AX407" i="8" a="1"/>
  <c r="AX407" i="8" s="1"/>
  <c r="AY407" i="8" s="1"/>
  <c r="AN407" i="8"/>
  <c r="BC498" i="8"/>
  <c r="K498" i="8"/>
  <c r="E366" i="8"/>
  <c r="H366" i="8"/>
  <c r="AH366" i="8"/>
  <c r="BB366" i="8" s="1"/>
  <c r="AM366" i="8"/>
  <c r="I367" i="8"/>
  <c r="C370" i="8"/>
  <c r="AM370" i="8"/>
  <c r="I371" i="8"/>
  <c r="D374" i="8"/>
  <c r="AN374" i="8"/>
  <c r="F378" i="8"/>
  <c r="AO378" i="8"/>
  <c r="AX392" i="8" a="1"/>
  <c r="AX392" i="8" s="1"/>
  <c r="AY392" i="8" s="1"/>
  <c r="E403" i="8"/>
  <c r="C403" i="8"/>
  <c r="I403" i="8"/>
  <c r="H403" i="8"/>
  <c r="G403" i="8"/>
  <c r="AM403" i="8"/>
  <c r="C407" i="8"/>
  <c r="AO407" i="8"/>
  <c r="E410" i="8"/>
  <c r="G495" i="8"/>
  <c r="F318" i="8"/>
  <c r="AN318" i="8"/>
  <c r="F328" i="8"/>
  <c r="AN328" i="8"/>
  <c r="E340" i="8"/>
  <c r="F341" i="8"/>
  <c r="AO341" i="8"/>
  <c r="F352" i="8"/>
  <c r="AO352" i="8"/>
  <c r="AV359" i="8"/>
  <c r="E362" i="8"/>
  <c r="AH362" i="8"/>
  <c r="BB362" i="8" s="1"/>
  <c r="AV362" i="8"/>
  <c r="AV367" i="8"/>
  <c r="D370" i="8"/>
  <c r="AN370" i="8"/>
  <c r="AV371" i="8"/>
  <c r="F374" i="8"/>
  <c r="AO374" i="8"/>
  <c r="E389" i="8"/>
  <c r="AX389" i="8" a="1"/>
  <c r="AX389" i="8" s="1"/>
  <c r="AY389" i="8" s="1"/>
  <c r="AN389" i="8"/>
  <c r="F389" i="8"/>
  <c r="AM389" i="8"/>
  <c r="D389" i="8"/>
  <c r="D407" i="8"/>
  <c r="H410" i="8"/>
  <c r="I421" i="8"/>
  <c r="AH421" i="8"/>
  <c r="BB421" i="8" s="1"/>
  <c r="AX421" i="8" a="1"/>
  <c r="AX421" i="8" s="1"/>
  <c r="AY421" i="8" s="1"/>
  <c r="AM421" i="8"/>
  <c r="K424" i="8"/>
  <c r="BC424" i="8"/>
  <c r="AO435" i="8"/>
  <c r="I440" i="8"/>
  <c r="AV440" i="8"/>
  <c r="H440" i="8"/>
  <c r="AO440" i="8"/>
  <c r="G440" i="8"/>
  <c r="C440" i="8"/>
  <c r="AN440" i="8"/>
  <c r="AM440" i="8"/>
  <c r="BC454" i="8"/>
  <c r="K454" i="8"/>
  <c r="AM459" i="8"/>
  <c r="F459" i="8"/>
  <c r="AH459" i="8"/>
  <c r="BB459" i="8" s="1"/>
  <c r="G459" i="8"/>
  <c r="AO459" i="8"/>
  <c r="E459" i="8"/>
  <c r="AV459" i="8"/>
  <c r="I459" i="8"/>
  <c r="H459" i="8"/>
  <c r="D459" i="8"/>
  <c r="C459" i="8"/>
  <c r="AN459" i="8"/>
  <c r="E377" i="8"/>
  <c r="E381" i="8"/>
  <c r="AX381" i="8" a="1"/>
  <c r="AX381" i="8" s="1"/>
  <c r="AY381" i="8" s="1"/>
  <c r="E384" i="8"/>
  <c r="C384" i="8"/>
  <c r="AH384" i="8"/>
  <c r="BB384" i="8" s="1"/>
  <c r="AN384" i="8"/>
  <c r="E397" i="8"/>
  <c r="H397" i="8"/>
  <c r="AN397" i="8"/>
  <c r="F397" i="8"/>
  <c r="AO397" i="8"/>
  <c r="E407" i="8"/>
  <c r="I437" i="8"/>
  <c r="AH437" i="8"/>
  <c r="BB437" i="8" s="1"/>
  <c r="AV437" i="8"/>
  <c r="F437" i="8"/>
  <c r="E437" i="8"/>
  <c r="I445" i="8"/>
  <c r="H445" i="8"/>
  <c r="G445" i="8"/>
  <c r="AO445" i="8"/>
  <c r="F445" i="8"/>
  <c r="AN445" i="8"/>
  <c r="E445" i="8"/>
  <c r="AM445" i="8"/>
  <c r="D445" i="8"/>
  <c r="C445" i="8"/>
  <c r="AX445" i="8" a="1"/>
  <c r="AX445" i="8" s="1"/>
  <c r="AY445" i="8" s="1"/>
  <c r="AV445" i="8"/>
  <c r="AH445" i="8"/>
  <c r="BB445" i="8" s="1"/>
  <c r="E388" i="8"/>
  <c r="I411" i="8"/>
  <c r="AH411" i="8"/>
  <c r="BB411" i="8" s="1"/>
  <c r="AV411" i="8"/>
  <c r="H411" i="8"/>
  <c r="AM411" i="8"/>
  <c r="I416" i="8"/>
  <c r="AX416" i="8" a="1"/>
  <c r="AX416" i="8" s="1"/>
  <c r="AY416" i="8" s="1"/>
  <c r="AV416" i="8"/>
  <c r="AO416" i="8"/>
  <c r="G416" i="8"/>
  <c r="AN448" i="8"/>
  <c r="AN456" i="8"/>
  <c r="AM462" i="8"/>
  <c r="F462" i="8"/>
  <c r="AN462" i="8"/>
  <c r="E462" i="8"/>
  <c r="AX462" i="8" a="1"/>
  <c r="AX462" i="8" s="1"/>
  <c r="AY462" i="8" s="1"/>
  <c r="I462" i="8"/>
  <c r="C462" i="8"/>
  <c r="AO462" i="8"/>
  <c r="AH462" i="8"/>
  <c r="BB462" i="8" s="1"/>
  <c r="AM464" i="8"/>
  <c r="F464" i="8"/>
  <c r="AX464" i="8" a="1"/>
  <c r="AX464" i="8" s="1"/>
  <c r="AY464" i="8" s="1"/>
  <c r="AV464" i="8"/>
  <c r="I464" i="8"/>
  <c r="H464" i="8"/>
  <c r="C464" i="8"/>
  <c r="E464" i="8"/>
  <c r="BC531" i="8"/>
  <c r="K531" i="8"/>
  <c r="C388" i="8"/>
  <c r="C398" i="8"/>
  <c r="C406" i="8"/>
  <c r="C411" i="8"/>
  <c r="AN411" i="8"/>
  <c r="C416" i="8"/>
  <c r="AM416" i="8"/>
  <c r="I429" i="8"/>
  <c r="AX429" i="8" a="1"/>
  <c r="AX429" i="8" s="1"/>
  <c r="AY429" i="8" s="1"/>
  <c r="AV429" i="8"/>
  <c r="I442" i="8"/>
  <c r="D442" i="8"/>
  <c r="AX442" i="8" a="1"/>
  <c r="AX442" i="8" s="1"/>
  <c r="AY442" i="8" s="1"/>
  <c r="H442" i="8"/>
  <c r="AM466" i="8"/>
  <c r="H388" i="8"/>
  <c r="G406" i="8"/>
  <c r="I408" i="8"/>
  <c r="AX408" i="8" a="1"/>
  <c r="AX408" i="8" s="1"/>
  <c r="AY408" i="8" s="1"/>
  <c r="AM408" i="8"/>
  <c r="G411" i="8"/>
  <c r="AX411" i="8" a="1"/>
  <c r="AX411" i="8" s="1"/>
  <c r="AY411" i="8" s="1"/>
  <c r="I413" i="8"/>
  <c r="C413" i="8"/>
  <c r="AH413" i="8"/>
  <c r="BB413" i="8" s="1"/>
  <c r="AO413" i="8"/>
  <c r="H416" i="8"/>
  <c r="AM435" i="8"/>
  <c r="K502" i="8"/>
  <c r="BC502" i="8"/>
  <c r="I420" i="8"/>
  <c r="H420" i="8"/>
  <c r="F420" i="8"/>
  <c r="AO420" i="8"/>
  <c r="E420" i="8"/>
  <c r="AM420" i="8"/>
  <c r="C420" i="8"/>
  <c r="AM456" i="8"/>
  <c r="F456" i="8"/>
  <c r="AX456" i="8" a="1"/>
  <c r="AX456" i="8" s="1"/>
  <c r="AY456" i="8" s="1"/>
  <c r="I456" i="8"/>
  <c r="H456" i="8"/>
  <c r="G456" i="8"/>
  <c r="AO456" i="8"/>
  <c r="E456" i="8"/>
  <c r="AH456" i="8"/>
  <c r="BB456" i="8" s="1"/>
  <c r="E402" i="8"/>
  <c r="AH402" i="8"/>
  <c r="BB402" i="8" s="1"/>
  <c r="AM402" i="8"/>
  <c r="I434" i="8"/>
  <c r="H434" i="8"/>
  <c r="AV434" i="8"/>
  <c r="G434" i="8"/>
  <c r="AO434" i="8"/>
  <c r="F434" i="8"/>
  <c r="AN434" i="8"/>
  <c r="E434" i="8"/>
  <c r="AX434" i="8" a="1"/>
  <c r="AX434" i="8" s="1"/>
  <c r="AY434" i="8" s="1"/>
  <c r="AM434" i="8"/>
  <c r="I435" i="8"/>
  <c r="AX435" i="8" a="1"/>
  <c r="AX435" i="8" s="1"/>
  <c r="AY435" i="8" s="1"/>
  <c r="AV435" i="8"/>
  <c r="AN435" i="8"/>
  <c r="E435" i="8"/>
  <c r="BC448" i="8"/>
  <c r="K448" i="8"/>
  <c r="AM457" i="8"/>
  <c r="F457" i="8"/>
  <c r="AH457" i="8"/>
  <c r="BB457" i="8" s="1"/>
  <c r="AX457" i="8" a="1"/>
  <c r="AX457" i="8" s="1"/>
  <c r="AY457" i="8" s="1"/>
  <c r="H457" i="8"/>
  <c r="I457" i="8"/>
  <c r="BC479" i="8"/>
  <c r="K479" i="8"/>
  <c r="G420" i="8"/>
  <c r="C434" i="8"/>
  <c r="C435" i="8"/>
  <c r="D456" i="8"/>
  <c r="C457" i="8"/>
  <c r="AV483" i="8"/>
  <c r="K491" i="8"/>
  <c r="BC491" i="8"/>
  <c r="AV388" i="8"/>
  <c r="AV398" i="8"/>
  <c r="D402" i="8"/>
  <c r="AO402" i="8"/>
  <c r="I405" i="8"/>
  <c r="AO405" i="8"/>
  <c r="G405" i="8"/>
  <c r="AV405" i="8"/>
  <c r="H405" i="8"/>
  <c r="AM405" i="8"/>
  <c r="F408" i="8"/>
  <c r="G413" i="8"/>
  <c r="AV413" i="8"/>
  <c r="D434" i="8"/>
  <c r="D435" i="8"/>
  <c r="D457" i="8"/>
  <c r="AV457" i="8"/>
  <c r="C478" i="8"/>
  <c r="G478" i="8"/>
  <c r="I478" i="8"/>
  <c r="H478" i="8"/>
  <c r="AX478" i="8" a="1"/>
  <c r="AX478" i="8" s="1"/>
  <c r="AY478" i="8" s="1"/>
  <c r="F478" i="8"/>
  <c r="E478" i="8"/>
  <c r="AO478" i="8"/>
  <c r="AN478" i="8"/>
  <c r="AV478" i="8"/>
  <c r="AM478" i="8"/>
  <c r="AH478" i="8"/>
  <c r="BB478" i="8" s="1"/>
  <c r="AN493" i="8"/>
  <c r="F493" i="8"/>
  <c r="C493" i="8"/>
  <c r="AH493" i="8"/>
  <c r="BB493" i="8" s="1"/>
  <c r="AX493" i="8" a="1"/>
  <c r="AX493" i="8" s="1"/>
  <c r="AY493" i="8" s="1"/>
  <c r="H493" i="8"/>
  <c r="G493" i="8"/>
  <c r="AV493" i="8"/>
  <c r="E493" i="8"/>
  <c r="AO493" i="8"/>
  <c r="AM493" i="8"/>
  <c r="BC475" i="8"/>
  <c r="K475" i="8"/>
  <c r="K489" i="8"/>
  <c r="BC489" i="8"/>
  <c r="K509" i="8"/>
  <c r="BC509" i="8"/>
  <c r="AH419" i="8"/>
  <c r="BB419" i="8" s="1"/>
  <c r="AH423" i="8"/>
  <c r="BB423" i="8" s="1"/>
  <c r="I436" i="8"/>
  <c r="I452" i="8"/>
  <c r="D452" i="8"/>
  <c r="AX452" i="8" a="1"/>
  <c r="AX452" i="8" s="1"/>
  <c r="AY452" i="8" s="1"/>
  <c r="AV452" i="8"/>
  <c r="H452" i="8"/>
  <c r="AM452" i="8"/>
  <c r="C452" i="8"/>
  <c r="K508" i="8"/>
  <c r="I448" i="8"/>
  <c r="AH448" i="8"/>
  <c r="BB448" i="8" s="1"/>
  <c r="AV448" i="8"/>
  <c r="AO448" i="8"/>
  <c r="BC520" i="8"/>
  <c r="K520" i="8"/>
  <c r="I427" i="8"/>
  <c r="AV427" i="8"/>
  <c r="K442" i="8"/>
  <c r="C448" i="8"/>
  <c r="K457" i="8"/>
  <c r="K494" i="8"/>
  <c r="BC523" i="8"/>
  <c r="K523" i="8"/>
  <c r="I414" i="8"/>
  <c r="AM414" i="8"/>
  <c r="E414" i="8"/>
  <c r="C427" i="8"/>
  <c r="I443" i="8"/>
  <c r="AN443" i="8"/>
  <c r="F443" i="8"/>
  <c r="AH443" i="8"/>
  <c r="BB443" i="8" s="1"/>
  <c r="BC445" i="8"/>
  <c r="D448" i="8"/>
  <c r="K481" i="8"/>
  <c r="BC481" i="8"/>
  <c r="I446" i="8"/>
  <c r="AX446" i="8" a="1"/>
  <c r="AX446" i="8" s="1"/>
  <c r="AY446" i="8" s="1"/>
  <c r="AV446" i="8"/>
  <c r="H446" i="8"/>
  <c r="D446" i="8"/>
  <c r="AN446" i="8"/>
  <c r="BC516" i="8"/>
  <c r="K516" i="8"/>
  <c r="I423" i="8"/>
  <c r="D423" i="8"/>
  <c r="C423" i="8"/>
  <c r="AN423" i="8"/>
  <c r="C446" i="8"/>
  <c r="AO446" i="8"/>
  <c r="F448" i="8"/>
  <c r="I450" i="8"/>
  <c r="I433" i="8"/>
  <c r="AN433" i="8"/>
  <c r="F433" i="8"/>
  <c r="AO480" i="8"/>
  <c r="G480" i="8"/>
  <c r="AN480" i="8"/>
  <c r="E480" i="8"/>
  <c r="AM480" i="8"/>
  <c r="D480" i="8"/>
  <c r="C480" i="8"/>
  <c r="AV480" i="8"/>
  <c r="AM486" i="8"/>
  <c r="E486" i="8"/>
  <c r="AH486" i="8"/>
  <c r="BB486" i="8" s="1"/>
  <c r="I486" i="8"/>
  <c r="AX486" i="8" a="1"/>
  <c r="AX486" i="8" s="1"/>
  <c r="AY486" i="8" s="1"/>
  <c r="H486" i="8"/>
  <c r="G486" i="8"/>
  <c r="AV486" i="8"/>
  <c r="D486" i="8"/>
  <c r="C486" i="8"/>
  <c r="AN514" i="8"/>
  <c r="G514" i="8"/>
  <c r="AM514" i="8"/>
  <c r="F514" i="8"/>
  <c r="AX514" i="8" a="1"/>
  <c r="AX514" i="8" s="1"/>
  <c r="AY514" i="8" s="1"/>
  <c r="AV514" i="8"/>
  <c r="I514" i="8"/>
  <c r="C514" i="8"/>
  <c r="AO514" i="8"/>
  <c r="AH514" i="8"/>
  <c r="BB514" i="8" s="1"/>
  <c r="H514" i="8"/>
  <c r="E514" i="8"/>
  <c r="D514" i="8"/>
  <c r="C433" i="8"/>
  <c r="I444" i="8"/>
  <c r="H444" i="8"/>
  <c r="D450" i="8"/>
  <c r="AM455" i="8"/>
  <c r="F455" i="8"/>
  <c r="AV455" i="8"/>
  <c r="AX455" i="8" a="1"/>
  <c r="AX455" i="8" s="1"/>
  <c r="AY455" i="8" s="1"/>
  <c r="AH483" i="8"/>
  <c r="BB483" i="8" s="1"/>
  <c r="E483" i="8"/>
  <c r="D483" i="8"/>
  <c r="I483" i="8"/>
  <c r="H483" i="8"/>
  <c r="AX483" i="8" a="1"/>
  <c r="AX483" i="8" s="1"/>
  <c r="AY483" i="8" s="1"/>
  <c r="G483" i="8"/>
  <c r="C483" i="8"/>
  <c r="AO483" i="8"/>
  <c r="AN483" i="8"/>
  <c r="K488" i="8"/>
  <c r="BC488" i="8"/>
  <c r="K506" i="8"/>
  <c r="BC506" i="8"/>
  <c r="D433" i="8"/>
  <c r="AM433" i="8"/>
  <c r="I438" i="8"/>
  <c r="C444" i="8"/>
  <c r="E450" i="8"/>
  <c r="AM450" i="8"/>
  <c r="C455" i="8"/>
  <c r="AM461" i="8"/>
  <c r="F461" i="8"/>
  <c r="C461" i="8"/>
  <c r="C477" i="8"/>
  <c r="AX477" i="8" a="1"/>
  <c r="AX477" i="8" s="1"/>
  <c r="AY477" i="8" s="1"/>
  <c r="AV477" i="8"/>
  <c r="H477" i="8"/>
  <c r="AH477" i="8"/>
  <c r="BB477" i="8" s="1"/>
  <c r="I477" i="8"/>
  <c r="G477" i="8"/>
  <c r="H480" i="8"/>
  <c r="F483" i="8"/>
  <c r="K501" i="8"/>
  <c r="BC501" i="8"/>
  <c r="E433" i="8"/>
  <c r="AO433" i="8"/>
  <c r="I449" i="8"/>
  <c r="F450" i="8"/>
  <c r="AN450" i="8"/>
  <c r="D455" i="8"/>
  <c r="I480" i="8"/>
  <c r="AO497" i="8"/>
  <c r="K514" i="8"/>
  <c r="BC514" i="8"/>
  <c r="AX482" i="8" a="1"/>
  <c r="AX482" i="8" s="1"/>
  <c r="AY482" i="8" s="1"/>
  <c r="G482" i="8"/>
  <c r="E482" i="8"/>
  <c r="D482" i="8"/>
  <c r="AO482" i="8"/>
  <c r="C482" i="8"/>
  <c r="AN515" i="8"/>
  <c r="G515" i="8"/>
  <c r="AM515" i="8"/>
  <c r="F515" i="8"/>
  <c r="AX515" i="8" a="1"/>
  <c r="AX515" i="8" s="1"/>
  <c r="AY515" i="8" s="1"/>
  <c r="AH515" i="8"/>
  <c r="BB515" i="8" s="1"/>
  <c r="I515" i="8"/>
  <c r="H515" i="8"/>
  <c r="E515" i="8"/>
  <c r="AV515" i="8"/>
  <c r="D515" i="8"/>
  <c r="C515" i="8"/>
  <c r="AO515" i="8"/>
  <c r="BC518" i="8"/>
  <c r="K518" i="8"/>
  <c r="AV528" i="8"/>
  <c r="H528" i="8"/>
  <c r="AH528" i="8"/>
  <c r="BB528" i="8" s="1"/>
  <c r="I528" i="8"/>
  <c r="G528" i="8"/>
  <c r="F528" i="8"/>
  <c r="E528" i="8"/>
  <c r="AO528" i="8"/>
  <c r="D528" i="8"/>
  <c r="AN528" i="8"/>
  <c r="AM528" i="8"/>
  <c r="AN512" i="8"/>
  <c r="G512" i="8"/>
  <c r="AM512" i="8"/>
  <c r="F512" i="8"/>
  <c r="H512" i="8"/>
  <c r="E512" i="8"/>
  <c r="AH512" i="8"/>
  <c r="BB512" i="8" s="1"/>
  <c r="I512" i="8"/>
  <c r="AO512" i="8"/>
  <c r="D512" i="8"/>
  <c r="AX490" i="8" a="1"/>
  <c r="AX490" i="8" s="1"/>
  <c r="AY490" i="8" s="1"/>
  <c r="H490" i="8"/>
  <c r="AH490" i="8"/>
  <c r="BB490" i="8" s="1"/>
  <c r="I490" i="8"/>
  <c r="G490" i="8"/>
  <c r="F490" i="8"/>
  <c r="AO490" i="8"/>
  <c r="AN490" i="8"/>
  <c r="AM490" i="8"/>
  <c r="I488" i="8"/>
  <c r="C488" i="8"/>
  <c r="H488" i="8"/>
  <c r="G488" i="8"/>
  <c r="F488" i="8"/>
  <c r="AN488" i="8"/>
  <c r="D488" i="8"/>
  <c r="AO488" i="8"/>
  <c r="AM488" i="8"/>
  <c r="C490" i="8"/>
  <c r="I441" i="8"/>
  <c r="I451" i="8"/>
  <c r="K482" i="8"/>
  <c r="BC482" i="8"/>
  <c r="BC486" i="8"/>
  <c r="K486" i="8"/>
  <c r="E488" i="8"/>
  <c r="AM489" i="8"/>
  <c r="E489" i="8"/>
  <c r="AX489" i="8" a="1"/>
  <c r="AX489" i="8" s="1"/>
  <c r="AY489" i="8" s="1"/>
  <c r="F489" i="8"/>
  <c r="H489" i="8"/>
  <c r="AV489" i="8"/>
  <c r="G489" i="8"/>
  <c r="D489" i="8"/>
  <c r="D490" i="8"/>
  <c r="AM458" i="8"/>
  <c r="F458" i="8"/>
  <c r="AM479" i="8"/>
  <c r="E479" i="8"/>
  <c r="AX479" i="8" a="1"/>
  <c r="AX479" i="8" s="1"/>
  <c r="AY479" i="8" s="1"/>
  <c r="I479" i="8"/>
  <c r="E490" i="8"/>
  <c r="AN501" i="8"/>
  <c r="F501" i="8"/>
  <c r="AV501" i="8"/>
  <c r="AH501" i="8"/>
  <c r="BB501" i="8" s="1"/>
  <c r="G501" i="8"/>
  <c r="AM501" i="8"/>
  <c r="I501" i="8"/>
  <c r="H501" i="8"/>
  <c r="BC512" i="8"/>
  <c r="K512" i="8"/>
  <c r="C479" i="8"/>
  <c r="I489" i="8"/>
  <c r="AM500" i="8"/>
  <c r="F500" i="8"/>
  <c r="AX500" i="8" a="1"/>
  <c r="AX500" i="8" s="1"/>
  <c r="AY500" i="8" s="1"/>
  <c r="AO500" i="8"/>
  <c r="E500" i="8"/>
  <c r="I500" i="8"/>
  <c r="AN500" i="8"/>
  <c r="AH500" i="8"/>
  <c r="BB500" i="8" s="1"/>
  <c r="C501" i="8"/>
  <c r="C476" i="8"/>
  <c r="AX476" i="8" a="1"/>
  <c r="AX476" i="8" s="1"/>
  <c r="AY476" i="8" s="1"/>
  <c r="AN476" i="8"/>
  <c r="F476" i="8"/>
  <c r="AM476" i="8"/>
  <c r="AV496" i="8"/>
  <c r="AX496" i="8" a="1"/>
  <c r="AX496" i="8" s="1"/>
  <c r="AY496" i="8" s="1"/>
  <c r="H496" i="8"/>
  <c r="AH496" i="8"/>
  <c r="BB496" i="8" s="1"/>
  <c r="D492" i="8"/>
  <c r="AX492" i="8" a="1"/>
  <c r="AX492" i="8" s="1"/>
  <c r="AY492" i="8" s="1"/>
  <c r="AV492" i="8"/>
  <c r="I492" i="8"/>
  <c r="H492" i="8"/>
  <c r="AN492" i="8"/>
  <c r="C492" i="8"/>
  <c r="E492" i="8"/>
  <c r="BC500" i="8"/>
  <c r="K500" i="8"/>
  <c r="K513" i="8"/>
  <c r="BC513" i="8"/>
  <c r="AM497" i="8"/>
  <c r="AH497" i="8"/>
  <c r="BB497" i="8" s="1"/>
  <c r="AX497" i="8" a="1"/>
  <c r="AX497" i="8" s="1"/>
  <c r="AY497" i="8" s="1"/>
  <c r="G497" i="8"/>
  <c r="AV497" i="8"/>
  <c r="F497" i="8"/>
  <c r="E497" i="8"/>
  <c r="D497" i="8"/>
  <c r="C497" i="8"/>
  <c r="H497" i="8"/>
  <c r="BC515" i="8"/>
  <c r="K515" i="8"/>
  <c r="I497" i="8"/>
  <c r="AO505" i="8"/>
  <c r="AO529" i="8"/>
  <c r="I481" i="8"/>
  <c r="C485" i="8"/>
  <c r="AM485" i="8"/>
  <c r="F465" i="8"/>
  <c r="AM465" i="8"/>
  <c r="F466" i="8"/>
  <c r="F467" i="8"/>
  <c r="AM467" i="8"/>
  <c r="F481" i="8"/>
  <c r="AO481" i="8"/>
  <c r="G485" i="8"/>
  <c r="AM505" i="8"/>
  <c r="AV508" i="8"/>
  <c r="AX508" i="8" a="1"/>
  <c r="AX508" i="8" s="1"/>
  <c r="AY508" i="8" s="1"/>
  <c r="H508" i="8"/>
  <c r="AM508" i="8"/>
  <c r="E508" i="8"/>
  <c r="C508" i="8"/>
  <c r="AN508" i="8"/>
  <c r="AH508" i="8"/>
  <c r="BB508" i="8" s="1"/>
  <c r="H494" i="8"/>
  <c r="G494" i="8"/>
  <c r="AM494" i="8"/>
  <c r="BC511" i="8"/>
  <c r="K511" i="8"/>
  <c r="K517" i="8"/>
  <c r="C494" i="8"/>
  <c r="AN494" i="8"/>
  <c r="K522" i="8"/>
  <c r="AO530" i="8"/>
  <c r="D494" i="8"/>
  <c r="AO494" i="8"/>
  <c r="AX505" i="8" a="1"/>
  <c r="AX505" i="8" s="1"/>
  <c r="AY505" i="8" s="1"/>
  <c r="AN505" i="8"/>
  <c r="F505" i="8"/>
  <c r="I505" i="8"/>
  <c r="H505" i="8"/>
  <c r="E505" i="8"/>
  <c r="AV481" i="8"/>
  <c r="AO487" i="8"/>
  <c r="G487" i="8"/>
  <c r="E494" i="8"/>
  <c r="C505" i="8"/>
  <c r="AV505" i="8"/>
  <c r="BC530" i="8"/>
  <c r="K530" i="8"/>
  <c r="AM499" i="8"/>
  <c r="F499" i="8"/>
  <c r="AN519" i="8"/>
  <c r="G519" i="8"/>
  <c r="AM519" i="8"/>
  <c r="F519" i="8"/>
  <c r="AV519" i="8"/>
  <c r="I519" i="8"/>
  <c r="AH519" i="8"/>
  <c r="BB519" i="8" s="1"/>
  <c r="H519" i="8"/>
  <c r="C519" i="8"/>
  <c r="AM498" i="8"/>
  <c r="F498" i="8"/>
  <c r="H506" i="8"/>
  <c r="AX506" i="8" a="1"/>
  <c r="AX506" i="8" s="1"/>
  <c r="AY506" i="8" s="1"/>
  <c r="AM506" i="8"/>
  <c r="AN518" i="8"/>
  <c r="G518" i="8"/>
  <c r="AM518" i="8"/>
  <c r="F518" i="8"/>
  <c r="I518" i="8"/>
  <c r="H518" i="8"/>
  <c r="E518" i="8"/>
  <c r="C518" i="8"/>
  <c r="AV518" i="8"/>
  <c r="AH518" i="8"/>
  <c r="BB518" i="8" s="1"/>
  <c r="D519" i="8"/>
  <c r="AM511" i="8"/>
  <c r="AH511" i="8"/>
  <c r="BB511" i="8" s="1"/>
  <c r="H511" i="8"/>
  <c r="AO511" i="8"/>
  <c r="AO520" i="8"/>
  <c r="H520" i="8"/>
  <c r="AN520" i="8"/>
  <c r="G520" i="8"/>
  <c r="F520" i="8"/>
  <c r="AV520" i="8"/>
  <c r="E520" i="8"/>
  <c r="AX524" i="8" a="1"/>
  <c r="AX524" i="8" s="1"/>
  <c r="AY524" i="8" s="1"/>
  <c r="AV524" i="8"/>
  <c r="I524" i="8"/>
  <c r="AM524" i="8"/>
  <c r="AM529" i="8"/>
  <c r="AH532" i="8"/>
  <c r="BB532" i="8" s="1"/>
  <c r="AV532" i="8"/>
  <c r="I532" i="8"/>
  <c r="H532" i="8"/>
  <c r="G532" i="8"/>
  <c r="F532" i="8"/>
  <c r="AO532" i="8"/>
  <c r="E532" i="8"/>
  <c r="AX532" i="8" a="1"/>
  <c r="AX532" i="8" s="1"/>
  <c r="AY532" i="8" s="1"/>
  <c r="AN532" i="8"/>
  <c r="AM532" i="8"/>
  <c r="AN513" i="8"/>
  <c r="G513" i="8"/>
  <c r="AM513" i="8"/>
  <c r="F513" i="8"/>
  <c r="E513" i="8"/>
  <c r="C513" i="8"/>
  <c r="AV513" i="8"/>
  <c r="AN516" i="8"/>
  <c r="G516" i="8"/>
  <c r="AM516" i="8"/>
  <c r="F516" i="8"/>
  <c r="AH516" i="8"/>
  <c r="BB516" i="8" s="1"/>
  <c r="AO516" i="8"/>
  <c r="C520" i="8"/>
  <c r="AX520" i="8" a="1"/>
  <c r="AX520" i="8" s="1"/>
  <c r="AY520" i="8" s="1"/>
  <c r="C524" i="8"/>
  <c r="AN524" i="8"/>
  <c r="AN529" i="8"/>
  <c r="C532" i="8"/>
  <c r="D511" i="8"/>
  <c r="D513" i="8"/>
  <c r="C516" i="8"/>
  <c r="AV516" i="8"/>
  <c r="D520" i="8"/>
  <c r="D524" i="8"/>
  <c r="AO524" i="8"/>
  <c r="AV531" i="8"/>
  <c r="AH531" i="8"/>
  <c r="BB531" i="8" s="1"/>
  <c r="H531" i="8"/>
  <c r="G531" i="8"/>
  <c r="F531" i="8"/>
  <c r="D531" i="8"/>
  <c r="D532" i="8"/>
  <c r="G511" i="8"/>
  <c r="H516" i="8"/>
  <c r="G524" i="8"/>
  <c r="I516" i="8"/>
  <c r="AV525" i="8"/>
  <c r="G525" i="8"/>
  <c r="AO525" i="8"/>
  <c r="F525" i="8"/>
  <c r="AM525" i="8"/>
  <c r="D525" i="8"/>
  <c r="AV529" i="8"/>
  <c r="AH529" i="8"/>
  <c r="BB529" i="8" s="1"/>
  <c r="H529" i="8"/>
  <c r="D529" i="8"/>
  <c r="C529" i="8"/>
  <c r="AV530" i="8"/>
  <c r="I530" i="8"/>
  <c r="H530" i="8"/>
  <c r="G530" i="8"/>
  <c r="F530" i="8"/>
  <c r="E530" i="8"/>
  <c r="C530" i="8"/>
  <c r="AN530" i="8"/>
  <c r="AM530" i="8"/>
  <c r="E529" i="8"/>
  <c r="D530" i="8"/>
  <c r="AH510" i="8"/>
  <c r="BB510" i="8" s="1"/>
  <c r="AM510" i="8"/>
  <c r="D510" i="8"/>
  <c r="AN510" i="8"/>
  <c r="BC524" i="8"/>
  <c r="K524" i="8"/>
  <c r="H525" i="8"/>
  <c r="F529" i="8"/>
  <c r="AV523" i="8"/>
  <c r="I523" i="8"/>
  <c r="H523" i="8"/>
  <c r="AN523" i="8"/>
  <c r="F523" i="8"/>
  <c r="AM523" i="8"/>
  <c r="BC529" i="8"/>
  <c r="K529" i="8"/>
  <c r="AV527" i="8"/>
  <c r="K519" i="8"/>
  <c r="AH526" i="8"/>
  <c r="BB526" i="8" s="1"/>
  <c r="AN517" i="8"/>
  <c r="G517" i="8"/>
  <c r="AM517" i="8"/>
  <c r="F517" i="8"/>
  <c r="C517" i="8"/>
  <c r="F522" i="8"/>
  <c r="AN522" i="8"/>
  <c r="F527" i="8"/>
  <c r="AN527" i="8"/>
  <c r="D517" i="8"/>
  <c r="AO517" i="8"/>
  <c r="I521" i="8"/>
  <c r="AO521" i="8"/>
  <c r="H521" i="8"/>
  <c r="AV526" i="8"/>
  <c r="AZ533" i="8" l="1"/>
  <c r="AZ101" i="8"/>
  <c r="AZ536" i="8"/>
  <c r="AZ544" i="8"/>
  <c r="AZ540" i="8"/>
  <c r="AG535" i="8"/>
  <c r="AG541" i="8"/>
  <c r="AZ534" i="8"/>
  <c r="AR533" i="8"/>
  <c r="AW533" i="8"/>
  <c r="AK536" i="8"/>
  <c r="AL536" i="8"/>
  <c r="AG536" i="8"/>
  <c r="AR539" i="8"/>
  <c r="AW539" i="8"/>
  <c r="AG533" i="8"/>
  <c r="AR537" i="8"/>
  <c r="AW537" i="8"/>
  <c r="AL541" i="8"/>
  <c r="AK541" i="8"/>
  <c r="AR544" i="8"/>
  <c r="AW544" i="8"/>
  <c r="AG544" i="8"/>
  <c r="AL534" i="8"/>
  <c r="AL543" i="8"/>
  <c r="AL537" i="8"/>
  <c r="AK537" i="8"/>
  <c r="AZ541" i="8"/>
  <c r="AR541" i="8"/>
  <c r="AW541" i="8"/>
  <c r="AR540" i="8"/>
  <c r="AW540" i="8"/>
  <c r="AL535" i="8"/>
  <c r="AL539" i="8"/>
  <c r="AK539" i="8"/>
  <c r="AG534" i="8"/>
  <c r="AL544" i="8"/>
  <c r="AG537" i="8"/>
  <c r="AG539" i="8"/>
  <c r="AR535" i="8"/>
  <c r="AW535" i="8"/>
  <c r="AL538" i="8"/>
  <c r="AK538" i="8"/>
  <c r="AL533" i="8"/>
  <c r="AZ539" i="8"/>
  <c r="AZ535" i="8"/>
  <c r="AG538" i="8"/>
  <c r="AG542" i="8"/>
  <c r="AR543" i="8"/>
  <c r="AW543" i="8"/>
  <c r="AZ537" i="8"/>
  <c r="AZ542" i="8"/>
  <c r="AL542" i="8"/>
  <c r="AK542" i="8"/>
  <c r="AR538" i="8"/>
  <c r="AW538" i="8"/>
  <c r="AL540" i="8"/>
  <c r="AK540" i="8"/>
  <c r="AW534" i="8"/>
  <c r="AR536" i="8"/>
  <c r="AW536" i="8"/>
  <c r="AG543" i="8"/>
  <c r="AZ538" i="8"/>
  <c r="AG540" i="8"/>
  <c r="AR542" i="8"/>
  <c r="AW542" i="8"/>
  <c r="AZ543" i="8"/>
  <c r="AZ439" i="8"/>
  <c r="AZ50" i="8"/>
  <c r="AZ83" i="8"/>
  <c r="AZ477" i="8"/>
  <c r="AE220" i="8"/>
  <c r="AE243" i="8"/>
  <c r="AE497" i="8"/>
  <c r="AE186" i="8"/>
  <c r="AE8" i="8"/>
  <c r="AE472" i="8"/>
  <c r="AE202" i="8"/>
  <c r="AE48" i="8"/>
  <c r="AE314" i="8"/>
  <c r="AE190" i="8"/>
  <c r="AF108" i="8"/>
  <c r="AE313" i="8"/>
  <c r="AE318" i="8"/>
  <c r="AE404" i="8"/>
  <c r="AF516" i="8"/>
  <c r="AF76" i="8"/>
  <c r="AE192" i="8"/>
  <c r="AF379" i="8"/>
  <c r="AE93" i="8"/>
  <c r="AE216" i="8"/>
  <c r="AE341" i="8"/>
  <c r="AE355" i="8"/>
  <c r="AF45" i="8"/>
  <c r="AE285" i="8"/>
  <c r="AF159" i="8"/>
  <c r="AE153" i="8"/>
  <c r="AE443" i="8"/>
  <c r="AF250" i="8"/>
  <c r="AF199" i="8"/>
  <c r="AF486" i="8"/>
  <c r="AE94" i="8"/>
  <c r="AE463" i="8"/>
  <c r="AE217" i="8"/>
  <c r="AE223" i="8"/>
  <c r="AE235" i="8"/>
  <c r="AF110" i="8"/>
  <c r="AE373" i="8"/>
  <c r="AF416" i="8"/>
  <c r="AF115" i="8"/>
  <c r="AF116" i="8"/>
  <c r="AE432" i="8"/>
  <c r="AE49" i="8"/>
  <c r="AE96" i="8"/>
  <c r="AE209" i="8"/>
  <c r="AE34" i="8"/>
  <c r="AE47" i="8"/>
  <c r="AF248" i="8"/>
  <c r="AE411" i="8"/>
  <c r="AE399" i="8"/>
  <c r="AE476" i="8"/>
  <c r="AE359" i="8"/>
  <c r="AE385" i="8"/>
  <c r="AE67" i="8"/>
  <c r="AE441" i="8"/>
  <c r="AE351" i="8"/>
  <c r="AE212" i="8"/>
  <c r="AE38" i="8"/>
  <c r="AE88" i="8"/>
  <c r="AF205" i="8"/>
  <c r="AE501" i="8"/>
  <c r="AE302" i="8"/>
  <c r="AE177" i="8"/>
  <c r="AF180" i="8"/>
  <c r="AF125" i="8"/>
  <c r="AE99" i="8"/>
  <c r="AE87" i="8"/>
  <c r="AF95" i="8"/>
  <c r="AE198" i="8"/>
  <c r="AF345" i="8"/>
  <c r="AE35" i="8"/>
  <c r="AF105" i="8"/>
  <c r="AE353" i="8"/>
  <c r="AF513" i="8"/>
  <c r="AE515" i="8"/>
  <c r="AE474" i="8"/>
  <c r="AE275" i="8"/>
  <c r="AE367" i="8"/>
  <c r="AE129" i="8"/>
  <c r="AE466" i="8"/>
  <c r="AE467" i="8"/>
  <c r="AE354" i="8"/>
  <c r="AE451" i="8"/>
  <c r="AE249" i="8"/>
  <c r="AE74" i="8"/>
  <c r="AE242" i="8"/>
  <c r="AF221" i="8"/>
  <c r="AE330" i="8"/>
  <c r="AF80" i="8"/>
  <c r="AF256" i="8"/>
  <c r="AF489" i="8"/>
  <c r="AE471" i="8"/>
  <c r="AE444" i="8"/>
  <c r="AE69" i="8"/>
  <c r="AF203" i="8"/>
  <c r="AF132" i="8"/>
  <c r="AF54" i="8"/>
  <c r="AE429" i="8"/>
  <c r="AE102" i="8"/>
  <c r="AE350" i="8"/>
  <c r="AF418" i="8"/>
  <c r="AF431" i="8"/>
  <c r="AF480" i="8"/>
  <c r="AF85" i="8"/>
  <c r="AE66" i="8"/>
  <c r="AE163" i="8"/>
  <c r="AE323" i="8"/>
  <c r="AE89" i="8"/>
  <c r="AF438" i="8"/>
  <c r="AF271" i="8"/>
  <c r="AE172" i="8"/>
  <c r="AF315" i="8"/>
  <c r="AF348" i="8"/>
  <c r="AF269" i="8"/>
  <c r="AF281" i="8"/>
  <c r="AF55" i="8"/>
  <c r="AE114" i="8"/>
  <c r="AE390" i="8"/>
  <c r="AE90" i="8"/>
  <c r="AE391" i="8"/>
  <c r="AE167" i="8"/>
  <c r="AE236" i="8"/>
  <c r="AE430" i="8"/>
  <c r="AE310" i="8"/>
  <c r="AF532" i="8"/>
  <c r="AE319" i="8"/>
  <c r="AE104" i="8"/>
  <c r="AF260" i="8"/>
  <c r="AE396" i="8"/>
  <c r="AE197" i="8"/>
  <c r="AE490" i="8"/>
  <c r="AE121" i="8"/>
  <c r="AE28" i="8"/>
  <c r="AF402" i="8"/>
  <c r="AF484" i="8"/>
  <c r="AE458" i="8"/>
  <c r="AE40" i="8"/>
  <c r="AF395" i="8"/>
  <c r="AE200" i="8"/>
  <c r="AE524" i="8"/>
  <c r="AE412" i="8"/>
  <c r="AE228" i="8"/>
  <c r="AE107" i="8"/>
  <c r="AE58" i="8"/>
  <c r="AE509" i="8"/>
  <c r="AE381" i="8"/>
  <c r="AE292" i="8"/>
  <c r="AE263" i="8"/>
  <c r="AF65" i="8"/>
  <c r="AF29" i="8"/>
  <c r="AE439" i="8"/>
  <c r="AE460" i="8"/>
  <c r="AF308" i="8"/>
  <c r="AF127" i="8"/>
  <c r="AF274" i="8"/>
  <c r="AE434" i="8"/>
  <c r="AF436" i="8"/>
  <c r="AE453" i="8"/>
  <c r="AE346" i="8"/>
  <c r="AE112" i="8"/>
  <c r="AF512" i="8"/>
  <c r="AF370" i="8"/>
  <c r="AF246" i="8"/>
  <c r="AE361" i="8"/>
  <c r="AE143" i="8"/>
  <c r="AE15" i="8"/>
  <c r="AF142" i="8"/>
  <c r="AE131" i="8"/>
  <c r="AE36" i="8"/>
  <c r="AE278" i="8"/>
  <c r="AF363" i="8"/>
  <c r="AE365" i="8"/>
  <c r="AE521" i="8"/>
  <c r="AE171" i="8"/>
  <c r="AE30" i="8"/>
  <c r="AE371" i="8"/>
  <c r="AE183" i="8"/>
  <c r="AE526" i="8"/>
  <c r="AE288" i="8"/>
  <c r="AE437" i="8"/>
  <c r="AE407" i="8"/>
  <c r="AE366" i="8"/>
  <c r="AE174" i="8"/>
  <c r="AE185" i="8"/>
  <c r="AE362" i="8"/>
  <c r="AE82" i="8"/>
  <c r="AF166" i="8"/>
  <c r="AF303" i="8"/>
  <c r="AE136" i="8"/>
  <c r="AE72" i="8"/>
  <c r="AE134" i="8"/>
  <c r="AE337" i="8"/>
  <c r="AE57" i="8"/>
  <c r="AE77" i="8"/>
  <c r="AE170" i="8"/>
  <c r="AE120" i="8"/>
  <c r="AE33" i="8"/>
  <c r="AE272" i="8"/>
  <c r="AF414" i="8"/>
  <c r="AE234" i="8"/>
  <c r="AE368" i="8"/>
  <c r="AE251" i="8"/>
  <c r="AE53" i="8"/>
  <c r="AE26" i="8"/>
  <c r="AF300" i="8"/>
  <c r="AE530" i="8"/>
  <c r="AE517" i="8"/>
  <c r="AF507" i="8"/>
  <c r="AE254" i="8"/>
  <c r="AF321" i="8"/>
  <c r="AE222" i="8"/>
  <c r="AE126" i="8"/>
  <c r="AF268" i="8"/>
  <c r="AE52" i="8"/>
  <c r="AE71" i="8"/>
  <c r="AE258" i="8"/>
  <c r="AF419" i="8"/>
  <c r="AE229" i="8"/>
  <c r="AF158" i="8"/>
  <c r="AE257" i="8"/>
  <c r="AE334" i="8"/>
  <c r="AF332" i="8"/>
  <c r="AE506" i="8"/>
  <c r="AE168" i="8"/>
  <c r="AF357" i="8"/>
  <c r="AF84" i="8"/>
  <c r="AF24" i="8"/>
  <c r="AE523" i="8"/>
  <c r="AE32" i="8"/>
  <c r="AE100" i="8"/>
  <c r="AE283" i="8"/>
  <c r="AE478" i="8"/>
  <c r="AE426" i="8"/>
  <c r="AE386" i="8"/>
  <c r="AE287" i="8"/>
  <c r="AE119" i="8"/>
  <c r="AE141" i="8"/>
  <c r="AE14" i="8"/>
  <c r="AE42" i="8"/>
  <c r="AE487" i="8"/>
  <c r="AF446" i="8"/>
  <c r="AF162" i="8"/>
  <c r="AF380" i="8"/>
  <c r="AE374" i="8"/>
  <c r="AF193" i="8"/>
  <c r="AF37" i="8"/>
  <c r="AE410" i="8"/>
  <c r="AE415" i="8"/>
  <c r="AF215" i="8"/>
  <c r="AE11" i="8"/>
  <c r="AE46" i="8"/>
  <c r="AE41" i="8"/>
  <c r="AE135" i="8"/>
  <c r="AE470" i="8"/>
  <c r="AE457" i="8"/>
  <c r="AF528" i="8"/>
  <c r="AE384" i="8"/>
  <c r="AF468" i="8"/>
  <c r="AE161" i="8"/>
  <c r="AE68" i="8"/>
  <c r="AE201" i="8"/>
  <c r="AE514" i="8"/>
  <c r="AF262" i="8"/>
  <c r="AE375" i="8"/>
  <c r="AE406" i="8"/>
  <c r="AE273" i="8"/>
  <c r="AF488" i="8"/>
  <c r="AF327" i="8"/>
  <c r="AE508" i="8"/>
  <c r="AE393" i="8"/>
  <c r="AE295" i="8"/>
  <c r="AE459" i="8"/>
  <c r="AE78" i="8"/>
  <c r="AF435" i="8"/>
  <c r="AE309" i="8"/>
  <c r="AE17" i="8"/>
  <c r="AF522" i="8"/>
  <c r="AF312" i="8"/>
  <c r="AF527" i="8"/>
  <c r="AF148" i="8"/>
  <c r="AF253" i="8"/>
  <c r="AF150" i="8"/>
  <c r="AE164" i="8"/>
  <c r="AE133" i="8"/>
  <c r="AF232" i="8"/>
  <c r="AE500" i="8"/>
  <c r="AF464" i="8"/>
  <c r="AE492" i="8"/>
  <c r="AF98" i="8"/>
  <c r="AE128" i="8"/>
  <c r="AF128" i="8"/>
  <c r="AF92" i="8"/>
  <c r="AE92" i="8"/>
  <c r="AF231" i="8"/>
  <c r="AE231" i="8"/>
  <c r="AE306" i="8"/>
  <c r="AF306" i="8"/>
  <c r="AF503" i="8"/>
  <c r="AE503" i="8"/>
  <c r="AF16" i="8"/>
  <c r="AE16" i="8"/>
  <c r="AF196" i="8"/>
  <c r="AE196" i="8"/>
  <c r="AF61" i="8"/>
  <c r="AE61" i="8"/>
  <c r="AE276" i="8"/>
  <c r="AF276" i="8"/>
  <c r="AF291" i="8"/>
  <c r="AE291" i="8"/>
  <c r="AF504" i="8"/>
  <c r="AE504" i="8"/>
  <c r="AE210" i="8"/>
  <c r="AF210" i="8"/>
  <c r="AE207" i="8"/>
  <c r="AF207" i="8"/>
  <c r="AE425" i="8"/>
  <c r="AF425" i="8"/>
  <c r="AF329" i="8"/>
  <c r="AE329" i="8"/>
  <c r="AF43" i="8"/>
  <c r="AE43" i="8"/>
  <c r="AE481" i="8"/>
  <c r="AF481" i="8"/>
  <c r="AF19" i="8"/>
  <c r="AE19" i="8"/>
  <c r="AF178" i="8"/>
  <c r="AE178" i="8"/>
  <c r="AE491" i="8"/>
  <c r="AF22" i="8"/>
  <c r="AE22" i="8"/>
  <c r="AE479" i="8"/>
  <c r="AE311" i="8"/>
  <c r="AF477" i="8"/>
  <c r="AE477" i="8"/>
  <c r="AF138" i="8"/>
  <c r="AE138" i="8"/>
  <c r="AE123" i="8"/>
  <c r="AF123" i="8"/>
  <c r="AF106" i="8"/>
  <c r="AE106" i="8"/>
  <c r="AF338" i="8"/>
  <c r="AE338" i="8"/>
  <c r="AF331" i="8"/>
  <c r="AE331" i="8"/>
  <c r="AE175" i="8"/>
  <c r="AF175" i="8"/>
  <c r="AE179" i="8"/>
  <c r="AE56" i="8"/>
  <c r="AF304" i="8"/>
  <c r="AE304" i="8"/>
  <c r="AF333" i="8"/>
  <c r="AE333" i="8"/>
  <c r="AF147" i="8"/>
  <c r="AE147" i="8"/>
  <c r="AE498" i="8"/>
  <c r="AE206" i="8"/>
  <c r="AE137" i="8"/>
  <c r="AE448" i="8"/>
  <c r="AF448" i="8"/>
  <c r="AF241" i="8"/>
  <c r="AE241" i="8"/>
  <c r="AE326" i="8"/>
  <c r="AF326" i="8"/>
  <c r="AF383" i="8"/>
  <c r="AE383" i="8"/>
  <c r="AE328" i="8"/>
  <c r="AE195" i="8"/>
  <c r="AE75" i="8"/>
  <c r="AE465" i="8"/>
  <c r="AE155" i="8"/>
  <c r="AE475" i="8"/>
  <c r="AE265" i="8"/>
  <c r="AE7" i="8"/>
  <c r="AE44" i="8"/>
  <c r="AF518" i="8"/>
  <c r="AE146" i="8"/>
  <c r="AE157" i="8"/>
  <c r="AE520" i="8"/>
  <c r="AE493" i="8"/>
  <c r="AF405" i="8"/>
  <c r="AE286" i="8"/>
  <c r="AE6" i="8"/>
  <c r="AE502" i="8"/>
  <c r="AF239" i="8"/>
  <c r="AE408" i="8"/>
  <c r="AE340" i="8"/>
  <c r="AF63" i="8"/>
  <c r="AE63" i="8"/>
  <c r="AE382" i="8"/>
  <c r="AF382" i="8"/>
  <c r="AF130" i="8"/>
  <c r="AE130" i="8"/>
  <c r="AF473" i="8"/>
  <c r="AF218" i="8"/>
  <c r="AE218" i="8"/>
  <c r="AE282" i="8"/>
  <c r="AF282" i="8"/>
  <c r="AE320" i="8"/>
  <c r="AF320" i="8"/>
  <c r="AF62" i="8"/>
  <c r="AE62" i="8"/>
  <c r="AE317" i="8"/>
  <c r="AF317" i="8"/>
  <c r="AF398" i="8"/>
  <c r="AE398" i="8"/>
  <c r="AF227" i="8"/>
  <c r="AE227" i="8"/>
  <c r="AE290" i="8"/>
  <c r="AF290" i="8"/>
  <c r="AF322" i="8"/>
  <c r="AE322" i="8"/>
  <c r="AE482" i="8"/>
  <c r="AF482" i="8"/>
  <c r="AF176" i="8"/>
  <c r="AE176" i="8"/>
  <c r="AF511" i="8"/>
  <c r="AE511" i="8"/>
  <c r="AF324" i="8"/>
  <c r="AE324" i="8"/>
  <c r="AE356" i="8"/>
  <c r="AF356" i="8"/>
  <c r="AF261" i="8"/>
  <c r="AE261" i="8"/>
  <c r="AE149" i="8"/>
  <c r="AF149" i="8"/>
  <c r="AF335" i="8"/>
  <c r="AE335" i="8"/>
  <c r="AF495" i="8"/>
  <c r="AE495" i="8"/>
  <c r="AE299" i="8"/>
  <c r="AF299" i="8"/>
  <c r="AE372" i="8"/>
  <c r="AF372" i="8"/>
  <c r="AE296" i="8"/>
  <c r="AF187" i="8"/>
  <c r="AE187" i="8"/>
  <c r="AE403" i="8"/>
  <c r="AF403" i="8"/>
  <c r="AE226" i="8"/>
  <c r="AF226" i="8"/>
  <c r="AF531" i="8"/>
  <c r="AE531" i="8"/>
  <c r="AE225" i="8"/>
  <c r="AE140" i="8"/>
  <c r="AE347" i="8"/>
  <c r="AF294" i="8"/>
  <c r="AE325" i="8"/>
  <c r="AF325" i="8"/>
  <c r="AF316" i="8"/>
  <c r="AE316" i="8"/>
  <c r="AF230" i="8"/>
  <c r="AE230" i="8"/>
  <c r="AE25" i="8"/>
  <c r="AF377" i="8"/>
  <c r="AE377" i="8"/>
  <c r="AF124" i="8"/>
  <c r="AE124" i="8"/>
  <c r="AF237" i="8"/>
  <c r="AE237" i="8"/>
  <c r="AF293" i="8"/>
  <c r="AE293" i="8"/>
  <c r="AE505" i="8"/>
  <c r="AE109" i="8"/>
  <c r="AE59" i="8"/>
  <c r="AF297" i="8"/>
  <c r="AE447" i="8"/>
  <c r="AE307" i="8"/>
  <c r="AF298" i="8"/>
  <c r="AE165" i="8"/>
  <c r="AF264" i="8"/>
  <c r="AF9" i="8"/>
  <c r="AE9" i="8"/>
  <c r="AE117" i="8"/>
  <c r="AF117" i="8"/>
  <c r="AF64" i="8"/>
  <c r="AE64" i="8"/>
  <c r="AF424" i="8"/>
  <c r="AE424" i="8"/>
  <c r="AF191" i="8"/>
  <c r="AE191" i="8"/>
  <c r="AF83" i="8"/>
  <c r="AE83" i="8"/>
  <c r="AE462" i="8"/>
  <c r="AF462" i="8"/>
  <c r="AF433" i="8"/>
  <c r="AE433" i="8"/>
  <c r="AE397" i="8"/>
  <c r="AF397" i="8"/>
  <c r="AF182" i="8"/>
  <c r="AE182" i="8"/>
  <c r="AF194" i="8"/>
  <c r="AE194" i="8"/>
  <c r="AF420" i="8"/>
  <c r="AE420" i="8"/>
  <c r="AF452" i="8"/>
  <c r="AE452" i="8"/>
  <c r="AE97" i="8"/>
  <c r="AF97" i="8"/>
  <c r="AE455" i="8"/>
  <c r="AF455" i="8"/>
  <c r="AE529" i="8"/>
  <c r="AF529" i="8"/>
  <c r="AF494" i="8"/>
  <c r="AE494" i="8"/>
  <c r="AE388" i="8"/>
  <c r="AF388" i="8"/>
  <c r="AF401" i="8"/>
  <c r="AE401" i="8"/>
  <c r="AF442" i="8"/>
  <c r="AF277" i="8"/>
  <c r="AE277" i="8"/>
  <c r="AF86" i="8"/>
  <c r="AE86" i="8"/>
  <c r="AF103" i="8"/>
  <c r="AE103" i="8"/>
  <c r="AF81" i="8"/>
  <c r="AE81" i="8"/>
  <c r="AF499" i="8"/>
  <c r="AE499" i="8"/>
  <c r="AE352" i="8"/>
  <c r="AF18" i="8"/>
  <c r="AE18" i="8"/>
  <c r="AF156" i="8"/>
  <c r="AE156" i="8"/>
  <c r="AF79" i="8"/>
  <c r="AE79" i="8"/>
  <c r="AF21" i="8"/>
  <c r="AE21" i="8"/>
  <c r="AF305" i="8"/>
  <c r="AE305" i="8"/>
  <c r="AE392" i="8"/>
  <c r="AF392" i="8"/>
  <c r="AE349" i="8"/>
  <c r="AE208" i="8"/>
  <c r="AF208" i="8"/>
  <c r="AE188" i="8"/>
  <c r="AF188" i="8"/>
  <c r="AF421" i="8"/>
  <c r="AE421" i="8"/>
  <c r="AF389" i="8"/>
  <c r="AE389" i="8"/>
  <c r="AE23" i="8"/>
  <c r="AE238" i="8"/>
  <c r="AE456" i="8"/>
  <c r="AE181" i="8"/>
  <c r="AE122" i="8"/>
  <c r="AE394" i="8"/>
  <c r="AF173" i="8"/>
  <c r="AF233" i="8"/>
  <c r="AE160" i="8"/>
  <c r="AE369" i="8"/>
  <c r="AE284" i="8"/>
  <c r="AE211" i="8"/>
  <c r="AF144" i="8"/>
  <c r="AF118" i="8"/>
  <c r="AE358" i="8"/>
  <c r="AE73" i="8"/>
  <c r="AF224" i="8"/>
  <c r="AE213" i="8"/>
  <c r="AE496" i="8"/>
  <c r="AF454" i="8"/>
  <c r="AE31" i="8"/>
  <c r="AF364" i="8"/>
  <c r="AF152" i="8"/>
  <c r="AE152" i="8"/>
  <c r="AE13" i="8"/>
  <c r="AF240" i="8"/>
  <c r="AF189" i="8"/>
  <c r="AE189" i="8"/>
  <c r="AE39" i="8"/>
  <c r="AF445" i="8"/>
  <c r="AE417" i="8"/>
  <c r="AF519" i="8"/>
  <c r="AE360" i="8"/>
  <c r="AE450" i="8"/>
  <c r="AE101" i="8"/>
  <c r="AF91" i="8"/>
  <c r="AE145" i="8"/>
  <c r="AE219" i="8"/>
  <c r="AE111" i="8"/>
  <c r="AE255" i="8"/>
  <c r="AE151" i="8"/>
  <c r="AF422" i="8"/>
  <c r="AE469" i="8"/>
  <c r="AE154" i="8"/>
  <c r="AE336" i="8"/>
  <c r="AE113" i="8"/>
  <c r="AF483" i="8"/>
  <c r="AF266" i="8"/>
  <c r="AF247" i="8"/>
  <c r="AF413" i="8"/>
  <c r="AE50" i="8"/>
  <c r="AE343" i="8"/>
  <c r="AF270" i="8"/>
  <c r="AE289" i="8"/>
  <c r="AF525" i="8"/>
  <c r="AE440" i="8"/>
  <c r="AF409" i="8"/>
  <c r="AE344" i="8"/>
  <c r="AE259" i="8"/>
  <c r="AE51" i="8"/>
  <c r="AF461" i="8"/>
  <c r="AE342" i="8"/>
  <c r="AE20" i="8"/>
  <c r="AE12" i="8"/>
  <c r="AE267" i="8"/>
  <c r="AE301" i="8"/>
  <c r="AE400" i="8"/>
  <c r="AE27" i="8"/>
  <c r="AF169" i="8"/>
  <c r="AE376" i="8"/>
  <c r="AE279" i="8"/>
  <c r="AE280" i="8"/>
  <c r="AE427" i="8"/>
  <c r="AF252" i="8"/>
  <c r="AE204" i="8"/>
  <c r="AE70" i="8"/>
  <c r="AF485" i="8"/>
  <c r="AE449" i="8"/>
  <c r="AE378" i="8"/>
  <c r="AE245" i="8"/>
  <c r="AE428" i="8"/>
  <c r="AE139" i="8"/>
  <c r="AF339" i="8"/>
  <c r="AE10" i="8"/>
  <c r="AE60" i="8"/>
  <c r="AE423" i="8"/>
  <c r="AE510" i="8"/>
  <c r="AE214" i="8"/>
  <c r="AE387" i="8"/>
  <c r="AE184" i="8"/>
  <c r="AF244" i="8"/>
  <c r="AZ208" i="8"/>
  <c r="AZ361" i="8"/>
  <c r="AZ526" i="8"/>
  <c r="AZ290" i="8"/>
  <c r="AZ399" i="8"/>
  <c r="AZ118" i="8"/>
  <c r="AZ335" i="8"/>
  <c r="AZ9" i="8"/>
  <c r="AZ531" i="8"/>
  <c r="AZ282" i="8"/>
  <c r="AZ114" i="8"/>
  <c r="AZ139" i="8"/>
  <c r="AZ82" i="8"/>
  <c r="AZ527" i="8"/>
  <c r="AZ524" i="8"/>
  <c r="AZ447" i="8"/>
  <c r="AZ65" i="8"/>
  <c r="AZ38" i="8"/>
  <c r="AZ319" i="8"/>
  <c r="AZ492" i="8"/>
  <c r="AZ411" i="8"/>
  <c r="AZ258" i="8"/>
  <c r="AZ85" i="8"/>
  <c r="AZ60" i="8"/>
  <c r="AZ51" i="8"/>
  <c r="AZ11" i="8"/>
  <c r="AZ420" i="8"/>
  <c r="AZ367" i="8"/>
  <c r="AZ453" i="8"/>
  <c r="AZ395" i="8"/>
  <c r="AZ317" i="8"/>
  <c r="AZ459" i="8"/>
  <c r="AZ150" i="8"/>
  <c r="AZ171" i="8"/>
  <c r="AZ469" i="8"/>
  <c r="AZ41" i="8"/>
  <c r="AZ136" i="8"/>
  <c r="AZ518" i="8"/>
  <c r="AZ203" i="8"/>
  <c r="AZ124" i="8"/>
  <c r="AZ245" i="8"/>
  <c r="AZ465" i="8"/>
  <c r="AZ90" i="8"/>
  <c r="AZ39" i="8"/>
  <c r="AZ222" i="8"/>
  <c r="AZ187" i="8"/>
  <c r="AZ271" i="8"/>
  <c r="AZ286" i="8"/>
  <c r="AZ153" i="8"/>
  <c r="AZ383" i="8"/>
  <c r="AZ435" i="8"/>
  <c r="AZ464" i="8"/>
  <c r="AZ58" i="8"/>
  <c r="AZ195" i="8"/>
  <c r="AZ230" i="8"/>
  <c r="AZ240" i="8"/>
  <c r="AZ56" i="8"/>
  <c r="H25" i="15"/>
  <c r="N25" i="15" s="1"/>
  <c r="AZ374" i="8"/>
  <c r="AZ443" i="8"/>
  <c r="AZ77" i="8"/>
  <c r="AZ7" i="8"/>
  <c r="AZ248" i="8"/>
  <c r="AZ81" i="8"/>
  <c r="AZ18" i="8"/>
  <c r="AZ221" i="8"/>
  <c r="AZ184" i="8"/>
  <c r="AZ323" i="8"/>
  <c r="AZ297" i="8"/>
  <c r="AZ204" i="8"/>
  <c r="AZ147" i="8"/>
  <c r="AZ107" i="8"/>
  <c r="AZ287" i="8"/>
  <c r="AZ30" i="8"/>
  <c r="AZ257" i="8"/>
  <c r="AZ442" i="8"/>
  <c r="AZ461" i="8"/>
  <c r="AZ517" i="8"/>
  <c r="AZ483" i="8"/>
  <c r="AZ84" i="8"/>
  <c r="AZ316" i="8"/>
  <c r="AZ385" i="8"/>
  <c r="AZ466" i="8"/>
  <c r="AZ458" i="8"/>
  <c r="AZ519" i="8"/>
  <c r="AZ336" i="8"/>
  <c r="AZ110" i="8"/>
  <c r="AZ327" i="8"/>
  <c r="AZ362" i="8"/>
  <c r="AZ532" i="8"/>
  <c r="AZ481" i="8"/>
  <c r="AZ480" i="8"/>
  <c r="AZ406" i="8"/>
  <c r="AZ450" i="8"/>
  <c r="AZ413" i="8"/>
  <c r="AZ235" i="8"/>
  <c r="AZ104" i="8"/>
  <c r="AZ280" i="8"/>
  <c r="AZ525" i="8"/>
  <c r="AZ463" i="8"/>
  <c r="AZ364" i="8"/>
  <c r="H12" i="15"/>
  <c r="N12" i="15" s="1"/>
  <c r="AZ211" i="8"/>
  <c r="AZ357" i="8"/>
  <c r="AZ377" i="8"/>
  <c r="AZ514" i="8"/>
  <c r="AZ431" i="8"/>
  <c r="AZ387" i="8"/>
  <c r="AZ99" i="8"/>
  <c r="AZ152" i="8"/>
  <c r="AZ132" i="8"/>
  <c r="AZ478" i="8"/>
  <c r="AZ393" i="8"/>
  <c r="AZ232" i="8"/>
  <c r="AZ93" i="8"/>
  <c r="AZ167" i="8"/>
  <c r="AZ467" i="8"/>
  <c r="AZ513" i="8"/>
  <c r="AZ148" i="8"/>
  <c r="AZ185" i="8"/>
  <c r="AZ515" i="8"/>
  <c r="AZ220" i="8"/>
  <c r="AZ310" i="8"/>
  <c r="AZ166" i="8"/>
  <c r="AZ186" i="8"/>
  <c r="AZ426" i="8"/>
  <c r="AZ37" i="8"/>
  <c r="AZ369" i="8"/>
  <c r="AZ493" i="8"/>
  <c r="AZ145" i="8"/>
  <c r="AZ273" i="8"/>
  <c r="AZ474" i="8"/>
  <c r="AZ473" i="8"/>
  <c r="AZ102" i="8"/>
  <c r="AZ154" i="8"/>
  <c r="H7" i="15"/>
  <c r="N7" i="15" s="1"/>
  <c r="AZ106" i="8"/>
  <c r="H18" i="15"/>
  <c r="N18" i="15" s="1"/>
  <c r="AZ328" i="8"/>
  <c r="AZ415" i="8"/>
  <c r="AZ299" i="8"/>
  <c r="AZ373" i="8"/>
  <c r="AZ158" i="8"/>
  <c r="AZ495" i="8"/>
  <c r="AZ391" i="8"/>
  <c r="AZ227" i="8"/>
  <c r="AZ217" i="8"/>
  <c r="AZ13" i="8"/>
  <c r="AZ528" i="8"/>
  <c r="AZ109" i="8"/>
  <c r="AW23" i="8"/>
  <c r="AZ32" i="8"/>
  <c r="AZ471" i="8"/>
  <c r="AZ326" i="8"/>
  <c r="AZ215" i="8"/>
  <c r="AZ360" i="8"/>
  <c r="AZ218" i="8"/>
  <c r="AZ160" i="8"/>
  <c r="AZ247" i="8"/>
  <c r="AZ70" i="8"/>
  <c r="AZ130" i="8"/>
  <c r="AZ353" i="8"/>
  <c r="AZ159" i="8"/>
  <c r="AZ49" i="8"/>
  <c r="AZ403" i="8"/>
  <c r="AZ10" i="8"/>
  <c r="AZ165" i="8"/>
  <c r="AZ376" i="8"/>
  <c r="AZ520" i="8"/>
  <c r="AZ429" i="8"/>
  <c r="AZ460" i="8"/>
  <c r="AZ343" i="8"/>
  <c r="AZ390" i="8"/>
  <c r="AZ163" i="8"/>
  <c r="H9" i="15"/>
  <c r="N9" i="15" s="1"/>
  <c r="AZ14" i="8"/>
  <c r="AZ144" i="8"/>
  <c r="AZ80" i="8"/>
  <c r="AZ111" i="8"/>
  <c r="AZ46" i="8"/>
  <c r="AZ386" i="8"/>
  <c r="AZ269" i="8"/>
  <c r="AZ382" i="8"/>
  <c r="H23" i="15"/>
  <c r="N23" i="15" s="1"/>
  <c r="AZ300" i="8"/>
  <c r="AZ137" i="8"/>
  <c r="AZ188" i="8"/>
  <c r="AZ108" i="8"/>
  <c r="AZ414" i="8"/>
  <c r="AZ472" i="8"/>
  <c r="AZ63" i="8"/>
  <c r="AZ155" i="8"/>
  <c r="AG490" i="8"/>
  <c r="H15" i="15"/>
  <c r="N15" i="15" s="1"/>
  <c r="AZ22" i="8"/>
  <c r="AZ96" i="8"/>
  <c r="AZ246" i="8"/>
  <c r="AZ523" i="8"/>
  <c r="AZ508" i="8"/>
  <c r="AZ307" i="8"/>
  <c r="AG75" i="8"/>
  <c r="AZ421" i="8"/>
  <c r="AZ174" i="8"/>
  <c r="AZ229" i="8"/>
  <c r="AZ338" i="8"/>
  <c r="AZ265" i="8"/>
  <c r="AZ274" i="8"/>
  <c r="AZ181" i="8"/>
  <c r="AZ54" i="8"/>
  <c r="AZ170" i="8"/>
  <c r="AZ86" i="8"/>
  <c r="AZ162" i="8"/>
  <c r="AZ226" i="8"/>
  <c r="AZ497" i="8"/>
  <c r="AZ486" i="8"/>
  <c r="AZ437" i="8"/>
  <c r="AZ401" i="8"/>
  <c r="H26" i="15"/>
  <c r="N26" i="15" s="1"/>
  <c r="AZ123" i="8"/>
  <c r="AZ241" i="8"/>
  <c r="AZ115" i="8"/>
  <c r="H11" i="15"/>
  <c r="N11" i="15" s="1"/>
  <c r="AZ62" i="8"/>
  <c r="AZ228" i="8"/>
  <c r="AZ69" i="8"/>
  <c r="AZ95" i="8"/>
  <c r="AZ197" i="8"/>
  <c r="AZ249" i="8"/>
  <c r="AZ303" i="8"/>
  <c r="AZ352" i="8"/>
  <c r="H27" i="15"/>
  <c r="N27" i="15" s="1"/>
  <c r="AZ484" i="8"/>
  <c r="AZ26" i="8"/>
  <c r="AZ31" i="8"/>
  <c r="AZ8" i="8"/>
  <c r="AZ448" i="8"/>
  <c r="AZ16" i="8"/>
  <c r="AG88" i="8"/>
  <c r="AZ440" i="8"/>
  <c r="H30" i="15"/>
  <c r="N30" i="15" s="1"/>
  <c r="AZ311" i="8"/>
  <c r="AZ212" i="8"/>
  <c r="AZ103" i="8"/>
  <c r="AZ312" i="8"/>
  <c r="AZ34" i="8"/>
  <c r="AZ74" i="8"/>
  <c r="AZ142" i="8"/>
  <c r="AZ370" i="8"/>
  <c r="AZ295" i="8"/>
  <c r="AZ419" i="8"/>
  <c r="AZ363" i="8"/>
  <c r="AZ371" i="8"/>
  <c r="AZ428" i="8"/>
  <c r="AZ351" i="8"/>
  <c r="AZ224" i="8"/>
  <c r="AZ79" i="8"/>
  <c r="AZ396" i="8"/>
  <c r="AZ313" i="8"/>
  <c r="H33" i="15"/>
  <c r="N33" i="15" s="1"/>
  <c r="AZ436" i="8"/>
  <c r="AZ433" i="8"/>
  <c r="AZ507" i="8"/>
  <c r="AZ503" i="8"/>
  <c r="AZ120" i="8"/>
  <c r="AZ200" i="8"/>
  <c r="AZ78" i="8"/>
  <c r="AG150" i="8"/>
  <c r="H10" i="15"/>
  <c r="N10" i="15" s="1"/>
  <c r="AZ270" i="8"/>
  <c r="H31" i="15"/>
  <c r="N31" i="15" s="1"/>
  <c r="AZ530" i="8"/>
  <c r="AG494" i="8"/>
  <c r="AZ314" i="8"/>
  <c r="AZ276" i="8"/>
  <c r="AZ304" i="8"/>
  <c r="AZ33" i="8"/>
  <c r="AZ402" i="8"/>
  <c r="AZ488" i="8"/>
  <c r="AZ451" i="8"/>
  <c r="AZ485" i="8"/>
  <c r="AZ98" i="8"/>
  <c r="AG160" i="8"/>
  <c r="AZ141" i="8"/>
  <c r="AG524" i="8"/>
  <c r="AG526" i="8"/>
  <c r="AZ445" i="8"/>
  <c r="AZ379" i="8"/>
  <c r="AZ504" i="8"/>
  <c r="AZ305" i="8"/>
  <c r="AZ210" i="8"/>
  <c r="AZ149" i="8"/>
  <c r="AZ207" i="8"/>
  <c r="AZ183" i="8"/>
  <c r="AZ92" i="8"/>
  <c r="AZ239" i="8"/>
  <c r="AZ237" i="8"/>
  <c r="AZ254" i="8"/>
  <c r="AZ322" i="8"/>
  <c r="AZ423" i="8"/>
  <c r="AZ349" i="8"/>
  <c r="AZ438" i="8"/>
  <c r="AZ510" i="8"/>
  <c r="AZ44" i="8"/>
  <c r="AZ209" i="8"/>
  <c r="AL369" i="8"/>
  <c r="AR353" i="8"/>
  <c r="AW353" i="8"/>
  <c r="AL342" i="8"/>
  <c r="AL421" i="8"/>
  <c r="AL461" i="8"/>
  <c r="AW503" i="8"/>
  <c r="AR503" i="8"/>
  <c r="AW487" i="8"/>
  <c r="AR487" i="8"/>
  <c r="AW531" i="8"/>
  <c r="AR531" i="8"/>
  <c r="S26" i="15"/>
  <c r="S9" i="15"/>
  <c r="S28" i="15"/>
  <c r="AL42" i="8"/>
  <c r="AL166" i="8"/>
  <c r="AG235" i="8"/>
  <c r="AG17" i="8"/>
  <c r="AL28" i="8"/>
  <c r="AL117" i="8"/>
  <c r="AG35" i="8"/>
  <c r="AR111" i="8"/>
  <c r="AW111" i="8"/>
  <c r="AZ45" i="8"/>
  <c r="AW86" i="8"/>
  <c r="AR86" i="8"/>
  <c r="AW65" i="8"/>
  <c r="AR65" i="8"/>
  <c r="AL404" i="8"/>
  <c r="AG57" i="8"/>
  <c r="AL517" i="8"/>
  <c r="S25" i="15"/>
  <c r="S16" i="15"/>
  <c r="AW148" i="8"/>
  <c r="AR148" i="8"/>
  <c r="AR156" i="8"/>
  <c r="AW156" i="8"/>
  <c r="AL6" i="8"/>
  <c r="I6" i="15"/>
  <c r="AW8" i="8"/>
  <c r="AR8" i="8"/>
  <c r="AR106" i="8"/>
  <c r="AW106" i="8"/>
  <c r="AR55" i="8"/>
  <c r="AW55" i="8"/>
  <c r="AG170" i="8"/>
  <c r="AG111" i="8"/>
  <c r="AR404" i="8"/>
  <c r="AW404" i="8"/>
  <c r="AZ27" i="8"/>
  <c r="AZ113" i="8"/>
  <c r="AR107" i="8"/>
  <c r="AW107" i="8"/>
  <c r="AL199" i="8"/>
  <c r="I19" i="15"/>
  <c r="AL90" i="8"/>
  <c r="AR110" i="8"/>
  <c r="AW110" i="8"/>
  <c r="S21" i="15"/>
  <c r="AL63" i="8"/>
  <c r="AL57" i="8"/>
  <c r="AL223" i="8"/>
  <c r="AZ233" i="8"/>
  <c r="AL307" i="8"/>
  <c r="AW464" i="8"/>
  <c r="AR464" i="8"/>
  <c r="I14" i="15"/>
  <c r="AL170" i="8"/>
  <c r="AR132" i="8"/>
  <c r="AW132" i="8"/>
  <c r="AR490" i="8"/>
  <c r="AW490" i="8"/>
  <c r="AG435" i="8"/>
  <c r="AG423" i="8"/>
  <c r="AR475" i="8"/>
  <c r="AW475" i="8"/>
  <c r="AL297" i="8"/>
  <c r="AL189" i="8"/>
  <c r="AR142" i="8"/>
  <c r="AW142" i="8"/>
  <c r="AW302" i="8"/>
  <c r="AR302" i="8"/>
  <c r="AW307" i="8"/>
  <c r="AR307" i="8"/>
  <c r="AZ334" i="8"/>
  <c r="AG40" i="8"/>
  <c r="AG71" i="8"/>
  <c r="AW34" i="8"/>
  <c r="AR34" i="8"/>
  <c r="AG521" i="8"/>
  <c r="AL289" i="8"/>
  <c r="AR118" i="8"/>
  <c r="AW118" i="8"/>
  <c r="AL527" i="8"/>
  <c r="S33" i="15"/>
  <c r="AL470" i="8"/>
  <c r="AR446" i="8"/>
  <c r="AW446" i="8"/>
  <c r="AG402" i="8"/>
  <c r="AG407" i="8"/>
  <c r="AL270" i="8"/>
  <c r="AW288" i="8"/>
  <c r="AR288" i="8"/>
  <c r="AG94" i="8"/>
  <c r="AR60" i="8"/>
  <c r="AW60" i="8"/>
  <c r="AW259" i="8"/>
  <c r="AR259" i="8"/>
  <c r="AW164" i="8"/>
  <c r="AR164" i="8"/>
  <c r="AZ52" i="8"/>
  <c r="AG67" i="8"/>
  <c r="AR95" i="8"/>
  <c r="AW95" i="8"/>
  <c r="AL396" i="8"/>
  <c r="AG59" i="8"/>
  <c r="AL457" i="8"/>
  <c r="AG368" i="8"/>
  <c r="AL262" i="8"/>
  <c r="AR418" i="8"/>
  <c r="AW418" i="8"/>
  <c r="AZ389" i="8"/>
  <c r="AL436" i="8"/>
  <c r="AW352" i="8"/>
  <c r="AR352" i="8"/>
  <c r="AR442" i="8"/>
  <c r="AW442" i="8"/>
  <c r="AW458" i="8"/>
  <c r="AR458" i="8"/>
  <c r="AZ479" i="8"/>
  <c r="AW468" i="8"/>
  <c r="AR468" i="8"/>
  <c r="AL502" i="8"/>
  <c r="AR496" i="8"/>
  <c r="AW496" i="8"/>
  <c r="AL530" i="8"/>
  <c r="S22" i="15"/>
  <c r="S20" i="15"/>
  <c r="AL128" i="8"/>
  <c r="AG181" i="8"/>
  <c r="AL23" i="8"/>
  <c r="AZ24" i="8"/>
  <c r="AL12" i="8"/>
  <c r="AR100" i="8"/>
  <c r="AW100" i="8"/>
  <c r="AW20" i="8"/>
  <c r="AR20" i="8"/>
  <c r="AW10" i="8"/>
  <c r="AR10" i="8"/>
  <c r="AL238" i="8"/>
  <c r="AG27" i="8"/>
  <c r="AG23" i="8"/>
  <c r="AL8" i="8"/>
  <c r="AG284" i="8"/>
  <c r="AL380" i="8"/>
  <c r="AL411" i="8"/>
  <c r="AL378" i="8"/>
  <c r="AZ375" i="8"/>
  <c r="AL481" i="8"/>
  <c r="AZ490" i="8"/>
  <c r="S31" i="15"/>
  <c r="AR521" i="8"/>
  <c r="AW521" i="8"/>
  <c r="S24" i="15"/>
  <c r="AG14" i="8"/>
  <c r="AL78" i="8"/>
  <c r="AZ129" i="8"/>
  <c r="AZ175" i="8"/>
  <c r="AL44" i="8"/>
  <c r="AW9" i="8"/>
  <c r="AR9" i="8"/>
  <c r="AL116" i="8"/>
  <c r="AL111" i="8"/>
  <c r="AL10" i="8"/>
  <c r="AZ59" i="8"/>
  <c r="AG404" i="8"/>
  <c r="AZ12" i="8"/>
  <c r="AG31" i="8"/>
  <c r="AL347" i="8"/>
  <c r="AL200" i="8"/>
  <c r="AL314" i="8"/>
  <c r="I29" i="15"/>
  <c r="AL531" i="8"/>
  <c r="AL361" i="8"/>
  <c r="AG251" i="8"/>
  <c r="AL109" i="8"/>
  <c r="AL462" i="8"/>
  <c r="AL261" i="8"/>
  <c r="AG253" i="8"/>
  <c r="AL350" i="8"/>
  <c r="AL520" i="8"/>
  <c r="AL469" i="8"/>
  <c r="AG400" i="8"/>
  <c r="AR306" i="8"/>
  <c r="AW306" i="8"/>
  <c r="AR308" i="8"/>
  <c r="AW308" i="8"/>
  <c r="AG386" i="8"/>
  <c r="I26" i="15"/>
  <c r="AL259" i="8"/>
  <c r="AL344" i="8"/>
  <c r="AR32" i="8"/>
  <c r="AW32" i="8"/>
  <c r="AL97" i="8"/>
  <c r="AG8" i="8"/>
  <c r="AL278" i="8"/>
  <c r="AR187" i="8"/>
  <c r="AW187" i="8"/>
  <c r="AW196" i="8"/>
  <c r="AR196" i="8"/>
  <c r="AW244" i="8"/>
  <c r="AR244" i="8"/>
  <c r="AL144" i="8"/>
  <c r="AR358" i="8"/>
  <c r="AW358" i="8"/>
  <c r="AZ444" i="8"/>
  <c r="AL27" i="8"/>
  <c r="AL395" i="8"/>
  <c r="AG221" i="8"/>
  <c r="AZ199" i="8"/>
  <c r="AG193" i="8"/>
  <c r="AZ408" i="8"/>
  <c r="AL418" i="8"/>
  <c r="AL180" i="8"/>
  <c r="AZ516" i="8"/>
  <c r="AL271" i="8"/>
  <c r="AZ277" i="8"/>
  <c r="AL107" i="8"/>
  <c r="AR376" i="8"/>
  <c r="AW376" i="8"/>
  <c r="AR432" i="8"/>
  <c r="AW432" i="8"/>
  <c r="AW13" i="8"/>
  <c r="AR13" i="8"/>
  <c r="AL300" i="8"/>
  <c r="AL66" i="8"/>
  <c r="AR129" i="8"/>
  <c r="AW129" i="8"/>
  <c r="AR145" i="8"/>
  <c r="AW145" i="8"/>
  <c r="AG281" i="8"/>
  <c r="AW240" i="8"/>
  <c r="AR240" i="8"/>
  <c r="AG166" i="8"/>
  <c r="AL335" i="8"/>
  <c r="AL132" i="8"/>
  <c r="AZ201" i="8"/>
  <c r="AL376" i="8"/>
  <c r="AR264" i="8"/>
  <c r="AW264" i="8"/>
  <c r="AL191" i="8"/>
  <c r="AL338" i="8"/>
  <c r="AZ397" i="8"/>
  <c r="AR476" i="8"/>
  <c r="AW476" i="8"/>
  <c r="AL515" i="8"/>
  <c r="AL514" i="8"/>
  <c r="AG470" i="8"/>
  <c r="AZ446" i="8"/>
  <c r="AR448" i="8"/>
  <c r="AW448" i="8"/>
  <c r="AL445" i="8"/>
  <c r="AG459" i="8"/>
  <c r="AG424" i="8"/>
  <c r="AL353" i="8"/>
  <c r="AG473" i="8"/>
  <c r="AG360" i="8"/>
  <c r="AG395" i="8"/>
  <c r="AL415" i="8"/>
  <c r="AG279" i="8"/>
  <c r="AW191" i="8"/>
  <c r="AR191" i="8"/>
  <c r="AW321" i="8"/>
  <c r="AR321" i="8"/>
  <c r="AG320" i="8"/>
  <c r="AG261" i="8"/>
  <c r="AR277" i="8"/>
  <c r="AW277" i="8"/>
  <c r="AZ206" i="8"/>
  <c r="AR200" i="8"/>
  <c r="AW200" i="8"/>
  <c r="AW162" i="8"/>
  <c r="AR162" i="8"/>
  <c r="AZ178" i="8"/>
  <c r="AL387" i="8"/>
  <c r="AW147" i="8"/>
  <c r="AR147" i="8"/>
  <c r="AW281" i="8"/>
  <c r="AR281" i="8"/>
  <c r="AG223" i="8"/>
  <c r="AR131" i="8"/>
  <c r="AW131" i="8"/>
  <c r="AL227" i="8"/>
  <c r="AL242" i="8"/>
  <c r="AL213" i="8"/>
  <c r="AW294" i="8"/>
  <c r="AR294" i="8"/>
  <c r="AW186" i="8"/>
  <c r="AR186" i="8"/>
  <c r="AG300" i="8"/>
  <c r="AR188" i="8"/>
  <c r="AW188" i="8"/>
  <c r="AR94" i="8"/>
  <c r="AW94" i="8"/>
  <c r="AG72" i="8"/>
  <c r="AR113" i="8"/>
  <c r="AW113" i="8"/>
  <c r="AG121" i="8"/>
  <c r="AL51" i="8"/>
  <c r="AL152" i="8"/>
  <c r="AR97" i="8"/>
  <c r="AW97" i="8"/>
  <c r="AL143" i="8"/>
  <c r="AG183" i="8"/>
  <c r="AW56" i="8"/>
  <c r="AR56" i="8"/>
  <c r="AL317" i="8"/>
  <c r="AZ164" i="8"/>
  <c r="AR101" i="8"/>
  <c r="AW101" i="8"/>
  <c r="AZ125" i="8"/>
  <c r="AL99" i="8"/>
  <c r="AZ231" i="8"/>
  <c r="AL138" i="8"/>
  <c r="AR422" i="8"/>
  <c r="AW422" i="8"/>
  <c r="AL168" i="8"/>
  <c r="AL142" i="8"/>
  <c r="AL255" i="8"/>
  <c r="AL275" i="8"/>
  <c r="I27" i="15"/>
  <c r="AZ470" i="8"/>
  <c r="AW361" i="8"/>
  <c r="AR361" i="8"/>
  <c r="AZ365" i="8"/>
  <c r="AL285" i="8"/>
  <c r="AL392" i="8"/>
  <c r="AL323" i="8"/>
  <c r="AR416" i="8"/>
  <c r="AW416" i="8"/>
  <c r="AR381" i="8"/>
  <c r="AW381" i="8"/>
  <c r="AL413" i="8"/>
  <c r="AW526" i="8"/>
  <c r="AR526" i="8"/>
  <c r="AL532" i="8"/>
  <c r="AR473" i="8"/>
  <c r="AW473" i="8"/>
  <c r="AR467" i="8"/>
  <c r="AW467" i="8"/>
  <c r="AZ476" i="8"/>
  <c r="AR474" i="8"/>
  <c r="AW474" i="8"/>
  <c r="H14" i="15"/>
  <c r="AZ128" i="8"/>
  <c r="AG141" i="8"/>
  <c r="AG13" i="8"/>
  <c r="AZ40" i="8"/>
  <c r="AW71" i="8"/>
  <c r="AR71" i="8"/>
  <c r="AL87" i="8"/>
  <c r="AZ161" i="8"/>
  <c r="AZ17" i="8"/>
  <c r="AZ157" i="8"/>
  <c r="AZ55" i="8"/>
  <c r="AL209" i="8"/>
  <c r="AR35" i="8"/>
  <c r="AW35" i="8"/>
  <c r="AZ177" i="8"/>
  <c r="AR83" i="8"/>
  <c r="AW83" i="8"/>
  <c r="AW47" i="8"/>
  <c r="AR47" i="8"/>
  <c r="AZ75" i="8"/>
  <c r="AL21" i="8"/>
  <c r="AG302" i="8"/>
  <c r="AL134" i="8"/>
  <c r="AW457" i="8"/>
  <c r="AR457" i="8"/>
  <c r="AW209" i="8"/>
  <c r="AR209" i="8"/>
  <c r="AG422" i="8"/>
  <c r="AL253" i="8"/>
  <c r="AL71" i="8"/>
  <c r="AL474" i="8"/>
  <c r="AW514" i="8"/>
  <c r="AR514" i="8"/>
  <c r="AG413" i="8"/>
  <c r="AL391" i="8"/>
  <c r="AG270" i="8"/>
  <c r="AR195" i="8"/>
  <c r="AW195" i="8"/>
  <c r="AL24" i="8"/>
  <c r="AL503" i="8"/>
  <c r="AG159" i="8"/>
  <c r="AL194" i="8"/>
  <c r="AL235" i="8"/>
  <c r="AZ116" i="8"/>
  <c r="AZ198" i="8"/>
  <c r="I13" i="15"/>
  <c r="AL158" i="8"/>
  <c r="AR205" i="8"/>
  <c r="AW205" i="8"/>
  <c r="AW88" i="8"/>
  <c r="AR88" i="8"/>
  <c r="AG46" i="8"/>
  <c r="AL163" i="8"/>
  <c r="AG49" i="8"/>
  <c r="AL312" i="8"/>
  <c r="AZ179" i="8"/>
  <c r="AG129" i="8"/>
  <c r="AG217" i="8"/>
  <c r="AL246" i="8"/>
  <c r="AG127" i="8"/>
  <c r="AL115" i="8"/>
  <c r="AG527" i="8"/>
  <c r="AG523" i="8"/>
  <c r="AG517" i="8"/>
  <c r="AG519" i="8"/>
  <c r="AG509" i="8"/>
  <c r="AG466" i="8"/>
  <c r="AG499" i="8"/>
  <c r="AG476" i="8"/>
  <c r="AG502" i="8"/>
  <c r="AG469" i="8"/>
  <c r="AG471" i="8"/>
  <c r="AG522" i="8"/>
  <c r="AG451" i="8"/>
  <c r="AG474" i="8"/>
  <c r="AG441" i="8"/>
  <c r="AG436" i="8"/>
  <c r="AG438" i="8"/>
  <c r="AG427" i="8"/>
  <c r="AG472" i="8"/>
  <c r="AG328" i="8"/>
  <c r="AG461" i="8"/>
  <c r="AG468" i="8"/>
  <c r="AG455" i="8"/>
  <c r="AG371" i="8"/>
  <c r="AG419" i="8"/>
  <c r="AG330" i="8"/>
  <c r="AG398" i="8"/>
  <c r="AG452" i="8"/>
  <c r="AG272" i="8"/>
  <c r="AG440" i="8"/>
  <c r="AG442" i="8"/>
  <c r="AG249" i="8"/>
  <c r="AG258" i="8"/>
  <c r="AG168" i="8"/>
  <c r="AG169" i="8"/>
  <c r="AG176" i="8"/>
  <c r="AG145" i="8"/>
  <c r="AG211" i="8"/>
  <c r="AG187" i="8"/>
  <c r="AG122" i="8"/>
  <c r="AG203" i="8"/>
  <c r="AG6" i="8"/>
  <c r="AG182" i="8"/>
  <c r="AG255" i="8"/>
  <c r="AG142" i="8"/>
  <c r="AG256" i="8"/>
  <c r="AG26" i="8"/>
  <c r="AG112" i="8"/>
  <c r="AG247" i="8"/>
  <c r="AG132" i="8"/>
  <c r="AG275" i="8"/>
  <c r="AG285" i="8"/>
  <c r="AG262" i="8"/>
  <c r="AG102" i="8"/>
  <c r="AG91" i="8"/>
  <c r="AG139" i="8"/>
  <c r="AG99" i="8"/>
  <c r="AG201" i="8"/>
  <c r="AG241" i="8"/>
  <c r="AG116" i="8"/>
  <c r="AZ73" i="8"/>
  <c r="AL104" i="8"/>
  <c r="AZ112" i="8"/>
  <c r="AZ140" i="8"/>
  <c r="AR41" i="8"/>
  <c r="AW41" i="8"/>
  <c r="AR102" i="8"/>
  <c r="AW102" i="8"/>
  <c r="AW257" i="8"/>
  <c r="AR257" i="8"/>
  <c r="AZ176" i="8"/>
  <c r="AL150" i="8"/>
  <c r="AR367" i="8"/>
  <c r="AW367" i="8"/>
  <c r="AZ263" i="8"/>
  <c r="AW278" i="8"/>
  <c r="AR278" i="8"/>
  <c r="AR284" i="8"/>
  <c r="AW284" i="8"/>
  <c r="AL252" i="8"/>
  <c r="AW383" i="8"/>
  <c r="AR383" i="8"/>
  <c r="AW400" i="8"/>
  <c r="AR400" i="8"/>
  <c r="AR293" i="8"/>
  <c r="AW293" i="8"/>
  <c r="AZ318" i="8"/>
  <c r="AL366" i="8"/>
  <c r="AL341" i="8"/>
  <c r="AR388" i="8"/>
  <c r="AW388" i="8"/>
  <c r="AR405" i="8"/>
  <c r="AW405" i="8"/>
  <c r="AR449" i="8"/>
  <c r="AW449" i="8"/>
  <c r="AZ384" i="8"/>
  <c r="AW460" i="8"/>
  <c r="AR460" i="8"/>
  <c r="AL497" i="8"/>
  <c r="AZ468" i="8"/>
  <c r="AL523" i="8"/>
  <c r="AR120" i="8"/>
  <c r="AW120" i="8"/>
  <c r="AL85" i="8"/>
  <c r="AL215" i="8"/>
  <c r="AL81" i="8"/>
  <c r="AL175" i="8"/>
  <c r="AR67" i="8"/>
  <c r="AW67" i="8"/>
  <c r="AW16" i="8"/>
  <c r="AR16" i="8"/>
  <c r="AG265" i="8"/>
  <c r="AL70" i="8"/>
  <c r="AG24" i="8"/>
  <c r="AL37" i="8"/>
  <c r="AG7" i="8"/>
  <c r="AZ21" i="8"/>
  <c r="AG55" i="8"/>
  <c r="AL35" i="8"/>
  <c r="AR27" i="8"/>
  <c r="AW27" i="8"/>
  <c r="AZ15" i="8"/>
  <c r="AZ43" i="8"/>
  <c r="AG30" i="8"/>
  <c r="AW328" i="8"/>
  <c r="AR328" i="8"/>
  <c r="AR407" i="8"/>
  <c r="AW407" i="8"/>
  <c r="AG313" i="8"/>
  <c r="AG224" i="8"/>
  <c r="AW242" i="8"/>
  <c r="AR242" i="8"/>
  <c r="AW152" i="8"/>
  <c r="AR152" i="8"/>
  <c r="AR103" i="8"/>
  <c r="AW103" i="8"/>
  <c r="AW269" i="8"/>
  <c r="AR269" i="8"/>
  <c r="AL484" i="8"/>
  <c r="AL381" i="8"/>
  <c r="AG240" i="8"/>
  <c r="AG79" i="8"/>
  <c r="AL459" i="8"/>
  <c r="AR439" i="8"/>
  <c r="AW439" i="8"/>
  <c r="AG346" i="8"/>
  <c r="AW247" i="8"/>
  <c r="AR247" i="8"/>
  <c r="AG291" i="8"/>
  <c r="AG167" i="8"/>
  <c r="AL145" i="8"/>
  <c r="AL465" i="8"/>
  <c r="AL305" i="8"/>
  <c r="AL509" i="8"/>
  <c r="S29" i="15"/>
  <c r="AG9" i="8"/>
  <c r="AW29" i="8"/>
  <c r="AR29" i="8"/>
  <c r="AL120" i="8"/>
  <c r="AG20" i="8"/>
  <c r="AL84" i="8"/>
  <c r="AZ121" i="8"/>
  <c r="AG175" i="8"/>
  <c r="AL100" i="8"/>
  <c r="AR24" i="8"/>
  <c r="AW24" i="8"/>
  <c r="AW7" i="8"/>
  <c r="AR7" i="8"/>
  <c r="AG22" i="8"/>
  <c r="AG377" i="8"/>
  <c r="AG323" i="8"/>
  <c r="AG337" i="8"/>
  <c r="AG382" i="8"/>
  <c r="AL318" i="8"/>
  <c r="AW357" i="8"/>
  <c r="AR357" i="8"/>
  <c r="AW157" i="8"/>
  <c r="AR157" i="8"/>
  <c r="AL467" i="8"/>
  <c r="AG477" i="8"/>
  <c r="AG339" i="8"/>
  <c r="AG208" i="8"/>
  <c r="AG180" i="8"/>
  <c r="AL324" i="8"/>
  <c r="AZ407" i="8"/>
  <c r="AG375" i="8"/>
  <c r="AR363" i="8"/>
  <c r="AW363" i="8"/>
  <c r="AL121" i="8"/>
  <c r="AG282" i="8"/>
  <c r="AL508" i="8"/>
  <c r="AL401" i="8"/>
  <c r="AG314" i="8"/>
  <c r="AL198" i="8"/>
  <c r="AZ205" i="8"/>
  <c r="AR139" i="8"/>
  <c r="AW139" i="8"/>
  <c r="AL358" i="8"/>
  <c r="AL79" i="8"/>
  <c r="I24" i="15"/>
  <c r="AL248" i="8"/>
  <c r="AG233" i="8"/>
  <c r="AG162" i="8"/>
  <c r="AL476" i="8"/>
  <c r="S10" i="15"/>
  <c r="H6" i="15"/>
  <c r="N6" i="15" s="1"/>
  <c r="S23" i="15"/>
  <c r="AL379" i="8"/>
  <c r="AG515" i="8"/>
  <c r="AG347" i="8"/>
  <c r="AG155" i="8"/>
  <c r="AW174" i="8"/>
  <c r="AR174" i="8"/>
  <c r="AG210" i="8"/>
  <c r="AL169" i="8"/>
  <c r="AL489" i="8"/>
  <c r="AL428" i="8"/>
  <c r="AR369" i="8"/>
  <c r="AW369" i="8"/>
  <c r="AW221" i="8"/>
  <c r="AR221" i="8"/>
  <c r="AG391" i="8"/>
  <c r="AG226" i="8"/>
  <c r="AG364" i="8"/>
  <c r="AW223" i="8"/>
  <c r="AR223" i="8"/>
  <c r="AG82" i="8"/>
  <c r="AR134" i="8"/>
  <c r="AW134" i="8"/>
  <c r="AW72" i="8"/>
  <c r="AR72" i="8"/>
  <c r="AG130" i="8"/>
  <c r="AW84" i="8"/>
  <c r="AR84" i="8"/>
  <c r="AW36" i="8"/>
  <c r="AR36" i="8"/>
  <c r="AL374" i="8"/>
  <c r="AW341" i="8"/>
  <c r="AR341" i="8"/>
  <c r="AW465" i="8"/>
  <c r="AR465" i="8"/>
  <c r="AL384" i="8"/>
  <c r="AG343" i="8"/>
  <c r="AG289" i="8"/>
  <c r="AG269" i="8"/>
  <c r="AZ417" i="8"/>
  <c r="AG51" i="8"/>
  <c r="AG103" i="8"/>
  <c r="AL119" i="8"/>
  <c r="AW350" i="8"/>
  <c r="AR350" i="8"/>
  <c r="AR456" i="8"/>
  <c r="AW456" i="8"/>
  <c r="AG334" i="8"/>
  <c r="AW395" i="8"/>
  <c r="AR395" i="8"/>
  <c r="AR296" i="8"/>
  <c r="AW296" i="8"/>
  <c r="AG276" i="8"/>
  <c r="AW182" i="8"/>
  <c r="AR182" i="8"/>
  <c r="AW190" i="8"/>
  <c r="AR190" i="8"/>
  <c r="AG232" i="8"/>
  <c r="AL179" i="8"/>
  <c r="AL75" i="8"/>
  <c r="AL356" i="8"/>
  <c r="AG453" i="8"/>
  <c r="AG325" i="8"/>
  <c r="AL92" i="8"/>
  <c r="AR513" i="8"/>
  <c r="AW513" i="8"/>
  <c r="AW495" i="8"/>
  <c r="AR495" i="8"/>
  <c r="AG428" i="8"/>
  <c r="AG268" i="8"/>
  <c r="AL101" i="8"/>
  <c r="AL207" i="8"/>
  <c r="AR40" i="8"/>
  <c r="AW40" i="8"/>
  <c r="AR73" i="8"/>
  <c r="AW73" i="8"/>
  <c r="AZ202" i="8"/>
  <c r="AL135" i="8"/>
  <c r="AL162" i="8"/>
  <c r="AZ182" i="8"/>
  <c r="AW313" i="8"/>
  <c r="AR313" i="8"/>
  <c r="AL442" i="8"/>
  <c r="AL444" i="8"/>
  <c r="AR522" i="8"/>
  <c r="AW522" i="8"/>
  <c r="AG507" i="8"/>
  <c r="AL505" i="8"/>
  <c r="AG492" i="8"/>
  <c r="AZ489" i="8"/>
  <c r="AL493" i="8"/>
  <c r="AL427" i="8"/>
  <c r="AG397" i="8"/>
  <c r="AR424" i="8"/>
  <c r="AW424" i="8"/>
  <c r="AW379" i="8"/>
  <c r="AR379" i="8"/>
  <c r="AR428" i="8"/>
  <c r="AW428" i="8"/>
  <c r="AW349" i="8"/>
  <c r="AR349" i="8"/>
  <c r="AG365" i="8"/>
  <c r="AG415" i="8"/>
  <c r="AG307" i="8"/>
  <c r="AG273" i="8"/>
  <c r="AZ261" i="8"/>
  <c r="AL265" i="8"/>
  <c r="AR382" i="8"/>
  <c r="AW382" i="8"/>
  <c r="AW160" i="8"/>
  <c r="AR160" i="8"/>
  <c r="AZ288" i="8"/>
  <c r="AL281" i="8"/>
  <c r="AG245" i="8"/>
  <c r="AW227" i="8"/>
  <c r="AR227" i="8"/>
  <c r="AW198" i="8"/>
  <c r="AR198" i="8"/>
  <c r="AR166" i="8"/>
  <c r="AW166" i="8"/>
  <c r="AG213" i="8"/>
  <c r="AG154" i="8"/>
  <c r="AL91" i="8"/>
  <c r="AG41" i="8"/>
  <c r="AG207" i="8"/>
  <c r="AR246" i="8"/>
  <c r="AW246" i="8"/>
  <c r="AG97" i="8"/>
  <c r="AR115" i="8"/>
  <c r="AW115" i="8"/>
  <c r="AL272" i="8"/>
  <c r="AL137" i="8"/>
  <c r="AR138" i="8"/>
  <c r="AW138" i="8"/>
  <c r="AR143" i="8"/>
  <c r="AW143" i="8"/>
  <c r="AW301" i="8"/>
  <c r="AR301" i="8"/>
  <c r="AL206" i="8"/>
  <c r="AL171" i="8"/>
  <c r="AL276" i="8"/>
  <c r="AL299" i="8"/>
  <c r="AZ289" i="8"/>
  <c r="AR289" i="8"/>
  <c r="AW289" i="8"/>
  <c r="AL398" i="8"/>
  <c r="AL370" i="8"/>
  <c r="AL452" i="8"/>
  <c r="AL448" i="8"/>
  <c r="AR303" i="8"/>
  <c r="AW303" i="8"/>
  <c r="AW394" i="8"/>
  <c r="AR394" i="8"/>
  <c r="AL486" i="8"/>
  <c r="AZ509" i="8"/>
  <c r="AZ494" i="8"/>
  <c r="AL506" i="8"/>
  <c r="AR498" i="8"/>
  <c r="AW498" i="8"/>
  <c r="S12" i="15"/>
  <c r="S17" i="15"/>
  <c r="AW6" i="8"/>
  <c r="AR6" i="8"/>
  <c r="AW54" i="8"/>
  <c r="AR54" i="8"/>
  <c r="AL156" i="8"/>
  <c r="AL43" i="8"/>
  <c r="AR215" i="8"/>
  <c r="AW215" i="8"/>
  <c r="AW19" i="8"/>
  <c r="AR19" i="8"/>
  <c r="AL148" i="8"/>
  <c r="AL13" i="8"/>
  <c r="AZ6" i="8"/>
  <c r="AL32" i="8"/>
  <c r="AZ131" i="8"/>
  <c r="AL7" i="8"/>
  <c r="AG86" i="8"/>
  <c r="AZ105" i="8"/>
  <c r="AL525" i="8"/>
  <c r="AL311" i="8"/>
  <c r="AR144" i="8"/>
  <c r="AW144" i="8"/>
  <c r="AG179" i="8"/>
  <c r="AL455" i="8"/>
  <c r="S18" i="15"/>
  <c r="AL16" i="8"/>
  <c r="AG480" i="8"/>
  <c r="AW229" i="8"/>
  <c r="AR229" i="8"/>
  <c r="AG161" i="8"/>
  <c r="AL322" i="8"/>
  <c r="AZ308" i="8"/>
  <c r="AW318" i="8"/>
  <c r="AR318" i="8"/>
  <c r="AR426" i="8"/>
  <c r="AW426" i="8"/>
  <c r="AR99" i="8"/>
  <c r="AW99" i="8"/>
  <c r="AW324" i="8"/>
  <c r="AR324" i="8"/>
  <c r="AZ412" i="8"/>
  <c r="AR398" i="8"/>
  <c r="AW398" i="8"/>
  <c r="AG529" i="8"/>
  <c r="AW493" i="8"/>
  <c r="AR493" i="8"/>
  <c r="AG462" i="8"/>
  <c r="AR396" i="8"/>
  <c r="AW396" i="8"/>
  <c r="AG306" i="8"/>
  <c r="AL232" i="8"/>
  <c r="AG63" i="8"/>
  <c r="AG134" i="8"/>
  <c r="AG69" i="8"/>
  <c r="AL226" i="8"/>
  <c r="AR477" i="8"/>
  <c r="AW477" i="8"/>
  <c r="AL41" i="8"/>
  <c r="AG47" i="8"/>
  <c r="AZ344" i="8"/>
  <c r="AR273" i="8"/>
  <c r="AW273" i="8"/>
  <c r="AG248" i="8"/>
  <c r="AG311" i="8"/>
  <c r="AL53" i="8"/>
  <c r="I20" i="15"/>
  <c r="AW339" i="8"/>
  <c r="AR339" i="8"/>
  <c r="AW311" i="8"/>
  <c r="AR311" i="8"/>
  <c r="H17" i="15"/>
  <c r="N17" i="15" s="1"/>
  <c r="AG128" i="8"/>
  <c r="AR141" i="8"/>
  <c r="AW141" i="8"/>
  <c r="AL473" i="8"/>
  <c r="AW260" i="8"/>
  <c r="AR260" i="8"/>
  <c r="AR161" i="8"/>
  <c r="AW161" i="8"/>
  <c r="AL26" i="8"/>
  <c r="AW348" i="8"/>
  <c r="AR348" i="8"/>
  <c r="AL441" i="8"/>
  <c r="AZ511" i="8"/>
  <c r="AG19" i="8"/>
  <c r="AR63" i="8"/>
  <c r="AW63" i="8"/>
  <c r="AL216" i="8"/>
  <c r="AZ72" i="8"/>
  <c r="AL201" i="8"/>
  <c r="AR408" i="8"/>
  <c r="AW408" i="8"/>
  <c r="AZ500" i="8"/>
  <c r="AL449" i="8"/>
  <c r="AL193" i="8"/>
  <c r="AG520" i="8"/>
  <c r="AG449" i="8"/>
  <c r="AG446" i="8"/>
  <c r="AG250" i="8"/>
  <c r="AR155" i="8"/>
  <c r="AW155" i="8"/>
  <c r="AL113" i="8"/>
  <c r="AL196" i="8"/>
  <c r="AG510" i="8"/>
  <c r="AL273" i="8"/>
  <c r="AL526" i="8"/>
  <c r="AG362" i="8"/>
  <c r="AG378" i="8"/>
  <c r="AR331" i="8"/>
  <c r="AW331" i="8"/>
  <c r="AR178" i="8"/>
  <c r="AW178" i="8"/>
  <c r="AL202" i="8"/>
  <c r="AG114" i="8"/>
  <c r="AR127" i="8"/>
  <c r="AW127" i="8"/>
  <c r="AZ67" i="8"/>
  <c r="AL36" i="8"/>
  <c r="AZ238" i="8"/>
  <c r="AZ190" i="8"/>
  <c r="AZ260" i="8"/>
  <c r="AL296" i="8"/>
  <c r="AZ278" i="8"/>
  <c r="AR444" i="8"/>
  <c r="AW444" i="8"/>
  <c r="AL416" i="8"/>
  <c r="AW455" i="8"/>
  <c r="AR455" i="8"/>
  <c r="AW529" i="8"/>
  <c r="AR529" i="8"/>
  <c r="AW520" i="8"/>
  <c r="AR520" i="8"/>
  <c r="AG508" i="8"/>
  <c r="AL501" i="8"/>
  <c r="AG433" i="8"/>
  <c r="AG450" i="8"/>
  <c r="AG483" i="8"/>
  <c r="AG531" i="8"/>
  <c r="AG456" i="8"/>
  <c r="AG445" i="8"/>
  <c r="AG356" i="8"/>
  <c r="AG296" i="8"/>
  <c r="AG333" i="8"/>
  <c r="AG376" i="8"/>
  <c r="AR245" i="8"/>
  <c r="AW245" i="8"/>
  <c r="AR283" i="8"/>
  <c r="AW283" i="8"/>
  <c r="AR255" i="8"/>
  <c r="AW255" i="8"/>
  <c r="AR332" i="8"/>
  <c r="AW332" i="8"/>
  <c r="AG143" i="8"/>
  <c r="AW220" i="8"/>
  <c r="AR220" i="8"/>
  <c r="AL176" i="8"/>
  <c r="AG387" i="8"/>
  <c r="AG104" i="8"/>
  <c r="AL426" i="8"/>
  <c r="AG202" i="8"/>
  <c r="AR290" i="8"/>
  <c r="AW290" i="8"/>
  <c r="AW163" i="8"/>
  <c r="AR163" i="8"/>
  <c r="AW312" i="8"/>
  <c r="AR312" i="8"/>
  <c r="AL183" i="8"/>
  <c r="AL77" i="8"/>
  <c r="AW524" i="8"/>
  <c r="AR524" i="8"/>
  <c r="AW532" i="8"/>
  <c r="AR532" i="8"/>
  <c r="AL510" i="8"/>
  <c r="AL471" i="8"/>
  <c r="AG487" i="8"/>
  <c r="AG486" i="8"/>
  <c r="AG465" i="8"/>
  <c r="AG434" i="8"/>
  <c r="AL435" i="8"/>
  <c r="AZ416" i="8"/>
  <c r="AR445" i="8"/>
  <c r="AW445" i="8"/>
  <c r="AW384" i="8"/>
  <c r="AR384" i="8"/>
  <c r="AZ359" i="8"/>
  <c r="AG366" i="8"/>
  <c r="AL385" i="8"/>
  <c r="AG342" i="8"/>
  <c r="AZ355" i="8"/>
  <c r="AZ475" i="8"/>
  <c r="AZ298" i="8"/>
  <c r="AR431" i="8"/>
  <c r="AW431" i="8"/>
  <c r="AR415" i="8"/>
  <c r="AW415" i="8"/>
  <c r="AR454" i="8"/>
  <c r="AW454" i="8"/>
  <c r="AL357" i="8"/>
  <c r="AL346" i="8"/>
  <c r="AR356" i="8"/>
  <c r="AW356" i="8"/>
  <c r="AZ321" i="8"/>
  <c r="AG317" i="8"/>
  <c r="AG271" i="8"/>
  <c r="AZ236" i="8"/>
  <c r="AZ234" i="8"/>
  <c r="AG238" i="8"/>
  <c r="AG288" i="8"/>
  <c r="AL165" i="8"/>
  <c r="AW194" i="8"/>
  <c r="AR194" i="8"/>
  <c r="AZ138" i="8"/>
  <c r="AR193" i="8"/>
  <c r="AW193" i="8"/>
  <c r="AG196" i="8"/>
  <c r="AG242" i="8"/>
  <c r="AW158" i="8"/>
  <c r="AR158" i="8"/>
  <c r="AZ294" i="8"/>
  <c r="AG137" i="8"/>
  <c r="AZ216" i="8"/>
  <c r="AZ192" i="8"/>
  <c r="AG118" i="8"/>
  <c r="AR51" i="8"/>
  <c r="AW51" i="8"/>
  <c r="AG113" i="8"/>
  <c r="AL40" i="8"/>
  <c r="AZ259" i="8"/>
  <c r="AR108" i="8"/>
  <c r="AW108" i="8"/>
  <c r="AW179" i="8"/>
  <c r="AR179" i="8"/>
  <c r="AW217" i="8"/>
  <c r="AR217" i="8"/>
  <c r="AG96" i="8"/>
  <c r="AZ35" i="8"/>
  <c r="AG21" i="8"/>
  <c r="I9" i="15"/>
  <c r="AL130" i="8"/>
  <c r="AL140" i="8"/>
  <c r="AL220" i="8"/>
  <c r="AR125" i="8"/>
  <c r="AW125" i="8"/>
  <c r="AZ135" i="8"/>
  <c r="AL185" i="8"/>
  <c r="AZ191" i="8"/>
  <c r="AL277" i="8"/>
  <c r="AZ296" i="8"/>
  <c r="AR252" i="8"/>
  <c r="AW252" i="8"/>
  <c r="AZ329" i="8"/>
  <c r="AZ410" i="8"/>
  <c r="AW344" i="8"/>
  <c r="AR344" i="8"/>
  <c r="AL491" i="8"/>
  <c r="AL406" i="8"/>
  <c r="AR366" i="8"/>
  <c r="AW366" i="8"/>
  <c r="AZ487" i="8"/>
  <c r="AL458" i="8"/>
  <c r="AZ491" i="8"/>
  <c r="AW472" i="8"/>
  <c r="AR472" i="8"/>
  <c r="AZ506" i="8"/>
  <c r="AR525" i="8"/>
  <c r="AW525" i="8"/>
  <c r="AW509" i="8"/>
  <c r="AR509" i="8"/>
  <c r="AR502" i="8"/>
  <c r="AW502" i="8"/>
  <c r="AZ499" i="8"/>
  <c r="H19" i="15"/>
  <c r="N19" i="15" s="1"/>
  <c r="AR121" i="8"/>
  <c r="AW121" i="8"/>
  <c r="AL54" i="8"/>
  <c r="AZ25" i="8"/>
  <c r="AL14" i="8"/>
  <c r="AW89" i="8"/>
  <c r="AR89" i="8"/>
  <c r="AW59" i="8"/>
  <c r="AR59" i="8"/>
  <c r="AZ284" i="8"/>
  <c r="AG29" i="8"/>
  <c r="AG209" i="8"/>
  <c r="I17" i="15"/>
  <c r="AL184" i="8"/>
  <c r="AW42" i="8"/>
  <c r="AR42" i="8"/>
  <c r="AZ337" i="8"/>
  <c r="AW22" i="8"/>
  <c r="AR22" i="8"/>
  <c r="AR411" i="8"/>
  <c r="AW411" i="8"/>
  <c r="AL224" i="8"/>
  <c r="I22" i="15"/>
  <c r="AR92" i="8"/>
  <c r="AW92" i="8"/>
  <c r="AW375" i="8"/>
  <c r="AR375" i="8"/>
  <c r="AL67" i="8"/>
  <c r="AG420" i="8"/>
  <c r="AL190" i="8"/>
  <c r="AG304" i="8"/>
  <c r="AZ126" i="8"/>
  <c r="AG56" i="8"/>
  <c r="AG107" i="8"/>
  <c r="AG84" i="8"/>
  <c r="AL349" i="8"/>
  <c r="AL496" i="8"/>
  <c r="AG443" i="8"/>
  <c r="AW180" i="8"/>
  <c r="AR180" i="8"/>
  <c r="AZ71" i="8"/>
  <c r="AG65" i="8"/>
  <c r="AL154" i="8"/>
  <c r="AL45" i="8"/>
  <c r="AR128" i="8"/>
  <c r="AW128" i="8"/>
  <c r="AG479" i="8"/>
  <c r="AW483" i="8"/>
  <c r="AR483" i="8"/>
  <c r="AW462" i="8"/>
  <c r="AR462" i="8"/>
  <c r="AW374" i="8"/>
  <c r="AR374" i="8"/>
  <c r="AG301" i="8"/>
  <c r="AG430" i="8"/>
  <c r="AG319" i="8"/>
  <c r="AL279" i="8"/>
  <c r="AG372" i="8"/>
  <c r="AW204" i="8"/>
  <c r="AR204" i="8"/>
  <c r="AG227" i="8"/>
  <c r="AW79" i="8"/>
  <c r="AR79" i="8"/>
  <c r="AL360" i="8"/>
  <c r="AL513" i="8"/>
  <c r="AG516" i="8"/>
  <c r="AR512" i="8"/>
  <c r="AW512" i="8"/>
  <c r="AG448" i="8"/>
  <c r="AR435" i="8"/>
  <c r="AW435" i="8"/>
  <c r="AG367" i="8"/>
  <c r="AG293" i="8"/>
  <c r="AL188" i="8"/>
  <c r="AW31" i="8"/>
  <c r="AR31" i="8"/>
  <c r="AR93" i="8"/>
  <c r="AW93" i="8"/>
  <c r="AR409" i="8"/>
  <c r="AW409" i="8"/>
  <c r="AZ320" i="8"/>
  <c r="AL451" i="8"/>
  <c r="AG344" i="8"/>
  <c r="AG348" i="8"/>
  <c r="AG230" i="8"/>
  <c r="AW228" i="8"/>
  <c r="AR228" i="8"/>
  <c r="AW310" i="8"/>
  <c r="AR310" i="8"/>
  <c r="AZ368" i="8"/>
  <c r="AL64" i="8"/>
  <c r="AR135" i="8"/>
  <c r="AW135" i="8"/>
  <c r="AL524" i="8"/>
  <c r="AL521" i="8"/>
  <c r="AL423" i="8"/>
  <c r="AG327" i="8"/>
  <c r="AW263" i="8"/>
  <c r="AR263" i="8"/>
  <c r="AG416" i="8"/>
  <c r="AW224" i="8"/>
  <c r="AR224" i="8"/>
  <c r="AG93" i="8"/>
  <c r="AG125" i="8"/>
  <c r="AG237" i="8"/>
  <c r="AG109" i="8"/>
  <c r="AL182" i="8"/>
  <c r="AW528" i="8"/>
  <c r="AR528" i="8"/>
  <c r="AG501" i="8"/>
  <c r="AG444" i="8"/>
  <c r="AG464" i="8"/>
  <c r="AW373" i="8"/>
  <c r="AR373" i="8"/>
  <c r="AZ268" i="8"/>
  <c r="AL294" i="8"/>
  <c r="I28" i="15"/>
  <c r="AG426" i="8"/>
  <c r="AG70" i="8"/>
  <c r="AG153" i="8"/>
  <c r="AZ29" i="8"/>
  <c r="AL490" i="8"/>
  <c r="AG394" i="8"/>
  <c r="AL354" i="8"/>
  <c r="I32" i="15"/>
  <c r="AW226" i="8"/>
  <c r="AR226" i="8"/>
  <c r="AZ180" i="8"/>
  <c r="AG252" i="8"/>
  <c r="AG528" i="8"/>
  <c r="AG514" i="8"/>
  <c r="AG338" i="8"/>
  <c r="AL131" i="8"/>
  <c r="AL244" i="8"/>
  <c r="AL488" i="8"/>
  <c r="AW515" i="8"/>
  <c r="AR515" i="8"/>
  <c r="AL363" i="8"/>
  <c r="AW322" i="8"/>
  <c r="AR322" i="8"/>
  <c r="AG399" i="8"/>
  <c r="AL383" i="8"/>
  <c r="AG298" i="8"/>
  <c r="AR412" i="8"/>
  <c r="AW412" i="8"/>
  <c r="AG263" i="8"/>
  <c r="AR447" i="8"/>
  <c r="AW447" i="8"/>
  <c r="AG299" i="8"/>
  <c r="AL373" i="8"/>
  <c r="AZ409" i="8"/>
  <c r="AG321" i="8"/>
  <c r="AW241" i="8"/>
  <c r="AR241" i="8"/>
  <c r="AL336" i="8"/>
  <c r="AG277" i="8"/>
  <c r="AW265" i="8"/>
  <c r="AR265" i="8"/>
  <c r="AW208" i="8"/>
  <c r="AR208" i="8"/>
  <c r="AG305" i="8"/>
  <c r="AL291" i="8"/>
  <c r="AW267" i="8"/>
  <c r="AR267" i="8"/>
  <c r="AG185" i="8"/>
  <c r="AG165" i="8"/>
  <c r="AG310" i="8"/>
  <c r="AG200" i="8"/>
  <c r="AZ219" i="8"/>
  <c r="AW235" i="8"/>
  <c r="AR235" i="8"/>
  <c r="AG390" i="8"/>
  <c r="AL225" i="8"/>
  <c r="AZ213" i="8"/>
  <c r="AL309" i="8"/>
  <c r="AG214" i="8"/>
  <c r="AW154" i="8"/>
  <c r="AR154" i="8"/>
  <c r="AG85" i="8"/>
  <c r="AL192" i="8"/>
  <c r="AG163" i="8"/>
  <c r="AR66" i="8"/>
  <c r="AW66" i="8"/>
  <c r="AZ28" i="8"/>
  <c r="AR287" i="8"/>
  <c r="AW287" i="8"/>
  <c r="AR62" i="8"/>
  <c r="AW62" i="8"/>
  <c r="AL88" i="8"/>
  <c r="I16" i="15"/>
  <c r="AG117" i="8"/>
  <c r="AG312" i="8"/>
  <c r="AW82" i="8"/>
  <c r="AR82" i="8"/>
  <c r="AR38" i="8"/>
  <c r="AW38" i="8"/>
  <c r="AW50" i="8"/>
  <c r="AR50" i="8"/>
  <c r="AR114" i="8"/>
  <c r="AW114" i="8"/>
  <c r="AG246" i="8"/>
  <c r="AR96" i="8"/>
  <c r="AW96" i="8"/>
  <c r="AG64" i="8"/>
  <c r="AR183" i="8"/>
  <c r="AW183" i="8"/>
  <c r="AL153" i="8"/>
  <c r="AL103" i="8"/>
  <c r="AL94" i="8"/>
  <c r="AZ91" i="8"/>
  <c r="AL161" i="8"/>
  <c r="AW68" i="8"/>
  <c r="AR68" i="8"/>
  <c r="AL247" i="8"/>
  <c r="AL195" i="8"/>
  <c r="I18" i="15"/>
  <c r="AR342" i="8"/>
  <c r="AW342" i="8"/>
  <c r="AW359" i="8"/>
  <c r="AR359" i="8"/>
  <c r="AL329" i="8"/>
  <c r="AR371" i="8"/>
  <c r="AW371" i="8"/>
  <c r="AL420" i="8"/>
  <c r="AR406" i="8"/>
  <c r="AW406" i="8"/>
  <c r="AR479" i="8"/>
  <c r="AW479" i="8"/>
  <c r="AW470" i="8"/>
  <c r="AR470" i="8"/>
  <c r="AL477" i="8"/>
  <c r="AW507" i="8"/>
  <c r="AR507" i="8"/>
  <c r="AL519" i="8"/>
  <c r="AL518" i="8"/>
  <c r="AZ502" i="8"/>
  <c r="AZ521" i="8"/>
  <c r="S15" i="15"/>
  <c r="AZ243" i="8"/>
  <c r="AW48" i="8"/>
  <c r="AR48" i="8"/>
  <c r="AL50" i="8"/>
  <c r="AG50" i="8"/>
  <c r="AZ20" i="8"/>
  <c r="AL105" i="8"/>
  <c r="AL30" i="8"/>
  <c r="AZ88" i="8"/>
  <c r="AR175" i="8"/>
  <c r="AW175" i="8"/>
  <c r="AL38" i="8"/>
  <c r="AG11" i="8"/>
  <c r="AW12" i="8"/>
  <c r="AR12" i="8"/>
  <c r="AL157" i="8"/>
  <c r="AL59" i="8"/>
  <c r="AG92" i="8"/>
  <c r="AL47" i="8"/>
  <c r="AL65" i="8"/>
  <c r="AZ143" i="8"/>
  <c r="AL245" i="8"/>
  <c r="AG257" i="8"/>
  <c r="AW499" i="8"/>
  <c r="AR499" i="8"/>
  <c r="AR116" i="8"/>
  <c r="AW116" i="8"/>
  <c r="AG12" i="8"/>
  <c r="AG10" i="8"/>
  <c r="AR463" i="8"/>
  <c r="AW463" i="8"/>
  <c r="AG73" i="8"/>
  <c r="AW214" i="8"/>
  <c r="AR214" i="8"/>
  <c r="AL159" i="8"/>
  <c r="AW351" i="8"/>
  <c r="AR351" i="8"/>
  <c r="AL475" i="8"/>
  <c r="AL250" i="8"/>
  <c r="AW275" i="8"/>
  <c r="AR275" i="8"/>
  <c r="AG496" i="8"/>
  <c r="AG388" i="8"/>
  <c r="AR459" i="8"/>
  <c r="AW459" i="8"/>
  <c r="AG178" i="8"/>
  <c r="AL74" i="8"/>
  <c r="AL301" i="8"/>
  <c r="AL129" i="8"/>
  <c r="AG44" i="8"/>
  <c r="AL367" i="8"/>
  <c r="AL288" i="8"/>
  <c r="AZ196" i="8"/>
  <c r="AL328" i="8"/>
  <c r="AL96" i="8"/>
  <c r="AW184" i="8"/>
  <c r="AR184" i="8"/>
  <c r="AG518" i="8"/>
  <c r="AG396" i="8"/>
  <c r="AG401" i="8"/>
  <c r="AG475" i="8"/>
  <c r="AW305" i="8"/>
  <c r="AR305" i="8"/>
  <c r="AG149" i="8"/>
  <c r="AL151" i="8"/>
  <c r="AW327" i="8"/>
  <c r="AR327" i="8"/>
  <c r="AZ341" i="8"/>
  <c r="AL498" i="8"/>
  <c r="AL334" i="8"/>
  <c r="I30" i="15"/>
  <c r="AW297" i="8"/>
  <c r="AR297" i="8"/>
  <c r="AL114" i="8"/>
  <c r="AL249" i="8"/>
  <c r="AL72" i="8"/>
  <c r="AW43" i="8"/>
  <c r="AR43" i="8"/>
  <c r="AW523" i="8"/>
  <c r="AR523" i="8"/>
  <c r="AL254" i="8"/>
  <c r="AW201" i="8"/>
  <c r="AR201" i="8"/>
  <c r="AL217" i="8"/>
  <c r="AG152" i="8"/>
  <c r="AL155" i="8"/>
  <c r="AW527" i="8"/>
  <c r="AR527" i="8"/>
  <c r="AW505" i="8"/>
  <c r="AR505" i="8"/>
  <c r="AW508" i="8"/>
  <c r="AR508" i="8"/>
  <c r="AG478" i="8"/>
  <c r="AZ405" i="8"/>
  <c r="AG432" i="8"/>
  <c r="AL456" i="8"/>
  <c r="AW392" i="8"/>
  <c r="AR392" i="8"/>
  <c r="AZ347" i="8"/>
  <c r="AW365" i="8"/>
  <c r="AR365" i="8"/>
  <c r="AR248" i="8"/>
  <c r="AW248" i="8"/>
  <c r="AL214" i="8"/>
  <c r="AG216" i="8"/>
  <c r="AW492" i="8"/>
  <c r="AR492" i="8"/>
  <c r="AL483" i="8"/>
  <c r="AR434" i="8"/>
  <c r="AW434" i="8"/>
  <c r="AG370" i="8"/>
  <c r="AG379" i="8"/>
  <c r="AG532" i="8"/>
  <c r="AG484" i="8"/>
  <c r="AG503" i="8"/>
  <c r="AG485" i="8"/>
  <c r="AZ452" i="8"/>
  <c r="AG493" i="8"/>
  <c r="AL478" i="8"/>
  <c r="AL410" i="8"/>
  <c r="AZ418" i="8"/>
  <c r="AW385" i="8"/>
  <c r="AR385" i="8"/>
  <c r="AG363" i="8"/>
  <c r="AG383" i="8"/>
  <c r="AR355" i="8"/>
  <c r="AW355" i="8"/>
  <c r="AL431" i="8"/>
  <c r="AW326" i="8"/>
  <c r="AR326" i="8"/>
  <c r="AR425" i="8"/>
  <c r="AW425" i="8"/>
  <c r="AZ346" i="8"/>
  <c r="AL454" i="8"/>
  <c r="AG373" i="8"/>
  <c r="AL319" i="8"/>
  <c r="AL295" i="8"/>
  <c r="AG264" i="8"/>
  <c r="AZ354" i="8"/>
  <c r="AG429" i="8"/>
  <c r="AZ251" i="8"/>
  <c r="AL197" i="8"/>
  <c r="AG274" i="8"/>
  <c r="AW218" i="8"/>
  <c r="AR218" i="8"/>
  <c r="AG204" i="8"/>
  <c r="AG133" i="8"/>
  <c r="AG151" i="8"/>
  <c r="AG229" i="8"/>
  <c r="AR159" i="8"/>
  <c r="AW159" i="8"/>
  <c r="AW299" i="8"/>
  <c r="AR299" i="8"/>
  <c r="AL292" i="8"/>
  <c r="AG286" i="8"/>
  <c r="AR176" i="8"/>
  <c r="AW176" i="8"/>
  <c r="AR104" i="8"/>
  <c r="AW104" i="8"/>
  <c r="AW232" i="8"/>
  <c r="AR232" i="8"/>
  <c r="AW239" i="8"/>
  <c r="AR239" i="8"/>
  <c r="AZ309" i="8"/>
  <c r="AR304" i="8"/>
  <c r="AW304" i="8"/>
  <c r="AR202" i="8"/>
  <c r="AW202" i="8"/>
  <c r="AW75" i="8"/>
  <c r="AR75" i="8"/>
  <c r="AG192" i="8"/>
  <c r="AG136" i="8"/>
  <c r="AG108" i="8"/>
  <c r="AL177" i="8"/>
  <c r="AL136" i="8"/>
  <c r="AL62" i="8"/>
  <c r="AR37" i="8"/>
  <c r="AW37" i="8"/>
  <c r="AG222" i="8"/>
  <c r="AW207" i="8"/>
  <c r="AR207" i="8"/>
  <c r="AR117" i="8"/>
  <c r="AW117" i="8"/>
  <c r="AG38" i="8"/>
  <c r="AR335" i="8"/>
  <c r="AW335" i="8"/>
  <c r="AL181" i="8"/>
  <c r="AG39" i="8"/>
  <c r="AL172" i="8"/>
  <c r="AZ119" i="8"/>
  <c r="AR133" i="8"/>
  <c r="AW133" i="8"/>
  <c r="AZ89" i="8"/>
  <c r="AL228" i="8"/>
  <c r="AL302" i="8"/>
  <c r="AZ252" i="8"/>
  <c r="AW325" i="8"/>
  <c r="AR325" i="8"/>
  <c r="AL234" i="8"/>
  <c r="AZ381" i="8"/>
  <c r="AZ454" i="8"/>
  <c r="AZ262" i="8"/>
  <c r="AL303" i="8"/>
  <c r="AR338" i="8"/>
  <c r="AW338" i="8"/>
  <c r="AL365" i="8"/>
  <c r="AZ330" i="8"/>
  <c r="AW377" i="8"/>
  <c r="AR377" i="8"/>
  <c r="AZ342" i="8"/>
  <c r="AZ340" i="8"/>
  <c r="AW489" i="8"/>
  <c r="AR489" i="8"/>
  <c r="AR469" i="8"/>
  <c r="AW469" i="8"/>
  <c r="AR506" i="8"/>
  <c r="AW506" i="8"/>
  <c r="AG42" i="8"/>
  <c r="AG243" i="8"/>
  <c r="AG148" i="8"/>
  <c r="AG120" i="8"/>
  <c r="AG48" i="8"/>
  <c r="AZ48" i="8"/>
  <c r="AG156" i="8"/>
  <c r="AL22" i="8"/>
  <c r="AG61" i="8"/>
  <c r="AZ64" i="8"/>
  <c r="AZ61" i="8"/>
  <c r="AR87" i="8"/>
  <c r="AW87" i="8"/>
  <c r="AG157" i="8"/>
  <c r="AG80" i="8"/>
  <c r="AW170" i="8"/>
  <c r="AR170" i="8"/>
  <c r="AL19" i="8"/>
  <c r="AG36" i="8"/>
  <c r="AG316" i="8"/>
  <c r="AR430" i="8"/>
  <c r="AW430" i="8"/>
  <c r="AR280" i="8"/>
  <c r="AW280" i="8"/>
  <c r="AW234" i="8"/>
  <c r="AR234" i="8"/>
  <c r="AR256" i="8"/>
  <c r="AW256" i="8"/>
  <c r="AR140" i="8"/>
  <c r="AW140" i="8"/>
  <c r="AW167" i="8"/>
  <c r="AR167" i="8"/>
  <c r="AL55" i="8"/>
  <c r="AL408" i="8"/>
  <c r="AG389" i="8"/>
  <c r="AW504" i="8"/>
  <c r="AR504" i="8"/>
  <c r="AG345" i="8"/>
  <c r="AR453" i="8"/>
  <c r="AW453" i="8"/>
  <c r="AG315" i="8"/>
  <c r="AG266" i="8"/>
  <c r="AR261" i="8"/>
  <c r="AW261" i="8"/>
  <c r="AG236" i="8"/>
  <c r="AR309" i="8"/>
  <c r="AW309" i="8"/>
  <c r="AG43" i="8"/>
  <c r="AR177" i="8"/>
  <c r="AW177" i="8"/>
  <c r="AW76" i="8"/>
  <c r="AR76" i="8"/>
  <c r="AG101" i="8"/>
  <c r="AG98" i="8"/>
  <c r="AL466" i="8"/>
  <c r="AG405" i="8"/>
  <c r="AZ350" i="8"/>
  <c r="AZ264" i="8"/>
  <c r="AL450" i="8"/>
  <c r="AR516" i="8"/>
  <c r="AW516" i="8"/>
  <c r="AL430" i="8"/>
  <c r="AR417" i="8"/>
  <c r="AW417" i="8"/>
  <c r="AL49" i="8"/>
  <c r="AW315" i="8"/>
  <c r="AR315" i="8"/>
  <c r="AZ306" i="8"/>
  <c r="AW362" i="8"/>
  <c r="AR362" i="8"/>
  <c r="AG525" i="8"/>
  <c r="AG308" i="8"/>
  <c r="AL310" i="8"/>
  <c r="AG188" i="8"/>
  <c r="AL494" i="8"/>
  <c r="AW471" i="8"/>
  <c r="AR471" i="8"/>
  <c r="AW491" i="8"/>
  <c r="AR491" i="8"/>
  <c r="AW243" i="8"/>
  <c r="AR243" i="8"/>
  <c r="AW78" i="8"/>
  <c r="AR78" i="8"/>
  <c r="AG138" i="8"/>
  <c r="AL402" i="8"/>
  <c r="AZ301" i="8"/>
  <c r="AZ348" i="8"/>
  <c r="AW393" i="8"/>
  <c r="AR393" i="8"/>
  <c r="AZ283" i="8"/>
  <c r="AR211" i="8"/>
  <c r="AW211" i="8"/>
  <c r="AW253" i="8"/>
  <c r="AR253" i="8"/>
  <c r="AZ256" i="8"/>
  <c r="AW340" i="8"/>
  <c r="AR340" i="8"/>
  <c r="AL340" i="8"/>
  <c r="AR421" i="8"/>
  <c r="AW421" i="8"/>
  <c r="AR481" i="8"/>
  <c r="AW481" i="8"/>
  <c r="AG78" i="8"/>
  <c r="AZ122" i="8"/>
  <c r="AG54" i="8"/>
  <c r="AR80" i="8"/>
  <c r="AW80" i="8"/>
  <c r="AZ57" i="8"/>
  <c r="AW530" i="8"/>
  <c r="AR530" i="8"/>
  <c r="AG505" i="8"/>
  <c r="AG506" i="8"/>
  <c r="AG414" i="8"/>
  <c r="AR370" i="8"/>
  <c r="AW370" i="8"/>
  <c r="AZ392" i="8"/>
  <c r="AL268" i="8"/>
  <c r="AG220" i="8"/>
  <c r="AW292" i="8"/>
  <c r="AR292" i="8"/>
  <c r="AL127" i="8"/>
  <c r="AL464" i="8"/>
  <c r="AR419" i="8"/>
  <c r="AW419" i="8"/>
  <c r="H28" i="15"/>
  <c r="N28" i="15" s="1"/>
  <c r="AL399" i="8"/>
  <c r="AL52" i="8"/>
  <c r="AR329" i="8"/>
  <c r="AW329" i="8"/>
  <c r="AG530" i="8"/>
  <c r="AW478" i="8"/>
  <c r="AR478" i="8"/>
  <c r="AL290" i="8"/>
  <c r="AR91" i="8"/>
  <c r="AW91" i="8"/>
  <c r="AL68" i="8"/>
  <c r="AL434" i="8"/>
  <c r="AR397" i="8"/>
  <c r="AW397" i="8"/>
  <c r="AG410" i="8"/>
  <c r="AG353" i="8"/>
  <c r="AG297" i="8"/>
  <c r="AW276" i="8"/>
  <c r="AR276" i="8"/>
  <c r="AG329" i="8"/>
  <c r="AG228" i="8"/>
  <c r="AL511" i="8"/>
  <c r="AG498" i="8"/>
  <c r="AW500" i="8"/>
  <c r="AR500" i="8"/>
  <c r="AZ501" i="8"/>
  <c r="AG489" i="8"/>
  <c r="AR488" i="8"/>
  <c r="AW488" i="8"/>
  <c r="AL512" i="8"/>
  <c r="AG481" i="8"/>
  <c r="AL480" i="8"/>
  <c r="AR423" i="8"/>
  <c r="AW423" i="8"/>
  <c r="AZ398" i="8"/>
  <c r="AG384" i="8"/>
  <c r="AG504" i="8"/>
  <c r="AR410" i="8"/>
  <c r="AW410" i="8"/>
  <c r="AG385" i="8"/>
  <c r="AG359" i="8"/>
  <c r="AG322" i="8"/>
  <c r="AG349" i="8"/>
  <c r="AG355" i="8"/>
  <c r="AG460" i="8"/>
  <c r="AL351" i="8"/>
  <c r="AG431" i="8"/>
  <c r="AZ425" i="8"/>
  <c r="AG447" i="8"/>
  <c r="AL393" i="8"/>
  <c r="AW237" i="8"/>
  <c r="AR237" i="8"/>
  <c r="AW266" i="8"/>
  <c r="AR266" i="8"/>
  <c r="AG197" i="8"/>
  <c r="AG234" i="8"/>
  <c r="AW317" i="8"/>
  <c r="AR317" i="8"/>
  <c r="AG206" i="8"/>
  <c r="AZ332" i="8"/>
  <c r="AW291" i="8"/>
  <c r="AR291" i="8"/>
  <c r="AZ267" i="8"/>
  <c r="AL212" i="8"/>
  <c r="AL372" i="8"/>
  <c r="AG219" i="8"/>
  <c r="AL283" i="8"/>
  <c r="AG174" i="8"/>
  <c r="AZ292" i="8"/>
  <c r="AZ189" i="8"/>
  <c r="AL219" i="8"/>
  <c r="AG173" i="8"/>
  <c r="AG225" i="8"/>
  <c r="I21" i="15"/>
  <c r="AL210" i="8"/>
  <c r="AL149" i="8"/>
  <c r="AW213" i="8"/>
  <c r="AR213" i="8"/>
  <c r="AG87" i="8"/>
  <c r="AL368" i="8"/>
  <c r="AG244" i="8"/>
  <c r="AG68" i="8"/>
  <c r="AR90" i="8"/>
  <c r="AW90" i="8"/>
  <c r="AG37" i="8"/>
  <c r="AL237" i="8"/>
  <c r="AG164" i="8"/>
  <c r="AL82" i="8"/>
  <c r="AR33" i="8"/>
  <c r="AW33" i="8"/>
  <c r="AR146" i="8"/>
  <c r="AW146" i="8"/>
  <c r="AG89" i="8"/>
  <c r="AG335" i="8"/>
  <c r="AZ127" i="8"/>
  <c r="AZ97" i="8"/>
  <c r="AG34" i="8"/>
  <c r="AW153" i="8"/>
  <c r="AR153" i="8"/>
  <c r="AW39" i="8"/>
  <c r="AR39" i="8"/>
  <c r="AR122" i="8"/>
  <c r="AW122" i="8"/>
  <c r="AL125" i="8"/>
  <c r="AW262" i="8"/>
  <c r="AR262" i="8"/>
  <c r="AL331" i="8"/>
  <c r="AW268" i="8"/>
  <c r="AR268" i="8"/>
  <c r="AL236" i="8"/>
  <c r="AL371" i="8"/>
  <c r="AZ302" i="8"/>
  <c r="AL337" i="8"/>
  <c r="AZ356" i="8"/>
  <c r="AL429" i="8"/>
  <c r="AZ432" i="8"/>
  <c r="AL485" i="8"/>
  <c r="AW485" i="8"/>
  <c r="AR485" i="8"/>
  <c r="AR482" i="8"/>
  <c r="AW482" i="8"/>
  <c r="AZ512" i="8"/>
  <c r="AL492" i="8"/>
  <c r="AL499" i="8"/>
  <c r="S27" i="15"/>
  <c r="H8" i="15"/>
  <c r="N8" i="15" s="1"/>
  <c r="H22" i="15"/>
  <c r="N22" i="15" s="1"/>
  <c r="H16" i="15"/>
  <c r="AR81" i="8"/>
  <c r="AW81" i="8"/>
  <c r="AL48" i="8"/>
  <c r="AW14" i="8"/>
  <c r="AR14" i="8"/>
  <c r="AR105" i="8"/>
  <c r="AW105" i="8"/>
  <c r="AW21" i="8"/>
  <c r="AR21" i="8"/>
  <c r="AL15" i="8"/>
  <c r="AL18" i="8"/>
  <c r="AL160" i="8"/>
  <c r="AG16" i="8"/>
  <c r="AZ66" i="8"/>
  <c r="AZ47" i="8"/>
  <c r="AR23" i="8"/>
  <c r="AL240" i="8"/>
  <c r="AR137" i="8"/>
  <c r="AW137" i="8"/>
  <c r="AG90" i="8"/>
  <c r="AR28" i="8"/>
  <c r="AW28" i="8"/>
  <c r="AL293" i="8"/>
  <c r="AW486" i="8"/>
  <c r="AR486" i="8"/>
  <c r="AW466" i="8"/>
  <c r="AR466" i="8"/>
  <c r="S13" i="15"/>
  <c r="H20" i="15"/>
  <c r="N20" i="15" s="1"/>
  <c r="AL274" i="8"/>
  <c r="AL412" i="8"/>
  <c r="AG380" i="8"/>
  <c r="AL133" i="8"/>
  <c r="AR286" i="8"/>
  <c r="AW286" i="8"/>
  <c r="AW173" i="8"/>
  <c r="AR173" i="8"/>
  <c r="AW70" i="8"/>
  <c r="AR70" i="8"/>
  <c r="AR85" i="8"/>
  <c r="AW85" i="8"/>
  <c r="AW480" i="8"/>
  <c r="AR480" i="8"/>
  <c r="AR347" i="8"/>
  <c r="AW347" i="8"/>
  <c r="AL229" i="8"/>
  <c r="AG205" i="8"/>
  <c r="AR26" i="8"/>
  <c r="AW26" i="8"/>
  <c r="AG123" i="8"/>
  <c r="AG172" i="8"/>
  <c r="AL479" i="8"/>
  <c r="AW360" i="8"/>
  <c r="AR360" i="8"/>
  <c r="AG361" i="8"/>
  <c r="AW225" i="8"/>
  <c r="AR225" i="8"/>
  <c r="AL390" i="8"/>
  <c r="AG198" i="8"/>
  <c r="AR123" i="8"/>
  <c r="AW123" i="8"/>
  <c r="AW320" i="8"/>
  <c r="AR320" i="8"/>
  <c r="AZ482" i="8"/>
  <c r="AL17" i="8"/>
  <c r="AL327" i="8"/>
  <c r="AW333" i="8"/>
  <c r="AR333" i="8"/>
  <c r="AG95" i="8"/>
  <c r="AL352" i="8"/>
  <c r="AL61" i="8"/>
  <c r="AZ19" i="8"/>
  <c r="AG467" i="8"/>
  <c r="AR433" i="8"/>
  <c r="AW433" i="8"/>
  <c r="AL320" i="8"/>
  <c r="AL233" i="8"/>
  <c r="AL112" i="8"/>
  <c r="AL528" i="8"/>
  <c r="AL263" i="8"/>
  <c r="AW199" i="8"/>
  <c r="AR199" i="8"/>
  <c r="AL122" i="8"/>
  <c r="AL221" i="8"/>
  <c r="AZ168" i="8"/>
  <c r="AL203" i="8"/>
  <c r="AR136" i="8"/>
  <c r="AW136" i="8"/>
  <c r="AL495" i="8"/>
  <c r="AG418" i="8"/>
  <c r="AL332" i="8"/>
  <c r="AL333" i="8"/>
  <c r="AL239" i="8"/>
  <c r="AZ388" i="8"/>
  <c r="AL403" i="8"/>
  <c r="AG352" i="8"/>
  <c r="AL453" i="8"/>
  <c r="AG457" i="8"/>
  <c r="AG351" i="8"/>
  <c r="AL326" i="8"/>
  <c r="AG357" i="8"/>
  <c r="AG425" i="8"/>
  <c r="AG324" i="8"/>
  <c r="AG280" i="8"/>
  <c r="AR249" i="8"/>
  <c r="AW249" i="8"/>
  <c r="AZ331" i="8"/>
  <c r="AG212" i="8"/>
  <c r="AW185" i="8"/>
  <c r="AR185" i="8"/>
  <c r="AW150" i="8"/>
  <c r="AR150" i="8"/>
  <c r="AR165" i="8"/>
  <c r="AW165" i="8"/>
  <c r="AL208" i="8"/>
  <c r="AZ194" i="8"/>
  <c r="AW364" i="8"/>
  <c r="AR364" i="8"/>
  <c r="AG131" i="8"/>
  <c r="AG158" i="8"/>
  <c r="AG190" i="8"/>
  <c r="AG144" i="8"/>
  <c r="AW300" i="8"/>
  <c r="AR300" i="8"/>
  <c r="AL304" i="8"/>
  <c r="AL167" i="8"/>
  <c r="AG66" i="8"/>
  <c r="AL98" i="8"/>
  <c r="AW64" i="8"/>
  <c r="AR64" i="8"/>
  <c r="AL287" i="8"/>
  <c r="AG100" i="8"/>
  <c r="AG33" i="8"/>
  <c r="AG76" i="8"/>
  <c r="AL76" i="8"/>
  <c r="I31" i="15"/>
  <c r="AG140" i="8"/>
  <c r="AG110" i="8"/>
  <c r="AL146" i="8"/>
  <c r="I12" i="15"/>
  <c r="AL178" i="8"/>
  <c r="I25" i="15"/>
  <c r="AL257" i="8"/>
  <c r="AZ94" i="8"/>
  <c r="AR98" i="8"/>
  <c r="AW98" i="8"/>
  <c r="AZ225" i="8"/>
  <c r="AL147" i="8"/>
  <c r="AZ345" i="8"/>
  <c r="AW250" i="8"/>
  <c r="AR250" i="8"/>
  <c r="AL187" i="8"/>
  <c r="AL388" i="8"/>
  <c r="AZ324" i="8"/>
  <c r="AL359" i="8"/>
  <c r="AL284" i="8"/>
  <c r="AR414" i="8"/>
  <c r="AW414" i="8"/>
  <c r="AL400" i="8"/>
  <c r="AZ366" i="8"/>
  <c r="AR438" i="8"/>
  <c r="AW438" i="8"/>
  <c r="AR452" i="8"/>
  <c r="AW452" i="8"/>
  <c r="AL362" i="8"/>
  <c r="AL433" i="8"/>
  <c r="AW511" i="8"/>
  <c r="AR511" i="8"/>
  <c r="AL419" i="8"/>
  <c r="AL438" i="8"/>
  <c r="AL507" i="8"/>
  <c r="S30" i="15"/>
  <c r="H29" i="15"/>
  <c r="S8" i="15"/>
  <c r="AG215" i="8"/>
  <c r="AL267" i="8"/>
  <c r="AG105" i="8"/>
  <c r="AZ36" i="8"/>
  <c r="AL58" i="8"/>
  <c r="AL20" i="8"/>
  <c r="AL11" i="8"/>
  <c r="AL118" i="8"/>
  <c r="AL9" i="8"/>
  <c r="AW15" i="8"/>
  <c r="AR15" i="8"/>
  <c r="AL34" i="8"/>
  <c r="AR45" i="8"/>
  <c r="AW45" i="8"/>
  <c r="AL86" i="8"/>
  <c r="AW17" i="8"/>
  <c r="AR17" i="8"/>
  <c r="AG184" i="8"/>
  <c r="AG119" i="8"/>
  <c r="AZ53" i="8"/>
  <c r="AG341" i="8"/>
  <c r="AR345" i="8"/>
  <c r="AW345" i="8"/>
  <c r="AR346" i="8"/>
  <c r="AW346" i="8"/>
  <c r="AW236" i="8"/>
  <c r="AR236" i="8"/>
  <c r="AW212" i="8"/>
  <c r="AR212" i="8"/>
  <c r="AG135" i="8"/>
  <c r="AW282" i="8"/>
  <c r="AR282" i="8"/>
  <c r="AR109" i="8"/>
  <c r="AW109" i="8"/>
  <c r="AW69" i="8"/>
  <c r="AR69" i="8"/>
  <c r="AR126" i="8"/>
  <c r="AW126" i="8"/>
  <c r="AZ133" i="8"/>
  <c r="I15" i="15"/>
  <c r="AL39" i="8"/>
  <c r="AL487" i="8"/>
  <c r="AG511" i="8"/>
  <c r="AR443" i="8"/>
  <c r="AW443" i="8"/>
  <c r="AG303" i="8"/>
  <c r="AG439" i="8"/>
  <c r="AG295" i="8"/>
  <c r="AL164" i="8"/>
  <c r="AG52" i="8"/>
  <c r="AW270" i="8"/>
  <c r="AR270" i="8"/>
  <c r="AL437" i="8"/>
  <c r="AL231" i="8"/>
  <c r="AZ372" i="8"/>
  <c r="AR124" i="8"/>
  <c r="AW124" i="8"/>
  <c r="AL482" i="8"/>
  <c r="AR441" i="8"/>
  <c r="AW441" i="8"/>
  <c r="AW484" i="8"/>
  <c r="AR484" i="8"/>
  <c r="AZ496" i="8"/>
  <c r="AL343" i="8"/>
  <c r="AG463" i="8"/>
  <c r="AL46" i="8"/>
  <c r="AL375" i="8"/>
  <c r="AZ522" i="8"/>
  <c r="AW18" i="8"/>
  <c r="AR18" i="8"/>
  <c r="AG513" i="8"/>
  <c r="AL321" i="8"/>
  <c r="AG278" i="8"/>
  <c r="AR390" i="8"/>
  <c r="AW390" i="8"/>
  <c r="AR46" i="8"/>
  <c r="AW46" i="8"/>
  <c r="AG74" i="8"/>
  <c r="AR49" i="8"/>
  <c r="AW49" i="8"/>
  <c r="AR172" i="8"/>
  <c r="AW172" i="8"/>
  <c r="AL397" i="8"/>
  <c r="AG392" i="8"/>
  <c r="AL205" i="8"/>
  <c r="AG259" i="8"/>
  <c r="AR53" i="8"/>
  <c r="AW53" i="8"/>
  <c r="AR119" i="8"/>
  <c r="AW119" i="8"/>
  <c r="AW519" i="8"/>
  <c r="AR519" i="8"/>
  <c r="AZ378" i="8"/>
  <c r="AZ333" i="8"/>
  <c r="AG411" i="8"/>
  <c r="AW230" i="8"/>
  <c r="AR230" i="8"/>
  <c r="AW168" i="8"/>
  <c r="AR168" i="8"/>
  <c r="AR518" i="8"/>
  <c r="AW518" i="8"/>
  <c r="AG409" i="8"/>
  <c r="AG218" i="8"/>
  <c r="AZ193" i="8"/>
  <c r="AR510" i="8"/>
  <c r="AW510" i="8"/>
  <c r="AL500" i="8"/>
  <c r="AL440" i="8"/>
  <c r="AL504" i="8"/>
  <c r="AL330" i="8"/>
  <c r="AZ358" i="8"/>
  <c r="AR316" i="8"/>
  <c r="AW316" i="8"/>
  <c r="AL339" i="8"/>
  <c r="AL439" i="8"/>
  <c r="AL409" i="8"/>
  <c r="AG393" i="8"/>
  <c r="AR319" i="8"/>
  <c r="AW319" i="8"/>
  <c r="AR386" i="8"/>
  <c r="AW386" i="8"/>
  <c r="AR314" i="8"/>
  <c r="AW314" i="8"/>
  <c r="AW238" i="8"/>
  <c r="AR238" i="8"/>
  <c r="AL529" i="8"/>
  <c r="AZ505" i="8"/>
  <c r="AR494" i="8"/>
  <c r="AW494" i="8"/>
  <c r="AL472" i="8"/>
  <c r="AW501" i="8"/>
  <c r="AR501" i="8"/>
  <c r="AG488" i="8"/>
  <c r="AG482" i="8"/>
  <c r="AL432" i="8"/>
  <c r="AZ455" i="8"/>
  <c r="AZ434" i="8"/>
  <c r="AG381" i="8"/>
  <c r="AG340" i="8"/>
  <c r="AG495" i="8"/>
  <c r="AL345" i="8"/>
  <c r="AG358" i="8"/>
  <c r="AR380" i="8"/>
  <c r="AW380" i="8"/>
  <c r="AR334" i="8"/>
  <c r="AW334" i="8"/>
  <c r="AZ430" i="8"/>
  <c r="AG406" i="8"/>
  <c r="AZ339" i="8"/>
  <c r="AG326" i="8"/>
  <c r="AW337" i="8"/>
  <c r="AR337" i="8"/>
  <c r="AL447" i="8"/>
  <c r="AG283" i="8"/>
  <c r="AL386" i="8"/>
  <c r="AW295" i="8"/>
  <c r="AR295" i="8"/>
  <c r="AG331" i="8"/>
  <c r="AG354" i="8"/>
  <c r="AR391" i="8"/>
  <c r="AW391" i="8"/>
  <c r="AL241" i="8"/>
  <c r="I23" i="15"/>
  <c r="AG417" i="8"/>
  <c r="AR203" i="8"/>
  <c r="AW203" i="8"/>
  <c r="AZ250" i="8"/>
  <c r="AG267" i="8"/>
  <c r="AZ169" i="8"/>
  <c r="AR372" i="8"/>
  <c r="AW372" i="8"/>
  <c r="AG194" i="8"/>
  <c r="AL256" i="8"/>
  <c r="AR151" i="8"/>
  <c r="AW151" i="8"/>
  <c r="AG292" i="8"/>
  <c r="AW169" i="8"/>
  <c r="AR169" i="8"/>
  <c r="AG171" i="8"/>
  <c r="AG239" i="8"/>
  <c r="AZ173" i="8"/>
  <c r="AZ87" i="8"/>
  <c r="AG83" i="8"/>
  <c r="AG186" i="8"/>
  <c r="AZ242" i="8"/>
  <c r="AG199" i="8"/>
  <c r="AG294" i="8"/>
  <c r="AG77" i="8"/>
  <c r="AZ214" i="8"/>
  <c r="AR368" i="8"/>
  <c r="AW368" i="8"/>
  <c r="AZ244" i="8"/>
  <c r="AW216" i="8"/>
  <c r="AR216" i="8"/>
  <c r="AL141" i="8"/>
  <c r="AG62" i="8"/>
  <c r="AG290" i="8"/>
  <c r="AR192" i="8"/>
  <c r="AW192" i="8"/>
  <c r="AG25" i="8"/>
  <c r="AL108" i="8"/>
  <c r="AG177" i="8"/>
  <c r="AZ117" i="8"/>
  <c r="AG28" i="8"/>
  <c r="AG146" i="8"/>
  <c r="AG106" i="8"/>
  <c r="AR181" i="8"/>
  <c r="AW181" i="8"/>
  <c r="AL282" i="8"/>
  <c r="AL56" i="8"/>
  <c r="AL264" i="8"/>
  <c r="AZ151" i="8"/>
  <c r="AL95" i="8"/>
  <c r="AR77" i="8"/>
  <c r="AW77" i="8"/>
  <c r="AL31" i="8"/>
  <c r="AL73" i="8"/>
  <c r="AL313" i="8"/>
  <c r="AL174" i="8"/>
  <c r="AR274" i="8"/>
  <c r="AW274" i="8"/>
  <c r="AL230" i="8"/>
  <c r="AZ272" i="8"/>
  <c r="AW251" i="8"/>
  <c r="AR251" i="8"/>
  <c r="AL424" i="8"/>
  <c r="AL266" i="8"/>
  <c r="AW271" i="8"/>
  <c r="AR271" i="8"/>
  <c r="AZ285" i="8"/>
  <c r="AZ255" i="8"/>
  <c r="AZ424" i="8"/>
  <c r="AW285" i="8"/>
  <c r="AR285" i="8"/>
  <c r="AL298" i="8"/>
  <c r="AW401" i="8"/>
  <c r="AR401" i="8"/>
  <c r="AW402" i="8"/>
  <c r="AR402" i="8"/>
  <c r="AR378" i="8"/>
  <c r="AW378" i="8"/>
  <c r="AZ449" i="8"/>
  <c r="AZ422" i="8"/>
  <c r="AZ441" i="8"/>
  <c r="AW461" i="8"/>
  <c r="AR461" i="8"/>
  <c r="AW497" i="8"/>
  <c r="AR497" i="8"/>
  <c r="S6" i="15"/>
  <c r="S11" i="15"/>
  <c r="H24" i="15"/>
  <c r="N24" i="15" s="1"/>
  <c r="S32" i="15"/>
  <c r="AL243" i="8"/>
  <c r="AZ76" i="8"/>
  <c r="AW44" i="8"/>
  <c r="AR44" i="8"/>
  <c r="AW25" i="8"/>
  <c r="AR25" i="8"/>
  <c r="AG15" i="8"/>
  <c r="AL29" i="8"/>
  <c r="AL33" i="8"/>
  <c r="AG45" i="8"/>
  <c r="AL60" i="8"/>
  <c r="AG81" i="8"/>
  <c r="AW74" i="8"/>
  <c r="AR74" i="8"/>
  <c r="AG18" i="8"/>
  <c r="AL260" i="8"/>
  <c r="AG189" i="8"/>
  <c r="AL218" i="8"/>
  <c r="AW323" i="8"/>
  <c r="AR323" i="8"/>
  <c r="AL106" i="8"/>
  <c r="AR336" i="8"/>
  <c r="AW336" i="8"/>
  <c r="AR343" i="8"/>
  <c r="AW343" i="8"/>
  <c r="AL306" i="8"/>
  <c r="AL355" i="8"/>
  <c r="I33" i="15"/>
  <c r="AL463" i="8"/>
  <c r="AG350" i="8"/>
  <c r="AL211" i="8"/>
  <c r="AR420" i="8"/>
  <c r="AW420" i="8"/>
  <c r="AZ293" i="8"/>
  <c r="AR437" i="8"/>
  <c r="AW437" i="8"/>
  <c r="AR436" i="8"/>
  <c r="AW436" i="8"/>
  <c r="S7" i="15"/>
  <c r="AL139" i="8"/>
  <c r="AG458" i="8"/>
  <c r="AG318" i="8"/>
  <c r="AL124" i="8"/>
  <c r="AL389" i="8"/>
  <c r="AG126" i="8"/>
  <c r="AZ404" i="8"/>
  <c r="AL251" i="8"/>
  <c r="AW231" i="8"/>
  <c r="AR231" i="8"/>
  <c r="AG53" i="8"/>
  <c r="I7" i="15"/>
  <c r="AL102" i="8"/>
  <c r="AL414" i="8"/>
  <c r="AZ23" i="8"/>
  <c r="AL417" i="8"/>
  <c r="AG309" i="8"/>
  <c r="AL186" i="8"/>
  <c r="AZ223" i="8"/>
  <c r="AR254" i="8"/>
  <c r="AW254" i="8"/>
  <c r="AL522" i="8"/>
  <c r="AL89" i="8"/>
  <c r="AR450" i="8"/>
  <c r="AW450" i="8"/>
  <c r="AL25" i="8"/>
  <c r="I11" i="15"/>
  <c r="AL394" i="8"/>
  <c r="AG369" i="8"/>
  <c r="AZ325" i="8"/>
  <c r="AG421" i="8"/>
  <c r="AG408" i="8"/>
  <c r="AR354" i="8"/>
  <c r="AW354" i="8"/>
  <c r="AL222" i="8"/>
  <c r="AZ134" i="8"/>
  <c r="AL93" i="8"/>
  <c r="AL382" i="8"/>
  <c r="AR171" i="8"/>
  <c r="AW171" i="8"/>
  <c r="AG374" i="8"/>
  <c r="AR399" i="8"/>
  <c r="AW399" i="8"/>
  <c r="AL286" i="8"/>
  <c r="AW387" i="8"/>
  <c r="AR387" i="8"/>
  <c r="AW517" i="8"/>
  <c r="AR517" i="8"/>
  <c r="AZ529" i="8"/>
  <c r="AL516" i="8"/>
  <c r="AL468" i="8"/>
  <c r="AG497" i="8"/>
  <c r="AG500" i="8"/>
  <c r="AG491" i="8"/>
  <c r="AG512" i="8"/>
  <c r="AL422" i="8"/>
  <c r="AL443" i="8"/>
  <c r="AZ427" i="8"/>
  <c r="AL446" i="8"/>
  <c r="AZ457" i="8"/>
  <c r="AG437" i="8"/>
  <c r="AL377" i="8"/>
  <c r="AR440" i="8"/>
  <c r="AW440" i="8"/>
  <c r="AR389" i="8"/>
  <c r="AW389" i="8"/>
  <c r="AG403" i="8"/>
  <c r="AL407" i="8"/>
  <c r="AL460" i="8"/>
  <c r="AZ400" i="8"/>
  <c r="AL316" i="8"/>
  <c r="AZ380" i="8"/>
  <c r="AG412" i="8"/>
  <c r="AW403" i="8"/>
  <c r="AR403" i="8"/>
  <c r="AL425" i="8"/>
  <c r="AL308" i="8"/>
  <c r="AG454" i="8"/>
  <c r="AZ315" i="8"/>
  <c r="AL348" i="8"/>
  <c r="AR233" i="8"/>
  <c r="AW233" i="8"/>
  <c r="AG336" i="8"/>
  <c r="AZ275" i="8"/>
  <c r="AZ266" i="8"/>
  <c r="AW197" i="8"/>
  <c r="AR197" i="8"/>
  <c r="AG195" i="8"/>
  <c r="AG332" i="8"/>
  <c r="AW206" i="8"/>
  <c r="AR206" i="8"/>
  <c r="AZ253" i="8"/>
  <c r="AG254" i="8"/>
  <c r="AZ456" i="8"/>
  <c r="AG191" i="8"/>
  <c r="AG260" i="8"/>
  <c r="AW189" i="8"/>
  <c r="AR189" i="8"/>
  <c r="AW219" i="8"/>
  <c r="AR219" i="8"/>
  <c r="AL364" i="8"/>
  <c r="AG124" i="8"/>
  <c r="AL173" i="8"/>
  <c r="AZ281" i="8"/>
  <c r="AW210" i="8"/>
  <c r="AR210" i="8"/>
  <c r="AW149" i="8"/>
  <c r="AR149" i="8"/>
  <c r="AL204" i="8"/>
  <c r="AG60" i="8"/>
  <c r="AG287" i="8"/>
  <c r="AL126" i="8"/>
  <c r="AG58" i="8"/>
  <c r="AG32" i="8"/>
  <c r="AL123" i="8"/>
  <c r="AW222" i="8"/>
  <c r="AR222" i="8"/>
  <c r="AG231" i="8"/>
  <c r="AG115" i="8"/>
  <c r="AZ172" i="8"/>
  <c r="AL69" i="8"/>
  <c r="AZ68" i="8"/>
  <c r="AW272" i="8"/>
  <c r="AR272" i="8"/>
  <c r="AR112" i="8"/>
  <c r="AW112" i="8"/>
  <c r="AL269" i="8"/>
  <c r="AZ100" i="8"/>
  <c r="AR58" i="8"/>
  <c r="AW58" i="8"/>
  <c r="AL110" i="8"/>
  <c r="AL83" i="8"/>
  <c r="AL315" i="8"/>
  <c r="AR413" i="8"/>
  <c r="AW413" i="8"/>
  <c r="AZ291" i="8"/>
  <c r="AZ279" i="8"/>
  <c r="AL280" i="8"/>
  <c r="AW279" i="8"/>
  <c r="AR279" i="8"/>
  <c r="AL258" i="8"/>
  <c r="AW258" i="8"/>
  <c r="AR258" i="8"/>
  <c r="AW298" i="8"/>
  <c r="AR298" i="8"/>
  <c r="AL325" i="8"/>
  <c r="AR330" i="8"/>
  <c r="AW330" i="8"/>
  <c r="AR429" i="8"/>
  <c r="AW429" i="8"/>
  <c r="AR427" i="8"/>
  <c r="AW427" i="8"/>
  <c r="AZ462" i="8"/>
  <c r="AZ394" i="8"/>
  <c r="AL405" i="8"/>
  <c r="AR451" i="8"/>
  <c r="AW451" i="8"/>
  <c r="AZ498" i="8"/>
  <c r="H21" i="15"/>
  <c r="N21" i="15" s="1"/>
  <c r="S14" i="15"/>
  <c r="S19" i="15"/>
  <c r="H13" i="15"/>
  <c r="N13" i="15" s="1"/>
  <c r="H32" i="15"/>
  <c r="AZ42" i="8"/>
  <c r="AZ156" i="8"/>
  <c r="AG147" i="8"/>
  <c r="AW61" i="8"/>
  <c r="AR61" i="8"/>
  <c r="AL80" i="8"/>
  <c r="AR130" i="8"/>
  <c r="AW130" i="8"/>
  <c r="AW11" i="8"/>
  <c r="AR11" i="8"/>
  <c r="AW52" i="8"/>
  <c r="AR52" i="8"/>
  <c r="AR30" i="8"/>
  <c r="AW30" i="8"/>
  <c r="AR57" i="8"/>
  <c r="AW57" i="8"/>
  <c r="BA544" i="8" l="1"/>
  <c r="BA536" i="8"/>
  <c r="BA533" i="8"/>
  <c r="AS534" i="8"/>
  <c r="AT534" i="8"/>
  <c r="AU534" i="8"/>
  <c r="AS544" i="8"/>
  <c r="AS538" i="8"/>
  <c r="AS535" i="8"/>
  <c r="AS537" i="8"/>
  <c r="BA542" i="8"/>
  <c r="BA537" i="8"/>
  <c r="AS539" i="8"/>
  <c r="AS540" i="8"/>
  <c r="AS543" i="8"/>
  <c r="BA540" i="8"/>
  <c r="AS536" i="8"/>
  <c r="BA543" i="8"/>
  <c r="AS541" i="8"/>
  <c r="BA541" i="8"/>
  <c r="AS542" i="8"/>
  <c r="BA535" i="8"/>
  <c r="BA539" i="8"/>
  <c r="AS533" i="8"/>
  <c r="BA538" i="8"/>
  <c r="BA534" i="8"/>
  <c r="BA156" i="8"/>
  <c r="BA525" i="8"/>
  <c r="AS429" i="8"/>
  <c r="AU429" i="8" s="1"/>
  <c r="BA46" i="8"/>
  <c r="BA18" i="8"/>
  <c r="BA436" i="8"/>
  <c r="AS168" i="8"/>
  <c r="BA348" i="8"/>
  <c r="BA64" i="8"/>
  <c r="BA320" i="8"/>
  <c r="BA447" i="8"/>
  <c r="AS217" i="8"/>
  <c r="AS221" i="8"/>
  <c r="AS47" i="8"/>
  <c r="BA441" i="8"/>
  <c r="AS525" i="8"/>
  <c r="BA151" i="8"/>
  <c r="BA292" i="8"/>
  <c r="AS292" i="8"/>
  <c r="BA317" i="8"/>
  <c r="BA167" i="8"/>
  <c r="AS350" i="8"/>
  <c r="BA43" i="8"/>
  <c r="BA83" i="8"/>
  <c r="AS241" i="8"/>
  <c r="AS520" i="8"/>
  <c r="AS278" i="8"/>
  <c r="BA8" i="8"/>
  <c r="AS43" i="8"/>
  <c r="BA88" i="8"/>
  <c r="AS515" i="8"/>
  <c r="BA491" i="8"/>
  <c r="BA249" i="8"/>
  <c r="AS353" i="8"/>
  <c r="AS57" i="8"/>
  <c r="AS440" i="8"/>
  <c r="AS402" i="8"/>
  <c r="AS126" i="8"/>
  <c r="AS199" i="8"/>
  <c r="BA33" i="8"/>
  <c r="BA335" i="8"/>
  <c r="AS361" i="8"/>
  <c r="AS281" i="8"/>
  <c r="AS86" i="8"/>
  <c r="BA74" i="8"/>
  <c r="BA92" i="8"/>
  <c r="BA100" i="8"/>
  <c r="AS517" i="8"/>
  <c r="AS437" i="8"/>
  <c r="AS401" i="8"/>
  <c r="BA244" i="8"/>
  <c r="BA434" i="8"/>
  <c r="AS386" i="8"/>
  <c r="AS519" i="8"/>
  <c r="BA183" i="8"/>
  <c r="AS17" i="8"/>
  <c r="BA36" i="8"/>
  <c r="BA96" i="8"/>
  <c r="BA477" i="8"/>
  <c r="AS243" i="8"/>
  <c r="BA271" i="8"/>
  <c r="BA418" i="8"/>
  <c r="AS305" i="8"/>
  <c r="BA143" i="8"/>
  <c r="BA221" i="8"/>
  <c r="AS96" i="8"/>
  <c r="AS66" i="8"/>
  <c r="BA139" i="8"/>
  <c r="BA368" i="8"/>
  <c r="BA108" i="8"/>
  <c r="BA217" i="8"/>
  <c r="BA41" i="8"/>
  <c r="BA487" i="8"/>
  <c r="BA135" i="8"/>
  <c r="BA475" i="8"/>
  <c r="BA485" i="8"/>
  <c r="BA159" i="8"/>
  <c r="AS522" i="8"/>
  <c r="BA232" i="8"/>
  <c r="BA417" i="8"/>
  <c r="AS72" i="8"/>
  <c r="BA186" i="8"/>
  <c r="AS357" i="8"/>
  <c r="AS247" i="8"/>
  <c r="AS103" i="8"/>
  <c r="AS473" i="8"/>
  <c r="BA470" i="8"/>
  <c r="BA164" i="8"/>
  <c r="AS94" i="8"/>
  <c r="AS147" i="8"/>
  <c r="BA376" i="8"/>
  <c r="BA369" i="8"/>
  <c r="BA99" i="8"/>
  <c r="AS352" i="8"/>
  <c r="AS95" i="8"/>
  <c r="AS464" i="8"/>
  <c r="BA45" i="8"/>
  <c r="BA382" i="8"/>
  <c r="AS116" i="8"/>
  <c r="BA519" i="8"/>
  <c r="BA208" i="8"/>
  <c r="AS232" i="8"/>
  <c r="AS323" i="8"/>
  <c r="AS169" i="8"/>
  <c r="BA443" i="8"/>
  <c r="AS454" i="8"/>
  <c r="AS255" i="8"/>
  <c r="BA308" i="8"/>
  <c r="BA489" i="8"/>
  <c r="BA73" i="8"/>
  <c r="AS122" i="8"/>
  <c r="AS362" i="8"/>
  <c r="AS472" i="8"/>
  <c r="AS260" i="8"/>
  <c r="BA479" i="8"/>
  <c r="AS81" i="8"/>
  <c r="AS481" i="8"/>
  <c r="AS462" i="8"/>
  <c r="I8" i="15"/>
  <c r="I10" i="15"/>
  <c r="BA265" i="8"/>
  <c r="AS131" i="8"/>
  <c r="AS13" i="8"/>
  <c r="BA334" i="8"/>
  <c r="BA480" i="8"/>
  <c r="AS31" i="8"/>
  <c r="AS405" i="8"/>
  <c r="BA257" i="8"/>
  <c r="AS446" i="8"/>
  <c r="AS249" i="8"/>
  <c r="AS225" i="8"/>
  <c r="BA472" i="8"/>
  <c r="BA131" i="8"/>
  <c r="BA104" i="8"/>
  <c r="BA121" i="8"/>
  <c r="AS30" i="8"/>
  <c r="BA171" i="8"/>
  <c r="AS52" i="8"/>
  <c r="BA498" i="8"/>
  <c r="BA456" i="8"/>
  <c r="AS354" i="8"/>
  <c r="BA404" i="8"/>
  <c r="BA353" i="8"/>
  <c r="AS274" i="8"/>
  <c r="BA455" i="8"/>
  <c r="AS49" i="8"/>
  <c r="BA84" i="8"/>
  <c r="BA152" i="8"/>
  <c r="BA531" i="8"/>
  <c r="BA81" i="8"/>
  <c r="BA425" i="8"/>
  <c r="AS370" i="8"/>
  <c r="AS340" i="8"/>
  <c r="AS177" i="8"/>
  <c r="BA262" i="8"/>
  <c r="AS505" i="8"/>
  <c r="BA31" i="8"/>
  <c r="BA56" i="8"/>
  <c r="AS310" i="8"/>
  <c r="BA146" i="8"/>
  <c r="BA481" i="8"/>
  <c r="BA495" i="8"/>
  <c r="BA25" i="8"/>
  <c r="BA355" i="8"/>
  <c r="AS63" i="8"/>
  <c r="AS141" i="8"/>
  <c r="AS398" i="8"/>
  <c r="AS166" i="8"/>
  <c r="AS349" i="8"/>
  <c r="AS190" i="8"/>
  <c r="BA166" i="8"/>
  <c r="AS152" i="8"/>
  <c r="BA21" i="8"/>
  <c r="BA58" i="8"/>
  <c r="BA55" i="8"/>
  <c r="AS191" i="8"/>
  <c r="BA12" i="8"/>
  <c r="BA14" i="8"/>
  <c r="BA150" i="8"/>
  <c r="AS107" i="8"/>
  <c r="AS156" i="8"/>
  <c r="AS531" i="8"/>
  <c r="BA513" i="8"/>
  <c r="BA372" i="8"/>
  <c r="BA460" i="8"/>
  <c r="BA497" i="8"/>
  <c r="AS205" i="8"/>
  <c r="AS196" i="8"/>
  <c r="AS414" i="8"/>
  <c r="AS528" i="8"/>
  <c r="BA168" i="8"/>
  <c r="BA503" i="8"/>
  <c r="AS37" i="8"/>
  <c r="BA429" i="8"/>
  <c r="AS233" i="8"/>
  <c r="AS185" i="8"/>
  <c r="AS123" i="8"/>
  <c r="AS284" i="8"/>
  <c r="BA344" i="8"/>
  <c r="BA22" i="8"/>
  <c r="AS44" i="8"/>
  <c r="AS235" i="8"/>
  <c r="AS415" i="8"/>
  <c r="AS132" i="8"/>
  <c r="BA63" i="8"/>
  <c r="BA324" i="8"/>
  <c r="AS347" i="8"/>
  <c r="AS90" i="8"/>
  <c r="BA386" i="8"/>
  <c r="AS155" i="8"/>
  <c r="BA215" i="8"/>
  <c r="AS6" i="8"/>
  <c r="BA39" i="8"/>
  <c r="BA365" i="8"/>
  <c r="BA201" i="8"/>
  <c r="AS436" i="8"/>
  <c r="AS176" i="8"/>
  <c r="AS351" i="8"/>
  <c r="BA29" i="8"/>
  <c r="BA259" i="8"/>
  <c r="BA165" i="8"/>
  <c r="AS172" i="8"/>
  <c r="AS69" i="8"/>
  <c r="AS300" i="8"/>
  <c r="AS508" i="8"/>
  <c r="BA412" i="8"/>
  <c r="BA176" i="8"/>
  <c r="BA235" i="8"/>
  <c r="AS376" i="8"/>
  <c r="BA510" i="8"/>
  <c r="AS142" i="8"/>
  <c r="BA113" i="8"/>
  <c r="AS148" i="8"/>
  <c r="AS111" i="8"/>
  <c r="AS11" i="8"/>
  <c r="AS451" i="8"/>
  <c r="AS279" i="8"/>
  <c r="BA253" i="8"/>
  <c r="AS403" i="8"/>
  <c r="BA457" i="8"/>
  <c r="AS387" i="8"/>
  <c r="BA223" i="8"/>
  <c r="BA254" i="8"/>
  <c r="BA295" i="8"/>
  <c r="AS74" i="8"/>
  <c r="BA214" i="8"/>
  <c r="AS372" i="8"/>
  <c r="AS510" i="8"/>
  <c r="AS119" i="8"/>
  <c r="AS484" i="8"/>
  <c r="AS282" i="8"/>
  <c r="BA463" i="8"/>
  <c r="BA127" i="8"/>
  <c r="AS213" i="8"/>
  <c r="BA267" i="8"/>
  <c r="AS397" i="8"/>
  <c r="BA435" i="8"/>
  <c r="BA207" i="8"/>
  <c r="AS417" i="8"/>
  <c r="BA137" i="8"/>
  <c r="BA95" i="8"/>
  <c r="AS170" i="8"/>
  <c r="BA381" i="8"/>
  <c r="AS75" i="8"/>
  <c r="BA310" i="8"/>
  <c r="AS527" i="8"/>
  <c r="BA383" i="8"/>
  <c r="AS114" i="8"/>
  <c r="AS267" i="8"/>
  <c r="AS447" i="8"/>
  <c r="AS228" i="8"/>
  <c r="BA371" i="8"/>
  <c r="BA103" i="8"/>
  <c r="BA287" i="8"/>
  <c r="AS411" i="8"/>
  <c r="AS51" i="8"/>
  <c r="BA236" i="8"/>
  <c r="BA399" i="8"/>
  <c r="BA396" i="8"/>
  <c r="AS182" i="8"/>
  <c r="AS134" i="8"/>
  <c r="BA136" i="8"/>
  <c r="BA9" i="8"/>
  <c r="AS257" i="8"/>
  <c r="BA17" i="8"/>
  <c r="AS526" i="8"/>
  <c r="BA270" i="8"/>
  <c r="AS56" i="8"/>
  <c r="BA304" i="8"/>
  <c r="AS240" i="8"/>
  <c r="BA444" i="8"/>
  <c r="AS32" i="8"/>
  <c r="BA59" i="8"/>
  <c r="AS521" i="8"/>
  <c r="BA52" i="8"/>
  <c r="BA27" i="8"/>
  <c r="AS487" i="8"/>
  <c r="AS18" i="8"/>
  <c r="AS410" i="8"/>
  <c r="AS234" i="8"/>
  <c r="AS252" i="8"/>
  <c r="AS312" i="8"/>
  <c r="AS468" i="8"/>
  <c r="BA93" i="8"/>
  <c r="BA284" i="8"/>
  <c r="AS246" i="8"/>
  <c r="AS409" i="8"/>
  <c r="AS161" i="8"/>
  <c r="AS490" i="8"/>
  <c r="AS238" i="8"/>
  <c r="AS345" i="8"/>
  <c r="BA251" i="8"/>
  <c r="BA338" i="8"/>
  <c r="AS327" i="8"/>
  <c r="AS62" i="8"/>
  <c r="AS110" i="8"/>
  <c r="AS23" i="8"/>
  <c r="BA109" i="8"/>
  <c r="AS303" i="8"/>
  <c r="AS187" i="8"/>
  <c r="BA181" i="8"/>
  <c r="BA333" i="8"/>
  <c r="AS507" i="8"/>
  <c r="AS183" i="8"/>
  <c r="BA185" i="8"/>
  <c r="AS79" i="8"/>
  <c r="BA191" i="8"/>
  <c r="AS529" i="8"/>
  <c r="BA274" i="8"/>
  <c r="BA115" i="8"/>
  <c r="AS423" i="8"/>
  <c r="AS315" i="8"/>
  <c r="BA437" i="8"/>
  <c r="BA518" i="8"/>
  <c r="BA77" i="8"/>
  <c r="BA49" i="8"/>
  <c r="AS321" i="8"/>
  <c r="BA529" i="8"/>
  <c r="BA102" i="8"/>
  <c r="BA30" i="8"/>
  <c r="AS455" i="8"/>
  <c r="BA299" i="8"/>
  <c r="AS229" i="8"/>
  <c r="AS367" i="8"/>
  <c r="AS491" i="8"/>
  <c r="BA454" i="8"/>
  <c r="BA312" i="8"/>
  <c r="AS452" i="8"/>
  <c r="BA307" i="8"/>
  <c r="AS85" i="8"/>
  <c r="AS486" i="8"/>
  <c r="BA209" i="8"/>
  <c r="AS268" i="8"/>
  <c r="AS291" i="8"/>
  <c r="BA256" i="8"/>
  <c r="AS471" i="8"/>
  <c r="AS167" i="8"/>
  <c r="AS506" i="8"/>
  <c r="BA414" i="8"/>
  <c r="AS50" i="8"/>
  <c r="BA107" i="8"/>
  <c r="AS128" i="8"/>
  <c r="BA126" i="8"/>
  <c r="AS22" i="8"/>
  <c r="AS524" i="8"/>
  <c r="AS444" i="8"/>
  <c r="AS331" i="8"/>
  <c r="BA511" i="8"/>
  <c r="BA438" i="8"/>
  <c r="AS324" i="8"/>
  <c r="AS498" i="8"/>
  <c r="AS138" i="8"/>
  <c r="AS227" i="8"/>
  <c r="AS428" i="8"/>
  <c r="AS174" i="8"/>
  <c r="AS242" i="8"/>
  <c r="BA318" i="8"/>
  <c r="BA484" i="8"/>
  <c r="BA161" i="8"/>
  <c r="BA349" i="8"/>
  <c r="BA389" i="8"/>
  <c r="AS164" i="8"/>
  <c r="BA233" i="8"/>
  <c r="BA13" i="8"/>
  <c r="AS137" i="8"/>
  <c r="BA128" i="8"/>
  <c r="BA206" i="8"/>
  <c r="BA42" i="8"/>
  <c r="AS346" i="8"/>
  <c r="BA300" i="8"/>
  <c r="BA269" i="8"/>
  <c r="AS453" i="8"/>
  <c r="BA401" i="8"/>
  <c r="BA451" i="8"/>
  <c r="BA341" i="8"/>
  <c r="BA403" i="8"/>
  <c r="AS504" i="8"/>
  <c r="AS434" i="8"/>
  <c r="AS389" i="8"/>
  <c r="BA133" i="8"/>
  <c r="AS84" i="8"/>
  <c r="AS329" i="8"/>
  <c r="AS287" i="8"/>
  <c r="AS108" i="8"/>
  <c r="AS153" i="8"/>
  <c r="AS76" i="8"/>
  <c r="BA119" i="8"/>
  <c r="AS492" i="8"/>
  <c r="BA219" i="8"/>
  <c r="BA114" i="8"/>
  <c r="AS92" i="8"/>
  <c r="BA50" i="8"/>
  <c r="AS35" i="8"/>
  <c r="BA392" i="8"/>
  <c r="BA488" i="8"/>
  <c r="BA486" i="8"/>
  <c r="AS360" i="8"/>
  <c r="AS466" i="8"/>
  <c r="BA97" i="8"/>
  <c r="BA445" i="8"/>
  <c r="AS214" i="8"/>
  <c r="AS470" i="8"/>
  <c r="AS224" i="8"/>
  <c r="BA6" i="8"/>
  <c r="AS143" i="8"/>
  <c r="BA157" i="8"/>
  <c r="AS188" i="8"/>
  <c r="AS112" i="8"/>
  <c r="AS420" i="8"/>
  <c r="BA370" i="8"/>
  <c r="AS285" i="8"/>
  <c r="BA193" i="8"/>
  <c r="AS53" i="8"/>
  <c r="BA90" i="8"/>
  <c r="AS45" i="8"/>
  <c r="BA345" i="8"/>
  <c r="AS364" i="8"/>
  <c r="BA517" i="8"/>
  <c r="AS70" i="8"/>
  <c r="AS488" i="8"/>
  <c r="BA458" i="8"/>
  <c r="AS253" i="8"/>
  <c r="AS309" i="8"/>
  <c r="BA7" i="8"/>
  <c r="AS335" i="8"/>
  <c r="BA141" i="8"/>
  <c r="AS159" i="8"/>
  <c r="AS248" i="8"/>
  <c r="BA195" i="8"/>
  <c r="AS68" i="8"/>
  <c r="AS154" i="8"/>
  <c r="BA439" i="8"/>
  <c r="BA218" i="8"/>
  <c r="AS435" i="8"/>
  <c r="AS204" i="8"/>
  <c r="AS121" i="8"/>
  <c r="BA192" i="8"/>
  <c r="BA278" i="8"/>
  <c r="BA393" i="8"/>
  <c r="AS311" i="8"/>
  <c r="AS379" i="8"/>
  <c r="AS313" i="8"/>
  <c r="AS495" i="8"/>
  <c r="AS223" i="8"/>
  <c r="BA440" i="8"/>
  <c r="AS29" i="8"/>
  <c r="AS439" i="8"/>
  <c r="AS457" i="8"/>
  <c r="AS186" i="8"/>
  <c r="BA286" i="8"/>
  <c r="AS476" i="8"/>
  <c r="BA147" i="8"/>
  <c r="BA377" i="8"/>
  <c r="BA426" i="8"/>
  <c r="AS404" i="8"/>
  <c r="N16" i="15"/>
  <c r="AS503" i="8"/>
  <c r="AS478" i="8"/>
  <c r="BA301" i="8"/>
  <c r="BA196" i="8"/>
  <c r="AS371" i="8"/>
  <c r="BA296" i="8"/>
  <c r="AS382" i="8"/>
  <c r="AS36" i="8"/>
  <c r="BA205" i="8"/>
  <c r="BA384" i="8"/>
  <c r="BA111" i="8"/>
  <c r="BA422" i="8"/>
  <c r="BA522" i="8"/>
  <c r="AS523" i="8"/>
  <c r="AS499" i="8"/>
  <c r="BA442" i="8"/>
  <c r="BA506" i="8"/>
  <c r="AS193" i="8"/>
  <c r="AS163" i="8"/>
  <c r="BA231" i="8"/>
  <c r="AS355" i="8"/>
  <c r="AS83" i="8"/>
  <c r="BA130" i="8"/>
  <c r="BA184" i="8"/>
  <c r="BA197" i="8"/>
  <c r="BA124" i="8"/>
  <c r="BA343" i="8"/>
  <c r="BA69" i="8"/>
  <c r="AS359" i="8"/>
  <c r="AS93" i="8"/>
  <c r="AS283" i="8"/>
  <c r="AS493" i="8"/>
  <c r="AS301" i="8"/>
  <c r="AS40" i="8"/>
  <c r="BA170" i="8"/>
  <c r="AS458" i="8"/>
  <c r="AS189" i="8"/>
  <c r="AS231" i="8"/>
  <c r="BA272" i="8"/>
  <c r="BA53" i="8"/>
  <c r="AS338" i="8"/>
  <c r="BA125" i="8"/>
  <c r="AS480" i="8"/>
  <c r="AS421" i="8"/>
  <c r="AS431" i="8"/>
  <c r="AS258" i="8"/>
  <c r="BA492" i="8"/>
  <c r="BA302" i="8"/>
  <c r="BA411" i="8"/>
  <c r="BA158" i="8"/>
  <c r="BA293" i="8"/>
  <c r="N32" i="15"/>
  <c r="AS181" i="8"/>
  <c r="BA32" i="8"/>
  <c r="AS337" i="8"/>
  <c r="BA142" i="8"/>
  <c r="AS130" i="8"/>
  <c r="BA394" i="8"/>
  <c r="BA427" i="8"/>
  <c r="BA424" i="8"/>
  <c r="BA117" i="8"/>
  <c r="BA250" i="8"/>
  <c r="AS501" i="8"/>
  <c r="BA305" i="8"/>
  <c r="BA118" i="8"/>
  <c r="AS390" i="8"/>
  <c r="AS441" i="8"/>
  <c r="AS438" i="8"/>
  <c r="BA507" i="8"/>
  <c r="BA512" i="8"/>
  <c r="BA229" i="8"/>
  <c r="BA203" i="8"/>
  <c r="AS469" i="8"/>
  <c r="AS325" i="8"/>
  <c r="BA346" i="8"/>
  <c r="BA452" i="8"/>
  <c r="BA212" i="8"/>
  <c r="AS184" i="8"/>
  <c r="AS48" i="8"/>
  <c r="AS479" i="8"/>
  <c r="BA268" i="8"/>
  <c r="AS263" i="8"/>
  <c r="BA363" i="8"/>
  <c r="BA413" i="8"/>
  <c r="BA337" i="8"/>
  <c r="BA216" i="8"/>
  <c r="BA321" i="8"/>
  <c r="BA359" i="8"/>
  <c r="BA530" i="8"/>
  <c r="BA464" i="8"/>
  <c r="BA360" i="8"/>
  <c r="BA160" i="8"/>
  <c r="AS289" i="8"/>
  <c r="BA526" i="8"/>
  <c r="AS363" i="8"/>
  <c r="BA468" i="8"/>
  <c r="AS293" i="8"/>
  <c r="AS102" i="8"/>
  <c r="BA178" i="8"/>
  <c r="BA520" i="8"/>
  <c r="BA379" i="8"/>
  <c r="BA277" i="8"/>
  <c r="AS358" i="8"/>
  <c r="BA469" i="8"/>
  <c r="AS10" i="8"/>
  <c r="AS418" i="8"/>
  <c r="AS259" i="8"/>
  <c r="BA228" i="8"/>
  <c r="BA16" i="8"/>
  <c r="AS150" i="8"/>
  <c r="AS26" i="8"/>
  <c r="AS275" i="8"/>
  <c r="BA453" i="8"/>
  <c r="BA326" i="8"/>
  <c r="AS318" i="8"/>
  <c r="BA200" i="8"/>
  <c r="AS380" i="8"/>
  <c r="BA122" i="8"/>
  <c r="AS330" i="8"/>
  <c r="BA421" i="8"/>
  <c r="AS266" i="8"/>
  <c r="BA319" i="8"/>
  <c r="BA24" i="8"/>
  <c r="BA398" i="8"/>
  <c r="BA89" i="8"/>
  <c r="BA245" i="8"/>
  <c r="AS369" i="8"/>
  <c r="BA129" i="8"/>
  <c r="AS39" i="8"/>
  <c r="BA493" i="8"/>
  <c r="BA54" i="8"/>
  <c r="BA431" i="8"/>
  <c r="BA38" i="8"/>
  <c r="BA261" i="8"/>
  <c r="BA44" i="8"/>
  <c r="BA354" i="8"/>
  <c r="AS113" i="8"/>
  <c r="AS448" i="8"/>
  <c r="BA37" i="8"/>
  <c r="AS314" i="8"/>
  <c r="BA514" i="8"/>
  <c r="BA528" i="8"/>
  <c r="BA179" i="8"/>
  <c r="BA380" i="8"/>
  <c r="BA241" i="8"/>
  <c r="BA68" i="8"/>
  <c r="AS210" i="8"/>
  <c r="BA255" i="8"/>
  <c r="BA123" i="8"/>
  <c r="BA242" i="8"/>
  <c r="BA339" i="8"/>
  <c r="BA163" i="8"/>
  <c r="BA276" i="8"/>
  <c r="BA433" i="8"/>
  <c r="AS212" i="8"/>
  <c r="BA366" i="8"/>
  <c r="BA194" i="8"/>
  <c r="BA323" i="8"/>
  <c r="BA101" i="8"/>
  <c r="AS173" i="8"/>
  <c r="AS21" i="8"/>
  <c r="AS146" i="8"/>
  <c r="BA332" i="8"/>
  <c r="BA501" i="8"/>
  <c r="AS419" i="8"/>
  <c r="AS530" i="8"/>
  <c r="AS516" i="8"/>
  <c r="AS140" i="8"/>
  <c r="AS489" i="8"/>
  <c r="AS202" i="8"/>
  <c r="AS365" i="8"/>
  <c r="AS463" i="8"/>
  <c r="AS38" i="8"/>
  <c r="AS412" i="8"/>
  <c r="AS373" i="8"/>
  <c r="BA448" i="8"/>
  <c r="AS42" i="8"/>
  <c r="BA499" i="8"/>
  <c r="AS344" i="8"/>
  <c r="AS384" i="8"/>
  <c r="AS220" i="8"/>
  <c r="BA357" i="8"/>
  <c r="AS339" i="8"/>
  <c r="AS19" i="8"/>
  <c r="BA494" i="8"/>
  <c r="BA289" i="8"/>
  <c r="BA182" i="8"/>
  <c r="AS296" i="8"/>
  <c r="AS465" i="8"/>
  <c r="BA395" i="8"/>
  <c r="AS400" i="8"/>
  <c r="BA132" i="8"/>
  <c r="AS195" i="8"/>
  <c r="AS71" i="8"/>
  <c r="AS294" i="8"/>
  <c r="BA280" i="8"/>
  <c r="BA316" i="8"/>
  <c r="BA459" i="8"/>
  <c r="BA423" i="8"/>
  <c r="BA466" i="8"/>
  <c r="AS118" i="8"/>
  <c r="BA505" i="8"/>
  <c r="BA502" i="8"/>
  <c r="AS67" i="8"/>
  <c r="AS106" i="8"/>
  <c r="AS450" i="8"/>
  <c r="BA432" i="8"/>
  <c r="BA297" i="8"/>
  <c r="BA385" i="8"/>
  <c r="AS391" i="8"/>
  <c r="AS230" i="8"/>
  <c r="AS273" i="8"/>
  <c r="AS264" i="8"/>
  <c r="BA175" i="8"/>
  <c r="AS251" i="8"/>
  <c r="BA105" i="8"/>
  <c r="AS269" i="8"/>
  <c r="BA19" i="8"/>
  <c r="AS135" i="8"/>
  <c r="AS89" i="8"/>
  <c r="AS194" i="8"/>
  <c r="BA177" i="8"/>
  <c r="AS378" i="8"/>
  <c r="BA306" i="8"/>
  <c r="BA48" i="8"/>
  <c r="BA405" i="8"/>
  <c r="AS157" i="8"/>
  <c r="AS27" i="8"/>
  <c r="BA373" i="8"/>
  <c r="BA258" i="8"/>
  <c r="BA66" i="8"/>
  <c r="BA28" i="8"/>
  <c r="BA378" i="8"/>
  <c r="BA298" i="8"/>
  <c r="AS245" i="8"/>
  <c r="BA524" i="8"/>
  <c r="AS254" i="8"/>
  <c r="AS299" i="8"/>
  <c r="BA20" i="8"/>
  <c r="AS125" i="8"/>
  <c r="BA234" i="8"/>
  <c r="BA390" i="8"/>
  <c r="AS178" i="8"/>
  <c r="AS477" i="8"/>
  <c r="BA361" i="8"/>
  <c r="AS120" i="8"/>
  <c r="BA154" i="8"/>
  <c r="AS46" i="8"/>
  <c r="AS272" i="8"/>
  <c r="AS149" i="8"/>
  <c r="BA106" i="8"/>
  <c r="AS336" i="8"/>
  <c r="AS399" i="8"/>
  <c r="BA240" i="8"/>
  <c r="BA285" i="8"/>
  <c r="AS203" i="8"/>
  <c r="AS15" i="8"/>
  <c r="BA374" i="8"/>
  <c r="BA225" i="8"/>
  <c r="BA482" i="8"/>
  <c r="BA79" i="8"/>
  <c r="AS482" i="8"/>
  <c r="AS500" i="8"/>
  <c r="BA51" i="8"/>
  <c r="AS211" i="8"/>
  <c r="AS261" i="8"/>
  <c r="BA11" i="8"/>
  <c r="BA252" i="8"/>
  <c r="AS117" i="8"/>
  <c r="AS425" i="8"/>
  <c r="AS297" i="8"/>
  <c r="AS459" i="8"/>
  <c r="BA243" i="8"/>
  <c r="AS406" i="8"/>
  <c r="AS82" i="8"/>
  <c r="AS208" i="8"/>
  <c r="BA415" i="8"/>
  <c r="BA294" i="8"/>
  <c r="AS356" i="8"/>
  <c r="BA260" i="8"/>
  <c r="AS348" i="8"/>
  <c r="AS99" i="8"/>
  <c r="BA467" i="8"/>
  <c r="AS424" i="8"/>
  <c r="AS513" i="8"/>
  <c r="AS395" i="8"/>
  <c r="BA162" i="8"/>
  <c r="BA407" i="8"/>
  <c r="N29" i="15"/>
  <c r="AS381" i="8"/>
  <c r="AS162" i="8"/>
  <c r="BA397" i="8"/>
  <c r="BA230" i="8"/>
  <c r="BA490" i="8"/>
  <c r="AS20" i="8"/>
  <c r="BA248" i="8"/>
  <c r="BA80" i="8"/>
  <c r="BA358" i="8"/>
  <c r="BA202" i="8"/>
  <c r="BA362" i="8"/>
  <c r="AS433" i="8"/>
  <c r="BA189" i="8"/>
  <c r="BA86" i="8"/>
  <c r="BA402" i="8"/>
  <c r="AS374" i="8"/>
  <c r="AS179" i="8"/>
  <c r="BA67" i="8"/>
  <c r="AS396" i="8"/>
  <c r="AS73" i="8"/>
  <c r="BA149" i="8"/>
  <c r="BA290" i="8"/>
  <c r="AS474" i="8"/>
  <c r="AS277" i="8"/>
  <c r="AS104" i="8"/>
  <c r="AS175" i="8"/>
  <c r="AS298" i="8"/>
  <c r="BA47" i="8"/>
  <c r="AS276" i="8"/>
  <c r="AS133" i="8"/>
  <c r="BA263" i="8"/>
  <c r="BA78" i="8"/>
  <c r="BA120" i="8"/>
  <c r="BA409" i="8"/>
  <c r="AS483" i="8"/>
  <c r="AS290" i="8"/>
  <c r="BA446" i="8"/>
  <c r="BA144" i="8"/>
  <c r="N14" i="15"/>
  <c r="BA76" i="8"/>
  <c r="BA352" i="8"/>
  <c r="BA246" i="8"/>
  <c r="AS333" i="8"/>
  <c r="BA210" i="8"/>
  <c r="BA325" i="8"/>
  <c r="BA169" i="8"/>
  <c r="BA279" i="8"/>
  <c r="AS197" i="8"/>
  <c r="AS61" i="8"/>
  <c r="AS427" i="8"/>
  <c r="BA291" i="8"/>
  <c r="BA281" i="8"/>
  <c r="BA400" i="8"/>
  <c r="BA23" i="8"/>
  <c r="BA483" i="8"/>
  <c r="BA224" i="8"/>
  <c r="AS497" i="8"/>
  <c r="AS271" i="8"/>
  <c r="BA430" i="8"/>
  <c r="BA351" i="8"/>
  <c r="AS236" i="8"/>
  <c r="BA70" i="8"/>
  <c r="AS320" i="8"/>
  <c r="AS28" i="8"/>
  <c r="AS485" i="8"/>
  <c r="AS262" i="8"/>
  <c r="AS33" i="8"/>
  <c r="AS317" i="8"/>
  <c r="BA57" i="8"/>
  <c r="BA283" i="8"/>
  <c r="BA314" i="8"/>
  <c r="AS256" i="8"/>
  <c r="BA340" i="8"/>
  <c r="BA187" i="8"/>
  <c r="AS207" i="8"/>
  <c r="AS304" i="8"/>
  <c r="AS326" i="8"/>
  <c r="BA347" i="8"/>
  <c r="BA10" i="8"/>
  <c r="BA91" i="8"/>
  <c r="BA273" i="8"/>
  <c r="AS502" i="8"/>
  <c r="BA410" i="8"/>
  <c r="AS158" i="8"/>
  <c r="BA153" i="8"/>
  <c r="BA190" i="8"/>
  <c r="BA500" i="8"/>
  <c r="BA509" i="8"/>
  <c r="BA288" i="8"/>
  <c r="AS341" i="8"/>
  <c r="AS7" i="8"/>
  <c r="AS16" i="8"/>
  <c r="BA450" i="8"/>
  <c r="AS383" i="8"/>
  <c r="AS41" i="8"/>
  <c r="AS88" i="8"/>
  <c r="BA40" i="8"/>
  <c r="AS97" i="8"/>
  <c r="AS145" i="8"/>
  <c r="BA516" i="8"/>
  <c r="BA465" i="8"/>
  <c r="AS496" i="8"/>
  <c r="BA188" i="8"/>
  <c r="AS60" i="8"/>
  <c r="BA473" i="8"/>
  <c r="BA247" i="8"/>
  <c r="AS24" i="8"/>
  <c r="AS34" i="8"/>
  <c r="AS192" i="8"/>
  <c r="AS375" i="8"/>
  <c r="AS59" i="8"/>
  <c r="BA408" i="8"/>
  <c r="AS219" i="8"/>
  <c r="AS280" i="8"/>
  <c r="BA148" i="8"/>
  <c r="BA138" i="8"/>
  <c r="BA72" i="8"/>
  <c r="AS54" i="8"/>
  <c r="BA65" i="8"/>
  <c r="BA388" i="8"/>
  <c r="BA356" i="8"/>
  <c r="BA523" i="8"/>
  <c r="BA303" i="8"/>
  <c r="AS127" i="8"/>
  <c r="AS65" i="8"/>
  <c r="BA134" i="8"/>
  <c r="AS295" i="8"/>
  <c r="AS307" i="8"/>
  <c r="BA82" i="8"/>
  <c r="AS151" i="8"/>
  <c r="BA34" i="8"/>
  <c r="AS467" i="8"/>
  <c r="AS58" i="8"/>
  <c r="AS342" i="8"/>
  <c r="AS388" i="8"/>
  <c r="AS101" i="8"/>
  <c r="AS432" i="8"/>
  <c r="AS442" i="8"/>
  <c r="AS343" i="8"/>
  <c r="AS319" i="8"/>
  <c r="AS366" i="8"/>
  <c r="AS532" i="8"/>
  <c r="AS198" i="8"/>
  <c r="BA336" i="8"/>
  <c r="AS209" i="8"/>
  <c r="AS206" i="8"/>
  <c r="BA462" i="8"/>
  <c r="BA471" i="8"/>
  <c r="BA172" i="8"/>
  <c r="BA266" i="8"/>
  <c r="BA387" i="8"/>
  <c r="BA110" i="8"/>
  <c r="BA364" i="8"/>
  <c r="BA532" i="8"/>
  <c r="BA87" i="8"/>
  <c r="AS443" i="8"/>
  <c r="AS98" i="8"/>
  <c r="AS64" i="8"/>
  <c r="AS136" i="8"/>
  <c r="AS286" i="8"/>
  <c r="AS105" i="8"/>
  <c r="AS91" i="8"/>
  <c r="BA222" i="8"/>
  <c r="AS393" i="8"/>
  <c r="BA264" i="8"/>
  <c r="BA204" i="8"/>
  <c r="AS87" i="8"/>
  <c r="BA342" i="8"/>
  <c r="BA60" i="8"/>
  <c r="BA309" i="8"/>
  <c r="AS218" i="8"/>
  <c r="AS392" i="8"/>
  <c r="AS201" i="8"/>
  <c r="BA322" i="8"/>
  <c r="AS12" i="8"/>
  <c r="BA213" i="8"/>
  <c r="AS265" i="8"/>
  <c r="BA180" i="8"/>
  <c r="AS512" i="8"/>
  <c r="BA71" i="8"/>
  <c r="AS509" i="8"/>
  <c r="BA329" i="8"/>
  <c r="BA35" i="8"/>
  <c r="AS445" i="8"/>
  <c r="BA155" i="8"/>
  <c r="BA211" i="8"/>
  <c r="BA226" i="8"/>
  <c r="AS426" i="8"/>
  <c r="AS144" i="8"/>
  <c r="AS215" i="8"/>
  <c r="AS115" i="8"/>
  <c r="AS160" i="8"/>
  <c r="AS407" i="8"/>
  <c r="BA406" i="8"/>
  <c r="BA140" i="8"/>
  <c r="AS416" i="8"/>
  <c r="AS244" i="8"/>
  <c r="AS9" i="8"/>
  <c r="AS475" i="8"/>
  <c r="AS55" i="8"/>
  <c r="BA474" i="8"/>
  <c r="BA239" i="8"/>
  <c r="AS394" i="8"/>
  <c r="AS139" i="8"/>
  <c r="AS514" i="8"/>
  <c r="BA375" i="8"/>
  <c r="AS222" i="8"/>
  <c r="BA330" i="8"/>
  <c r="BA327" i="8"/>
  <c r="BA26" i="8"/>
  <c r="AS322" i="8"/>
  <c r="AS456" i="8"/>
  <c r="AS306" i="8"/>
  <c r="AS8" i="8"/>
  <c r="AS25" i="8"/>
  <c r="BA504" i="8"/>
  <c r="BA461" i="8"/>
  <c r="BA449" i="8"/>
  <c r="BA15" i="8"/>
  <c r="AS449" i="8"/>
  <c r="BA198" i="8"/>
  <c r="AS237" i="8"/>
  <c r="BA116" i="8"/>
  <c r="BA476" i="8"/>
  <c r="BA199" i="8"/>
  <c r="BA315" i="8"/>
  <c r="BA85" i="8"/>
  <c r="AS270" i="8"/>
  <c r="AS511" i="8"/>
  <c r="BA331" i="8"/>
  <c r="AS216" i="8"/>
  <c r="AS78" i="8"/>
  <c r="AS430" i="8"/>
  <c r="AS385" i="8"/>
  <c r="AS302" i="8"/>
  <c r="AS368" i="8"/>
  <c r="BA496" i="8"/>
  <c r="AS109" i="8"/>
  <c r="AS250" i="8"/>
  <c r="BA527" i="8"/>
  <c r="BA98" i="8"/>
  <c r="AS413" i="8"/>
  <c r="BA275" i="8"/>
  <c r="AS171" i="8"/>
  <c r="BA478" i="8"/>
  <c r="BA515" i="8"/>
  <c r="BA62" i="8"/>
  <c r="AS461" i="8"/>
  <c r="AS77" i="8"/>
  <c r="BA173" i="8"/>
  <c r="AS334" i="8"/>
  <c r="AS494" i="8"/>
  <c r="AS316" i="8"/>
  <c r="AS518" i="8"/>
  <c r="BA220" i="8"/>
  <c r="AS124" i="8"/>
  <c r="BA391" i="8"/>
  <c r="BA94" i="8"/>
  <c r="AS165" i="8"/>
  <c r="BA237" i="8"/>
  <c r="AS14" i="8"/>
  <c r="BA145" i="8"/>
  <c r="BA508" i="8"/>
  <c r="BA282" i="8"/>
  <c r="AS80" i="8"/>
  <c r="BA350" i="8"/>
  <c r="BA174" i="8"/>
  <c r="BA61" i="8"/>
  <c r="AS377" i="8"/>
  <c r="AS239" i="8"/>
  <c r="BA313" i="8"/>
  <c r="BA521" i="8"/>
  <c r="BA328" i="8"/>
  <c r="AS226" i="8"/>
  <c r="AS180" i="8"/>
  <c r="BA416" i="8"/>
  <c r="AS332" i="8"/>
  <c r="BA238" i="8"/>
  <c r="AS408" i="8"/>
  <c r="BA311" i="8"/>
  <c r="BA227" i="8"/>
  <c r="BA367" i="8"/>
  <c r="BA420" i="8"/>
  <c r="AS328" i="8"/>
  <c r="AS460" i="8"/>
  <c r="BA112" i="8"/>
  <c r="BA75" i="8"/>
  <c r="AS422" i="8"/>
  <c r="AS200" i="8"/>
  <c r="AS129" i="8"/>
  <c r="AS308" i="8"/>
  <c r="AS100" i="8"/>
  <c r="BA428" i="8"/>
  <c r="AS288" i="8"/>
  <c r="BA419" i="8"/>
  <c r="AT533" i="8" l="1"/>
  <c r="AU533" i="8"/>
  <c r="AU542" i="8"/>
  <c r="AT542" i="8"/>
  <c r="AU541" i="8"/>
  <c r="AT541" i="8"/>
  <c r="AT536" i="8"/>
  <c r="AU536" i="8"/>
  <c r="AT543" i="8"/>
  <c r="AU543" i="8"/>
  <c r="AU540" i="8"/>
  <c r="AT540" i="8"/>
  <c r="AU539" i="8"/>
  <c r="AT539" i="8"/>
  <c r="AU537" i="8"/>
  <c r="AT537" i="8"/>
  <c r="AT535" i="8"/>
  <c r="AU535" i="8"/>
  <c r="AU538" i="8"/>
  <c r="AT538" i="8"/>
  <c r="AU544" i="8"/>
  <c r="AT544" i="8"/>
  <c r="O17" i="15"/>
  <c r="P17" i="15" s="1"/>
  <c r="AT429" i="8"/>
  <c r="O15" i="15"/>
  <c r="P15" i="15" s="1"/>
  <c r="O28" i="15"/>
  <c r="P28" i="15" s="1"/>
  <c r="O9" i="15"/>
  <c r="P9" i="15" s="1"/>
  <c r="O7" i="15"/>
  <c r="Q7" i="15" s="1"/>
  <c r="O33" i="15"/>
  <c r="Q33" i="15" s="1"/>
  <c r="O12" i="15"/>
  <c r="P12" i="15" s="1"/>
  <c r="O18" i="15"/>
  <c r="Q18" i="15" s="1"/>
  <c r="O20" i="15"/>
  <c r="P20" i="15" s="1"/>
  <c r="O16" i="15"/>
  <c r="P16" i="15" s="1"/>
  <c r="O30" i="15"/>
  <c r="P30" i="15" s="1"/>
  <c r="AT237" i="8"/>
  <c r="AU237" i="8"/>
  <c r="AU263" i="8"/>
  <c r="AT263" i="8"/>
  <c r="AU292" i="8"/>
  <c r="AT292" i="8"/>
  <c r="AU190" i="8"/>
  <c r="AT190" i="8"/>
  <c r="AU352" i="8"/>
  <c r="AT352" i="8"/>
  <c r="AT330" i="8"/>
  <c r="AU330" i="8"/>
  <c r="AU479" i="8"/>
  <c r="AT479" i="8"/>
  <c r="AU83" i="8"/>
  <c r="AT83" i="8"/>
  <c r="AT214" i="8"/>
  <c r="AU214" i="8"/>
  <c r="AT54" i="8"/>
  <c r="AU54" i="8"/>
  <c r="O29" i="15"/>
  <c r="AU45" i="8"/>
  <c r="AT45" i="8"/>
  <c r="AU515" i="8"/>
  <c r="AT515" i="8"/>
  <c r="AU12" i="8"/>
  <c r="AT12" i="8"/>
  <c r="AU388" i="8"/>
  <c r="AT388" i="8"/>
  <c r="AT88" i="8"/>
  <c r="AU88" i="8"/>
  <c r="AU326" i="8"/>
  <c r="AT326" i="8"/>
  <c r="AU497" i="8"/>
  <c r="AT497" i="8"/>
  <c r="AU396" i="8"/>
  <c r="AT396" i="8"/>
  <c r="AU272" i="8"/>
  <c r="AT272" i="8"/>
  <c r="AT230" i="8"/>
  <c r="AU230" i="8"/>
  <c r="AT463" i="8"/>
  <c r="AU463" i="8"/>
  <c r="AU289" i="8"/>
  <c r="AT289" i="8"/>
  <c r="AT325" i="8"/>
  <c r="AU325" i="8"/>
  <c r="AU458" i="8"/>
  <c r="AT458" i="8"/>
  <c r="AU435" i="8"/>
  <c r="AT435" i="8"/>
  <c r="AU506" i="8"/>
  <c r="AT506" i="8"/>
  <c r="AT187" i="8"/>
  <c r="AU187" i="8"/>
  <c r="AU252" i="8"/>
  <c r="AT252" i="8"/>
  <c r="AU134" i="8"/>
  <c r="AT134" i="8"/>
  <c r="AU170" i="8"/>
  <c r="AT170" i="8"/>
  <c r="AU69" i="8"/>
  <c r="AT69" i="8"/>
  <c r="AT415" i="8"/>
  <c r="AU415" i="8"/>
  <c r="AU274" i="8"/>
  <c r="AT274" i="8"/>
  <c r="AT255" i="8"/>
  <c r="AU255" i="8"/>
  <c r="AU437" i="8"/>
  <c r="AT437" i="8"/>
  <c r="AT262" i="8"/>
  <c r="AU262" i="8"/>
  <c r="AT282" i="8"/>
  <c r="AU282" i="8"/>
  <c r="AT60" i="8"/>
  <c r="AU60" i="8"/>
  <c r="AU485" i="8"/>
  <c r="AT485" i="8"/>
  <c r="AU15" i="8"/>
  <c r="AT15" i="8"/>
  <c r="AT135" i="8"/>
  <c r="AU135" i="8"/>
  <c r="AU28" i="8"/>
  <c r="AT28" i="8"/>
  <c r="AU104" i="8"/>
  <c r="AT104" i="8"/>
  <c r="AT470" i="8"/>
  <c r="AU470" i="8"/>
  <c r="AU524" i="8"/>
  <c r="AT524" i="8"/>
  <c r="AU250" i="8"/>
  <c r="AT250" i="8"/>
  <c r="AU311" i="8"/>
  <c r="AT311" i="8"/>
  <c r="AU109" i="8"/>
  <c r="AT109" i="8"/>
  <c r="AT55" i="8"/>
  <c r="AU55" i="8"/>
  <c r="AT319" i="8"/>
  <c r="AU319" i="8"/>
  <c r="AU448" i="8"/>
  <c r="AT448" i="8"/>
  <c r="AU338" i="8"/>
  <c r="AT338" i="8"/>
  <c r="AU355" i="8"/>
  <c r="AT355" i="8"/>
  <c r="AT70" i="8"/>
  <c r="AU70" i="8"/>
  <c r="AT512" i="8"/>
  <c r="AU512" i="8"/>
  <c r="AU343" i="8"/>
  <c r="AT343" i="8"/>
  <c r="AU353" i="8"/>
  <c r="AT353" i="8"/>
  <c r="AU368" i="8"/>
  <c r="AT368" i="8"/>
  <c r="AU162" i="8"/>
  <c r="AT162" i="8"/>
  <c r="AU336" i="8"/>
  <c r="AT336" i="8"/>
  <c r="AU507" i="8"/>
  <c r="AT507" i="8"/>
  <c r="AT257" i="8"/>
  <c r="AU257" i="8"/>
  <c r="AU98" i="8"/>
  <c r="AT98" i="8"/>
  <c r="AU504" i="8"/>
  <c r="AT504" i="8"/>
  <c r="AU50" i="8"/>
  <c r="AT50" i="8"/>
  <c r="AU455" i="8"/>
  <c r="AT455" i="8"/>
  <c r="AU468" i="8"/>
  <c r="AT468" i="8"/>
  <c r="AT337" i="8"/>
  <c r="AU337" i="8"/>
  <c r="AT494" i="8"/>
  <c r="AU494" i="8"/>
  <c r="AT78" i="8"/>
  <c r="AU78" i="8"/>
  <c r="AT306" i="8"/>
  <c r="AU306" i="8"/>
  <c r="AU342" i="8"/>
  <c r="AT342" i="8"/>
  <c r="AT280" i="8"/>
  <c r="AU280" i="8"/>
  <c r="AT41" i="8"/>
  <c r="AU41" i="8"/>
  <c r="AT304" i="8"/>
  <c r="AU304" i="8"/>
  <c r="AT290" i="8"/>
  <c r="AU290" i="8"/>
  <c r="AT46" i="8"/>
  <c r="AU46" i="8"/>
  <c r="AT391" i="8"/>
  <c r="AU391" i="8"/>
  <c r="AU400" i="8"/>
  <c r="AT400" i="8"/>
  <c r="AT365" i="8"/>
  <c r="AU365" i="8"/>
  <c r="AT275" i="8"/>
  <c r="AU275" i="8"/>
  <c r="AU469" i="8"/>
  <c r="AT469" i="8"/>
  <c r="AU499" i="8"/>
  <c r="AT499" i="8"/>
  <c r="AT53" i="8"/>
  <c r="AU53" i="8"/>
  <c r="AT167" i="8"/>
  <c r="AU167" i="8"/>
  <c r="AU303" i="8"/>
  <c r="AT303" i="8"/>
  <c r="AT234" i="8"/>
  <c r="AU234" i="8"/>
  <c r="AU182" i="8"/>
  <c r="AT182" i="8"/>
  <c r="AT387" i="8"/>
  <c r="AU387" i="8"/>
  <c r="AU172" i="8"/>
  <c r="AT172" i="8"/>
  <c r="AT235" i="8"/>
  <c r="AU235" i="8"/>
  <c r="AU531" i="8"/>
  <c r="AT531" i="8"/>
  <c r="AT454" i="8"/>
  <c r="AU454" i="8"/>
  <c r="AT473" i="8"/>
  <c r="AU473" i="8"/>
  <c r="AT66" i="8"/>
  <c r="AU66" i="8"/>
  <c r="AU517" i="8"/>
  <c r="AT517" i="8"/>
  <c r="AT43" i="8"/>
  <c r="AU43" i="8"/>
  <c r="AU413" i="8"/>
  <c r="AT413" i="8"/>
  <c r="AU139" i="8"/>
  <c r="AT139" i="8"/>
  <c r="AT127" i="8"/>
  <c r="AU127" i="8"/>
  <c r="AU14" i="8"/>
  <c r="AT14" i="8"/>
  <c r="AU394" i="8"/>
  <c r="AT394" i="8"/>
  <c r="AU158" i="8"/>
  <c r="AT158" i="8"/>
  <c r="AT208" i="8"/>
  <c r="AU208" i="8"/>
  <c r="AU502" i="8"/>
  <c r="AT502" i="8"/>
  <c r="AU333" i="8"/>
  <c r="AT333" i="8"/>
  <c r="AU440" i="8"/>
  <c r="AT440" i="8"/>
  <c r="AT399" i="8"/>
  <c r="AU399" i="8"/>
  <c r="AU527" i="8"/>
  <c r="AT527" i="8"/>
  <c r="AT347" i="8"/>
  <c r="AU347" i="8"/>
  <c r="AU297" i="8"/>
  <c r="AT297" i="8"/>
  <c r="AU288" i="8"/>
  <c r="AT288" i="8"/>
  <c r="AT302" i="8"/>
  <c r="AU302" i="8"/>
  <c r="AU121" i="8"/>
  <c r="AT121" i="8"/>
  <c r="AU312" i="8"/>
  <c r="AT312" i="8"/>
  <c r="AU300" i="8"/>
  <c r="AT300" i="8"/>
  <c r="AU132" i="8"/>
  <c r="AT132" i="8"/>
  <c r="AT63" i="8"/>
  <c r="AU63" i="8"/>
  <c r="AU31" i="8"/>
  <c r="AT31" i="8"/>
  <c r="AU430" i="8"/>
  <c r="AT430" i="8"/>
  <c r="AU8" i="8"/>
  <c r="AT8" i="8"/>
  <c r="AU308" i="8"/>
  <c r="AT308" i="8"/>
  <c r="AT334" i="8"/>
  <c r="AU334" i="8"/>
  <c r="AT216" i="8"/>
  <c r="AU216" i="8"/>
  <c r="AU456" i="8"/>
  <c r="AT456" i="8"/>
  <c r="AT407" i="8"/>
  <c r="AU407" i="8"/>
  <c r="AT201" i="8"/>
  <c r="AU201" i="8"/>
  <c r="AT58" i="8"/>
  <c r="AU58" i="8"/>
  <c r="AT219" i="8"/>
  <c r="AU219" i="8"/>
  <c r="AT383" i="8"/>
  <c r="AU383" i="8"/>
  <c r="AT207" i="8"/>
  <c r="AU207" i="8"/>
  <c r="AU483" i="8"/>
  <c r="AT483" i="8"/>
  <c r="AU179" i="8"/>
  <c r="AT179" i="8"/>
  <c r="AU395" i="8"/>
  <c r="AT395" i="8"/>
  <c r="AU261" i="8"/>
  <c r="AT261" i="8"/>
  <c r="AT27" i="8"/>
  <c r="AU27" i="8"/>
  <c r="AT202" i="8"/>
  <c r="AU202" i="8"/>
  <c r="AU26" i="8"/>
  <c r="AT26" i="8"/>
  <c r="AU181" i="8"/>
  <c r="AT181" i="8"/>
  <c r="AT40" i="8"/>
  <c r="AU40" i="8"/>
  <c r="AT523" i="8"/>
  <c r="AU523" i="8"/>
  <c r="AT476" i="8"/>
  <c r="AU476" i="8"/>
  <c r="AU35" i="8"/>
  <c r="AT35" i="8"/>
  <c r="AT242" i="8"/>
  <c r="AU242" i="8"/>
  <c r="AU471" i="8"/>
  <c r="AT471" i="8"/>
  <c r="AU410" i="8"/>
  <c r="AT410" i="8"/>
  <c r="AU44" i="8"/>
  <c r="AT44" i="8"/>
  <c r="AU156" i="8"/>
  <c r="AT156" i="8"/>
  <c r="AU13" i="8"/>
  <c r="AT13" i="8"/>
  <c r="AU103" i="8"/>
  <c r="AT103" i="8"/>
  <c r="AU96" i="8"/>
  <c r="AT96" i="8"/>
  <c r="AU142" i="8"/>
  <c r="AT142" i="8"/>
  <c r="AU152" i="8"/>
  <c r="AT152" i="8"/>
  <c r="AU254" i="8"/>
  <c r="AT254" i="8"/>
  <c r="AU126" i="8"/>
  <c r="AT126" i="8"/>
  <c r="AU102" i="8"/>
  <c r="AT102" i="8"/>
  <c r="AU57" i="8"/>
  <c r="AT57" i="8"/>
  <c r="AT503" i="8"/>
  <c r="AU503" i="8"/>
  <c r="AU294" i="8"/>
  <c r="AT294" i="8"/>
  <c r="AU373" i="8"/>
  <c r="AT373" i="8"/>
  <c r="AT74" i="8"/>
  <c r="AU74" i="8"/>
  <c r="AU97" i="8"/>
  <c r="AT97" i="8"/>
  <c r="AT75" i="8"/>
  <c r="AU75" i="8"/>
  <c r="AU508" i="8"/>
  <c r="AT508" i="8"/>
  <c r="AU141" i="8"/>
  <c r="AT141" i="8"/>
  <c r="AT405" i="8"/>
  <c r="AU405" i="8"/>
  <c r="AT195" i="8"/>
  <c r="AU195" i="8"/>
  <c r="AU38" i="8"/>
  <c r="AT38" i="8"/>
  <c r="AU401" i="8"/>
  <c r="AT401" i="8"/>
  <c r="AT217" i="8"/>
  <c r="AU217" i="8"/>
  <c r="AT100" i="8"/>
  <c r="AU100" i="8"/>
  <c r="AU316" i="8"/>
  <c r="AT316" i="8"/>
  <c r="AU129" i="8"/>
  <c r="AT129" i="8"/>
  <c r="AT200" i="8"/>
  <c r="AU200" i="8"/>
  <c r="AT239" i="8"/>
  <c r="AU239" i="8"/>
  <c r="AU322" i="8"/>
  <c r="AT322" i="8"/>
  <c r="AU160" i="8"/>
  <c r="AT160" i="8"/>
  <c r="AU392" i="8"/>
  <c r="AT392" i="8"/>
  <c r="AT467" i="8"/>
  <c r="AU467" i="8"/>
  <c r="AU374" i="8"/>
  <c r="AT374" i="8"/>
  <c r="AU513" i="8"/>
  <c r="AT513" i="8"/>
  <c r="AT211" i="8"/>
  <c r="AU211" i="8"/>
  <c r="AU120" i="8"/>
  <c r="AT120" i="8"/>
  <c r="AT157" i="8"/>
  <c r="AU157" i="8"/>
  <c r="AU465" i="8"/>
  <c r="AT465" i="8"/>
  <c r="AU489" i="8"/>
  <c r="AT489" i="8"/>
  <c r="AU150" i="8"/>
  <c r="AT150" i="8"/>
  <c r="O32" i="15"/>
  <c r="AU301" i="8"/>
  <c r="AT301" i="8"/>
  <c r="AT154" i="8"/>
  <c r="AU154" i="8"/>
  <c r="O11" i="15"/>
  <c r="AT453" i="8"/>
  <c r="AU453" i="8"/>
  <c r="AU174" i="8"/>
  <c r="AT174" i="8"/>
  <c r="AU321" i="8"/>
  <c r="AT321" i="8"/>
  <c r="AU23" i="8"/>
  <c r="AT23" i="8"/>
  <c r="AU18" i="8"/>
  <c r="AT18" i="8"/>
  <c r="AU417" i="8"/>
  <c r="AT417" i="8"/>
  <c r="AU403" i="8"/>
  <c r="AT403" i="8"/>
  <c r="AT107" i="8"/>
  <c r="AU107" i="8"/>
  <c r="AU354" i="8"/>
  <c r="AT354" i="8"/>
  <c r="AT131" i="8"/>
  <c r="AU131" i="8"/>
  <c r="AU169" i="8"/>
  <c r="AT169" i="8"/>
  <c r="AT247" i="8"/>
  <c r="AU247" i="8"/>
  <c r="AU89" i="8"/>
  <c r="AT89" i="8"/>
  <c r="AU118" i="8"/>
  <c r="AT118" i="8"/>
  <c r="AU21" i="8"/>
  <c r="AT21" i="8"/>
  <c r="AU421" i="8"/>
  <c r="AT421" i="8"/>
  <c r="AU313" i="8"/>
  <c r="AT313" i="8"/>
  <c r="AU108" i="8"/>
  <c r="AT108" i="8"/>
  <c r="AU452" i="8"/>
  <c r="AT452" i="8"/>
  <c r="AT228" i="8"/>
  <c r="AU228" i="8"/>
  <c r="AU6" i="8"/>
  <c r="AT6" i="8"/>
  <c r="AU340" i="8"/>
  <c r="AT340" i="8"/>
  <c r="AU175" i="8"/>
  <c r="AT175" i="8"/>
  <c r="AU370" i="8"/>
  <c r="AT370" i="8"/>
  <c r="AU472" i="8"/>
  <c r="AT472" i="8"/>
  <c r="AT95" i="8"/>
  <c r="AU95" i="8"/>
  <c r="AU20" i="8"/>
  <c r="AT20" i="8"/>
  <c r="AU82" i="8"/>
  <c r="AT82" i="8"/>
  <c r="AT203" i="8"/>
  <c r="AU203" i="8"/>
  <c r="AT56" i="8"/>
  <c r="AU56" i="8"/>
  <c r="AT119" i="8"/>
  <c r="AU119" i="8"/>
  <c r="AU528" i="8"/>
  <c r="AT528" i="8"/>
  <c r="AT362" i="8"/>
  <c r="AU362" i="8"/>
  <c r="AU402" i="8"/>
  <c r="AT402" i="8"/>
  <c r="AT165" i="8"/>
  <c r="AU165" i="8"/>
  <c r="AT105" i="8"/>
  <c r="AU105" i="8"/>
  <c r="AU488" i="8"/>
  <c r="AT488" i="8"/>
  <c r="AT84" i="8"/>
  <c r="AU84" i="8"/>
  <c r="AU22" i="8"/>
  <c r="AT22" i="8"/>
  <c r="AU491" i="8"/>
  <c r="AT491" i="8"/>
  <c r="AU79" i="8"/>
  <c r="AT79" i="8"/>
  <c r="AU114" i="8"/>
  <c r="AT114" i="8"/>
  <c r="AU376" i="8"/>
  <c r="AT376" i="8"/>
  <c r="AU349" i="8"/>
  <c r="AT349" i="8"/>
  <c r="AU122" i="8"/>
  <c r="AT122" i="8"/>
  <c r="AT286" i="8"/>
  <c r="AU286" i="8"/>
  <c r="AT519" i="8"/>
  <c r="AU519" i="8"/>
  <c r="AU446" i="8"/>
  <c r="AT446" i="8"/>
  <c r="AT398" i="8"/>
  <c r="AU398" i="8"/>
  <c r="AT381" i="8"/>
  <c r="AU381" i="8"/>
  <c r="AU73" i="8"/>
  <c r="AT73" i="8"/>
  <c r="AU149" i="8"/>
  <c r="AT149" i="8"/>
  <c r="AU273" i="8"/>
  <c r="AT273" i="8"/>
  <c r="AU422" i="8"/>
  <c r="AT422" i="8"/>
  <c r="AU77" i="8"/>
  <c r="AT77" i="8"/>
  <c r="AU424" i="8"/>
  <c r="AT424" i="8"/>
  <c r="AU296" i="8"/>
  <c r="AT296" i="8"/>
  <c r="AU140" i="8"/>
  <c r="AT140" i="8"/>
  <c r="AU39" i="8"/>
  <c r="AT39" i="8"/>
  <c r="AU493" i="8"/>
  <c r="AT493" i="8"/>
  <c r="AU186" i="8"/>
  <c r="AT186" i="8"/>
  <c r="AT68" i="8"/>
  <c r="AU68" i="8"/>
  <c r="AT285" i="8"/>
  <c r="AU285" i="8"/>
  <c r="AU92" i="8"/>
  <c r="AT92" i="8"/>
  <c r="AU428" i="8"/>
  <c r="AT428" i="8"/>
  <c r="AU110" i="8"/>
  <c r="AT110" i="8"/>
  <c r="AU487" i="8"/>
  <c r="AT487" i="8"/>
  <c r="AU323" i="8"/>
  <c r="AT323" i="8"/>
  <c r="AT357" i="8"/>
  <c r="AU357" i="8"/>
  <c r="AT278" i="8"/>
  <c r="AU278" i="8"/>
  <c r="AU168" i="8"/>
  <c r="AT168" i="8"/>
  <c r="AT240" i="8"/>
  <c r="AU240" i="8"/>
  <c r="AT198" i="8"/>
  <c r="AU198" i="8"/>
  <c r="AU384" i="8"/>
  <c r="AT384" i="8"/>
  <c r="AU173" i="8"/>
  <c r="AT173" i="8"/>
  <c r="AU266" i="8"/>
  <c r="AT266" i="8"/>
  <c r="AT480" i="8"/>
  <c r="AU480" i="8"/>
  <c r="AU379" i="8"/>
  <c r="AT379" i="8"/>
  <c r="AT224" i="8"/>
  <c r="AU224" i="8"/>
  <c r="AU161" i="8"/>
  <c r="AT161" i="8"/>
  <c r="AU449" i="8"/>
  <c r="AT449" i="8"/>
  <c r="AT91" i="8"/>
  <c r="AU91" i="8"/>
  <c r="AU478" i="8"/>
  <c r="AT478" i="8"/>
  <c r="AT474" i="8"/>
  <c r="AU474" i="8"/>
  <c r="AU459" i="8"/>
  <c r="AT459" i="8"/>
  <c r="AU380" i="8"/>
  <c r="AT380" i="8"/>
  <c r="AT205" i="8"/>
  <c r="AU205" i="8"/>
  <c r="AU386" i="8"/>
  <c r="AT386" i="8"/>
  <c r="AU124" i="8"/>
  <c r="AT124" i="8"/>
  <c r="AU47" i="8"/>
  <c r="AT47" i="8"/>
  <c r="AU180" i="8"/>
  <c r="AT180" i="8"/>
  <c r="AT244" i="8"/>
  <c r="AU244" i="8"/>
  <c r="AT265" i="8"/>
  <c r="AU265" i="8"/>
  <c r="AU432" i="8"/>
  <c r="AT432" i="8"/>
  <c r="AT226" i="8"/>
  <c r="AU226" i="8"/>
  <c r="AT416" i="8"/>
  <c r="AU416" i="8"/>
  <c r="AT377" i="8"/>
  <c r="AU377" i="8"/>
  <c r="AT511" i="8"/>
  <c r="AU511" i="8"/>
  <c r="AT283" i="8"/>
  <c r="AU283" i="8"/>
  <c r="AT457" i="8"/>
  <c r="AU457" i="8"/>
  <c r="AT227" i="8"/>
  <c r="AU227" i="8"/>
  <c r="AT291" i="8"/>
  <c r="AU291" i="8"/>
  <c r="AT62" i="8"/>
  <c r="AU62" i="8"/>
  <c r="AT279" i="8"/>
  <c r="AU279" i="8"/>
  <c r="AU351" i="8"/>
  <c r="AT351" i="8"/>
  <c r="AT284" i="8"/>
  <c r="AU284" i="8"/>
  <c r="AT310" i="8"/>
  <c r="AU310" i="8"/>
  <c r="AT232" i="8"/>
  <c r="AU232" i="8"/>
  <c r="AU305" i="8"/>
  <c r="AT305" i="8"/>
  <c r="AU520" i="8"/>
  <c r="AT520" i="8"/>
  <c r="AU298" i="8"/>
  <c r="AT298" i="8"/>
  <c r="AU366" i="8"/>
  <c r="AT366" i="8"/>
  <c r="AT320" i="8"/>
  <c r="AU320" i="8"/>
  <c r="AU42" i="8"/>
  <c r="AT42" i="8"/>
  <c r="AT48" i="8"/>
  <c r="AU48" i="8"/>
  <c r="AU525" i="8"/>
  <c r="AT525" i="8"/>
  <c r="AU332" i="8"/>
  <c r="AT332" i="8"/>
  <c r="AU475" i="8"/>
  <c r="AT475" i="8"/>
  <c r="AU136" i="8"/>
  <c r="AT136" i="8"/>
  <c r="O14" i="15"/>
  <c r="AU425" i="8"/>
  <c r="AT425" i="8"/>
  <c r="AU71" i="8"/>
  <c r="AT71" i="8"/>
  <c r="AU412" i="8"/>
  <c r="AT412" i="8"/>
  <c r="AT212" i="8"/>
  <c r="AU212" i="8"/>
  <c r="AU94" i="8"/>
  <c r="AT94" i="8"/>
  <c r="AT385" i="8"/>
  <c r="AU385" i="8"/>
  <c r="AU443" i="8"/>
  <c r="AT443" i="8"/>
  <c r="AU189" i="8"/>
  <c r="AT189" i="8"/>
  <c r="AT204" i="8"/>
  <c r="AU204" i="8"/>
  <c r="AU59" i="8"/>
  <c r="AT59" i="8"/>
  <c r="AU16" i="8"/>
  <c r="AT16" i="8"/>
  <c r="AT215" i="8"/>
  <c r="AU215" i="8"/>
  <c r="AU500" i="8"/>
  <c r="AT500" i="8"/>
  <c r="AU477" i="8"/>
  <c r="AT477" i="8"/>
  <c r="AU450" i="8"/>
  <c r="AT450" i="8"/>
  <c r="AT144" i="8"/>
  <c r="AU144" i="8"/>
  <c r="AU375" i="8"/>
  <c r="AT375" i="8"/>
  <c r="AU341" i="8"/>
  <c r="AT341" i="8"/>
  <c r="AU99" i="8"/>
  <c r="AT99" i="8"/>
  <c r="AU482" i="8"/>
  <c r="AT482" i="8"/>
  <c r="AU178" i="8"/>
  <c r="AT178" i="8"/>
  <c r="AU106" i="8"/>
  <c r="AT106" i="8"/>
  <c r="AU530" i="8"/>
  <c r="AT530" i="8"/>
  <c r="AT210" i="8"/>
  <c r="AU210" i="8"/>
  <c r="AT369" i="8"/>
  <c r="AU369" i="8"/>
  <c r="AU259" i="8"/>
  <c r="AT259" i="8"/>
  <c r="AU438" i="8"/>
  <c r="AT438" i="8"/>
  <c r="AT93" i="8"/>
  <c r="AU93" i="8"/>
  <c r="AT439" i="8"/>
  <c r="AU439" i="8"/>
  <c r="AU248" i="8"/>
  <c r="AT248" i="8"/>
  <c r="AU420" i="8"/>
  <c r="AT420" i="8"/>
  <c r="AU346" i="8"/>
  <c r="AT346" i="8"/>
  <c r="AT138" i="8"/>
  <c r="AU138" i="8"/>
  <c r="AT268" i="8"/>
  <c r="AU268" i="8"/>
  <c r="AT327" i="8"/>
  <c r="AU327" i="8"/>
  <c r="AU51" i="8"/>
  <c r="AT51" i="8"/>
  <c r="AT397" i="8"/>
  <c r="AU397" i="8"/>
  <c r="AT451" i="8"/>
  <c r="AU451" i="8"/>
  <c r="AU176" i="8"/>
  <c r="AT176" i="8"/>
  <c r="AU123" i="8"/>
  <c r="AT123" i="8"/>
  <c r="AU52" i="8"/>
  <c r="AT52" i="8"/>
  <c r="AU72" i="8"/>
  <c r="AT72" i="8"/>
  <c r="AU86" i="8"/>
  <c r="AT86" i="8"/>
  <c r="AT241" i="8"/>
  <c r="AU241" i="8"/>
  <c r="O13" i="15"/>
  <c r="AT393" i="8"/>
  <c r="AU393" i="8"/>
  <c r="AT501" i="8"/>
  <c r="AU501" i="8"/>
  <c r="AT309" i="8"/>
  <c r="AU309" i="8"/>
  <c r="AU490" i="8"/>
  <c r="AT490" i="8"/>
  <c r="AU17" i="8"/>
  <c r="AT17" i="8"/>
  <c r="AT408" i="8"/>
  <c r="AU408" i="8"/>
  <c r="AU509" i="8"/>
  <c r="AT509" i="8"/>
  <c r="AU496" i="8"/>
  <c r="AT496" i="8"/>
  <c r="AT245" i="8"/>
  <c r="AU245" i="8"/>
  <c r="AU269" i="8"/>
  <c r="AT269" i="8"/>
  <c r="AU164" i="8"/>
  <c r="AT164" i="8"/>
  <c r="AU246" i="8"/>
  <c r="AT246" i="8"/>
  <c r="AT236" i="8"/>
  <c r="AU236" i="8"/>
  <c r="AU128" i="8"/>
  <c r="AT128" i="8"/>
  <c r="AT64" i="8"/>
  <c r="AU64" i="8"/>
  <c r="AT130" i="8"/>
  <c r="AU130" i="8"/>
  <c r="AT147" i="8"/>
  <c r="AU147" i="8"/>
  <c r="AU49" i="8"/>
  <c r="AT49" i="8"/>
  <c r="AU117" i="8"/>
  <c r="AT117" i="8"/>
  <c r="AT115" i="8"/>
  <c r="AU115" i="8"/>
  <c r="AT218" i="8"/>
  <c r="AU218" i="8"/>
  <c r="AU461" i="8"/>
  <c r="AT461" i="8"/>
  <c r="AU270" i="8"/>
  <c r="AT270" i="8"/>
  <c r="AU151" i="8"/>
  <c r="AT151" i="8"/>
  <c r="AU7" i="8"/>
  <c r="AT7" i="8"/>
  <c r="AU256" i="8"/>
  <c r="AT256" i="8"/>
  <c r="AU516" i="8"/>
  <c r="AT516" i="8"/>
  <c r="AU460" i="8"/>
  <c r="AT460" i="8"/>
  <c r="AT222" i="8"/>
  <c r="AU222" i="8"/>
  <c r="AU426" i="8"/>
  <c r="AT426" i="8"/>
  <c r="AT307" i="8"/>
  <c r="AU307" i="8"/>
  <c r="AT192" i="8"/>
  <c r="AU192" i="8"/>
  <c r="AU427" i="8"/>
  <c r="AT427" i="8"/>
  <c r="AU433" i="8"/>
  <c r="AT433" i="8"/>
  <c r="AU348" i="8"/>
  <c r="AT348" i="8"/>
  <c r="AU378" i="8"/>
  <c r="AT378" i="8"/>
  <c r="AU67" i="8"/>
  <c r="AT67" i="8"/>
  <c r="AU419" i="8"/>
  <c r="AT419" i="8"/>
  <c r="AU418" i="8"/>
  <c r="AT418" i="8"/>
  <c r="AU441" i="8"/>
  <c r="AT441" i="8"/>
  <c r="AU359" i="8"/>
  <c r="AT359" i="8"/>
  <c r="AU29" i="8"/>
  <c r="AT29" i="8"/>
  <c r="AT159" i="8"/>
  <c r="AU159" i="8"/>
  <c r="AU112" i="8"/>
  <c r="AT112" i="8"/>
  <c r="AU492" i="8"/>
  <c r="AT492" i="8"/>
  <c r="AU498" i="8"/>
  <c r="AT498" i="8"/>
  <c r="AT521" i="8"/>
  <c r="AU521" i="8"/>
  <c r="AT411" i="8"/>
  <c r="AU411" i="8"/>
  <c r="AU11" i="8"/>
  <c r="AT11" i="8"/>
  <c r="AT436" i="8"/>
  <c r="AU436" i="8"/>
  <c r="AU185" i="8"/>
  <c r="AT185" i="8"/>
  <c r="AT191" i="8"/>
  <c r="AU191" i="8"/>
  <c r="AU462" i="8"/>
  <c r="AT462" i="8"/>
  <c r="AT281" i="8"/>
  <c r="AU281" i="8"/>
  <c r="O8" i="15"/>
  <c r="AU445" i="8"/>
  <c r="AT445" i="8"/>
  <c r="AU253" i="8"/>
  <c r="AT253" i="8"/>
  <c r="AT444" i="8"/>
  <c r="AU444" i="8"/>
  <c r="AT529" i="8"/>
  <c r="AU529" i="8"/>
  <c r="AU447" i="8"/>
  <c r="AT447" i="8"/>
  <c r="AU532" i="8"/>
  <c r="AT532" i="8"/>
  <c r="AT406" i="8"/>
  <c r="AU406" i="8"/>
  <c r="AT510" i="8"/>
  <c r="AU510" i="8"/>
  <c r="AU414" i="8"/>
  <c r="AT414" i="8"/>
  <c r="AT225" i="8"/>
  <c r="AU225" i="8"/>
  <c r="AT277" i="8"/>
  <c r="AU277" i="8"/>
  <c r="AT367" i="8"/>
  <c r="AU367" i="8"/>
  <c r="AU526" i="8"/>
  <c r="AT526" i="8"/>
  <c r="AT196" i="8"/>
  <c r="AU196" i="8"/>
  <c r="AU251" i="8"/>
  <c r="AT251" i="8"/>
  <c r="AU113" i="8"/>
  <c r="AT113" i="8"/>
  <c r="AU184" i="8"/>
  <c r="AT184" i="8"/>
  <c r="AT183" i="8"/>
  <c r="AU183" i="8"/>
  <c r="AU442" i="8"/>
  <c r="AT442" i="8"/>
  <c r="AU163" i="8"/>
  <c r="AT163" i="8"/>
  <c r="O10" i="15"/>
  <c r="AU264" i="8"/>
  <c r="AT264" i="8"/>
  <c r="AT193" i="8"/>
  <c r="AU193" i="8"/>
  <c r="O21" i="15"/>
  <c r="AU87" i="8"/>
  <c r="AT87" i="8"/>
  <c r="AU295" i="8"/>
  <c r="AT295" i="8"/>
  <c r="AU34" i="8"/>
  <c r="AT34" i="8"/>
  <c r="AU61" i="8"/>
  <c r="AT61" i="8"/>
  <c r="AU133" i="8"/>
  <c r="AT133" i="8"/>
  <c r="O19" i="15"/>
  <c r="AU19" i="8"/>
  <c r="AT19" i="8"/>
  <c r="AU10" i="8"/>
  <c r="AT10" i="8"/>
  <c r="AU390" i="8"/>
  <c r="AT390" i="8"/>
  <c r="AU188" i="8"/>
  <c r="AT188" i="8"/>
  <c r="AT324" i="8"/>
  <c r="AU324" i="8"/>
  <c r="AU486" i="8"/>
  <c r="AT486" i="8"/>
  <c r="AU315" i="8"/>
  <c r="AT315" i="8"/>
  <c r="AT213" i="8"/>
  <c r="AU213" i="8"/>
  <c r="AU111" i="8"/>
  <c r="AT111" i="8"/>
  <c r="AT233" i="8"/>
  <c r="AU233" i="8"/>
  <c r="AU505" i="8"/>
  <c r="AT505" i="8"/>
  <c r="AU30" i="8"/>
  <c r="AT30" i="8"/>
  <c r="AU481" i="8"/>
  <c r="AT481" i="8"/>
  <c r="AU116" i="8"/>
  <c r="AT116" i="8"/>
  <c r="AT243" i="8"/>
  <c r="AU243" i="8"/>
  <c r="AT361" i="8"/>
  <c r="AU361" i="8"/>
  <c r="O6" i="15"/>
  <c r="AU331" i="8"/>
  <c r="AT331" i="8"/>
  <c r="AU484" i="8"/>
  <c r="AT484" i="8"/>
  <c r="AU329" i="8"/>
  <c r="AT329" i="8"/>
  <c r="AU409" i="8"/>
  <c r="AT409" i="8"/>
  <c r="AU267" i="8"/>
  <c r="AT267" i="8"/>
  <c r="AU155" i="8"/>
  <c r="AT155" i="8"/>
  <c r="AT293" i="8"/>
  <c r="AU293" i="8"/>
  <c r="AT389" i="8"/>
  <c r="AU389" i="8"/>
  <c r="AT229" i="8"/>
  <c r="AU229" i="8"/>
  <c r="AU9" i="8"/>
  <c r="AT9" i="8"/>
  <c r="AT145" i="8"/>
  <c r="AU145" i="8"/>
  <c r="AU364" i="8"/>
  <c r="AT364" i="8"/>
  <c r="AU466" i="8"/>
  <c r="AT466" i="8"/>
  <c r="AU434" i="8"/>
  <c r="AT434" i="8"/>
  <c r="O31" i="15"/>
  <c r="AT318" i="8"/>
  <c r="AU318" i="8"/>
  <c r="AT363" i="8"/>
  <c r="AU363" i="8"/>
  <c r="AT231" i="8"/>
  <c r="AU231" i="8"/>
  <c r="AU404" i="8"/>
  <c r="AT404" i="8"/>
  <c r="AU360" i="8"/>
  <c r="AT360" i="8"/>
  <c r="AT221" i="8"/>
  <c r="AU221" i="8"/>
  <c r="AU518" i="8"/>
  <c r="AT518" i="8"/>
  <c r="AT25" i="8"/>
  <c r="AU25" i="8"/>
  <c r="AU101" i="8"/>
  <c r="AT101" i="8"/>
  <c r="AU271" i="8"/>
  <c r="AT271" i="8"/>
  <c r="AT328" i="8"/>
  <c r="AU328" i="8"/>
  <c r="AT80" i="8"/>
  <c r="AU80" i="8"/>
  <c r="O23" i="15"/>
  <c r="AU171" i="8"/>
  <c r="AT171" i="8"/>
  <c r="AT206" i="8"/>
  <c r="AU206" i="8"/>
  <c r="AU24" i="8"/>
  <c r="AT24" i="8"/>
  <c r="AU317" i="8"/>
  <c r="AT317" i="8"/>
  <c r="AT197" i="8"/>
  <c r="AU197" i="8"/>
  <c r="AT276" i="8"/>
  <c r="AU276" i="8"/>
  <c r="AU356" i="8"/>
  <c r="AT356" i="8"/>
  <c r="AT125" i="8"/>
  <c r="AU125" i="8"/>
  <c r="AT339" i="8"/>
  <c r="AU339" i="8"/>
  <c r="AU258" i="8"/>
  <c r="AT258" i="8"/>
  <c r="AU36" i="8"/>
  <c r="AT36" i="8"/>
  <c r="AT223" i="8"/>
  <c r="AU223" i="8"/>
  <c r="AU335" i="8"/>
  <c r="AT335" i="8"/>
  <c r="AU76" i="8"/>
  <c r="AT76" i="8"/>
  <c r="AU85" i="8"/>
  <c r="AT85" i="8"/>
  <c r="AU423" i="8"/>
  <c r="AT423" i="8"/>
  <c r="AU345" i="8"/>
  <c r="AT345" i="8"/>
  <c r="AU32" i="8"/>
  <c r="AT32" i="8"/>
  <c r="AT148" i="8"/>
  <c r="AU148" i="8"/>
  <c r="O26" i="15"/>
  <c r="AU81" i="8"/>
  <c r="AT81" i="8"/>
  <c r="AU522" i="8"/>
  <c r="AT522" i="8"/>
  <c r="O27" i="15"/>
  <c r="AU350" i="8"/>
  <c r="AT350" i="8"/>
  <c r="O22" i="15"/>
  <c r="AT299" i="8"/>
  <c r="AU299" i="8"/>
  <c r="AT220" i="8"/>
  <c r="AU220" i="8"/>
  <c r="AU260" i="8"/>
  <c r="AT260" i="8"/>
  <c r="AT464" i="8"/>
  <c r="AU464" i="8"/>
  <c r="AT199" i="8"/>
  <c r="AU199" i="8"/>
  <c r="AT371" i="8"/>
  <c r="AU371" i="8"/>
  <c r="AT287" i="8"/>
  <c r="AU287" i="8"/>
  <c r="AU344" i="8"/>
  <c r="AT344" i="8"/>
  <c r="AT314" i="8"/>
  <c r="AU314" i="8"/>
  <c r="AT372" i="8"/>
  <c r="AU372" i="8"/>
  <c r="AU90" i="8"/>
  <c r="AT90" i="8"/>
  <c r="AT166" i="8"/>
  <c r="AU166" i="8"/>
  <c r="AT249" i="8"/>
  <c r="AU249" i="8"/>
  <c r="AT514" i="8"/>
  <c r="AU514" i="8"/>
  <c r="AT209" i="8"/>
  <c r="AU209" i="8"/>
  <c r="AU65" i="8"/>
  <c r="AT65" i="8"/>
  <c r="AU33" i="8"/>
  <c r="AT33" i="8"/>
  <c r="AT194" i="8"/>
  <c r="AU194" i="8"/>
  <c r="O25" i="15"/>
  <c r="AU146" i="8"/>
  <c r="AT146" i="8"/>
  <c r="AU358" i="8"/>
  <c r="AT358" i="8"/>
  <c r="AU431" i="8"/>
  <c r="AT431" i="8"/>
  <c r="AT382" i="8"/>
  <c r="AU382" i="8"/>
  <c r="AT495" i="8"/>
  <c r="AU495" i="8"/>
  <c r="AU143" i="8"/>
  <c r="AT143" i="8"/>
  <c r="AU153" i="8"/>
  <c r="AT153" i="8"/>
  <c r="AU137" i="8"/>
  <c r="AT137" i="8"/>
  <c r="AT238" i="8"/>
  <c r="AU238" i="8"/>
  <c r="AU37" i="8"/>
  <c r="AT37" i="8"/>
  <c r="AT177" i="8"/>
  <c r="AU177" i="8"/>
  <c r="O24" i="15"/>
  <c r="Q17" i="15" l="1"/>
  <c r="Q9" i="15"/>
  <c r="Q12" i="15"/>
  <c r="P18" i="15"/>
  <c r="P33" i="15"/>
  <c r="Q28" i="15"/>
  <c r="P7" i="15"/>
  <c r="Q15" i="15"/>
  <c r="Q20" i="15"/>
  <c r="Q16" i="15"/>
  <c r="Q30" i="15"/>
  <c r="P31" i="15"/>
  <c r="Q31" i="15"/>
  <c r="P19" i="15"/>
  <c r="Q19" i="15"/>
  <c r="P10" i="15"/>
  <c r="Q10" i="15"/>
  <c r="P8" i="15"/>
  <c r="Q8" i="15"/>
  <c r="P14" i="15"/>
  <c r="Q14" i="15"/>
  <c r="P11" i="15"/>
  <c r="Q11" i="15"/>
  <c r="P24" i="15"/>
  <c r="Q24" i="15"/>
  <c r="P22" i="15"/>
  <c r="Q22" i="15"/>
  <c r="P26" i="15"/>
  <c r="Q26" i="15"/>
  <c r="P25" i="15"/>
  <c r="Q25" i="15"/>
  <c r="P32" i="15"/>
  <c r="Q32" i="15"/>
  <c r="P29" i="15"/>
  <c r="Q29" i="15"/>
  <c r="P13" i="15"/>
  <c r="Q13" i="15"/>
  <c r="P27" i="15"/>
  <c r="Q27" i="15"/>
  <c r="P21" i="15"/>
  <c r="Q21" i="15"/>
  <c r="P6" i="15"/>
  <c r="Q6" i="15"/>
  <c r="P23" i="15"/>
  <c r="Q23" i="15"/>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<sst xmlns="http://schemas.openxmlformats.org/spreadsheetml/2006/main" count="5922" uniqueCount="615">
  <si>
    <t>HS Code</t>
  </si>
  <si>
    <t>China</t>
  </si>
  <si>
    <t>Germany</t>
  </si>
  <si>
    <t>Xanthan Gum</t>
  </si>
  <si>
    <t>Citric Acid</t>
  </si>
  <si>
    <t>Belgium</t>
  </si>
  <si>
    <t>Potassium Sorbate</t>
  </si>
  <si>
    <t>Sodium Benzoate</t>
  </si>
  <si>
    <t>India</t>
  </si>
  <si>
    <t>Period</t>
  </si>
  <si>
    <t>Trade Flow</t>
  </si>
  <si>
    <t>Reporter</t>
  </si>
  <si>
    <t>Partner</t>
  </si>
  <si>
    <t>2nd Partner</t>
  </si>
  <si>
    <t>Customs Desc</t>
  </si>
  <si>
    <t>Transport Mode</t>
  </si>
  <si>
    <t>Commodity Code</t>
  </si>
  <si>
    <t>Gross Weight</t>
  </si>
  <si>
    <t>Qty</t>
  </si>
  <si>
    <t>Qty Unit</t>
  </si>
  <si>
    <t>Alternate Quantity</t>
  </si>
  <si>
    <t>Alt Qty Unit</t>
  </si>
  <si>
    <t>Egypt</t>
  </si>
  <si>
    <t>World</t>
  </si>
  <si>
    <t>TOTAL CPC</t>
  </si>
  <si>
    <t>TOTAL MOT</t>
  </si>
  <si>
    <t>N/A</t>
  </si>
  <si>
    <t>Saudi Arabia</t>
  </si>
  <si>
    <t>Singapore</t>
  </si>
  <si>
    <t>South Africa</t>
  </si>
  <si>
    <t>Spain</t>
  </si>
  <si>
    <t>Sweden</t>
  </si>
  <si>
    <t>Switzerland</t>
  </si>
  <si>
    <t>Thailand</t>
  </si>
  <si>
    <t>Türkiye</t>
  </si>
  <si>
    <t>Ukraine</t>
  </si>
  <si>
    <t>United Kingdom</t>
  </si>
  <si>
    <t>Australia</t>
  </si>
  <si>
    <t>Brazil</t>
  </si>
  <si>
    <t>Canada</t>
  </si>
  <si>
    <t>Colombia</t>
  </si>
  <si>
    <t>Czechia</t>
  </si>
  <si>
    <t>Denmark</t>
  </si>
  <si>
    <t>Estonia</t>
  </si>
  <si>
    <t>France</t>
  </si>
  <si>
    <t>Greece</t>
  </si>
  <si>
    <t>Hungary</t>
  </si>
  <si>
    <t>Indonesia</t>
  </si>
  <si>
    <t>Ireland</t>
  </si>
  <si>
    <t>Italy</t>
  </si>
  <si>
    <t>Lebanon</t>
  </si>
  <si>
    <t>Malaysia</t>
  </si>
  <si>
    <t>Morocco</t>
  </si>
  <si>
    <t>Netherlands</t>
  </si>
  <si>
    <t>Pakistan</t>
  </si>
  <si>
    <t>Poland</t>
  </si>
  <si>
    <t>USA</t>
  </si>
  <si>
    <t>X</t>
  </si>
  <si>
    <t>kg</t>
  </si>
  <si>
    <t>1000 KG</t>
  </si>
  <si>
    <t>Product Share%</t>
  </si>
  <si>
    <t>Market Share %</t>
  </si>
  <si>
    <t>Category</t>
  </si>
  <si>
    <t>Products</t>
  </si>
  <si>
    <t>Hydrocolloids</t>
  </si>
  <si>
    <t>Modified Starch (Cold/Hot)</t>
  </si>
  <si>
    <t>Antioxidants</t>
  </si>
  <si>
    <t>BHT / BHA</t>
  </si>
  <si>
    <t>HS Code Description</t>
  </si>
  <si>
    <t>Other polymers of natural origin</t>
  </si>
  <si>
    <t>Sauces / Dairy / Beverages</t>
  </si>
  <si>
    <t>CMC (Carboxymethyl Cellulose)</t>
  </si>
  <si>
    <t>Cellulose ethers</t>
  </si>
  <si>
    <t>Sauces / Beverages / Ice Cream</t>
  </si>
  <si>
    <t>Guar Gum</t>
  </si>
  <si>
    <t>Vegetable gums</t>
  </si>
  <si>
    <t>Sauces / Bakery / Dairy</t>
  </si>
  <si>
    <t>Carrageenan</t>
  </si>
  <si>
    <t>Mucilages and thickeners</t>
  </si>
  <si>
    <t>Dairy / Processed Meat</t>
  </si>
  <si>
    <t>Locust Bean Gum</t>
  </si>
  <si>
    <t>Dairy / Ice Cream</t>
  </si>
  <si>
    <t>Citric acid and salts</t>
  </si>
  <si>
    <t>Beverages / Confectionery / Sauces</t>
  </si>
  <si>
    <t>Lactic Acid</t>
  </si>
  <si>
    <t>Lactic acid and salts</t>
  </si>
  <si>
    <t>Dairy / Meat / Sauces</t>
  </si>
  <si>
    <t>Phosphoric Acid</t>
  </si>
  <si>
    <t>Phosphoric acid</t>
  </si>
  <si>
    <t>Beverages</t>
  </si>
  <si>
    <t>Sodium Citrate</t>
  </si>
  <si>
    <t>Citrates</t>
  </si>
  <si>
    <t>Beverages / Dairy</t>
  </si>
  <si>
    <t>Unsaturated acyclic acids</t>
  </si>
  <si>
    <t>Benzoic acid and salts</t>
  </si>
  <si>
    <t>Beverages / Sauces</t>
  </si>
  <si>
    <t>Calcium Propionate</t>
  </si>
  <si>
    <t>Propionic acid salts</t>
  </si>
  <si>
    <t>Bakery</t>
  </si>
  <si>
    <t>Sodium Nitrite</t>
  </si>
  <si>
    <t>Nitrites</t>
  </si>
  <si>
    <t>Processed Meat</t>
  </si>
  <si>
    <t>Sodium Metabisulfite</t>
  </si>
  <si>
    <t>Sulfites</t>
  </si>
  <si>
    <t>Beverages / Food Processing</t>
  </si>
  <si>
    <t>Dextrins and modified starches</t>
  </si>
  <si>
    <t>Sauces / Mayo / Ketchup</t>
  </si>
  <si>
    <t>Emulsifiers</t>
  </si>
  <si>
    <t>Lecithin</t>
  </si>
  <si>
    <t>Lecithins</t>
  </si>
  <si>
    <t>Bakery / Chocolate / Sauces</t>
  </si>
  <si>
    <t>Mono &amp; Diglycerides</t>
  </si>
  <si>
    <t>Fatty acid derivatives</t>
  </si>
  <si>
    <t>Bakery / Margarine / Sauces</t>
  </si>
  <si>
    <t>Sorbitol</t>
  </si>
  <si>
    <t>Sugar alcohols</t>
  </si>
  <si>
    <t>Sugar-free / Confectionery</t>
  </si>
  <si>
    <t>Glucose Syrup</t>
  </si>
  <si>
    <t>Glucose and syrup</t>
  </si>
  <si>
    <t>Bakery / Confectionery</t>
  </si>
  <si>
    <t>Fructose</t>
  </si>
  <si>
    <t>Fructose syrups</t>
  </si>
  <si>
    <t>Aspartame</t>
  </si>
  <si>
    <t>Amino compounds</t>
  </si>
  <si>
    <t>Diet Beverages</t>
  </si>
  <si>
    <t>Acesulfame-K</t>
  </si>
  <si>
    <t>Heterocyclic compounds</t>
  </si>
  <si>
    <t>Colors</t>
  </si>
  <si>
    <t>Caramel Color</t>
  </si>
  <si>
    <t>Beta Carotene</t>
  </si>
  <si>
    <t>Synthetic organic coloring matter</t>
  </si>
  <si>
    <t>Natural Extract Colors</t>
  </si>
  <si>
    <t>Other phenols</t>
  </si>
  <si>
    <t>Oils / Snacks / Fats</t>
  </si>
  <si>
    <t>Spices</t>
  </si>
  <si>
    <t>Mustard Seeds</t>
  </si>
  <si>
    <t>Mustard seeds</t>
  </si>
  <si>
    <t>Sauces / Condiments</t>
  </si>
  <si>
    <t>Mustard Flour</t>
  </si>
  <si>
    <t>Sauces / Dressings</t>
  </si>
  <si>
    <t>Lines</t>
  </si>
  <si>
    <t>Bulgaria</t>
  </si>
  <si>
    <t>Finland</t>
  </si>
  <si>
    <t>Japan</t>
  </si>
  <si>
    <t>Support Sector</t>
  </si>
  <si>
    <t>Chile</t>
  </si>
  <si>
    <t>Peru</t>
  </si>
  <si>
    <t>Philippines</t>
  </si>
  <si>
    <t>Austria</t>
  </si>
  <si>
    <t>kg P2O5</t>
  </si>
  <si>
    <t>Jordan</t>
  </si>
  <si>
    <t>Slovenia</t>
  </si>
  <si>
    <t>Bahrain</t>
  </si>
  <si>
    <t>Slovakia</t>
  </si>
  <si>
    <t>Malta</t>
  </si>
  <si>
    <t>Serbia</t>
  </si>
  <si>
    <t>Sri Lanka</t>
  </si>
  <si>
    <t>Kuwait</t>
  </si>
  <si>
    <t>HS Code Risk Status</t>
  </si>
  <si>
    <t>HS Code Risk Score</t>
  </si>
  <si>
    <t>Annual Volume</t>
  </si>
  <si>
    <t>Max Origin Share %</t>
  </si>
  <si>
    <t>Origin Share%</t>
  </si>
  <si>
    <t>Origin Rank</t>
  </si>
  <si>
    <t>Single Structure</t>
  </si>
  <si>
    <t>Risk Exposure - USD</t>
  </si>
  <si>
    <t>Annual Spend - USD</t>
  </si>
  <si>
    <t>Risk Exposure Rank</t>
  </si>
  <si>
    <t>Risk Exposure Status</t>
  </si>
  <si>
    <t>Procurement Priority</t>
  </si>
  <si>
    <t>Total Market Size - USD</t>
  </si>
  <si>
    <t>Trade Value - USD</t>
  </si>
  <si>
    <t>Net Weight -KG</t>
  </si>
  <si>
    <t>Weighted Price - USD</t>
  </si>
  <si>
    <t>Competition Intensity</t>
  </si>
  <si>
    <t>Market Concentration Level</t>
  </si>
  <si>
    <t>Commercial Opportunity Score</t>
  </si>
  <si>
    <t>Commercial Priority</t>
  </si>
  <si>
    <t>HS Summary</t>
  </si>
  <si>
    <t>HS Database</t>
  </si>
  <si>
    <t>HS Master Data</t>
  </si>
  <si>
    <t xml:space="preserve"> </t>
  </si>
  <si>
    <t>Sheet Map</t>
  </si>
  <si>
    <t>Sheet Name</t>
  </si>
  <si>
    <t>Table Name</t>
  </si>
  <si>
    <t>Column Name</t>
  </si>
  <si>
    <t>Column</t>
  </si>
  <si>
    <t>Column Number</t>
  </si>
  <si>
    <t>B</t>
  </si>
  <si>
    <t>C</t>
  </si>
  <si>
    <t>D</t>
  </si>
  <si>
    <t>E</t>
  </si>
  <si>
    <t>F</t>
  </si>
  <si>
    <t>G</t>
  </si>
  <si>
    <t>H</t>
  </si>
  <si>
    <t>I</t>
  </si>
  <si>
    <t>J</t>
  </si>
  <si>
    <t>K</t>
  </si>
  <si>
    <t>L</t>
  </si>
  <si>
    <t>M</t>
  </si>
  <si>
    <t>N</t>
  </si>
  <si>
    <t>O</t>
  </si>
  <si>
    <t>Column Format</t>
  </si>
  <si>
    <t>HS_MD</t>
  </si>
  <si>
    <t>P</t>
  </si>
  <si>
    <t>Q</t>
  </si>
  <si>
    <t>R</t>
  </si>
  <si>
    <t>S</t>
  </si>
  <si>
    <t>T</t>
  </si>
  <si>
    <t>U</t>
  </si>
  <si>
    <t>V</t>
  </si>
  <si>
    <t>W</t>
  </si>
  <si>
    <t>Y</t>
  </si>
  <si>
    <t>Z</t>
  </si>
  <si>
    <t>AA</t>
  </si>
  <si>
    <t>AB</t>
  </si>
  <si>
    <t>AC</t>
  </si>
  <si>
    <t>AD</t>
  </si>
  <si>
    <t>AE</t>
  </si>
  <si>
    <t>AF</t>
  </si>
  <si>
    <t>AG</t>
  </si>
  <si>
    <t>AH</t>
  </si>
  <si>
    <t>AI</t>
  </si>
  <si>
    <t>AJ</t>
  </si>
  <si>
    <t>AK</t>
  </si>
  <si>
    <t>AL</t>
  </si>
  <si>
    <t>AM</t>
  </si>
  <si>
    <t>AN</t>
  </si>
  <si>
    <t>AO</t>
  </si>
  <si>
    <t>HS_DB</t>
  </si>
  <si>
    <t>Row Head Number</t>
  </si>
  <si>
    <t>HS_Summary</t>
  </si>
  <si>
    <t>Menu</t>
  </si>
  <si>
    <t>Global</t>
  </si>
  <si>
    <t>Spend - USD M</t>
  </si>
  <si>
    <t>Volume - Ton</t>
  </si>
  <si>
    <t>Product Rank</t>
  </si>
  <si>
    <t>Product Top10</t>
  </si>
  <si>
    <t>Origin Top10</t>
  </si>
  <si>
    <t>Afghanistan</t>
  </si>
  <si>
    <t>Albania</t>
  </si>
  <si>
    <t>Algeria</t>
  </si>
  <si>
    <t>Andorra</t>
  </si>
  <si>
    <t>Angola</t>
  </si>
  <si>
    <t>Antigua and Barbuda</t>
  </si>
  <si>
    <t>Argentina</t>
  </si>
  <si>
    <t>Armenia</t>
  </si>
  <si>
    <t>Azerbaijan</t>
  </si>
  <si>
    <t>Bahamas</t>
  </si>
  <si>
    <t>Bangladesh</t>
  </si>
  <si>
    <t>Barbados</t>
  </si>
  <si>
    <t>Belarus</t>
  </si>
  <si>
    <t>Belize</t>
  </si>
  <si>
    <t>Benin</t>
  </si>
  <si>
    <t>Bhutan</t>
  </si>
  <si>
    <t>Bolivia</t>
  </si>
  <si>
    <t>Bosnia and Herzegovina</t>
  </si>
  <si>
    <t>Botswana</t>
  </si>
  <si>
    <t>Brunei</t>
  </si>
  <si>
    <t>Burkina Faso</t>
  </si>
  <si>
    <t>Burundi</t>
  </si>
  <si>
    <t>Cabo Verde</t>
  </si>
  <si>
    <t>Cambodia</t>
  </si>
  <si>
    <t>Cameroon</t>
  </si>
  <si>
    <t>Central African Republic</t>
  </si>
  <si>
    <t>Chad</t>
  </si>
  <si>
    <t>Comoros</t>
  </si>
  <si>
    <t>Congo</t>
  </si>
  <si>
    <t>Costa Rica</t>
  </si>
  <si>
    <t>Croatia</t>
  </si>
  <si>
    <t>Cuba</t>
  </si>
  <si>
    <t>Cyprus</t>
  </si>
  <si>
    <t>Djibouti</t>
  </si>
  <si>
    <t>Dominica</t>
  </si>
  <si>
    <t>Dominican Republic</t>
  </si>
  <si>
    <t>Ecuador</t>
  </si>
  <si>
    <t>El Salvador</t>
  </si>
  <si>
    <t>Equatorial Guinea</t>
  </si>
  <si>
    <t>Eritrea</t>
  </si>
  <si>
    <t>Eswatini</t>
  </si>
  <si>
    <t>Ethiopia</t>
  </si>
  <si>
    <t>Fiji</t>
  </si>
  <si>
    <t>Gabon</t>
  </si>
  <si>
    <t>Gambia</t>
  </si>
  <si>
    <t>Georgia</t>
  </si>
  <si>
    <t>Ghana</t>
  </si>
  <si>
    <t>Grenada</t>
  </si>
  <si>
    <t>Guatemala</t>
  </si>
  <si>
    <t>Guinea</t>
  </si>
  <si>
    <t>Guinea-Bissau</t>
  </si>
  <si>
    <t>Guyana</t>
  </si>
  <si>
    <t>Haiti</t>
  </si>
  <si>
    <t>Honduras</t>
  </si>
  <si>
    <t>Iceland</t>
  </si>
  <si>
    <t>Iran</t>
  </si>
  <si>
    <t>Iraq</t>
  </si>
  <si>
    <t>Israel</t>
  </si>
  <si>
    <t>Jamaica</t>
  </si>
  <si>
    <t>Kazakhstan</t>
  </si>
  <si>
    <t>Kenya</t>
  </si>
  <si>
    <t>Kiribati</t>
  </si>
  <si>
    <t>Kyrgyzstan</t>
  </si>
  <si>
    <t>Laos</t>
  </si>
  <si>
    <t>Latvia</t>
  </si>
  <si>
    <t>Lesotho</t>
  </si>
  <si>
    <t>Liberia</t>
  </si>
  <si>
    <t>Libya</t>
  </si>
  <si>
    <t>Lithuania</t>
  </si>
  <si>
    <t>Luxembourg</t>
  </si>
  <si>
    <t>Madagascar</t>
  </si>
  <si>
    <t>Malawi</t>
  </si>
  <si>
    <t>Maldives</t>
  </si>
  <si>
    <t>Mali</t>
  </si>
  <si>
    <t>Marshall Islands</t>
  </si>
  <si>
    <t>Mauritania</t>
  </si>
  <si>
    <t>Mauritius</t>
  </si>
  <si>
    <t>Mexico</t>
  </si>
  <si>
    <t>Micronesia</t>
  </si>
  <si>
    <t>Moldova</t>
  </si>
  <si>
    <t>Mongolia</t>
  </si>
  <si>
    <t>Montenegro</t>
  </si>
  <si>
    <t>Mozambique</t>
  </si>
  <si>
    <t>Myanmar</t>
  </si>
  <si>
    <t>Namibia</t>
  </si>
  <si>
    <t>Nauru</t>
  </si>
  <si>
    <t>Nepal</t>
  </si>
  <si>
    <t>New Zealand</t>
  </si>
  <si>
    <t>Nicaragua</t>
  </si>
  <si>
    <t>Niger</t>
  </si>
  <si>
    <t>Nigeria</t>
  </si>
  <si>
    <t>North Korea</t>
  </si>
  <si>
    <t>North Macedonia</t>
  </si>
  <si>
    <t>Norway</t>
  </si>
  <si>
    <t>Oman</t>
  </si>
  <si>
    <t>Palau</t>
  </si>
  <si>
    <t>Panama</t>
  </si>
  <si>
    <t>Papua New Guinea</t>
  </si>
  <si>
    <t>Paraguay</t>
  </si>
  <si>
    <t>Portugal</t>
  </si>
  <si>
    <t>Qatar</t>
  </si>
  <si>
    <t>Romania</t>
  </si>
  <si>
    <t>Russia</t>
  </si>
  <si>
    <t>Rwanda</t>
  </si>
  <si>
    <t>Saint Kitts and Nevis</t>
  </si>
  <si>
    <t>Saint Lucia</t>
  </si>
  <si>
    <t>Saint Vincent and the Grenadines</t>
  </si>
  <si>
    <t>Samoa</t>
  </si>
  <si>
    <t>San Marino</t>
  </si>
  <si>
    <t>Sao Tome and Principe</t>
  </si>
  <si>
    <t>Senegal</t>
  </si>
  <si>
    <t>Seychelles</t>
  </si>
  <si>
    <t>Sierra Leone</t>
  </si>
  <si>
    <t>Solomon Islands</t>
  </si>
  <si>
    <t>Somalia</t>
  </si>
  <si>
    <t>South Korea</t>
  </si>
  <si>
    <t>South Sudan</t>
  </si>
  <si>
    <t>Sudan</t>
  </si>
  <si>
    <t>Suriname</t>
  </si>
  <si>
    <t>Syria</t>
  </si>
  <si>
    <t>Taiwan</t>
  </si>
  <si>
    <t>Tajikistan</t>
  </si>
  <si>
    <t>Tanzania</t>
  </si>
  <si>
    <t>Timor-Leste</t>
  </si>
  <si>
    <t>Togo</t>
  </si>
  <si>
    <t>Tonga</t>
  </si>
  <si>
    <t>Trinidad and Tobago</t>
  </si>
  <si>
    <t>Tunisia</t>
  </si>
  <si>
    <t>Turkmenistan</t>
  </si>
  <si>
    <t>Tuvalu</t>
  </si>
  <si>
    <t>Uganda</t>
  </si>
  <si>
    <t>United Arab Emirates</t>
  </si>
  <si>
    <t>Uruguay</t>
  </si>
  <si>
    <t>Uzbekistan</t>
  </si>
  <si>
    <t>Vanuatu</t>
  </si>
  <si>
    <t>Vatican City</t>
  </si>
  <si>
    <t>Venezuela</t>
  </si>
  <si>
    <t>Vietnam</t>
  </si>
  <si>
    <t>Yemen</t>
  </si>
  <si>
    <t>Zambia</t>
  </si>
  <si>
    <t>Zimbabwe</t>
  </si>
  <si>
    <t>Crisis</t>
  </si>
  <si>
    <t>Heat Map</t>
  </si>
  <si>
    <t>Geopolitical</t>
  </si>
  <si>
    <t>Crisis Type</t>
  </si>
  <si>
    <t>Shock Factor</t>
  </si>
  <si>
    <t>Financial</t>
  </si>
  <si>
    <t>Logistics</t>
  </si>
  <si>
    <t>Natural</t>
  </si>
  <si>
    <t>Regulatory</t>
  </si>
  <si>
    <t>Risk Level 1</t>
  </si>
  <si>
    <t>Risk Level 2</t>
  </si>
  <si>
    <t>Risk Level 3</t>
  </si>
  <si>
    <t>Risk Level 4</t>
  </si>
  <si>
    <t>Risk Level 5</t>
  </si>
  <si>
    <t>Risk Level</t>
  </si>
  <si>
    <t>Crisis Impact %</t>
  </si>
  <si>
    <t>Origin Crisis</t>
  </si>
  <si>
    <t>Crisis Impact%</t>
  </si>
  <si>
    <t>Crisis Spend Impact USD</t>
  </si>
  <si>
    <t>Crisis Volume Impact KG</t>
  </si>
  <si>
    <t xml:space="preserve">Product Rank </t>
  </si>
  <si>
    <t>Row Labels</t>
  </si>
  <si>
    <t xml:space="preserve">Volume_Ton </t>
  </si>
  <si>
    <t>Cellulose Derivatives</t>
  </si>
  <si>
    <t>Organic Acids</t>
  </si>
  <si>
    <t>Inorganic Acids</t>
  </si>
  <si>
    <t>Organic Preservatives</t>
  </si>
  <si>
    <t>Nitrites &amp; Nitrates</t>
  </si>
  <si>
    <t>Modified Starches</t>
  </si>
  <si>
    <t>High Intensity Sweeteners</t>
  </si>
  <si>
    <t>Natural Colors</t>
  </si>
  <si>
    <t>Caramel Colors</t>
  </si>
  <si>
    <t>Whole Spices</t>
  </si>
  <si>
    <t>Ground Spices</t>
  </si>
  <si>
    <t>Sugar</t>
  </si>
  <si>
    <t>Flour</t>
  </si>
  <si>
    <t>Bulk Sweeteners</t>
  </si>
  <si>
    <t>PACKAGING</t>
  </si>
  <si>
    <t>Primary Packaging</t>
  </si>
  <si>
    <t>Secondary Packaging</t>
  </si>
  <si>
    <t>Corrugated Cartons</t>
  </si>
  <si>
    <t>MRO</t>
  </si>
  <si>
    <t>Utilities</t>
  </si>
  <si>
    <t>AGRICULTURAL RAW MATERIALS</t>
  </si>
  <si>
    <t>Grains &amp; Cereals</t>
  </si>
  <si>
    <t>Wheat</t>
  </si>
  <si>
    <t>Corn</t>
  </si>
  <si>
    <t>Rice</t>
  </si>
  <si>
    <t>Oilseeds &amp; Pulses</t>
  </si>
  <si>
    <t>Soybeans</t>
  </si>
  <si>
    <t>Sunflower Seeds</t>
  </si>
  <si>
    <t>Sugar Crops</t>
  </si>
  <si>
    <t>Sugar Cane</t>
  </si>
  <si>
    <t>Sugar Beet</t>
  </si>
  <si>
    <t>Spices &amp; Herbs</t>
  </si>
  <si>
    <t>Fruits &amp; Vegetables</t>
  </si>
  <si>
    <t>Processed Fruits</t>
  </si>
  <si>
    <t>Processed Vegetables</t>
  </si>
  <si>
    <t>SWEETENERS</t>
  </si>
  <si>
    <t>Fructose Syrup</t>
  </si>
  <si>
    <t>Sugar Alcohols</t>
  </si>
  <si>
    <t>ACIDULANTS &amp; REGULATORS</t>
  </si>
  <si>
    <t>Salts &amp; Buffers</t>
  </si>
  <si>
    <t>PRESERVATIVES</t>
  </si>
  <si>
    <t>FUNCTIONAL INGREDIENTS</t>
  </si>
  <si>
    <t>Modified Starch</t>
  </si>
  <si>
    <t>COLORS</t>
  </si>
  <si>
    <t>ANTIOXIDANTS</t>
  </si>
  <si>
    <t>Synthetic Antioxidants</t>
  </si>
  <si>
    <t>PROTEINS</t>
  </si>
  <si>
    <t>Dairy Proteins</t>
  </si>
  <si>
    <t>Milk Powder</t>
  </si>
  <si>
    <t>Plant Proteins</t>
  </si>
  <si>
    <t>Soy Protein</t>
  </si>
  <si>
    <t>Animal Proteins</t>
  </si>
  <si>
    <t>Whey Protein</t>
  </si>
  <si>
    <t>FATS &amp; OILS</t>
  </si>
  <si>
    <t>Vegetable Oils</t>
  </si>
  <si>
    <t>Palm Oil</t>
  </si>
  <si>
    <t>Sunflower Oil</t>
  </si>
  <si>
    <t>Specialty Fats</t>
  </si>
  <si>
    <t>Margarine Base</t>
  </si>
  <si>
    <t>DAIRY PRODUCTS</t>
  </si>
  <si>
    <t>Milk Powders</t>
  </si>
  <si>
    <t>Skimmed Milk Powder</t>
  </si>
  <si>
    <t>Whole Milk Powder</t>
  </si>
  <si>
    <t>BAKERY INGREDIENTS</t>
  </si>
  <si>
    <t>Wheat Flour</t>
  </si>
  <si>
    <t>Leavening Agents</t>
  </si>
  <si>
    <t>Baking Powder</t>
  </si>
  <si>
    <t>CONDIMENTS &amp; SAUCES</t>
  </si>
  <si>
    <t>Sauces Base</t>
  </si>
  <si>
    <t>Tomato Paste</t>
  </si>
  <si>
    <t>Seasoning Blends</t>
  </si>
  <si>
    <t>Spice Mix</t>
  </si>
  <si>
    <t>Plastic Bottles</t>
  </si>
  <si>
    <t>Glass Jars</t>
  </si>
  <si>
    <t>INDIRECT</t>
  </si>
  <si>
    <t>Spare Parts</t>
  </si>
  <si>
    <t>Electricity</t>
  </si>
  <si>
    <t>Freight Services</t>
  </si>
  <si>
    <t>Standard Procurement Taxonomy</t>
  </si>
  <si>
    <t>Sub Category</t>
  </si>
  <si>
    <t>Micro Category</t>
  </si>
  <si>
    <t xml:space="preserve">Origin Share% </t>
  </si>
  <si>
    <t>Tomatoes prepared or preserved otherwise than by vinegar</t>
  </si>
  <si>
    <t>Tomato Paste / Concentrate</t>
  </si>
  <si>
    <t>Agricultural Processed Inputs</t>
  </si>
  <si>
    <t>Tomato Derivatives</t>
  </si>
  <si>
    <t>Industrial Tomato Paste (28-38 Brix)</t>
  </si>
  <si>
    <t>Sauces Manufacturing</t>
  </si>
  <si>
    <t>Food Ingredients</t>
  </si>
  <si>
    <t>Other sugars incl. caramel</t>
  </si>
  <si>
    <t>Caramel Color (Class I-IV)</t>
  </si>
  <si>
    <t>Synthetic / Nature-Identical Colors</t>
  </si>
  <si>
    <t>Vegetable extracts</t>
  </si>
  <si>
    <t>Food Processing / Clean Label</t>
  </si>
  <si>
    <t>Agricultural Raw Materials</t>
  </si>
  <si>
    <t>Oil &amp; Condiment Seeds</t>
  </si>
  <si>
    <t>Flour of dried vegetables</t>
  </si>
  <si>
    <t>Processed Spice Powders</t>
  </si>
  <si>
    <t>Cane or beet sugar, refined</t>
  </si>
  <si>
    <t>Sugar (White Crystal)</t>
  </si>
  <si>
    <t>Refined Sugar</t>
  </si>
  <si>
    <t>Cane sugar, raw</t>
  </si>
  <si>
    <t>Raw Sugar</t>
  </si>
  <si>
    <t>Raw Sugar Refining</t>
  </si>
  <si>
    <t>Beverages / Industrial Use</t>
  </si>
  <si>
    <t>Wheat flour</t>
  </si>
  <si>
    <t>Cereals &amp; Flours</t>
  </si>
  <si>
    <t>Milled Wheat Flour</t>
  </si>
  <si>
    <t>Bakery / Noodles / Sauces</t>
  </si>
  <si>
    <t>Maize (corn) starch</t>
  </si>
  <si>
    <t>Corn Starch</t>
  </si>
  <si>
    <t>Native Starches</t>
  </si>
  <si>
    <t>Native Corn Starch</t>
  </si>
  <si>
    <t>Sauces / Dairy / Confectionery</t>
  </si>
  <si>
    <t>Potato starch</t>
  </si>
  <si>
    <t>Potato Starch</t>
  </si>
  <si>
    <t>Native Potato Starch</t>
  </si>
  <si>
    <t>Sauces / Processed Food</t>
  </si>
  <si>
    <t>Edible Oils</t>
  </si>
  <si>
    <t>Crude Vegetable Oils</t>
  </si>
  <si>
    <t>Palm oil, refined</t>
  </si>
  <si>
    <t>Refined Palm Oil</t>
  </si>
  <si>
    <t>Refined Vegetable Oils</t>
  </si>
  <si>
    <t>Snacks / Margarine / Sauces</t>
  </si>
  <si>
    <t>Soybean oil, crude</t>
  </si>
  <si>
    <t>Crude Soybean Oil</t>
  </si>
  <si>
    <t>Food Manufacturing</t>
  </si>
  <si>
    <t>Soybean oil, refined</t>
  </si>
  <si>
    <t>Refined Soybean Oil</t>
  </si>
  <si>
    <t>Sauces / Industrial Use</t>
  </si>
  <si>
    <t>Sunflower oil</t>
  </si>
  <si>
    <t>Refined Seed Oils</t>
  </si>
  <si>
    <t>Snacks / Sauces / Frying</t>
  </si>
  <si>
    <t>Hydrogenated vegetable oils</t>
  </si>
  <si>
    <t>Shortening / Hydrogenated Oils</t>
  </si>
  <si>
    <t>Fats &amp; Shortening</t>
  </si>
  <si>
    <t>Industrial Shortening</t>
  </si>
  <si>
    <t>Bakery / Margarine</t>
  </si>
  <si>
    <t>Dairy Ingredients</t>
  </si>
  <si>
    <t>Lactose</t>
  </si>
  <si>
    <t>Milk Sugars</t>
  </si>
  <si>
    <t>Lactose Powder</t>
  </si>
  <si>
    <t>Confectionery / Pharma</t>
  </si>
  <si>
    <t>Salt (sodium chloride)</t>
  </si>
  <si>
    <t>Salt</t>
  </si>
  <si>
    <t>Mineral Salts</t>
  </si>
  <si>
    <t>Food Grade Salt</t>
  </si>
  <si>
    <t>All Food Processing</t>
  </si>
  <si>
    <t>Sodium bicarbonate</t>
  </si>
  <si>
    <t>Sodium Bicarbonate</t>
  </si>
  <si>
    <t>Baking Soda</t>
  </si>
  <si>
    <t>Bakery / Snacks</t>
  </si>
  <si>
    <t>Phosphates</t>
  </si>
  <si>
    <t>Salts &amp; Stabilizers</t>
  </si>
  <si>
    <t>Industrial Phosphates</t>
  </si>
  <si>
    <t>Meat / Processed Food</t>
  </si>
  <si>
    <t>Monosodium glutamate (MSG)</t>
  </si>
  <si>
    <t>MSG</t>
  </si>
  <si>
    <t>Flavor Enhancers</t>
  </si>
  <si>
    <t>Monosodium Glutamate</t>
  </si>
  <si>
    <t>Snacks / Seasonings</t>
  </si>
  <si>
    <t>Product Share %</t>
  </si>
  <si>
    <t>Index</t>
  </si>
  <si>
    <t>Page1_1</t>
  </si>
  <si>
    <t>Page1_2</t>
  </si>
  <si>
    <t>Page1_3</t>
  </si>
  <si>
    <t>Page2_1</t>
  </si>
  <si>
    <t>Country Index</t>
  </si>
  <si>
    <t>Country Top10</t>
  </si>
  <si>
    <t xml:space="preserve">Origin Rank </t>
  </si>
  <si>
    <t>Product Top10 Risk</t>
  </si>
  <si>
    <t>Low</t>
  </si>
  <si>
    <t>High</t>
  </si>
  <si>
    <t>Medium</t>
  </si>
  <si>
    <t>Risk</t>
  </si>
  <si>
    <t>(All)</t>
  </si>
  <si>
    <t xml:space="preserve">Spend_USDM </t>
  </si>
  <si>
    <t>Column1</t>
  </si>
  <si>
    <t>Origin Count</t>
  </si>
  <si>
    <t>Single Source</t>
  </si>
  <si>
    <t>Immediate Action</t>
  </si>
  <si>
    <t>Monitor Closely</t>
  </si>
  <si>
    <t>Routine Control</t>
  </si>
  <si>
    <t>(Multiple Items)</t>
  </si>
  <si>
    <t>Risk%</t>
  </si>
  <si>
    <t>Risk#</t>
  </si>
  <si>
    <t>Trade/Product/Page#3:Origin Volume &amp; Origin Share%</t>
  </si>
  <si>
    <t>Last Update</t>
  </si>
  <si>
    <t>Describtion</t>
  </si>
  <si>
    <t>Major global manufacturing and export hub; port congestion or trade restrictions can disrupt global supply chains</t>
  </si>
  <si>
    <t>World's largest palm oil producer; export bans or regulatory changes can disrupt vegetable oil supply</t>
  </si>
  <si>
    <t>Strategic control over the Strait of Hormuz; geopolitical tensions may disrupt global shipping routes</t>
  </si>
  <si>
    <t>Ongoing regional geopolitical tensions affecting Middle East stability and trade routes</t>
  </si>
  <si>
    <t>Important logistics gateway for Central and Eastern Europe</t>
  </si>
  <si>
    <t>Major exporter of grains, fertilizers, and energy; geopolitical conflicts disrupt global commodity markets</t>
  </si>
  <si>
    <t>Critical global maritime hub connecting Asian and global shipping lanes</t>
  </si>
  <si>
    <t>Strategic semiconductor and manufacturing hub with geopolitical tensions in the Taiwan Strait</t>
  </si>
  <si>
    <t>Currency volatility and regional geopolitical position affecting trade between Europe and Asia</t>
  </si>
  <si>
    <t>Major exporter of sunflower oil, grains, and agricultural commodities; conflict disrupts Black Sea trade</t>
  </si>
  <si>
    <t>Global financial and trade anchor; financial shocks influence global commodity markets</t>
  </si>
  <si>
    <t>Yes</t>
  </si>
  <si>
    <t xml:space="preserve">Crisis Impact% </t>
  </si>
  <si>
    <t xml:space="preserve">Crisis V Impact Ton </t>
  </si>
  <si>
    <t xml:space="preserve">Crisis Spend Impact </t>
  </si>
  <si>
    <t xml:space="preserve"> Crisis Impact%</t>
  </si>
  <si>
    <t>Rep. of Korea</t>
  </si>
  <si>
    <t>Propylene glycol (propane-1,2-diol)</t>
  </si>
  <si>
    <t>Propylene Glycol</t>
  </si>
  <si>
    <t>Solvents &amp; Humectants</t>
  </si>
  <si>
    <t>Beverages / Flavors / Pharma / Cosmetics</t>
  </si>
  <si>
    <t>Product</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</si>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</sst>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sz val="11"/>
      <color theme="0" tint="-0.499984740745262"/>
      <name val="Calibri"/>
      <family val="2"/>
      <scheme val="minor"/>
    </font>
    <font>
      <sz val="11"/>
      <color theme="1"/>
      <name val="Calibri"/>
      <family val="2"/>
      <scheme val="minor"/>
    </font>
    <font>
      <sz val="11"/>
      <color rgb="FF004EEA"/>
      <name val="Calibri"/>
      <family val="2"/>
      <scheme val="minor"/>
    </font>
    <font>
      <sz val="16"/>
      <color rgb="FF004EEA"/>
      <name val="Calibri"/>
      <family val="2"/>
      <scheme val="minor"/>
    </font>
    <font>
      <b/>
      <sz val="14"/>
      <color theme="0"/>
      <name val="Calibri"/>
      <family val="2"/>
      <scheme val="minor"/>
    </font>
    <font>
      <b/>
      <sz val="11"/>
      <color theme="0"/>
      <name val="Calibri Light"/>
      <family val="2"/>
      <scheme val="major"/>
    </font>
    <font>
      <sz val="16"/>
      <color rgb="FF0051F2"/>
      <name val="Times New Roman"/>
      <family val="1"/>
    </font>
    <font>
      <sz val="12"/>
      <color rgb="FF004EEA"/>
      <name val="Calibri"/>
      <family val="2"/>
      <scheme val="minor"/>
    </font>
    <font>
      <sz val="11"/>
      <color theme="0"/>
      <name val="Calibri"/>
      <family val="2"/>
      <scheme val="minor"/>
    </font>
    <font>
      <b/>
      <sz val="11"/>
      <color rgb="FFFF0000"/>
      <name val="Calibri"/>
      <family val="2"/>
      <scheme val="minor"/>
    </font>
    <font>
      <b/>
      <sz val="10"/>
      <color indexed="10"/>
      <name val="Calibri"/>
      <family val="2"/>
      <scheme val="minor"/>
    </font>
    <font>
      <b/>
      <sz val="10"/>
      <color rgb="FF0066CC"/>
      <name val="Calibri"/>
      <family val="2"/>
    </font>
    <font>
      <b/>
      <sz val="10"/>
      <color rgb="FFFF0000"/>
      <name val="Calibri"/>
      <family val="2"/>
    </font>
    <font>
      <b/>
      <sz val="11"/>
      <color theme="1"/>
      <name val="Calibri"/>
      <family val="2"/>
      <scheme val="minor"/>
    </font>
  </fonts>
  <fills count="12">
    <fill>
      <patternFill patternType="none"/>
    </fill>
    <fill>
      <patternFill patternType="gray125"/>
    </fill>
    <fill>
      <patternFill patternType="solid">
        <fgColor theme="0" tint="-4.9989318521683403E-2"/>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rgb="FF004EEA"/>
        <bgColor indexed="64"/>
      </patternFill>
    </fill>
    <fill>
      <patternFill patternType="solid">
        <fgColor rgb="FFEBF2FF"/>
        <bgColor indexed="64"/>
      </patternFill>
    </fill>
    <fill>
      <patternFill patternType="solid">
        <fgColor theme="0" tint="-0.249977111117893"/>
        <bgColor indexed="64"/>
      </patternFill>
    </fill>
    <fill>
      <patternFill patternType="solid">
        <fgColor rgb="FFFF0000"/>
        <bgColor indexed="64"/>
      </patternFill>
    </fill>
    <fill>
      <patternFill patternType="solid">
        <fgColor theme="0"/>
        <bgColor indexed="64"/>
      </patternFill>
    </fill>
    <fill>
      <patternFill patternType="solid">
        <fgColor theme="1"/>
        <bgColor indexed="64"/>
      </patternFill>
    </fill>
    <fill>
      <patternFill patternType="solid">
        <fgColor rgb="FFFFE5E5"/>
        <bgColor indexed="64"/>
      </patternFill>
    </fill>
  </fills>
  <borders count="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0" fontId="2" fillId="0" borderId="0"/>
  </cellStyleXfs>
  <cellXfs count="89">
    <xf numFmtId="0" fontId="0" fillId="0" borderId="0" xfId="0"/>
    <xf numFmtId="0" fontId="0" fillId="0" borderId="0" xfId="0" applyAlignment="1">
      <alignment horizontal="left"/>
    </xf>
    <xf numFmtId="0" fontId="1" fillId="2" borderId="0" xfId="0" applyFont="1" applyFill="1" applyAlignment="1">
      <alignment horizontal="left"/>
    </xf>
    <xf numFmtId="3" fontId="1" fillId="2" borderId="0" xfId="0" applyNumberFormat="1" applyFont="1" applyFill="1" applyAlignment="1">
      <alignment horizontal="left"/>
    </xf>
    <xf numFmtId="3" fontId="0" fillId="0" borderId="0" xfId="0" applyNumberFormat="1" applyAlignment="1">
      <alignment horizontal="left"/>
    </xf>
    <xf numFmtId="9" fontId="0" fillId="0" borderId="0" xfId="0" applyNumberFormat="1" applyAlignment="1">
      <alignment horizontal="left"/>
    </xf>
    <xf numFmtId="9" fontId="3" fillId="6" borderId="0" xfId="0" applyNumberFormat="1" applyFont="1" applyFill="1" applyAlignment="1">
      <alignment horizontal="left"/>
    </xf>
    <xf numFmtId="0" fontId="0" fillId="0" borderId="0" xfId="0" applyAlignment="1">
      <alignment horizontal="left" vertical="top"/>
    </xf>
    <xf numFmtId="3" fontId="3" fillId="6" borderId="0" xfId="0" applyNumberFormat="1" applyFont="1" applyFill="1" applyAlignment="1">
      <alignment horizontal="left"/>
    </xf>
    <xf numFmtId="4" fontId="3" fillId="6" borderId="0" xfId="0" applyNumberFormat="1" applyFont="1" applyFill="1" applyAlignment="1">
      <alignment horizontal="left"/>
    </xf>
    <xf numFmtId="0" fontId="0" fillId="0" borderId="0" xfId="0" applyAlignment="1">
      <alignment vertical="top"/>
    </xf>
    <xf numFmtId="0" fontId="0" fillId="3" borderId="0" xfId="0" applyFill="1" applyAlignment="1">
      <alignment horizontal="left" vertical="top" wrapText="1"/>
    </xf>
    <xf numFmtId="3" fontId="0" fillId="3" borderId="0" xfId="0" applyNumberFormat="1" applyFill="1" applyAlignment="1">
      <alignment horizontal="left" vertical="top" wrapText="1"/>
    </xf>
    <xf numFmtId="0" fontId="0" fillId="5" borderId="0" xfId="0" applyFill="1" applyAlignment="1">
      <alignment horizontal="left" vertical="top" wrapText="1"/>
    </xf>
    <xf numFmtId="3" fontId="0" fillId="5" borderId="0" xfId="0" applyNumberFormat="1" applyFill="1" applyAlignment="1">
      <alignment horizontal="left" vertical="top" wrapText="1"/>
    </xf>
    <xf numFmtId="0" fontId="0" fillId="7" borderId="0" xfId="0" applyFill="1" applyAlignment="1">
      <alignment horizontal="left" vertical="top" wrapText="1"/>
    </xf>
    <xf numFmtId="0" fontId="0" fillId="5" borderId="0" xfId="0" applyFill="1" applyAlignment="1">
      <alignment vertical="top" wrapText="1"/>
    </xf>
    <xf numFmtId="0" fontId="3" fillId="6" borderId="0" xfId="0" applyFont="1" applyFill="1" applyAlignment="1">
      <alignment horizontal="left"/>
    </xf>
    <xf numFmtId="0" fontId="6" fillId="0" borderId="0" xfId="1" applyFont="1" applyAlignment="1">
      <alignment vertical="center"/>
    </xf>
    <xf numFmtId="0" fontId="4" fillId="0" borderId="0" xfId="0" applyFont="1" applyAlignment="1">
      <alignment vertical="center"/>
    </xf>
    <xf numFmtId="0" fontId="0" fillId="7" borderId="0" xfId="0" applyFill="1" applyAlignment="1">
      <alignment horizontal="left"/>
    </xf>
    <xf numFmtId="0" fontId="7" fillId="0" borderId="0" xfId="0" applyFont="1" applyAlignment="1">
      <alignment vertical="center"/>
    </xf>
    <xf numFmtId="0" fontId="0" fillId="9" borderId="0" xfId="0" applyFill="1"/>
    <xf numFmtId="0" fontId="0" fillId="0" borderId="0" xfId="0" pivotButton="1" applyAlignment="1">
      <alignment horizontal="left"/>
    </xf>
    <xf numFmtId="3" fontId="0" fillId="0" borderId="0" xfId="0" applyNumberFormat="1"/>
    <xf numFmtId="0" fontId="0" fillId="0" borderId="0" xfId="0" applyAlignment="1">
      <alignment horizontal="center"/>
    </xf>
    <xf numFmtId="0" fontId="0" fillId="7" borderId="0" xfId="0" applyFill="1"/>
    <xf numFmtId="0" fontId="1" fillId="2" borderId="0" xfId="0" applyFont="1" applyFill="1"/>
    <xf numFmtId="0" fontId="0" fillId="7" borderId="0" xfId="0" applyFill="1" applyAlignment="1">
      <alignment horizontal="center"/>
    </xf>
    <xf numFmtId="0" fontId="1" fillId="2" borderId="0" xfId="0" applyFont="1" applyFill="1" applyAlignment="1">
      <alignment horizontal="center"/>
    </xf>
    <xf numFmtId="9" fontId="0" fillId="0" borderId="0" xfId="0" applyNumberFormat="1" applyAlignment="1">
      <alignment horizontal="center"/>
    </xf>
    <xf numFmtId="9" fontId="0" fillId="7" borderId="0" xfId="0" applyNumberFormat="1" applyFill="1" applyAlignment="1">
      <alignment horizontal="center"/>
    </xf>
    <xf numFmtId="9" fontId="1" fillId="2" borderId="0" xfId="0" applyNumberFormat="1" applyFont="1" applyFill="1" applyAlignment="1">
      <alignment horizontal="center"/>
    </xf>
    <xf numFmtId="9" fontId="0" fillId="5" borderId="0" xfId="0" applyNumberFormat="1" applyFill="1" applyAlignment="1">
      <alignment horizontal="left" vertical="top" wrapText="1"/>
    </xf>
    <xf numFmtId="0" fontId="0" fillId="0" borderId="0" xfId="0" pivotButton="1"/>
    <xf numFmtId="0" fontId="0" fillId="0" borderId="0" xfId="0" pivotButton="1" applyAlignment="1">
      <alignment horizontal="center"/>
    </xf>
    <xf numFmtId="3" fontId="0" fillId="0" borderId="0" xfId="0" applyNumberFormat="1" applyAlignment="1">
      <alignment horizontal="center"/>
    </xf>
    <xf numFmtId="0" fontId="4" fillId="9" borderId="0" xfId="0" applyFont="1" applyFill="1" applyAlignment="1">
      <alignment vertical="center"/>
    </xf>
    <xf numFmtId="0" fontId="0" fillId="10" borderId="0" xfId="0" applyFill="1"/>
    <xf numFmtId="3" fontId="0" fillId="10" borderId="0" xfId="0" applyNumberFormat="1" applyFill="1" applyAlignment="1">
      <alignment horizontal="left"/>
    </xf>
    <xf numFmtId="0" fontId="0" fillId="0" borderId="0" xfId="0" applyAlignment="1">
      <alignment horizontal="left" vertical="center"/>
    </xf>
    <xf numFmtId="0" fontId="9" fillId="10" borderId="0" xfId="0" applyFont="1" applyFill="1" applyAlignment="1">
      <alignment horizontal="left" vertical="center"/>
    </xf>
    <xf numFmtId="0" fontId="9" fillId="10" borderId="0" xfId="0" applyFont="1" applyFill="1" applyAlignment="1">
      <alignment horizontal="center" vertical="center"/>
    </xf>
    <xf numFmtId="0" fontId="9" fillId="10" borderId="0" xfId="0" applyFont="1" applyFill="1" applyAlignment="1">
      <alignment horizontal="center"/>
    </xf>
    <xf numFmtId="0" fontId="4" fillId="2" borderId="0" xfId="0" applyFont="1" applyFill="1" applyAlignment="1">
      <alignment horizontal="left" vertical="center"/>
    </xf>
    <xf numFmtId="0" fontId="3" fillId="2" borderId="0" xfId="0" applyFont="1" applyFill="1" applyAlignment="1">
      <alignment horizontal="center" vertical="center"/>
    </xf>
    <xf numFmtId="0" fontId="8" fillId="2" borderId="0" xfId="0" applyFont="1" applyFill="1" applyAlignment="1">
      <alignment horizontal="left" vertical="center"/>
    </xf>
    <xf numFmtId="0" fontId="3" fillId="2" borderId="0" xfId="0" applyFont="1" applyFill="1" applyAlignment="1">
      <alignment horizontal="left" vertical="center"/>
    </xf>
    <xf numFmtId="0" fontId="5" fillId="8" borderId="0" xfId="1" applyFont="1" applyFill="1" applyAlignment="1">
      <alignment horizontal="left" vertical="center"/>
    </xf>
    <xf numFmtId="0" fontId="0" fillId="6" borderId="0" xfId="0" applyFill="1" applyAlignment="1">
      <alignment horizontal="left" vertical="center"/>
    </xf>
    <xf numFmtId="0" fontId="0" fillId="4" borderId="0" xfId="0" applyFill="1" applyAlignment="1">
      <alignment horizontal="left" vertical="center"/>
    </xf>
    <xf numFmtId="0" fontId="0" fillId="0" borderId="0" xfId="0" applyNumberFormat="1"/>
    <xf numFmtId="9" fontId="0" fillId="0" borderId="0" xfId="0" applyNumberFormat="1"/>
    <xf numFmtId="0" fontId="0" fillId="0" borderId="0" xfId="0" applyNumberFormat="1" applyAlignment="1">
      <alignment horizontal="left"/>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0" xfId="0"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3" fillId="2" borderId="0" xfId="0" applyFont="1" applyFill="1"/>
    <xf numFmtId="17" fontId="3" fillId="2" borderId="0" xfId="0" applyNumberFormat="1" applyFont="1" applyFill="1" applyAlignment="1">
      <alignment horizontal="left"/>
    </xf>
    <xf numFmtId="0" fontId="1" fillId="2" borderId="0" xfId="0" applyNumberFormat="1" applyFont="1" applyFill="1" applyAlignment="1">
      <alignment horizontal="left"/>
    </xf>
    <xf numFmtId="0" fontId="1" fillId="2" borderId="0" xfId="0" applyFont="1" applyFill="1" applyAlignment="1">
      <alignment horizontal="left" vertical="top"/>
    </xf>
    <xf numFmtId="0" fontId="1" fillId="2" borderId="0" xfId="0" applyFont="1" applyFill="1" applyAlignment="1">
      <alignment horizontal="center" vertical="top"/>
    </xf>
    <xf numFmtId="9" fontId="1" fillId="2" borderId="0" xfId="0" applyNumberFormat="1" applyFont="1" applyFill="1" applyAlignment="1">
      <alignment horizontal="center" vertical="top"/>
    </xf>
    <xf numFmtId="0" fontId="1" fillId="2" borderId="0" xfId="0" applyFont="1" applyFill="1" applyAlignment="1">
      <alignment horizontal="left" vertical="top" wrapText="1"/>
    </xf>
    <xf numFmtId="0" fontId="14" fillId="0" borderId="0" xfId="0" applyFont="1" applyAlignment="1">
      <alignment horizontal="center" vertical="center" wrapText="1"/>
    </xf>
    <xf numFmtId="0" fontId="0" fillId="0" borderId="0" xfId="0" applyAlignment="1">
      <alignment vertical="center" wrapText="1"/>
    </xf>
    <xf numFmtId="9" fontId="0" fillId="0" borderId="0" xfId="0" applyNumberFormat="1" applyAlignment="1">
      <alignment vertical="center" wrapText="1"/>
    </xf>
    <xf numFmtId="4" fontId="0" fillId="0" borderId="0" xfId="0" applyNumberFormat="1" applyAlignment="1">
      <alignment horizontal="left"/>
    </xf>
    <xf numFmtId="0" fontId="3" fillId="6" borderId="0" xfId="0" applyNumberFormat="1" applyFont="1" applyFill="1" applyAlignment="1">
      <alignment horizontal="left"/>
    </xf>
    <xf numFmtId="0" fontId="0" fillId="0" borderId="0" xfId="0" applyFill="1" applyBorder="1" applyAlignment="1">
      <alignment horizontal="left"/>
    </xf>
    <xf numFmtId="0" fontId="0" fillId="0" borderId="0" xfId="0" applyFill="1" applyBorder="1"/>
    <xf numFmtId="3" fontId="0" fillId="0" borderId="0" xfId="0" applyNumberFormat="1" applyFill="1" applyBorder="1"/>
    <xf numFmtId="0" fontId="10" fillId="11" borderId="0" xfId="1" applyFont="1" applyFill="1" applyAlignment="1">
      <alignment horizontal="left" vertical="center"/>
    </xf>
    <xf numFmtId="0" fontId="14" fillId="4" borderId="0" xfId="0" applyFont="1" applyFill="1" applyAlignment="1">
      <alignment horizontal="left"/>
    </xf>
    <xf numFmtId="0" fontId="14" fillId="0" borderId="0" xfId="0" applyFont="1" applyAlignment="1">
      <alignment horizontal="center"/>
    </xf>
    <xf numFmtId="0" fontId="14" fillId="0" borderId="0" xfId="0" applyFont="1"/>
    <xf numFmtId="0" fontId="14" fillId="6" borderId="0" xfId="0" applyFont="1" applyFill="1" applyAlignment="1">
      <alignment horizontal="left"/>
    </xf>
    <xf numFmtId="0" fontId="14" fillId="0" borderId="0" xfId="0" applyFont="1" applyAlignment="1">
      <alignment horizontal="left"/>
    </xf>
    <xf numFmtId="0" fontId="14" fillId="0" borderId="0" xfId="0" applyFont="1" applyFill="1" applyAlignment="1">
      <alignment horizontal="left"/>
    </xf>
    <xf numFmtId="0" fontId="0" fillId="0" borderId="0" xfId="0" applyFill="1" applyAlignment="1">
      <alignment horizontal="left" vertical="center"/>
    </xf>
    <xf numFmtId="0" fontId="0" fillId="0" borderId="0" xfId="0" applyFill="1"/>
    <xf numFmtId="0" fontId="0" fillId="4" borderId="0" xfId="0" applyFill="1" applyAlignment="1">
      <alignment horizontal="center"/>
    </xf>
  </cellXfs>
  <cellStyles count="2">
    <cellStyle name="Normal" xfId="0" builtinId="0"/>
    <cellStyle name="Normal 6" xfId="1" xr:uid="{D540ABE4-9B2B-4981-8657-51B5987BBBC4}"/>
  </cellStyles>
  <dxfs count="165">
    <dxf>
      <font>
        <strike val="0"/>
        <outline val="0"/>
        <shadow val="0"/>
        <u val="none"/>
        <vertAlign val="baseline"/>
        <sz val="11"/>
        <color theme="0" tint="-0.499984740745262"/>
        <name val="Calibri"/>
        <family val="2"/>
        <scheme val="minor"/>
      </font>
      <fill>
        <patternFill patternType="solid">
          <fgColor indexed="64"/>
          <bgColor theme="0" tint="-4.9989318521683403E-2"/>
        </patternFill>
      </fill>
      <alignment horizontal="left" vertical="bottom" textRotation="0" wrapText="0" indent="0" justifyLastLine="0" shrinkToFit="0" readingOrder="0"/>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numFmt numFmtId="3" formatCode="#,##0"/>
    </dxf>
    <dxf>
      <numFmt numFmtId="3" formatCode="#,##0"/>
    </dxf>
    <dxf>
      <numFmt numFmtId="3" formatCode="#,##0"/>
    </dxf>
    <dxf>
      <font>
        <b val="0"/>
        <i val="0"/>
        <strike val="0"/>
        <condense val="0"/>
        <extend val="0"/>
        <outline val="0"/>
        <shadow val="0"/>
        <u val="none"/>
        <vertAlign val="baseline"/>
        <sz val="11"/>
        <color rgb="FF004EEA"/>
        <name val="Calibri"/>
        <family val="2"/>
        <scheme val="minor"/>
      </font>
      <numFmt numFmtId="13" formatCode="0%"/>
      <fill>
        <patternFill patternType="solid">
          <fgColor indexed="64"/>
          <bgColor rgb="FFEBF2FF"/>
        </patternFill>
      </fill>
      <alignment horizontal="left" vertical="bottom" textRotation="0" wrapText="0" indent="0" justifyLastLine="0" shrinkToFit="0" readingOrder="0"/>
    </dxf>
    <dxf>
      <font>
        <b val="0"/>
        <i val="0"/>
        <strike val="0"/>
        <condense val="0"/>
        <extend val="0"/>
        <outline val="0"/>
        <shadow val="0"/>
        <u val="none"/>
        <vertAlign val="baseline"/>
        <sz val="11"/>
        <color rgb="FF004EEA"/>
        <name val="Calibri"/>
        <family val="2"/>
        <scheme val="minor"/>
      </font>
      <numFmt numFmtId="3" formatCode="#,##0"/>
      <fill>
        <patternFill patternType="solid">
          <fgColor indexed="64"/>
          <bgColor rgb="FFEBF2FF"/>
        </patternFill>
      </fill>
      <alignment horizontal="left" vertical="bottom" textRotation="0" wrapText="0" indent="0" justifyLastLine="0" shrinkToFit="0" readingOrder="0"/>
    </dxf>
    <dxf>
      <font>
        <b val="0"/>
        <i val="0"/>
        <strike val="0"/>
        <condense val="0"/>
        <extend val="0"/>
        <outline val="0"/>
        <shadow val="0"/>
        <u val="none"/>
        <vertAlign val="baseline"/>
        <sz val="11"/>
        <color theme="0" tint="-0.499984740745262"/>
        <name val="Calibri"/>
        <family val="2"/>
        <scheme val="minor"/>
      </font>
      <fill>
        <patternFill patternType="solid">
          <fgColor indexed="64"/>
          <bgColor theme="0" tint="-4.9989318521683403E-2"/>
        </patternFill>
      </fill>
    </dxf>
    <dxf>
      <font>
        <strike val="0"/>
        <outline val="0"/>
        <shadow val="0"/>
        <u val="none"/>
        <vertAlign val="baseline"/>
        <sz val="11"/>
        <color theme="0" tint="-0.499984740745262"/>
        <name val="Calibri"/>
        <family val="2"/>
        <scheme val="minor"/>
      </font>
      <numFmt numFmtId="13" formatCode="0%"/>
      <fill>
        <patternFill patternType="solid">
          <fgColor indexed="64"/>
          <bgColor theme="0" tint="-4.9989318521683403E-2"/>
        </patternFill>
      </fill>
      <alignment horizontal="center" vertical="bottom" textRotation="0" wrapText="0" indent="0" justifyLastLine="0" shrinkToFit="0" readingOrder="0"/>
    </dxf>
    <dxf>
      <font>
        <strike val="0"/>
        <outline val="0"/>
        <shadow val="0"/>
        <u val="none"/>
        <vertAlign val="baseline"/>
        <sz val="11"/>
        <color rgb="FF004EEA"/>
        <name val="Calibri"/>
        <family val="2"/>
        <scheme val="minor"/>
      </font>
      <numFmt numFmtId="0" formatCode="General"/>
      <fill>
        <patternFill patternType="solid">
          <fgColor indexed="64"/>
          <bgColor rgb="FFEBF2FF"/>
        </patternFill>
      </fill>
      <alignment horizontal="left" vertical="bottom" textRotation="0" wrapText="0" indent="0" justifyLastLine="0" shrinkToFit="0" readingOrder="0"/>
    </dxf>
    <dxf>
      <font>
        <strike val="0"/>
        <outline val="0"/>
        <shadow val="0"/>
        <u val="none"/>
        <vertAlign val="baseline"/>
        <sz val="11"/>
        <color rgb="FF004EEA"/>
        <name val="Calibri"/>
        <family val="2"/>
        <scheme val="minor"/>
      </font>
      <numFmt numFmtId="0" formatCode="General"/>
      <fill>
        <patternFill patternType="solid">
          <fgColor indexed="64"/>
          <bgColor rgb="FFEBF2FF"/>
        </patternFill>
      </fill>
      <alignment horizontal="left" vertical="bottom" textRotation="0" wrapText="0" indent="0" justifyLastLine="0" shrinkToFit="0" readingOrder="0"/>
    </dxf>
    <dxf>
      <font>
        <strike val="0"/>
        <outline val="0"/>
        <shadow val="0"/>
        <u val="none"/>
        <vertAlign val="baseline"/>
        <sz val="11"/>
        <color rgb="FF004EEA"/>
        <name val="Calibri"/>
        <family val="2"/>
        <scheme val="minor"/>
      </font>
      <numFmt numFmtId="0" formatCode="General"/>
      <fill>
        <patternFill patternType="solid">
          <fgColor indexed="64"/>
          <bgColor rgb="FFEBF2FF"/>
        </patternFill>
      </fill>
      <alignment horizontal="left" vertical="bottom" textRotation="0" wrapText="0" indent="0" justifyLastLine="0" shrinkToFit="0" readingOrder="0"/>
    </dxf>
    <dxf>
      <font>
        <b val="0"/>
        <i val="0"/>
        <strike val="0"/>
        <condense val="0"/>
        <extend val="0"/>
        <outline val="0"/>
        <shadow val="0"/>
        <u val="none"/>
        <vertAlign val="baseline"/>
        <sz val="11"/>
        <color rgb="FF004EEA"/>
        <name val="Calibri"/>
        <family val="2"/>
        <scheme val="minor"/>
      </font>
      <numFmt numFmtId="3" formatCode="#,##0"/>
      <fill>
        <patternFill patternType="solid">
          <fgColor indexed="64"/>
          <bgColor rgb="FFEBF2FF"/>
        </patternFill>
      </fill>
      <alignment horizontal="left" vertical="bottom" textRotation="0" wrapText="0" indent="0" justifyLastLine="0" shrinkToFit="0" readingOrder="0"/>
    </dxf>
    <dxf>
      <alignment horizontal="left"/>
    </dxf>
    <dxf>
      <alignment horizontal="left"/>
    </dxf>
    <dxf>
      <alignment horizontal="left"/>
    </dxf>
    <dxf>
      <alignment horizontal="left"/>
    </dxf>
    <dxf>
      <numFmt numFmtId="3" formatCode="#,##0"/>
    </dxf>
    <dxf>
      <numFmt numFmtId="3" formatCode="#,##0"/>
    </dxf>
    <dxf>
      <alignment horizontal="left"/>
    </dxf>
    <dxf>
      <alignment horizontal="left"/>
    </dxf>
    <dxf>
      <alignment horizontal="center"/>
    </dxf>
    <dxf>
      <alignment horizontal="center"/>
    </dxf>
    <dxf>
      <alignment horizontal="center"/>
    </dxf>
    <dxf>
      <alignment horizontal="center"/>
    </dxf>
    <dxf>
      <numFmt numFmtId="3" formatCode="#,##0"/>
    </dxf>
    <dxf>
      <numFmt numFmtId="3" formatCode="#,##0"/>
    </dxf>
    <dxf>
      <alignment horizontal="left"/>
    </dxf>
    <dxf>
      <alignment horizontal="left"/>
    </dxf>
    <dxf>
      <alignment horizontal="left"/>
    </dxf>
    <dxf>
      <alignment horizontal="left"/>
    </dxf>
    <dxf>
      <alignment horizontal="center"/>
    </dxf>
    <dxf>
      <alignment horizontal="center"/>
    </dxf>
    <dxf>
      <alignment horizontal="center"/>
    </dxf>
    <dxf>
      <alignment horizontal="center"/>
    </dxf>
    <dxf>
      <alignment horizontal="left"/>
    </dxf>
    <dxf>
      <alignment horizontal="left"/>
    </dxf>
    <dxf>
      <alignment horizontal="left"/>
    </dxf>
    <dxf>
      <alignment horizontal="left"/>
    </dxf>
    <dxf>
      <alignment horizontal="center"/>
    </dxf>
    <dxf>
      <alignment horizontal="center"/>
    </dxf>
    <dxf>
      <alignment horizontal="center"/>
    </dxf>
    <dxf>
      <alignment horizontal="center"/>
    </dxf>
    <dxf>
      <alignment horizontal="left"/>
    </dxf>
    <dxf>
      <alignment horizontal="left"/>
    </dxf>
    <dxf>
      <alignment horizontal="left"/>
    </dxf>
    <dxf>
      <alignment horizontal="left"/>
    </dxf>
    <dxf>
      <font>
        <strike val="0"/>
        <outline val="0"/>
        <shadow val="0"/>
        <u val="none"/>
        <vertAlign val="baseline"/>
        <sz val="11"/>
        <color theme="0" tint="-0.499984740745262"/>
        <name val="Calibri"/>
        <family val="2"/>
        <scheme val="minor"/>
      </font>
      <fill>
        <patternFill patternType="solid">
          <fgColor indexed="64"/>
          <bgColor theme="0" tint="-4.9989318521683403E-2"/>
        </patternFill>
      </fill>
      <alignment horizontal="center" vertical="bottom" textRotation="0" wrapText="0" indent="0" justifyLastLine="0" shrinkToFit="0" readingOrder="0"/>
    </dxf>
    <dxf>
      <font>
        <strike val="0"/>
        <outline val="0"/>
        <shadow val="0"/>
        <u val="none"/>
        <vertAlign val="baseline"/>
        <sz val="11"/>
        <color theme="0" tint="-0.499984740745262"/>
        <name val="Calibri"/>
        <family val="2"/>
        <scheme val="minor"/>
      </font>
      <fill>
        <patternFill patternType="solid">
          <fgColor indexed="64"/>
          <bgColor theme="0" tint="-4.9989318521683403E-2"/>
        </patternFill>
      </fill>
      <alignment horizontal="center" vertical="bottom" textRotation="0" wrapText="0" indent="0" justifyLastLine="0" shrinkToFit="0" readingOrder="0"/>
    </dxf>
    <dxf>
      <font>
        <strike val="0"/>
        <outline val="0"/>
        <shadow val="0"/>
        <u val="none"/>
        <vertAlign val="baseline"/>
        <sz val="11"/>
        <color theme="0" tint="-0.499984740745262"/>
        <name val="Calibri"/>
        <family val="2"/>
        <scheme val="minor"/>
      </font>
      <fill>
        <patternFill patternType="solid">
          <fgColor indexed="64"/>
          <bgColor theme="0" tint="-4.9989318521683403E-2"/>
        </patternFill>
      </fill>
      <alignment horizontal="center" vertical="bottom" textRotation="0" wrapText="0" indent="0" justifyLastLine="0" shrinkToFit="0" readingOrder="0"/>
    </dxf>
    <dxf>
      <font>
        <strike val="0"/>
        <outline val="0"/>
        <shadow val="0"/>
        <u val="none"/>
        <vertAlign val="baseline"/>
        <sz val="11"/>
        <color theme="0" tint="-0.499984740745262"/>
        <name val="Calibri"/>
        <family val="2"/>
        <scheme val="minor"/>
      </font>
      <fill>
        <patternFill patternType="solid">
          <fgColor indexed="64"/>
          <bgColor theme="0" tint="-4.9989318521683403E-2"/>
        </patternFill>
      </fill>
      <alignment horizontal="center" vertical="bottom" textRotation="0" wrapText="0" indent="0" justifyLastLine="0" shrinkToFit="0" readingOrder="0"/>
    </dxf>
    <dxf>
      <font>
        <strike val="0"/>
        <outline val="0"/>
        <shadow val="0"/>
        <u val="none"/>
        <vertAlign val="baseline"/>
        <sz val="11"/>
        <color theme="0" tint="-0.499984740745262"/>
        <name val="Calibri"/>
        <family val="2"/>
        <scheme val="minor"/>
      </font>
      <fill>
        <patternFill patternType="solid">
          <fgColor indexed="64"/>
          <bgColor theme="0" tint="-4.9989318521683403E-2"/>
        </patternFill>
      </fill>
      <alignment horizontal="center" vertical="bottom" textRotation="0" wrapText="0" indent="0" justifyLastLine="0" shrinkToFit="0" readingOrder="0"/>
    </dxf>
    <dxf>
      <font>
        <strike val="0"/>
        <outline val="0"/>
        <shadow val="0"/>
        <u val="none"/>
        <vertAlign val="baseline"/>
        <sz val="11"/>
        <color theme="0" tint="-0.499984740745262"/>
        <name val="Calibri"/>
        <family val="2"/>
        <scheme val="minor"/>
      </font>
      <fill>
        <patternFill patternType="solid">
          <fgColor indexed="64"/>
          <bgColor theme="0" tint="-4.9989318521683403E-2"/>
        </patternFill>
      </fill>
      <alignment horizontal="center" vertical="bottom" textRotation="0" wrapText="0" indent="0" justifyLastLine="0" shrinkToFit="0" readingOrder="0"/>
    </dxf>
    <dxf>
      <font>
        <strike val="0"/>
        <outline val="0"/>
        <shadow val="0"/>
        <u val="none"/>
        <vertAlign val="baseline"/>
        <sz val="11"/>
        <color theme="0" tint="-0.499984740745262"/>
        <name val="Calibri"/>
        <family val="2"/>
        <scheme val="minor"/>
      </font>
      <fill>
        <patternFill patternType="solid">
          <fgColor indexed="64"/>
          <bgColor theme="0" tint="-4.9989318521683403E-2"/>
        </patternFill>
      </fill>
    </dxf>
    <dxf>
      <font>
        <strike val="0"/>
        <outline val="0"/>
        <shadow val="0"/>
        <u val="none"/>
        <vertAlign val="baseline"/>
        <sz val="11"/>
        <color theme="0" tint="-0.499984740745262"/>
        <name val="Calibri"/>
        <family val="2"/>
        <scheme val="minor"/>
      </font>
      <fill>
        <patternFill patternType="solid">
          <fgColor indexed="64"/>
          <bgColor theme="0" tint="-4.9989318521683403E-2"/>
        </patternFill>
      </fill>
    </dxf>
    <dxf>
      <fill>
        <patternFill patternType="solid">
          <fgColor indexed="64"/>
          <bgColor theme="0" tint="-0.249977111117893"/>
        </patternFill>
      </fill>
    </dxf>
    <dxf>
      <font>
        <strike val="0"/>
        <outline val="0"/>
        <shadow val="0"/>
        <u val="none"/>
        <vertAlign val="baseline"/>
        <sz val="11"/>
        <color theme="0" tint="-0.499984740745262"/>
        <name val="Calibri"/>
        <family val="2"/>
        <scheme val="minor"/>
      </font>
      <fill>
        <patternFill patternType="solid">
          <fgColor indexed="64"/>
          <bgColor theme="0" tint="-4.9989318521683403E-2"/>
        </patternFill>
      </fill>
      <alignment horizontal="center" vertical="bottom" textRotation="0" wrapText="0" indent="0" justifyLastLine="0" shrinkToFit="0" readingOrder="0"/>
    </dxf>
    <dxf>
      <font>
        <strike val="0"/>
        <outline val="0"/>
        <shadow val="0"/>
        <u val="none"/>
        <vertAlign val="baseline"/>
        <sz val="11"/>
        <color theme="0" tint="-0.499984740745262"/>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dxf>
    <dxf>
      <font>
        <strike val="0"/>
        <outline val="0"/>
        <shadow val="0"/>
        <u val="none"/>
        <vertAlign val="baseline"/>
        <sz val="11"/>
        <color theme="0" tint="-0.499984740745262"/>
        <name val="Calibri"/>
        <family val="2"/>
        <scheme val="minor"/>
      </font>
      <fill>
        <patternFill patternType="solid">
          <fgColor indexed="64"/>
          <bgColor theme="0" tint="-4.9989318521683403E-2"/>
        </patternFill>
      </fill>
    </dxf>
    <dxf>
      <font>
        <strike val="0"/>
        <outline val="0"/>
        <shadow val="0"/>
        <u val="none"/>
        <vertAlign val="baseline"/>
        <sz val="11"/>
        <color theme="0" tint="-0.499984740745262"/>
        <name val="Calibri"/>
        <family val="2"/>
        <scheme val="minor"/>
      </font>
      <fill>
        <patternFill patternType="solid">
          <fgColor indexed="64"/>
          <bgColor theme="0" tint="-4.9989318521683403E-2"/>
        </patternFill>
      </fill>
    </dxf>
    <dxf>
      <font>
        <strike val="0"/>
        <outline val="0"/>
        <shadow val="0"/>
        <u val="none"/>
        <vertAlign val="baseline"/>
        <sz val="11"/>
        <color theme="0" tint="-0.499984740745262"/>
        <name val="Calibri"/>
        <family val="2"/>
        <scheme val="minor"/>
      </font>
      <numFmt numFmtId="0" formatCode="General"/>
      <fill>
        <patternFill patternType="solid">
          <fgColor indexed="64"/>
          <bgColor theme="0" tint="-4.9989318521683403E-2"/>
        </patternFill>
      </fill>
      <alignment horizontal="left" vertical="bottom" textRotation="0" wrapText="0" indent="0" justifyLastLine="0" shrinkToFit="0" readingOrder="0"/>
    </dxf>
    <dxf>
      <font>
        <strike val="0"/>
        <outline val="0"/>
        <shadow val="0"/>
        <u val="none"/>
        <vertAlign val="baseline"/>
        <sz val="11"/>
        <color theme="0" tint="-0.499984740745262"/>
        <name val="Calibri"/>
        <family val="2"/>
        <scheme val="minor"/>
      </font>
      <fill>
        <patternFill patternType="solid">
          <fgColor indexed="64"/>
          <bgColor theme="0" tint="-4.9989318521683403E-2"/>
        </patternFill>
      </fill>
    </dxf>
    <dxf>
      <fill>
        <patternFill patternType="solid">
          <fgColor indexed="64"/>
          <bgColor theme="0" tint="-0.249977111117893"/>
        </patternFill>
      </fill>
    </dxf>
    <dxf>
      <font>
        <strike val="0"/>
        <outline val="0"/>
        <shadow val="0"/>
        <u val="none"/>
        <vertAlign val="baseline"/>
        <sz val="11"/>
        <color rgb="FF004EEA"/>
        <name val="Calibri"/>
        <family val="2"/>
        <scheme val="minor"/>
      </font>
      <numFmt numFmtId="0" formatCode="General"/>
      <fill>
        <patternFill patternType="solid">
          <fgColor indexed="64"/>
          <bgColor rgb="FFEBF2FF"/>
        </patternFill>
      </fill>
      <alignment horizontal="left" vertical="bottom" textRotation="0" wrapText="0" indent="0" justifyLastLine="0" shrinkToFit="0" readingOrder="0"/>
    </dxf>
    <dxf>
      <font>
        <strike val="0"/>
        <outline val="0"/>
        <shadow val="0"/>
        <u val="none"/>
        <vertAlign val="baseline"/>
        <sz val="11"/>
        <color rgb="FF004EEA"/>
        <name val="Calibri"/>
        <family val="2"/>
        <scheme val="minor"/>
      </font>
      <numFmt numFmtId="0" formatCode="General"/>
      <fill>
        <patternFill patternType="solid">
          <fgColor indexed="64"/>
          <bgColor rgb="FFEBF2FF"/>
        </patternFill>
      </fill>
      <alignment horizontal="left" vertical="bottom" textRotation="0" wrapText="0" indent="0" justifyLastLine="0" shrinkToFit="0" readingOrder="0"/>
    </dxf>
    <dxf>
      <font>
        <strike val="0"/>
        <outline val="0"/>
        <shadow val="0"/>
        <u val="none"/>
        <vertAlign val="baseline"/>
        <sz val="11"/>
        <color rgb="FF004EEA"/>
        <name val="Calibri"/>
        <family val="2"/>
        <scheme val="minor"/>
      </font>
      <numFmt numFmtId="13" formatCode="0%"/>
      <fill>
        <patternFill patternType="solid">
          <fgColor indexed="64"/>
          <bgColor rgb="FFEBF2FF"/>
        </patternFill>
      </fill>
      <alignment horizontal="left" vertical="bottom" textRotation="0" wrapText="0" indent="0" justifyLastLine="0" shrinkToFit="0" readingOrder="0"/>
    </dxf>
    <dxf>
      <font>
        <strike val="0"/>
        <outline val="0"/>
        <shadow val="0"/>
        <u val="none"/>
        <vertAlign val="baseline"/>
        <sz val="11"/>
        <color rgb="FF004EEA"/>
        <name val="Calibri"/>
        <family val="2"/>
        <scheme val="minor"/>
      </font>
      <numFmt numFmtId="3" formatCode="#,##0"/>
      <fill>
        <patternFill patternType="solid">
          <fgColor indexed="64"/>
          <bgColor rgb="FFEBF2FF"/>
        </patternFill>
      </fill>
      <alignment horizontal="left" vertical="bottom" textRotation="0" wrapText="0" indent="0" justifyLastLine="0" shrinkToFit="0" readingOrder="0"/>
    </dxf>
    <dxf>
      <font>
        <strike val="0"/>
        <outline val="0"/>
        <shadow val="0"/>
        <u val="none"/>
        <vertAlign val="baseline"/>
        <sz val="11"/>
        <color rgb="FF004EEA"/>
        <name val="Calibri"/>
        <family val="2"/>
        <scheme val="minor"/>
      </font>
      <numFmt numFmtId="0" formatCode="General"/>
      <fill>
        <patternFill patternType="solid">
          <fgColor indexed="64"/>
          <bgColor rgb="FFEBF2FF"/>
        </patternFill>
      </fill>
      <alignment horizontal="left" vertical="bottom" textRotation="0" wrapText="0" indent="0" justifyLastLine="0" shrinkToFit="0" readingOrder="0"/>
    </dxf>
    <dxf>
      <font>
        <strike val="0"/>
        <outline val="0"/>
        <shadow val="0"/>
        <u val="none"/>
        <vertAlign val="baseline"/>
        <sz val="11"/>
        <color rgb="FF004EEA"/>
        <name val="Calibri"/>
        <family val="2"/>
        <scheme val="minor"/>
      </font>
      <numFmt numFmtId="0" formatCode="General"/>
      <fill>
        <patternFill patternType="solid">
          <fgColor indexed="64"/>
          <bgColor rgb="FFEBF2FF"/>
        </patternFill>
      </fill>
      <alignment horizontal="left" vertical="bottom" textRotation="0" wrapText="0" indent="0" justifyLastLine="0" shrinkToFit="0" readingOrder="0"/>
    </dxf>
    <dxf>
      <font>
        <strike val="0"/>
        <outline val="0"/>
        <shadow val="0"/>
        <u val="none"/>
        <vertAlign val="baseline"/>
        <sz val="11"/>
        <color rgb="FF004EEA"/>
        <name val="Calibri"/>
        <family val="2"/>
        <scheme val="minor"/>
      </font>
      <numFmt numFmtId="0" formatCode="General"/>
      <fill>
        <patternFill patternType="solid">
          <fgColor indexed="64"/>
          <bgColor rgb="FFEBF2FF"/>
        </patternFill>
      </fill>
      <alignment horizontal="left" vertical="bottom" textRotation="0" wrapText="0" indent="0" justifyLastLine="0" shrinkToFit="0" readingOrder="0"/>
    </dxf>
    <dxf>
      <font>
        <strike val="0"/>
        <outline val="0"/>
        <shadow val="0"/>
        <u val="none"/>
        <vertAlign val="baseline"/>
        <sz val="11"/>
        <color rgb="FF004EEA"/>
        <name val="Calibri"/>
        <family val="2"/>
        <scheme val="minor"/>
      </font>
      <numFmt numFmtId="3" formatCode="#,##0"/>
      <fill>
        <patternFill patternType="solid">
          <fgColor indexed="64"/>
          <bgColor rgb="FFEBF2FF"/>
        </patternFill>
      </fill>
      <alignment horizontal="left" vertical="bottom" textRotation="0" wrapText="0" indent="0" justifyLastLine="0" shrinkToFit="0" readingOrder="0"/>
    </dxf>
    <dxf>
      <font>
        <strike val="0"/>
        <outline val="0"/>
        <shadow val="0"/>
        <u val="none"/>
        <vertAlign val="baseline"/>
        <sz val="11"/>
        <color rgb="FF004EEA"/>
        <name val="Calibri"/>
        <family val="2"/>
        <scheme val="minor"/>
      </font>
      <numFmt numFmtId="0" formatCode="General"/>
      <fill>
        <patternFill patternType="solid">
          <fgColor indexed="64"/>
          <bgColor rgb="FFEBF2FF"/>
        </patternFill>
      </fill>
      <alignment horizontal="left" vertical="bottom" textRotation="0" wrapText="0" indent="0" justifyLastLine="0" shrinkToFit="0" readingOrder="0"/>
    </dxf>
    <dxf>
      <font>
        <strike val="0"/>
        <outline val="0"/>
        <shadow val="0"/>
        <u val="none"/>
        <vertAlign val="baseline"/>
        <sz val="11"/>
        <color rgb="FF004EEA"/>
        <name val="Calibri"/>
        <family val="2"/>
        <scheme val="minor"/>
      </font>
      <numFmt numFmtId="13" formatCode="0%"/>
      <fill>
        <patternFill patternType="solid">
          <fgColor indexed="64"/>
          <bgColor rgb="FFEBF2FF"/>
        </patternFill>
      </fill>
      <alignment horizontal="left" vertical="bottom" textRotation="0" wrapText="0" indent="0" justifyLastLine="0" shrinkToFit="0" readingOrder="0"/>
    </dxf>
    <dxf>
      <font>
        <strike val="0"/>
        <outline val="0"/>
        <shadow val="0"/>
        <u val="none"/>
        <vertAlign val="baseline"/>
        <sz val="11"/>
        <color rgb="FF004EEA"/>
        <name val="Calibri"/>
        <family val="2"/>
        <scheme val="minor"/>
      </font>
      <numFmt numFmtId="3" formatCode="#,##0"/>
      <fill>
        <patternFill patternType="solid">
          <fgColor indexed="64"/>
          <bgColor rgb="FFEBF2FF"/>
        </patternFill>
      </fill>
      <alignment horizontal="left" vertical="bottom" textRotation="0" wrapText="0" indent="0" justifyLastLine="0" shrinkToFit="0" readingOrder="0"/>
    </dxf>
    <dxf>
      <font>
        <strike val="0"/>
        <outline val="0"/>
        <shadow val="0"/>
        <u val="none"/>
        <vertAlign val="baseline"/>
        <sz val="11"/>
        <color rgb="FF004EEA"/>
        <name val="Calibri"/>
        <family val="2"/>
        <scheme val="minor"/>
      </font>
      <numFmt numFmtId="3" formatCode="#,##0"/>
      <fill>
        <patternFill patternType="solid">
          <fgColor indexed="64"/>
          <bgColor rgb="FFEBF2FF"/>
        </patternFill>
      </fill>
      <alignment horizontal="left" vertical="bottom" textRotation="0" wrapText="0" indent="0" justifyLastLine="0" shrinkToFit="0" readingOrder="0"/>
    </dxf>
    <dxf>
      <font>
        <strike val="0"/>
        <outline val="0"/>
        <shadow val="0"/>
        <u val="none"/>
        <vertAlign val="baseline"/>
        <sz val="11"/>
        <color rgb="FF004EEA"/>
        <name val="Calibri"/>
        <family val="2"/>
        <scheme val="minor"/>
      </font>
      <numFmt numFmtId="0" formatCode="General"/>
      <fill>
        <patternFill patternType="solid">
          <fgColor indexed="64"/>
          <bgColor rgb="FFEBF2FF"/>
        </patternFill>
      </fill>
      <alignment horizontal="left" vertical="bottom" textRotation="0" wrapText="0" indent="0" justifyLastLine="0" shrinkToFit="0" readingOrder="0"/>
    </dxf>
    <dxf>
      <font>
        <strike val="0"/>
        <outline val="0"/>
        <shadow val="0"/>
        <u val="none"/>
        <vertAlign val="baseline"/>
        <sz val="11"/>
        <color rgb="FF004EEA"/>
        <name val="Calibri"/>
        <family val="2"/>
        <scheme val="minor"/>
      </font>
      <numFmt numFmtId="0" formatCode="General"/>
      <fill>
        <patternFill patternType="solid">
          <fgColor indexed="64"/>
          <bgColor rgb="FFEBF2FF"/>
        </patternFill>
      </fill>
      <alignment horizontal="left" vertical="bottom" textRotation="0" wrapText="0" indent="0" justifyLastLine="0" shrinkToFit="0" readingOrder="0"/>
    </dxf>
    <dxf>
      <font>
        <b val="0"/>
        <i val="0"/>
        <strike val="0"/>
        <condense val="0"/>
        <extend val="0"/>
        <outline val="0"/>
        <shadow val="0"/>
        <u val="none"/>
        <vertAlign val="baseline"/>
        <sz val="11"/>
        <color rgb="FF004EEA"/>
        <name val="Calibri"/>
        <family val="2"/>
        <scheme val="minor"/>
      </font>
      <numFmt numFmtId="0" formatCode="General"/>
      <fill>
        <patternFill patternType="solid">
          <fgColor indexed="64"/>
          <bgColor rgb="FFEBF2FF"/>
        </patternFill>
      </fill>
      <alignment horizontal="left" vertical="bottom" textRotation="0" wrapText="0" indent="0" justifyLastLine="0" shrinkToFit="0" readingOrder="0"/>
    </dxf>
    <dxf>
      <font>
        <strike val="0"/>
        <outline val="0"/>
        <shadow val="0"/>
        <u val="none"/>
        <vertAlign val="baseline"/>
        <sz val="11"/>
        <color rgb="FF004EEA"/>
        <name val="Calibri"/>
        <family val="2"/>
        <scheme val="minor"/>
      </font>
      <numFmt numFmtId="0" formatCode="General"/>
      <fill>
        <patternFill patternType="solid">
          <fgColor indexed="64"/>
          <bgColor rgb="FFEBF2FF"/>
        </patternFill>
      </fill>
      <alignment horizontal="left" vertical="bottom" textRotation="0" wrapText="0" indent="0" justifyLastLine="0" shrinkToFit="0" readingOrder="0"/>
    </dxf>
    <dxf>
      <font>
        <strike val="0"/>
        <outline val="0"/>
        <shadow val="0"/>
        <u val="none"/>
        <vertAlign val="baseline"/>
        <sz val="11"/>
        <color rgb="FF004EEA"/>
        <name val="Calibri"/>
        <family val="2"/>
        <scheme val="minor"/>
      </font>
      <numFmt numFmtId="0" formatCode="General"/>
      <fill>
        <patternFill patternType="solid">
          <fgColor indexed="64"/>
          <bgColor rgb="FFEBF2FF"/>
        </patternFill>
      </fill>
      <alignment horizontal="left" vertical="bottom" textRotation="0" wrapText="0" indent="0" justifyLastLine="0" shrinkToFit="0" readingOrder="0"/>
    </dxf>
    <dxf>
      <font>
        <strike val="0"/>
        <outline val="0"/>
        <shadow val="0"/>
        <u val="none"/>
        <vertAlign val="baseline"/>
        <sz val="11"/>
        <color rgb="FF004EEA"/>
        <name val="Calibri"/>
        <family val="2"/>
        <scheme val="minor"/>
      </font>
      <numFmt numFmtId="0" formatCode="General"/>
      <fill>
        <patternFill patternType="solid">
          <fgColor indexed="64"/>
          <bgColor rgb="FFEBF2FF"/>
        </patternFill>
      </fill>
      <alignment horizontal="left" vertical="bottom" textRotation="0" wrapText="0" indent="0" justifyLastLine="0" shrinkToFit="0" readingOrder="0"/>
    </dxf>
    <dxf>
      <font>
        <strike val="0"/>
        <outline val="0"/>
        <shadow val="0"/>
        <u val="none"/>
        <vertAlign val="baseline"/>
        <sz val="11"/>
        <color rgb="FF004EEA"/>
        <name val="Calibri"/>
        <family val="2"/>
        <scheme val="minor"/>
      </font>
      <numFmt numFmtId="0" formatCode="General"/>
      <fill>
        <patternFill patternType="solid">
          <fgColor indexed="64"/>
          <bgColor rgb="FFEBF2FF"/>
        </patternFill>
      </fill>
      <alignment horizontal="left" vertical="bottom" textRotation="0" wrapText="0" indent="0" justifyLastLine="0" shrinkToFit="0" readingOrder="0"/>
    </dxf>
    <dxf>
      <font>
        <strike val="0"/>
        <outline val="0"/>
        <shadow val="0"/>
        <u val="none"/>
        <vertAlign val="baseline"/>
        <sz val="11"/>
        <color theme="0" tint="-0.499984740745262"/>
        <name val="Calibri"/>
        <family val="2"/>
        <scheme val="minor"/>
      </font>
      <fill>
        <patternFill patternType="solid">
          <fgColor indexed="64"/>
          <bgColor theme="0" tint="-4.9989318521683403E-2"/>
        </patternFill>
      </fill>
      <alignment horizontal="left" vertical="bottom" textRotation="0" wrapText="0" indent="0" justifyLastLine="0" shrinkToFit="0" readingOrder="0"/>
    </dxf>
    <dxf>
      <fill>
        <patternFill patternType="solid">
          <fgColor indexed="64"/>
          <bgColor theme="0" tint="-0.249977111117893"/>
        </patternFill>
      </fill>
      <alignment vertical="top" textRotation="0" wrapText="1" indent="0" justifyLastLine="0" shrinkToFit="0" readingOrder="0"/>
    </dxf>
    <dxf>
      <font>
        <strike val="0"/>
        <outline val="0"/>
        <shadow val="0"/>
        <u val="none"/>
        <vertAlign val="baseline"/>
        <sz val="11"/>
        <color theme="0" tint="-0.499984740745262"/>
        <name val="Calibri"/>
        <family val="2"/>
        <scheme val="minor"/>
      </font>
      <numFmt numFmtId="3" formatCode="#,##0"/>
      <fill>
        <patternFill patternType="solid">
          <fgColor indexed="64"/>
          <bgColor theme="0" tint="-4.9989318521683403E-2"/>
        </patternFill>
      </fill>
      <alignment horizontal="left" vertical="bottom" textRotation="0" wrapText="0" indent="0" justifyLastLine="0" shrinkToFit="0" readingOrder="0"/>
    </dxf>
    <dxf>
      <font>
        <strike val="0"/>
        <outline val="0"/>
        <shadow val="0"/>
        <u val="none"/>
        <vertAlign val="baseline"/>
        <sz val="11"/>
        <color theme="0" tint="-0.499984740745262"/>
        <name val="Calibri"/>
        <family val="2"/>
        <scheme val="minor"/>
      </font>
      <numFmt numFmtId="3" formatCode="#,##0"/>
      <fill>
        <patternFill patternType="solid">
          <fgColor indexed="64"/>
          <bgColor theme="0" tint="-4.9989318521683403E-2"/>
        </patternFill>
      </fill>
      <alignment horizontal="left" vertical="bottom" textRotation="0" wrapText="0" indent="0" justifyLastLine="0" shrinkToFit="0" readingOrder="0"/>
    </dxf>
    <dxf>
      <font>
        <strike val="0"/>
        <outline val="0"/>
        <shadow val="0"/>
        <u val="none"/>
        <vertAlign val="baseline"/>
        <sz val="11"/>
        <color rgb="FF004EEA"/>
        <name val="Calibri"/>
        <family val="2"/>
        <scheme val="minor"/>
      </font>
      <numFmt numFmtId="3" formatCode="#,##0"/>
      <fill>
        <patternFill patternType="solid">
          <fgColor indexed="64"/>
          <bgColor rgb="FFEBF2FF"/>
        </patternFill>
      </fill>
      <alignment horizontal="left" vertical="bottom" textRotation="0" wrapText="0" indent="0" justifyLastLine="0" shrinkToFit="0" readingOrder="0"/>
    </dxf>
    <dxf>
      <font>
        <strike val="0"/>
        <outline val="0"/>
        <shadow val="0"/>
        <u val="none"/>
        <vertAlign val="baseline"/>
        <sz val="11"/>
        <color rgb="FF004EEA"/>
        <name val="Calibri"/>
        <family val="2"/>
        <scheme val="minor"/>
      </font>
      <numFmt numFmtId="3" formatCode="#,##0"/>
      <fill>
        <patternFill patternType="solid">
          <fgColor indexed="64"/>
          <bgColor rgb="FFEBF2FF"/>
        </patternFill>
      </fill>
      <alignment horizontal="left" vertical="bottom" textRotation="0" wrapText="0" indent="0" justifyLastLine="0" shrinkToFit="0" readingOrder="0"/>
    </dxf>
    <dxf>
      <font>
        <strike val="0"/>
        <outline val="0"/>
        <shadow val="0"/>
        <u val="none"/>
        <vertAlign val="baseline"/>
        <sz val="11"/>
        <color rgb="FF004EEA"/>
        <name val="Calibri"/>
        <family val="2"/>
        <scheme val="minor"/>
      </font>
      <numFmt numFmtId="3" formatCode="#,##0"/>
      <fill>
        <patternFill patternType="solid">
          <fgColor indexed="64"/>
          <bgColor rgb="FFEBF2FF"/>
        </patternFill>
      </fill>
      <alignment horizontal="left" vertical="bottom" textRotation="0" wrapText="0" indent="0" justifyLastLine="0" shrinkToFit="0" readingOrder="0"/>
    </dxf>
    <dxf>
      <font>
        <strike val="0"/>
        <outline val="0"/>
        <shadow val="0"/>
        <u val="none"/>
        <vertAlign val="baseline"/>
        <sz val="11"/>
        <color rgb="FF004EEA"/>
        <name val="Calibri"/>
        <family val="2"/>
        <scheme val="minor"/>
      </font>
      <numFmt numFmtId="13" formatCode="0%"/>
      <fill>
        <patternFill patternType="solid">
          <fgColor indexed="64"/>
          <bgColor rgb="FFEBF2FF"/>
        </patternFill>
      </fill>
      <alignment horizontal="left" vertical="bottom" textRotation="0" wrapText="0" indent="0" justifyLastLine="0" shrinkToFit="0" readingOrder="0"/>
    </dxf>
    <dxf>
      <font>
        <strike val="0"/>
        <outline val="0"/>
        <shadow val="0"/>
        <u val="none"/>
        <vertAlign val="baseline"/>
        <sz val="11"/>
        <color rgb="FF004EEA"/>
        <name val="Calibri"/>
        <family val="2"/>
        <scheme val="minor"/>
      </font>
      <numFmt numFmtId="13" formatCode="0%"/>
      <fill>
        <patternFill patternType="solid">
          <fgColor indexed="64"/>
          <bgColor rgb="FFEBF2FF"/>
        </patternFill>
      </fill>
      <alignment horizontal="left" vertical="bottom" textRotation="0" wrapText="0" indent="0" justifyLastLine="0" shrinkToFit="0" readingOrder="0"/>
    </dxf>
    <dxf>
      <font>
        <strike val="0"/>
        <outline val="0"/>
        <shadow val="0"/>
        <u val="none"/>
        <vertAlign val="baseline"/>
        <sz val="11"/>
        <color rgb="FF004EEA"/>
        <name val="Calibri"/>
        <family val="2"/>
        <scheme val="minor"/>
      </font>
      <numFmt numFmtId="3" formatCode="#,##0"/>
      <fill>
        <patternFill patternType="solid">
          <fgColor indexed="64"/>
          <bgColor rgb="FFEBF2FF"/>
        </patternFill>
      </fill>
      <alignment horizontal="left" vertical="bottom" textRotation="0" wrapText="0" indent="0" justifyLastLine="0" shrinkToFit="0" readingOrder="0"/>
    </dxf>
    <dxf>
      <font>
        <strike val="0"/>
        <outline val="0"/>
        <shadow val="0"/>
        <u val="none"/>
        <vertAlign val="baseline"/>
        <sz val="11"/>
        <color rgb="FF004EEA"/>
        <name val="Calibri"/>
        <family val="2"/>
        <scheme val="minor"/>
      </font>
      <numFmt numFmtId="3" formatCode="#,##0"/>
      <fill>
        <patternFill patternType="solid">
          <fgColor indexed="64"/>
          <bgColor rgb="FFEBF2FF"/>
        </patternFill>
      </fill>
      <alignment horizontal="left" vertical="bottom" textRotation="0" wrapText="0" indent="0" justifyLastLine="0" shrinkToFit="0" readingOrder="0"/>
    </dxf>
    <dxf>
      <font>
        <strike val="0"/>
        <outline val="0"/>
        <shadow val="0"/>
        <u val="none"/>
        <vertAlign val="baseline"/>
        <sz val="11"/>
        <color rgb="FF004EEA"/>
        <name val="Calibri"/>
        <family val="2"/>
        <scheme val="minor"/>
      </font>
      <numFmt numFmtId="3" formatCode="#,##0"/>
      <fill>
        <patternFill patternType="solid">
          <fgColor indexed="64"/>
          <bgColor rgb="FFEBF2FF"/>
        </patternFill>
      </fill>
      <alignment horizontal="left" vertical="bottom" textRotation="0" wrapText="0" indent="0" justifyLastLine="0" shrinkToFit="0" readingOrder="0"/>
    </dxf>
    <dxf>
      <font>
        <strike val="0"/>
        <outline val="0"/>
        <shadow val="0"/>
        <u val="none"/>
        <vertAlign val="baseline"/>
        <sz val="11"/>
        <color rgb="FF004EEA"/>
        <name val="Calibri"/>
        <family val="2"/>
        <scheme val="minor"/>
      </font>
      <numFmt numFmtId="3" formatCode="#,##0"/>
      <fill>
        <patternFill patternType="solid">
          <fgColor indexed="64"/>
          <bgColor rgb="FFEBF2FF"/>
        </patternFill>
      </fill>
      <alignment horizontal="left" vertical="bottom" textRotation="0" wrapText="0" indent="0" justifyLastLine="0" shrinkToFit="0" readingOrder="0"/>
    </dxf>
    <dxf>
      <font>
        <strike val="0"/>
        <outline val="0"/>
        <shadow val="0"/>
        <u val="none"/>
        <vertAlign val="baseline"/>
        <sz val="11"/>
        <color rgb="FF004EEA"/>
        <name val="Calibri"/>
        <family val="2"/>
        <scheme val="minor"/>
      </font>
      <numFmt numFmtId="3" formatCode="#,##0"/>
      <fill>
        <patternFill patternType="solid">
          <fgColor indexed="64"/>
          <bgColor rgb="FFEBF2FF"/>
        </patternFill>
      </fill>
      <alignment horizontal="left" vertical="bottom" textRotation="0" wrapText="0" indent="0" justifyLastLine="0" shrinkToFit="0" readingOrder="0"/>
    </dxf>
    <dxf>
      <font>
        <strike val="0"/>
        <outline val="0"/>
        <shadow val="0"/>
        <u val="none"/>
        <vertAlign val="baseline"/>
        <sz val="11"/>
        <color rgb="FF004EEA"/>
        <name val="Calibri"/>
        <family val="2"/>
        <scheme val="minor"/>
      </font>
      <numFmt numFmtId="13" formatCode="0%"/>
      <fill>
        <patternFill patternType="solid">
          <fgColor indexed="64"/>
          <bgColor rgb="FFEBF2FF"/>
        </patternFill>
      </fill>
      <alignment horizontal="left" vertical="bottom" textRotation="0" wrapText="0" indent="0" justifyLastLine="0" shrinkToFit="0" readingOrder="0"/>
    </dxf>
    <dxf>
      <font>
        <strike val="0"/>
        <outline val="0"/>
        <shadow val="0"/>
        <u val="none"/>
        <vertAlign val="baseline"/>
        <sz val="11"/>
        <color rgb="FF004EEA"/>
        <name val="Calibri"/>
        <family val="2"/>
        <scheme val="minor"/>
      </font>
      <numFmt numFmtId="3" formatCode="#,##0"/>
      <fill>
        <patternFill patternType="solid">
          <fgColor indexed="64"/>
          <bgColor rgb="FFEBF2FF"/>
        </patternFill>
      </fill>
      <alignment horizontal="left" vertical="bottom" textRotation="0" wrapText="0" indent="0" justifyLastLine="0" shrinkToFit="0" readingOrder="0"/>
    </dxf>
    <dxf>
      <font>
        <strike val="0"/>
        <outline val="0"/>
        <shadow val="0"/>
        <u val="none"/>
        <vertAlign val="baseline"/>
        <sz val="11"/>
        <color rgb="FF004EEA"/>
        <name val="Calibri"/>
        <family val="2"/>
        <scheme val="minor"/>
      </font>
      <numFmt numFmtId="3" formatCode="#,##0"/>
      <fill>
        <patternFill patternType="solid">
          <fgColor indexed="64"/>
          <bgColor rgb="FFEBF2FF"/>
        </patternFill>
      </fill>
      <alignment horizontal="left" vertical="bottom" textRotation="0" wrapText="0" indent="0" justifyLastLine="0" shrinkToFit="0" readingOrder="0"/>
    </dxf>
    <dxf>
      <font>
        <b val="0"/>
        <i val="0"/>
        <strike val="0"/>
        <condense val="0"/>
        <extend val="0"/>
        <outline val="0"/>
        <shadow val="0"/>
        <u val="none"/>
        <vertAlign val="baseline"/>
        <sz val="11"/>
        <color rgb="FF004EEA"/>
        <name val="Calibri"/>
        <family val="2"/>
        <scheme val="minor"/>
      </font>
      <numFmt numFmtId="0" formatCode="General"/>
      <fill>
        <patternFill patternType="solid">
          <fgColor indexed="64"/>
          <bgColor rgb="FFEBF2FF"/>
        </patternFill>
      </fill>
      <alignment horizontal="left" vertical="bottom" textRotation="0" wrapText="0" indent="0" justifyLastLine="0" shrinkToFit="0" readingOrder="0"/>
    </dxf>
    <dxf>
      <font>
        <strike val="0"/>
        <outline val="0"/>
        <shadow val="0"/>
        <u val="none"/>
        <vertAlign val="baseline"/>
        <sz val="11"/>
        <color rgb="FF004EEA"/>
        <name val="Calibri"/>
        <family val="2"/>
        <scheme val="minor"/>
      </font>
      <numFmt numFmtId="4" formatCode="#,##0.00"/>
      <fill>
        <patternFill patternType="solid">
          <fgColor indexed="64"/>
          <bgColor rgb="FFEBF2FF"/>
        </patternFill>
      </fill>
      <alignment horizontal="left" vertical="bottom" textRotation="0" wrapText="0" indent="0" justifyLastLine="0" shrinkToFit="0" readingOrder="0"/>
    </dxf>
    <dxf>
      <font>
        <b val="0"/>
        <i val="0"/>
        <strike val="0"/>
        <condense val="0"/>
        <extend val="0"/>
        <outline val="0"/>
        <shadow val="0"/>
        <u val="none"/>
        <vertAlign val="baseline"/>
        <sz val="11"/>
        <color rgb="FF004EEA"/>
        <name val="Calibri"/>
        <family val="2"/>
        <scheme val="minor"/>
      </font>
      <numFmt numFmtId="3" formatCode="#,##0"/>
      <fill>
        <patternFill patternType="solid">
          <fgColor indexed="64"/>
          <bgColor rgb="FFEBF2FF"/>
        </patternFill>
      </fill>
      <alignment horizontal="left" vertical="bottom" textRotation="0" wrapText="0" indent="0" justifyLastLine="0" shrinkToFit="0" readingOrder="0"/>
    </dxf>
    <dxf>
      <font>
        <strike val="0"/>
        <outline val="0"/>
        <shadow val="0"/>
        <u val="none"/>
        <vertAlign val="baseline"/>
        <sz val="11"/>
        <color rgb="FF004EEA"/>
        <name val="Calibri"/>
        <family val="2"/>
        <scheme val="minor"/>
      </font>
      <numFmt numFmtId="13" formatCode="0%"/>
      <fill>
        <patternFill patternType="solid">
          <fgColor indexed="64"/>
          <bgColor rgb="FFEBF2FF"/>
        </patternFill>
      </fill>
      <alignment horizontal="left" vertical="bottom" textRotation="0" wrapText="0" indent="0" justifyLastLine="0" shrinkToFit="0" readingOrder="0"/>
    </dxf>
    <dxf>
      <font>
        <b val="0"/>
        <i val="0"/>
        <strike val="0"/>
        <condense val="0"/>
        <extend val="0"/>
        <outline val="0"/>
        <shadow val="0"/>
        <u val="none"/>
        <vertAlign val="baseline"/>
        <sz val="11"/>
        <color rgb="FF004EEA"/>
        <name val="Calibri"/>
        <family val="2"/>
        <scheme val="minor"/>
      </font>
      <numFmt numFmtId="3" formatCode="#,##0"/>
      <fill>
        <patternFill patternType="solid">
          <fgColor indexed="64"/>
          <bgColor rgb="FFEBF2FF"/>
        </patternFill>
      </fill>
      <alignment horizontal="left" vertical="bottom" textRotation="0" wrapText="0" indent="0" justifyLastLine="0" shrinkToFit="0" readingOrder="0"/>
    </dxf>
    <dxf>
      <font>
        <b val="0"/>
        <i val="0"/>
        <strike val="0"/>
        <condense val="0"/>
        <extend val="0"/>
        <outline val="0"/>
        <shadow val="0"/>
        <u val="none"/>
        <vertAlign val="baseline"/>
        <sz val="11"/>
        <color rgb="FF004EEA"/>
        <name val="Calibri"/>
        <family val="2"/>
        <scheme val="minor"/>
      </font>
      <numFmt numFmtId="3" formatCode="#,##0"/>
      <fill>
        <patternFill patternType="solid">
          <fgColor indexed="64"/>
          <bgColor rgb="FFEBF2FF"/>
        </patternFill>
      </fill>
      <alignment horizontal="left" vertical="bottom" textRotation="0" wrapText="0" indent="0" justifyLastLine="0" shrinkToFit="0" readingOrder="0"/>
    </dxf>
    <dxf>
      <font>
        <b val="0"/>
        <i val="0"/>
        <strike val="0"/>
        <condense val="0"/>
        <extend val="0"/>
        <outline val="0"/>
        <shadow val="0"/>
        <u val="none"/>
        <vertAlign val="baseline"/>
        <sz val="11"/>
        <color rgb="FF004EEA"/>
        <name val="Calibri"/>
        <family val="2"/>
        <scheme val="minor"/>
      </font>
      <numFmt numFmtId="3" formatCode="#,##0"/>
      <fill>
        <patternFill patternType="solid">
          <fgColor indexed="64"/>
          <bgColor rgb="FFEBF2FF"/>
        </patternFill>
      </fill>
      <alignment horizontal="left" vertical="bottom" textRotation="0" wrapText="0" indent="0" justifyLastLine="0" shrinkToFit="0" readingOrder="0"/>
    </dxf>
    <dxf>
      <font>
        <strike val="0"/>
        <outline val="0"/>
        <shadow val="0"/>
        <u val="none"/>
        <vertAlign val="baseline"/>
        <sz val="11"/>
        <color rgb="FF004EEA"/>
        <name val="Calibri"/>
        <family val="2"/>
        <scheme val="minor"/>
      </font>
      <numFmt numFmtId="13" formatCode="0%"/>
      <fill>
        <patternFill patternType="solid">
          <fgColor indexed="64"/>
          <bgColor rgb="FFEBF2FF"/>
        </patternFill>
      </fill>
      <alignment horizontal="left" vertical="bottom" textRotation="0" wrapText="0" indent="0" justifyLastLine="0" shrinkToFit="0" readingOrder="0"/>
    </dxf>
    <dxf>
      <font>
        <strike val="0"/>
        <outline val="0"/>
        <shadow val="0"/>
        <u val="none"/>
        <vertAlign val="baseline"/>
        <sz val="11"/>
        <color theme="0" tint="-0.499984740745262"/>
        <name val="Calibri"/>
        <family val="2"/>
        <scheme val="minor"/>
      </font>
      <fill>
        <patternFill patternType="solid">
          <fgColor indexed="64"/>
          <bgColor theme="0" tint="-4.9989318521683403E-2"/>
        </patternFill>
      </fill>
      <alignment horizontal="left" vertical="bottom" textRotation="0" wrapText="0" indent="0" justifyLastLine="0" shrinkToFit="0" readingOrder="0"/>
    </dxf>
    <dxf>
      <font>
        <strike val="0"/>
        <outline val="0"/>
        <shadow val="0"/>
        <u val="none"/>
        <vertAlign val="baseline"/>
        <sz val="11"/>
        <color theme="0" tint="-0.499984740745262"/>
        <name val="Calibri"/>
        <family val="2"/>
        <scheme val="minor"/>
      </font>
      <numFmt numFmtId="3" formatCode="#,##0"/>
      <fill>
        <patternFill patternType="solid">
          <fgColor indexed="64"/>
          <bgColor theme="0" tint="-4.9989318521683403E-2"/>
        </patternFill>
      </fill>
      <alignment horizontal="left" vertical="bottom" textRotation="0" wrapText="0" indent="0" justifyLastLine="0" shrinkToFit="0" readingOrder="0"/>
    </dxf>
    <dxf>
      <font>
        <strike val="0"/>
        <outline val="0"/>
        <shadow val="0"/>
        <u val="none"/>
        <vertAlign val="baseline"/>
        <sz val="11"/>
        <color theme="0" tint="-0.499984740745262"/>
        <name val="Calibri"/>
        <family val="2"/>
        <scheme val="minor"/>
      </font>
      <numFmt numFmtId="3" formatCode="#,##0"/>
      <fill>
        <patternFill patternType="solid">
          <fgColor indexed="64"/>
          <bgColor theme="0" tint="-4.9989318521683403E-2"/>
        </patternFill>
      </fill>
      <alignment horizontal="left" vertical="bottom" textRotation="0" wrapText="0" indent="0" justifyLastLine="0" shrinkToFit="0" readingOrder="0"/>
    </dxf>
    <dxf>
      <font>
        <strike val="0"/>
        <outline val="0"/>
        <shadow val="0"/>
        <u val="none"/>
        <vertAlign val="baseline"/>
        <sz val="11"/>
        <color theme="0" tint="-0.499984740745262"/>
        <name val="Calibri"/>
        <family val="2"/>
        <scheme val="minor"/>
      </font>
      <numFmt numFmtId="3" formatCode="#,##0"/>
      <fill>
        <patternFill patternType="solid">
          <fgColor indexed="64"/>
          <bgColor theme="0" tint="-4.9989318521683403E-2"/>
        </patternFill>
      </fill>
      <alignment horizontal="left" vertical="bottom" textRotation="0" wrapText="0" indent="0" justifyLastLine="0" shrinkToFit="0" readingOrder="0"/>
    </dxf>
    <dxf>
      <font>
        <strike val="0"/>
        <outline val="0"/>
        <shadow val="0"/>
        <u val="none"/>
        <vertAlign val="baseline"/>
        <sz val="11"/>
        <color theme="0" tint="-0.499984740745262"/>
        <name val="Calibri"/>
        <family val="2"/>
        <scheme val="minor"/>
      </font>
      <numFmt numFmtId="3" formatCode="#,##0"/>
      <fill>
        <patternFill patternType="solid">
          <fgColor indexed="64"/>
          <bgColor theme="0" tint="-4.9989318521683403E-2"/>
        </patternFill>
      </fill>
      <alignment horizontal="left" vertical="bottom" textRotation="0" wrapText="0" indent="0" justifyLastLine="0" shrinkToFit="0" readingOrder="0"/>
    </dxf>
    <dxf>
      <font>
        <strike val="0"/>
        <outline val="0"/>
        <shadow val="0"/>
        <u val="none"/>
        <vertAlign val="baseline"/>
        <sz val="11"/>
        <color theme="0" tint="-0.499984740745262"/>
        <name val="Calibri"/>
        <family val="2"/>
        <scheme val="minor"/>
      </font>
      <numFmt numFmtId="3" formatCode="#,##0"/>
      <fill>
        <patternFill patternType="solid">
          <fgColor indexed="64"/>
          <bgColor theme="0" tint="-4.9989318521683403E-2"/>
        </patternFill>
      </fill>
      <alignment horizontal="left" vertical="bottom" textRotation="0" wrapText="0" indent="0" justifyLastLine="0" shrinkToFit="0" readingOrder="0"/>
    </dxf>
    <dxf>
      <font>
        <strike val="0"/>
        <outline val="0"/>
        <shadow val="0"/>
        <u val="none"/>
        <vertAlign val="baseline"/>
        <sz val="11"/>
        <color theme="0" tint="-0.499984740745262"/>
        <name val="Calibri"/>
        <family val="2"/>
        <scheme val="minor"/>
      </font>
      <numFmt numFmtId="3" formatCode="#,##0"/>
      <fill>
        <patternFill patternType="solid">
          <fgColor indexed="64"/>
          <bgColor theme="0" tint="-4.9989318521683403E-2"/>
        </patternFill>
      </fill>
      <alignment horizontal="left" vertical="bottom" textRotation="0" wrapText="0" indent="0" justifyLastLine="0" shrinkToFit="0" readingOrder="0"/>
    </dxf>
    <dxf>
      <font>
        <strike val="0"/>
        <outline val="0"/>
        <shadow val="0"/>
        <u val="none"/>
        <vertAlign val="baseline"/>
        <sz val="11"/>
        <color theme="0" tint="-0.499984740745262"/>
        <name val="Calibri"/>
        <family val="2"/>
        <scheme val="minor"/>
      </font>
      <fill>
        <patternFill patternType="solid">
          <fgColor indexed="64"/>
          <bgColor theme="0" tint="-4.9989318521683403E-2"/>
        </patternFill>
      </fill>
      <alignment horizontal="left" vertical="bottom" textRotation="0" wrapText="0" indent="0" justifyLastLine="0" shrinkToFit="0" readingOrder="0"/>
    </dxf>
    <dxf>
      <font>
        <strike val="0"/>
        <outline val="0"/>
        <shadow val="0"/>
        <u val="none"/>
        <vertAlign val="baseline"/>
        <sz val="11"/>
        <color theme="0" tint="-0.499984740745262"/>
        <name val="Calibri"/>
        <family val="2"/>
        <scheme val="minor"/>
      </font>
      <fill>
        <patternFill patternType="solid">
          <fgColor indexed="64"/>
          <bgColor theme="0" tint="-4.9989318521683403E-2"/>
        </patternFill>
      </fill>
      <alignment horizontal="left" vertical="bottom" textRotation="0" wrapText="0" indent="0" justifyLastLine="0" shrinkToFit="0" readingOrder="0"/>
    </dxf>
    <dxf>
      <font>
        <strike val="0"/>
        <outline val="0"/>
        <shadow val="0"/>
        <u val="none"/>
        <vertAlign val="baseline"/>
        <sz val="11"/>
        <color theme="0" tint="-0.499984740745262"/>
        <name val="Calibri"/>
        <family val="2"/>
        <scheme val="minor"/>
      </font>
      <fill>
        <patternFill patternType="solid">
          <fgColor indexed="64"/>
          <bgColor theme="0" tint="-4.9989318521683403E-2"/>
        </patternFill>
      </fill>
      <alignment horizontal="left" vertical="bottom" textRotation="0" wrapText="0" indent="0" justifyLastLine="0" shrinkToFit="0" readingOrder="0"/>
    </dxf>
    <dxf>
      <font>
        <strike val="0"/>
        <outline val="0"/>
        <shadow val="0"/>
        <u val="none"/>
        <vertAlign val="baseline"/>
        <sz val="11"/>
        <color theme="0" tint="-0.499984740745262"/>
        <name val="Calibri"/>
        <family val="2"/>
        <scheme val="minor"/>
      </font>
      <fill>
        <patternFill patternType="solid">
          <fgColor indexed="64"/>
          <bgColor theme="0" tint="-4.9989318521683403E-2"/>
        </patternFill>
      </fill>
      <alignment horizontal="left" vertical="bottom" textRotation="0" wrapText="0" indent="0" justifyLastLine="0" shrinkToFit="0" readingOrder="0"/>
    </dxf>
    <dxf>
      <font>
        <strike val="0"/>
        <outline val="0"/>
        <shadow val="0"/>
        <u val="none"/>
        <vertAlign val="baseline"/>
        <sz val="11"/>
        <color theme="0" tint="-0.499984740745262"/>
        <name val="Calibri"/>
        <family val="2"/>
        <scheme val="minor"/>
      </font>
      <fill>
        <patternFill patternType="solid">
          <fgColor indexed="64"/>
          <bgColor theme="0" tint="-4.9989318521683403E-2"/>
        </patternFill>
      </fill>
      <alignment horizontal="left" vertical="bottom" textRotation="0" wrapText="0" indent="0" justifyLastLine="0" shrinkToFit="0" readingOrder="0"/>
    </dxf>
    <dxf>
      <font>
        <strike val="0"/>
        <outline val="0"/>
        <shadow val="0"/>
        <u val="none"/>
        <vertAlign val="baseline"/>
        <sz val="11"/>
        <color theme="0" tint="-0.499984740745262"/>
        <name val="Calibri"/>
        <family val="2"/>
        <scheme val="minor"/>
      </font>
      <fill>
        <patternFill patternType="solid">
          <fgColor indexed="64"/>
          <bgColor theme="0" tint="-4.9989318521683403E-2"/>
        </patternFill>
      </fill>
      <alignment horizontal="left" vertical="bottom" textRotation="0" wrapText="0" indent="0" justifyLastLine="0" shrinkToFit="0" readingOrder="0"/>
    </dxf>
    <dxf>
      <font>
        <strike val="0"/>
        <outline val="0"/>
        <shadow val="0"/>
        <u val="none"/>
        <vertAlign val="baseline"/>
        <sz val="11"/>
        <color theme="0" tint="-0.499984740745262"/>
        <name val="Calibri"/>
        <family val="2"/>
        <scheme val="minor"/>
      </font>
      <fill>
        <patternFill patternType="solid">
          <fgColor indexed="64"/>
          <bgColor theme="0" tint="-4.9989318521683403E-2"/>
        </patternFill>
      </fill>
      <alignment horizontal="left" vertical="bottom" textRotation="0" wrapText="0" indent="0" justifyLastLine="0" shrinkToFit="0" readingOrder="0"/>
    </dxf>
    <dxf>
      <font>
        <strike val="0"/>
        <outline val="0"/>
        <shadow val="0"/>
        <u val="none"/>
        <vertAlign val="baseline"/>
        <sz val="11"/>
        <color theme="0" tint="-0.499984740745262"/>
        <name val="Calibri"/>
        <family val="2"/>
        <scheme val="minor"/>
      </font>
      <fill>
        <patternFill patternType="solid">
          <fgColor indexed="64"/>
          <bgColor theme="0" tint="-4.9989318521683403E-2"/>
        </patternFill>
      </fill>
      <alignment horizontal="left" vertical="bottom" textRotation="0" wrapText="0" indent="0" justifyLastLine="0" shrinkToFit="0" readingOrder="0"/>
    </dxf>
    <dxf>
      <font>
        <b val="0"/>
        <i val="0"/>
        <strike val="0"/>
        <condense val="0"/>
        <extend val="0"/>
        <outline val="0"/>
        <shadow val="0"/>
        <u val="none"/>
        <vertAlign val="baseline"/>
        <sz val="11"/>
        <color rgb="FF004EEA"/>
        <name val="Calibri"/>
        <family val="2"/>
        <scheme val="minor"/>
      </font>
      <numFmt numFmtId="0" formatCode="General"/>
      <fill>
        <patternFill patternType="solid">
          <fgColor indexed="64"/>
          <bgColor rgb="FFEBF2FF"/>
        </patternFill>
      </fill>
      <alignment horizontal="left" vertical="bottom" textRotation="0" wrapText="0" indent="0" justifyLastLine="0" shrinkToFit="0" readingOrder="0"/>
    </dxf>
    <dxf>
      <font>
        <b val="0"/>
        <i val="0"/>
        <strike val="0"/>
        <condense val="0"/>
        <extend val="0"/>
        <outline val="0"/>
        <shadow val="0"/>
        <u val="none"/>
        <vertAlign val="baseline"/>
        <sz val="11"/>
        <color rgb="FF004EEA"/>
        <name val="Calibri"/>
        <family val="2"/>
        <scheme val="minor"/>
      </font>
      <numFmt numFmtId="0" formatCode="General"/>
      <fill>
        <patternFill patternType="solid">
          <fgColor indexed="64"/>
          <bgColor rgb="FFEBF2FF"/>
        </patternFill>
      </fill>
      <alignment horizontal="left" vertical="bottom" textRotation="0" wrapText="0" indent="0" justifyLastLine="0" shrinkToFit="0" readingOrder="0"/>
    </dxf>
    <dxf>
      <font>
        <b val="0"/>
        <i val="0"/>
        <strike val="0"/>
        <condense val="0"/>
        <extend val="0"/>
        <outline val="0"/>
        <shadow val="0"/>
        <u val="none"/>
        <vertAlign val="baseline"/>
        <sz val="11"/>
        <color rgb="FF004EEA"/>
        <name val="Calibri"/>
        <family val="2"/>
        <scheme val="minor"/>
      </font>
      <numFmt numFmtId="0" formatCode="General"/>
      <fill>
        <patternFill patternType="solid">
          <fgColor indexed="64"/>
          <bgColor rgb="FFEBF2FF"/>
        </patternFill>
      </fill>
      <alignment horizontal="left" vertical="bottom" textRotation="0" wrapText="0" indent="0" justifyLastLine="0" shrinkToFit="0" readingOrder="0"/>
    </dxf>
    <dxf>
      <font>
        <b val="0"/>
        <i val="0"/>
        <strike val="0"/>
        <condense val="0"/>
        <extend val="0"/>
        <outline val="0"/>
        <shadow val="0"/>
        <u val="none"/>
        <vertAlign val="baseline"/>
        <sz val="11"/>
        <color rgb="FF004EEA"/>
        <name val="Calibri"/>
        <family val="2"/>
        <scheme val="minor"/>
      </font>
      <numFmt numFmtId="0" formatCode="General"/>
      <fill>
        <patternFill patternType="solid">
          <fgColor indexed="64"/>
          <bgColor rgb="FFEBF2FF"/>
        </patternFill>
      </fill>
      <alignment horizontal="left" vertical="bottom" textRotation="0" wrapText="0" indent="0" justifyLastLine="0" shrinkToFit="0" readingOrder="0"/>
    </dxf>
    <dxf>
      <font>
        <b val="0"/>
        <i val="0"/>
        <strike val="0"/>
        <condense val="0"/>
        <extend val="0"/>
        <outline val="0"/>
        <shadow val="0"/>
        <u val="none"/>
        <vertAlign val="baseline"/>
        <sz val="11"/>
        <color rgb="FF004EEA"/>
        <name val="Calibri"/>
        <family val="2"/>
        <scheme val="minor"/>
      </font>
      <numFmt numFmtId="0" formatCode="General"/>
      <fill>
        <patternFill patternType="solid">
          <fgColor indexed="64"/>
          <bgColor rgb="FFEBF2FF"/>
        </patternFill>
      </fill>
      <alignment horizontal="left" vertical="bottom" textRotation="0" wrapText="0" indent="0" justifyLastLine="0" shrinkToFit="0" readingOrder="0"/>
    </dxf>
    <dxf>
      <font>
        <b val="0"/>
        <i val="0"/>
        <strike val="0"/>
        <condense val="0"/>
        <extend val="0"/>
        <outline val="0"/>
        <shadow val="0"/>
        <u val="none"/>
        <vertAlign val="baseline"/>
        <sz val="11"/>
        <color rgb="FF004EEA"/>
        <name val="Calibri"/>
        <family val="2"/>
        <scheme val="minor"/>
      </font>
      <numFmt numFmtId="0" formatCode="General"/>
      <fill>
        <patternFill patternType="solid">
          <fgColor indexed="64"/>
          <bgColor rgb="FFEBF2FF"/>
        </patternFill>
      </fill>
      <alignment horizontal="left" vertical="bottom" textRotation="0" wrapText="0" indent="0" justifyLastLine="0" shrinkToFit="0" readingOrder="0"/>
    </dxf>
    <dxf>
      <font>
        <b val="0"/>
        <i val="0"/>
        <strike val="0"/>
        <condense val="0"/>
        <extend val="0"/>
        <outline val="0"/>
        <shadow val="0"/>
        <u val="none"/>
        <vertAlign val="baseline"/>
        <sz val="11"/>
        <color rgb="FF004EEA"/>
        <name val="Calibri"/>
        <family val="2"/>
        <scheme val="minor"/>
      </font>
      <numFmt numFmtId="0" formatCode="General"/>
      <fill>
        <patternFill patternType="solid">
          <fgColor indexed="64"/>
          <bgColor rgb="FFEBF2FF"/>
        </patternFill>
      </fill>
      <alignment horizontal="left" vertical="bottom" textRotation="0" wrapText="0" indent="0" justifyLastLine="0" shrinkToFit="0" readingOrder="0"/>
    </dxf>
    <dxf>
      <font>
        <b val="0"/>
        <i val="0"/>
        <strike val="0"/>
        <condense val="0"/>
        <extend val="0"/>
        <outline val="0"/>
        <shadow val="0"/>
        <u val="none"/>
        <vertAlign val="baseline"/>
        <sz val="11"/>
        <color rgb="FF004EEA"/>
        <name val="Calibri"/>
        <family val="2"/>
        <scheme val="minor"/>
      </font>
      <numFmt numFmtId="0" formatCode="General"/>
      <fill>
        <patternFill patternType="solid">
          <fgColor indexed="64"/>
          <bgColor rgb="FFEBF2FF"/>
        </patternFill>
      </fill>
      <alignment horizontal="left" vertical="bottom" textRotation="0" wrapText="0" indent="0" justifyLastLine="0" shrinkToFit="0" readingOrder="0"/>
    </dxf>
    <dxf>
      <font>
        <b val="0"/>
        <i val="0"/>
        <strike val="0"/>
        <condense val="0"/>
        <extend val="0"/>
        <outline val="0"/>
        <shadow val="0"/>
        <u val="none"/>
        <vertAlign val="baseline"/>
        <sz val="11"/>
        <color theme="0" tint="-0.499984740745262"/>
        <name val="Calibri"/>
        <family val="2"/>
        <scheme val="minor"/>
      </font>
      <numFmt numFmtId="0" formatCode="General"/>
      <fill>
        <patternFill patternType="solid">
          <fgColor indexed="64"/>
          <bgColor theme="0" tint="-4.9989318521683403E-2"/>
        </patternFill>
      </fill>
      <alignment horizontal="left" vertical="bottom" textRotation="0" wrapText="0" indent="0" justifyLastLine="0" shrinkToFit="0" readingOrder="0"/>
    </dxf>
    <dxf>
      <font>
        <strike val="0"/>
        <outline val="0"/>
        <shadow val="0"/>
        <u val="none"/>
        <vertAlign val="baseline"/>
        <sz val="11"/>
        <color theme="0" tint="-0.499984740745262"/>
        <name val="Calibri"/>
        <family val="2"/>
        <scheme val="minor"/>
      </font>
      <numFmt numFmtId="0" formatCode="General"/>
      <fill>
        <patternFill patternType="solid">
          <fgColor indexed="64"/>
          <bgColor theme="0" tint="-4.9989318521683403E-2"/>
        </patternFill>
      </fill>
      <alignment horizontal="left" vertical="bottom" textRotation="0" wrapText="0" indent="0" justifyLastLine="0" shrinkToFit="0" readingOrder="0"/>
    </dxf>
    <dxf>
      <font>
        <strike val="0"/>
        <outline val="0"/>
        <shadow val="0"/>
        <u val="none"/>
        <vertAlign val="baseline"/>
        <sz val="11"/>
        <color theme="0" tint="-0.499984740745262"/>
        <name val="Calibri"/>
        <family val="2"/>
        <scheme val="minor"/>
      </font>
      <fill>
        <patternFill patternType="solid">
          <fgColor indexed="64"/>
          <bgColor theme="0" tint="-4.9989318521683403E-2"/>
        </patternFill>
      </fill>
      <alignment horizontal="left" vertical="bottom" textRotation="0" wrapText="0" indent="0" justifyLastLine="0" shrinkToFit="0" readingOrder="0"/>
    </dxf>
    <dxf>
      <fill>
        <patternFill patternType="solid">
          <fgColor indexed="64"/>
          <bgColor theme="0" tint="-0.34998626667073579"/>
        </patternFill>
      </fill>
      <alignment horizontal="left" vertical="top" textRotation="0" wrapText="1" indent="0" justifyLastLine="0" shrinkToFit="0" readingOrder="0"/>
    </dxf>
    <dxf>
      <font>
        <strike val="0"/>
        <outline val="0"/>
        <shadow val="0"/>
        <u val="none"/>
        <vertAlign val="baseline"/>
        <sz val="11"/>
        <color theme="0" tint="-0.499984740745262"/>
        <name val="Calibri"/>
        <family val="2"/>
        <scheme val="minor"/>
      </font>
      <fill>
        <patternFill patternType="solid">
          <fgColor indexed="64"/>
          <bgColor theme="0" tint="-4.9989318521683403E-2"/>
        </patternFill>
      </fill>
      <alignment horizontal="left" vertical="bottom" textRotation="0" wrapText="0" indent="0" justifyLastLine="0" shrinkToFit="0" readingOrder="0"/>
    </dxf>
    <dxf>
      <font>
        <b val="0"/>
        <i val="0"/>
        <strike val="0"/>
        <condense val="0"/>
        <extend val="0"/>
        <outline val="0"/>
        <shadow val="0"/>
        <u val="none"/>
        <vertAlign val="baseline"/>
        <sz val="11"/>
        <color theme="0" tint="-0.499984740745262"/>
        <name val="Calibri"/>
        <family val="2"/>
        <scheme val="minor"/>
      </font>
      <fill>
        <patternFill patternType="solid">
          <fgColor indexed="64"/>
          <bgColor theme="0" tint="-4.9989318521683403E-2"/>
        </patternFill>
      </fill>
      <alignment horizontal="left" vertical="bottom" textRotation="0" wrapText="0" indent="0" justifyLastLine="0" shrinkToFit="0" readingOrder="0"/>
    </dxf>
    <dxf>
      <font>
        <b val="0"/>
        <i val="0"/>
        <strike val="0"/>
        <condense val="0"/>
        <extend val="0"/>
        <outline val="0"/>
        <shadow val="0"/>
        <u val="none"/>
        <vertAlign val="baseline"/>
        <sz val="11"/>
        <color theme="0" tint="-0.499984740745262"/>
        <name val="Calibri"/>
        <family val="2"/>
        <scheme val="minor"/>
      </font>
      <fill>
        <patternFill patternType="solid">
          <fgColor indexed="64"/>
          <bgColor theme="0" tint="-4.9989318521683403E-2"/>
        </patternFill>
      </fill>
      <alignment horizontal="left" vertical="bottom" textRotation="0" wrapText="0" indent="0" justifyLastLine="0" shrinkToFit="0" readingOrder="0"/>
    </dxf>
    <dxf>
      <font>
        <strike val="0"/>
        <outline val="0"/>
        <shadow val="0"/>
        <u val="none"/>
        <vertAlign val="baseline"/>
        <sz val="11"/>
        <color theme="0" tint="-0.499984740745262"/>
        <name val="Calibri"/>
        <family val="2"/>
        <scheme val="minor"/>
      </font>
      <fill>
        <patternFill patternType="solid">
          <fgColor indexed="64"/>
          <bgColor theme="0" tint="-4.9989318521683403E-2"/>
        </patternFill>
      </fill>
      <alignment horizontal="left" vertical="bottom" textRotation="0" wrapText="0" indent="0" justifyLastLine="0" shrinkToFit="0" readingOrder="0"/>
    </dxf>
    <dxf>
      <font>
        <strike val="0"/>
        <outline val="0"/>
        <shadow val="0"/>
        <u val="none"/>
        <vertAlign val="baseline"/>
        <sz val="11"/>
        <color theme="0" tint="-0.499984740745262"/>
        <name val="Calibri"/>
        <family val="2"/>
        <scheme val="minor"/>
      </font>
      <fill>
        <patternFill patternType="solid">
          <fgColor indexed="64"/>
          <bgColor theme="0" tint="-4.9989318521683403E-2"/>
        </patternFill>
      </fill>
      <alignment horizontal="left" vertical="bottom" textRotation="0" wrapText="0" indent="0" justifyLastLine="0" shrinkToFit="0" readingOrder="0"/>
    </dxf>
    <dxf>
      <font>
        <strike val="0"/>
        <outline val="0"/>
        <shadow val="0"/>
        <u val="none"/>
        <vertAlign val="baseline"/>
        <sz val="11"/>
        <color theme="0" tint="-0.499984740745262"/>
        <name val="Calibri"/>
        <family val="2"/>
        <scheme val="minor"/>
      </font>
      <fill>
        <patternFill patternType="solid">
          <fgColor indexed="64"/>
          <bgColor theme="0" tint="-4.9989318521683403E-2"/>
        </patternFill>
      </fill>
      <alignment horizontal="left" vertical="bottom" textRotation="0" wrapText="0" indent="0" justifyLastLine="0" shrinkToFit="0" readingOrder="0"/>
    </dxf>
    <dxf>
      <font>
        <b val="0"/>
        <i val="0"/>
        <strike val="0"/>
        <condense val="0"/>
        <extend val="0"/>
        <outline val="0"/>
        <shadow val="0"/>
        <u val="none"/>
        <vertAlign val="baseline"/>
        <sz val="11"/>
        <color theme="0" tint="-0.499984740745262"/>
        <name val="Calibri"/>
        <family val="2"/>
        <scheme val="minor"/>
      </font>
      <numFmt numFmtId="0" formatCode="General"/>
      <fill>
        <patternFill patternType="solid">
          <fgColor indexed="64"/>
          <bgColor theme="0" tint="-4.9989318521683403E-2"/>
        </patternFill>
      </fill>
      <alignment horizontal="left" vertical="bottom" textRotation="0" wrapText="0" indent="0" justifyLastLine="0" shrinkToFit="0" readingOrder="0"/>
    </dxf>
    <dxf>
      <font>
        <strike val="0"/>
        <outline val="0"/>
        <shadow val="0"/>
        <u val="none"/>
        <vertAlign val="baseline"/>
        <sz val="11"/>
        <color theme="0" tint="-0.499984740745262"/>
        <name val="Calibri"/>
        <family val="2"/>
        <scheme val="minor"/>
      </font>
      <fill>
        <patternFill patternType="solid">
          <fgColor indexed="64"/>
          <bgColor theme="0" tint="-4.9989318521683403E-2"/>
        </patternFill>
      </fill>
      <alignment horizontal="left" vertical="bottom" textRotation="0" wrapText="0" indent="0" justifyLastLine="0" shrinkToFit="0" readingOrder="0"/>
    </dxf>
    <dxf>
      <font>
        <strike val="0"/>
        <outline val="0"/>
        <shadow val="0"/>
        <u val="none"/>
        <vertAlign val="baseline"/>
        <sz val="11"/>
        <color theme="0" tint="-0.499984740745262"/>
        <name val="Calibri"/>
        <family val="2"/>
        <scheme val="minor"/>
      </font>
      <fill>
        <patternFill patternType="solid">
          <fgColor indexed="64"/>
          <bgColor theme="0" tint="-4.9989318521683403E-2"/>
        </patternFill>
      </fill>
      <alignment horizontal="left" vertical="bottom" textRotation="0" wrapText="0" indent="0" justifyLastLine="0" shrinkToFit="0" readingOrder="0"/>
    </dxf>
    <dxf>
      <fill>
        <patternFill patternType="solid">
          <fgColor indexed="64"/>
          <bgColor theme="0" tint="-0.249977111117893"/>
        </patternFill>
      </fill>
      <alignment horizontal="left" vertical="bottom" textRotation="0" wrapText="0" indent="0" justifyLastLine="0" shrinkToFit="0" readingOrder="0"/>
    </dxf>
    <dxf>
      <font>
        <strike val="0"/>
        <outline val="0"/>
        <shadow val="0"/>
        <u val="none"/>
        <vertAlign val="baseline"/>
        <sz val="11"/>
        <color theme="0" tint="-0.499984740745262"/>
        <name val="Calibri"/>
        <family val="2"/>
        <scheme val="minor"/>
      </font>
      <fill>
        <patternFill patternType="solid">
          <fgColor indexed="64"/>
          <bgColor theme="0" tint="-4.9989318521683403E-2"/>
        </patternFill>
      </fill>
    </dxf>
    <dxf>
      <font>
        <strike val="0"/>
        <outline val="0"/>
        <shadow val="0"/>
        <u val="none"/>
        <vertAlign val="baseline"/>
        <sz val="11"/>
        <color theme="0" tint="-0.499984740745262"/>
        <name val="Calibri"/>
        <family val="2"/>
        <scheme val="minor"/>
      </font>
      <fill>
        <patternFill patternType="solid">
          <fgColor indexed="64"/>
          <bgColor theme="0" tint="-4.9989318521683403E-2"/>
        </patternFill>
      </fill>
    </dxf>
    <dxf>
      <font>
        <strike val="0"/>
        <outline val="0"/>
        <shadow val="0"/>
        <u val="none"/>
        <vertAlign val="baseline"/>
        <sz val="11"/>
        <color theme="0" tint="-0.499984740745262"/>
        <name val="Calibri"/>
        <family val="2"/>
        <scheme val="minor"/>
      </font>
      <fill>
        <patternFill patternType="solid">
          <fgColor indexed="64"/>
          <bgColor theme="0" tint="-4.9989318521683403E-2"/>
        </patternFill>
      </fill>
    </dxf>
    <dxf>
      <font>
        <strike val="0"/>
        <outline val="0"/>
        <shadow val="0"/>
        <u val="none"/>
        <vertAlign val="baseline"/>
        <sz val="11"/>
        <color theme="0" tint="-0.499984740745262"/>
        <name val="Calibri"/>
        <family val="2"/>
        <scheme val="minor"/>
      </font>
      <fill>
        <patternFill patternType="solid">
          <fgColor indexed="64"/>
          <bgColor theme="0" tint="-4.9989318521683403E-2"/>
        </patternFill>
      </fill>
    </dxf>
    <dxf>
      <fill>
        <patternFill patternType="solid">
          <fgColor indexed="64"/>
          <bgColor theme="0" tint="-0.249977111117893"/>
        </patternFill>
      </fill>
    </dxf>
    <dxf>
      <font>
        <b val="0"/>
        <i val="0"/>
        <strike val="0"/>
        <condense val="0"/>
        <extend val="0"/>
        <outline val="0"/>
        <shadow val="0"/>
        <u val="none"/>
        <vertAlign val="baseline"/>
        <sz val="11"/>
        <color theme="0" tint="-0.499984740745262"/>
        <name val="Calibri"/>
        <family val="2"/>
        <scheme val="minor"/>
      </font>
      <fill>
        <patternFill patternType="solid">
          <fgColor indexed="64"/>
          <bgColor theme="0" tint="-4.9989318521683403E-2"/>
        </patternFill>
      </fill>
      <alignment horizontal="left" vertical="bottom" textRotation="0" wrapText="0" indent="0" justifyLastLine="0" shrinkToFit="0" readingOrder="0"/>
    </dxf>
    <dxf>
      <font>
        <b val="0"/>
        <i val="0"/>
        <strike val="0"/>
        <condense val="0"/>
        <extend val="0"/>
        <outline val="0"/>
        <shadow val="0"/>
        <u val="none"/>
        <vertAlign val="baseline"/>
        <sz val="11"/>
        <color theme="0" tint="-0.499984740745262"/>
        <name val="Calibri"/>
        <family val="2"/>
        <scheme val="minor"/>
      </font>
      <fill>
        <patternFill patternType="solid">
          <fgColor indexed="64"/>
          <bgColor theme="0" tint="-4.9989318521683403E-2"/>
        </patternFill>
      </fill>
      <alignment horizontal="left" vertical="bottom" textRotation="0" wrapText="0" indent="0" justifyLastLine="0" shrinkToFit="0" readingOrder="0"/>
    </dxf>
    <dxf>
      <font>
        <strike val="0"/>
        <outline val="0"/>
        <shadow val="0"/>
        <u val="none"/>
        <vertAlign val="baseline"/>
        <sz val="11"/>
        <color theme="0" tint="-0.499984740745262"/>
        <name val="Calibri"/>
        <family val="2"/>
        <scheme val="minor"/>
      </font>
      <fill>
        <patternFill patternType="solid">
          <fgColor indexed="64"/>
          <bgColor theme="0" tint="-4.9989318521683403E-2"/>
        </patternFill>
      </fill>
      <alignment horizontal="left" vertical="bottom" textRotation="0" wrapText="0" indent="0" justifyLastLine="0" shrinkToFit="0" readingOrder="0"/>
    </dxf>
    <dxf>
      <font>
        <b val="0"/>
        <i val="0"/>
        <strike val="0"/>
        <condense val="0"/>
        <extend val="0"/>
        <outline val="0"/>
        <shadow val="0"/>
        <u val="none"/>
        <vertAlign val="baseline"/>
        <sz val="11"/>
        <color theme="0" tint="-0.499984740745262"/>
        <name val="Calibri"/>
        <family val="2"/>
        <scheme val="minor"/>
      </font>
      <fill>
        <patternFill patternType="solid">
          <fgColor indexed="64"/>
          <bgColor theme="0" tint="-4.9989318521683403E-2"/>
        </patternFill>
      </fill>
      <alignment horizontal="left" vertical="bottom" textRotation="0" wrapText="0" indent="0" justifyLastLine="0" shrinkToFit="0" readingOrder="0"/>
    </dxf>
    <dxf>
      <font>
        <strike val="0"/>
        <outline val="0"/>
        <shadow val="0"/>
        <u val="none"/>
        <vertAlign val="baseline"/>
        <sz val="11"/>
        <color theme="0" tint="-0.499984740745262"/>
        <name val="Calibri"/>
        <family val="2"/>
        <scheme val="minor"/>
      </font>
      <fill>
        <patternFill patternType="solid">
          <fgColor indexed="64"/>
          <bgColor theme="0" tint="-4.9989318521683403E-2"/>
        </patternFill>
      </fill>
      <alignment horizontal="left" vertical="bottom" textRotation="0" wrapText="0" indent="0" justifyLastLine="0" shrinkToFit="0" readingOrder="0"/>
    </dxf>
    <dxf>
      <font>
        <strike val="0"/>
        <outline val="0"/>
        <shadow val="0"/>
        <u val="none"/>
        <vertAlign val="baseline"/>
        <sz val="11"/>
        <color theme="0" tint="-0.499984740745262"/>
        <name val="Calibri"/>
        <family val="2"/>
        <scheme val="minor"/>
      </font>
      <fill>
        <patternFill patternType="solid">
          <fgColor indexed="64"/>
          <bgColor theme="0" tint="-4.9989318521683403E-2"/>
        </patternFill>
      </fill>
      <alignment horizontal="left" vertical="bottom" textRotation="0" wrapText="0" indent="0" justifyLastLine="0" shrinkToFit="0" readingOrder="0"/>
    </dxf>
    <dxf>
      <font>
        <strike val="0"/>
        <outline val="0"/>
        <shadow val="0"/>
        <u val="none"/>
        <vertAlign val="baseline"/>
        <sz val="11"/>
        <color theme="0" tint="-0.499984740745262"/>
        <name val="Calibri"/>
        <family val="2"/>
        <scheme val="minor"/>
      </font>
      <fill>
        <patternFill patternType="solid">
          <fgColor indexed="64"/>
          <bgColor theme="0" tint="-4.9989318521683403E-2"/>
        </patternFill>
      </fill>
      <alignment horizontal="left" vertical="bottom" textRotation="0" wrapText="0" indent="0" justifyLastLine="0" shrinkToFit="0" readingOrder="0"/>
    </dxf>
    <dxf>
      <font>
        <strike val="0"/>
        <outline val="0"/>
        <shadow val="0"/>
        <u val="none"/>
        <vertAlign val="baseline"/>
        <sz val="11"/>
        <color theme="0" tint="-0.499984740745262"/>
        <name val="Calibri"/>
        <family val="2"/>
        <scheme val="minor"/>
      </font>
      <fill>
        <patternFill patternType="solid">
          <fgColor indexed="64"/>
          <bgColor theme="0" tint="-4.9989318521683403E-2"/>
        </patternFill>
      </fill>
      <alignment horizontal="left" vertical="bottom" textRotation="0" wrapText="0" indent="0" justifyLastLine="0" shrinkToFit="0" readingOrder="0"/>
    </dxf>
    <dxf>
      <fill>
        <patternFill patternType="solid">
          <fgColor indexed="64"/>
          <bgColor theme="0" tint="-0.249977111117893"/>
        </patternFill>
      </fill>
      <alignment horizontal="left" vertical="top" textRotation="0" wrapText="1" indent="0" justifyLastLine="0" shrinkToFit="0" readingOrder="0"/>
    </dxf>
  </dxfs>
  <tableStyles count="0" defaultTableStyle="TableStyleMedium2" defaultPivotStyle="PivotStyleLight16"/>
  <colors>
    <mruColors>
      <color rgb="FFFF5757"/>
      <color rgb="FFFF4F4F"/>
      <color rgb="FFFFEFEF"/>
      <color rgb="FFFFDDDD"/>
      <color rgb="FFFFC5C5"/>
      <color rgb="FFFFA7A7"/>
      <color rgb="FFFF8585"/>
      <color rgb="FFFF7575"/>
      <color rgb="FFFFE5E5"/>
      <color rgb="FFFF979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microsoft.com/office/2007/relationships/slicerCache" Target="slicerCaches/slicerCache8.xml"/><Relationship Id="rId26" Type="http://schemas.openxmlformats.org/officeDocument/2006/relationships/sheetMetadata" Target="metadata.xml"/><Relationship Id="rId3" Type="http://schemas.openxmlformats.org/officeDocument/2006/relationships/worksheet" Target="worksheets/sheet3.xml"/><Relationship Id="rId21" Type="http://schemas.microsoft.com/office/2007/relationships/slicerCache" Target="slicerCaches/slicerCache11.xml"/><Relationship Id="rId7" Type="http://schemas.openxmlformats.org/officeDocument/2006/relationships/worksheet" Target="worksheets/sheet7.xml"/><Relationship Id="rId12" Type="http://schemas.microsoft.com/office/2007/relationships/slicerCache" Target="slicerCaches/slicerCache2.xml"/><Relationship Id="rId17" Type="http://schemas.microsoft.com/office/2007/relationships/slicerCache" Target="slicerCaches/slicerCache7.xml"/><Relationship Id="rId25" Type="http://schemas.openxmlformats.org/officeDocument/2006/relationships/sharedStrings" Target="sharedStrings.xml"/><Relationship Id="rId2" Type="http://schemas.openxmlformats.org/officeDocument/2006/relationships/worksheet" Target="worksheets/sheet2.xml"/><Relationship Id="rId16" Type="http://schemas.microsoft.com/office/2007/relationships/slicerCache" Target="slicerCaches/slicerCache6.xml"/><Relationship Id="rId20" Type="http://schemas.microsoft.com/office/2007/relationships/slicerCache" Target="slicerCaches/slicerCache1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24" Type="http://schemas.openxmlformats.org/officeDocument/2006/relationships/styles" Target="styles.xml"/><Relationship Id="rId5" Type="http://schemas.openxmlformats.org/officeDocument/2006/relationships/worksheet" Target="worksheets/sheet5.xml"/><Relationship Id="rId15" Type="http://schemas.microsoft.com/office/2007/relationships/slicerCache" Target="slicerCaches/slicerCache5.xml"/><Relationship Id="rId23" Type="http://schemas.openxmlformats.org/officeDocument/2006/relationships/theme" Target="theme/theme1.xml"/><Relationship Id="rId28" Type="http://schemas.openxmlformats.org/officeDocument/2006/relationships/customXml" Target="../customXml/item1.xml"/><Relationship Id="rId10" Type="http://schemas.openxmlformats.org/officeDocument/2006/relationships/pivotCacheDefinition" Target="pivotCache/pivotCacheDefinition1.xml"/><Relationship Id="rId19" Type="http://schemas.microsoft.com/office/2007/relationships/slicerCache" Target="slicerCaches/slicerCache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4.xml"/><Relationship Id="rId22" Type="http://schemas.microsoft.com/office/2007/relationships/slicerCache" Target="slicerCaches/slicerCache12.xml"/><Relationship Id="rId27" Type="http://schemas.openxmlformats.org/officeDocument/2006/relationships/calcChain" Target="calcChain.xml"/><Relationship Id="rId30"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Ex1.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[Smart Trade.xlsm]Pivot!Page1_PT1</c:name>
    <c:fmtId val="2"/>
  </c:pivotSource>
  <c:chart>
    <c:title>
      <c:tx>
        <c:rich>
          <a:bodyPr rot="0" spcFirstLastPara="1" vertOverflow="ellipsis" vert="horz" wrap="square" anchor="ctr" anchorCtr="1"/>
          <a:lstStyle/>
          <a:p>
            <a:pPr>
              <a:defRPr sz="1600" b="0" i="0" u="none" strike="noStrike" kern="1200" spc="0" baseline="0">
                <a:solidFill>
                  <a:srgbClr val="FF0000"/>
                </a:solidFill>
                <a:latin typeface="+mn-lt"/>
                <a:ea typeface="+mn-ea"/>
                <a:cs typeface="+mn-cs"/>
              </a:defRPr>
            </a:pPr>
            <a:r>
              <a:rPr lang="en-US" sz="1600" b="0">
                <a:solidFill>
                  <a:srgbClr val="FF0000"/>
                </a:solidFill>
              </a:rPr>
              <a:t>Annual Volume</a:t>
            </a:r>
            <a:r>
              <a:rPr lang="en-US" sz="1600" b="0" baseline="0">
                <a:solidFill>
                  <a:srgbClr val="FF0000"/>
                </a:solidFill>
              </a:rPr>
              <a:t> - Ton</a:t>
            </a:r>
            <a:endParaRPr lang="en-US" sz="1600" b="0">
              <a:solidFill>
                <a:srgbClr val="FF0000"/>
              </a:solidFill>
            </a:endParaRPr>
          </a:p>
        </c:rich>
      </c:tx>
      <c:layout>
        <c:manualLayout>
          <c:xMode val="edge"/>
          <c:yMode val="edge"/>
          <c:x val="2.8756421472956911E-3"/>
          <c:y val="9.6742986133505314E-3"/>
        </c:manualLayout>
      </c:layout>
      <c:overlay val="0"/>
      <c:spPr>
        <a:noFill/>
        <a:ln>
          <a:noFill/>
        </a:ln>
        <a:effectLst/>
      </c:spPr>
      <c:txPr>
        <a:bodyPr rot="0" spcFirstLastPara="1" vertOverflow="ellipsis" vert="horz" wrap="square" anchor="ctr" anchorCtr="1"/>
        <a:lstStyle/>
        <a:p>
          <a:pPr>
            <a:defRPr sz="1600" b="0" i="0" u="none" strike="noStrike" kern="1200" spc="0" baseline="0">
              <a:solidFill>
                <a:srgbClr val="FF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CDC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FCDC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E5E5"/>
          </a:solidFill>
          <a:ln>
            <a:noFill/>
          </a:ln>
          <a:effectLst/>
        </c:spPr>
      </c:pivotFmt>
    </c:pivotFmts>
    <c:plotArea>
      <c:layout>
        <c:manualLayout>
          <c:layoutTarget val="inner"/>
          <c:xMode val="edge"/>
          <c:yMode val="edge"/>
          <c:x val="0.46799178760191013"/>
          <c:y val="0.10234397048275626"/>
          <c:w val="0.53200821239808982"/>
          <c:h val="0.82237467609078718"/>
        </c:manualLayout>
      </c:layout>
      <c:barChart>
        <c:barDir val="bar"/>
        <c:grouping val="clustered"/>
        <c:varyColors val="0"/>
        <c:ser>
          <c:idx val="0"/>
          <c:order val="0"/>
          <c:tx>
            <c:strRef>
              <c:f>Pivot!$D$8</c:f>
              <c:strCache>
                <c:ptCount val="1"/>
                <c:pt idx="0">
                  <c:v>Total</c:v>
                </c:pt>
              </c:strCache>
            </c:strRef>
          </c:tx>
          <c:spPr>
            <a:solidFill>
              <a:srgbClr val="FFCDCD"/>
            </a:solidFill>
            <a:ln>
              <a:noFill/>
            </a:ln>
            <a:effectLst/>
          </c:spPr>
          <c:invertIfNegative val="0"/>
          <c:dPt>
            <c:idx val="24"/>
            <c:invertIfNegative val="0"/>
            <c:bubble3D val="0"/>
            <c:spPr>
              <a:solidFill>
                <a:srgbClr val="FFE5E5"/>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Pivot!$B$9:$C$33</c:f>
              <c:multiLvlStrCache>
                <c:ptCount val="25"/>
                <c:lvl>
                  <c:pt idx="0">
                    <c:v>Xanthan Gum</c:v>
                  </c:pt>
                  <c:pt idx="1">
                    <c:v>CMC (Carboxymethyl Cellulose)</c:v>
                  </c:pt>
                  <c:pt idx="2">
                    <c:v>Guar Gum</c:v>
                  </c:pt>
                  <c:pt idx="3">
                    <c:v>Carrageenan</c:v>
                  </c:pt>
                  <c:pt idx="4">
                    <c:v>Citric Acid</c:v>
                  </c:pt>
                  <c:pt idx="5">
                    <c:v>Lactic Acid</c:v>
                  </c:pt>
                  <c:pt idx="6">
                    <c:v>Phosphoric Acid</c:v>
                  </c:pt>
                  <c:pt idx="7">
                    <c:v>Sodium Citrate</c:v>
                  </c:pt>
                  <c:pt idx="8">
                    <c:v>Potassium Sorbate</c:v>
                  </c:pt>
                  <c:pt idx="9">
                    <c:v>Sodium Benzoate</c:v>
                  </c:pt>
                  <c:pt idx="10">
                    <c:v>Calcium Propionate</c:v>
                  </c:pt>
                  <c:pt idx="11">
                    <c:v>Sodium Nitrite</c:v>
                  </c:pt>
                  <c:pt idx="12">
                    <c:v>Sodium Metabisulfite</c:v>
                  </c:pt>
                  <c:pt idx="13">
                    <c:v>Modified Starch (Cold/Hot)</c:v>
                  </c:pt>
                  <c:pt idx="14">
                    <c:v>Lecithin</c:v>
                  </c:pt>
                  <c:pt idx="15">
                    <c:v>Mono &amp; Diglycerides</c:v>
                  </c:pt>
                  <c:pt idx="16">
                    <c:v>Sorbitol</c:v>
                  </c:pt>
                  <c:pt idx="17">
                    <c:v>Glucose Syrup</c:v>
                  </c:pt>
                  <c:pt idx="18">
                    <c:v>Fructose</c:v>
                  </c:pt>
                  <c:pt idx="19">
                    <c:v>Aspartame</c:v>
                  </c:pt>
                  <c:pt idx="20">
                    <c:v>Acesulfame-K</c:v>
                  </c:pt>
                  <c:pt idx="21">
                    <c:v>Tomato Paste / Concentrate</c:v>
                  </c:pt>
                  <c:pt idx="22">
                    <c:v>BHT / BHA</c:v>
                  </c:pt>
                  <c:pt idx="23">
                    <c:v>Caramel Color</c:v>
                  </c:pt>
                  <c:pt idx="24">
                    <c:v>Beta Carotene</c:v>
                  </c:pt>
                </c:lvl>
                <c:lvl>
                  <c:pt idx="0">
                    <c:v>1</c:v>
                  </c:pt>
                  <c:pt idx="1">
                    <c:v>2</c:v>
                  </c:pt>
                  <c:pt idx="2">
                    <c:v>3</c:v>
                  </c:pt>
                  <c:pt idx="3">
                    <c:v>4</c:v>
                  </c:pt>
                  <c:pt idx="4">
                    <c:v>6</c:v>
                  </c:pt>
                  <c:pt idx="5">
                    <c:v>7</c:v>
                  </c:pt>
                  <c:pt idx="6">
                    <c:v>8</c:v>
                  </c:pt>
                  <c:pt idx="7">
                    <c:v>9</c:v>
                  </c:pt>
                  <c:pt idx="8">
                    <c:v>10</c:v>
                  </c:pt>
                  <c:pt idx="9">
                    <c:v>11</c:v>
                  </c:pt>
                  <c:pt idx="10">
                    <c:v>12</c:v>
                  </c:pt>
                  <c:pt idx="11">
                    <c:v>13</c:v>
                  </c:pt>
                  <c:pt idx="12">
                    <c:v>14</c:v>
                  </c:pt>
                  <c:pt idx="13">
                    <c:v>15</c:v>
                  </c:pt>
                  <c:pt idx="14">
                    <c:v>16</c:v>
                  </c:pt>
                  <c:pt idx="15">
                    <c:v>17</c:v>
                  </c:pt>
                  <c:pt idx="16">
                    <c:v>18</c:v>
                  </c:pt>
                  <c:pt idx="17">
                    <c:v>19</c:v>
                  </c:pt>
                  <c:pt idx="18">
                    <c:v>20</c:v>
                  </c:pt>
                  <c:pt idx="19">
                    <c:v>21</c:v>
                  </c:pt>
                  <c:pt idx="20">
                    <c:v>22</c:v>
                  </c:pt>
                  <c:pt idx="21">
                    <c:v>23</c:v>
                  </c:pt>
                  <c:pt idx="22">
                    <c:v>24</c:v>
                  </c:pt>
                  <c:pt idx="23">
                    <c:v>25</c:v>
                  </c:pt>
                  <c:pt idx="24">
                    <c:v>26</c:v>
                  </c:pt>
                </c:lvl>
              </c:multiLvlStrCache>
            </c:multiLvlStrRef>
          </c:cat>
          <c:val>
            <c:numRef>
              <c:f>Pivot!$D$9:$D$33</c:f>
              <c:numCache>
                <c:formatCode>#,##0</c:formatCode>
                <c:ptCount val="25"/>
                <c:pt idx="0">
                  <c:v>2298.3602000000001</c:v>
                </c:pt>
                <c:pt idx="1">
                  <c:v>6842.7622999999994</c:v>
                </c:pt>
                <c:pt idx="2">
                  <c:v>2211.4160000000002</c:v>
                </c:pt>
                <c:pt idx="3">
                  <c:v>1977.5141000000001</c:v>
                </c:pt>
                <c:pt idx="4">
                  <c:v>22769.0491</c:v>
                </c:pt>
                <c:pt idx="5">
                  <c:v>1513.4574</c:v>
                </c:pt>
                <c:pt idx="6">
                  <c:v>17237.347600000001</c:v>
                </c:pt>
                <c:pt idx="7">
                  <c:v>2777.2772</c:v>
                </c:pt>
                <c:pt idx="8">
                  <c:v>2033.3739</c:v>
                </c:pt>
                <c:pt idx="9">
                  <c:v>3013.3056999999999</c:v>
                </c:pt>
                <c:pt idx="10">
                  <c:v>1269.9544000000001</c:v>
                </c:pt>
                <c:pt idx="11">
                  <c:v>215.01900000000001</c:v>
                </c:pt>
                <c:pt idx="12">
                  <c:v>13115.268</c:v>
                </c:pt>
                <c:pt idx="13">
                  <c:v>17243.671100000003</c:v>
                </c:pt>
                <c:pt idx="14">
                  <c:v>4015.4187999999999</c:v>
                </c:pt>
                <c:pt idx="15">
                  <c:v>3811.7805999999996</c:v>
                </c:pt>
                <c:pt idx="16">
                  <c:v>6904.6133</c:v>
                </c:pt>
                <c:pt idx="17">
                  <c:v>12795.612499999999</c:v>
                </c:pt>
                <c:pt idx="18">
                  <c:v>70.275000000000006</c:v>
                </c:pt>
                <c:pt idx="19">
                  <c:v>1740.2226000000001</c:v>
                </c:pt>
                <c:pt idx="20">
                  <c:v>1293.0700000000002</c:v>
                </c:pt>
                <c:pt idx="21">
                  <c:v>10652.116400000001</c:v>
                </c:pt>
                <c:pt idx="22">
                  <c:v>219.37520000000001</c:v>
                </c:pt>
                <c:pt idx="23">
                  <c:v>12365.7426</c:v>
                </c:pt>
                <c:pt idx="24">
                  <c:v>6791.6234000000004</c:v>
                </c:pt>
              </c:numCache>
            </c:numRef>
          </c:val>
          <c:extLst>
            <c:ext xmlns:c16="http://schemas.microsoft.com/office/drawing/2014/chart" uri="{C3380CC4-5D6E-409C-BE32-E72D297353CC}">
              <c16:uniqueId val="{0000002B-24D4-49AE-8E20-895D9A5D680B}"/>
            </c:ext>
          </c:extLst>
        </c:ser>
        <c:dLbls>
          <c:dLblPos val="outEnd"/>
          <c:showLegendKey val="0"/>
          <c:showVal val="1"/>
          <c:showCatName val="0"/>
          <c:showSerName val="0"/>
          <c:showPercent val="0"/>
          <c:showBubbleSize val="0"/>
        </c:dLbls>
        <c:gapWidth val="182"/>
        <c:axId val="40159968"/>
        <c:axId val="40159472"/>
      </c:barChart>
      <c:catAx>
        <c:axId val="401599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40159472"/>
        <c:crosses val="autoZero"/>
        <c:auto val="1"/>
        <c:lblAlgn val="ctr"/>
        <c:lblOffset val="100"/>
        <c:noMultiLvlLbl val="0"/>
      </c:catAx>
      <c:valAx>
        <c:axId val="40159472"/>
        <c:scaling>
          <c:orientation val="minMax"/>
        </c:scaling>
        <c:delete val="1"/>
        <c:axPos val="b"/>
        <c:numFmt formatCode="#,##0" sourceLinked="1"/>
        <c:majorTickMark val="none"/>
        <c:minorTickMark val="none"/>
        <c:tickLblPos val="nextTo"/>
        <c:crossAx val="401599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[Smart Trade.xlsm]Pivot!Page1_PT2</c:name>
    <c:fmtId val="5"/>
  </c:pivotSource>
  <c:chart>
    <c:title>
      <c:tx>
        <c:rich>
          <a:bodyPr rot="0" spcFirstLastPara="1" vertOverflow="ellipsis" vert="horz" wrap="square" anchor="ctr" anchorCtr="1"/>
          <a:lstStyle/>
          <a:p>
            <a:pPr>
              <a:defRPr sz="1400" b="0" i="0" u="none" strike="noStrike" kern="1200" spc="0" baseline="0">
                <a:solidFill>
                  <a:srgbClr val="92D050"/>
                </a:solidFill>
                <a:latin typeface="+mn-lt"/>
                <a:ea typeface="+mn-ea"/>
                <a:cs typeface="+mn-cs"/>
              </a:defRPr>
            </a:pPr>
            <a:r>
              <a:rPr lang="en-US">
                <a:solidFill>
                  <a:srgbClr val="92D050"/>
                </a:solidFill>
              </a:rPr>
              <a:t>Annual Spend - USD M</a:t>
            </a:r>
          </a:p>
        </c:rich>
      </c:tx>
      <c:layout>
        <c:manualLayout>
          <c:xMode val="edge"/>
          <c:yMode val="edge"/>
          <c:x val="1.8676713645806569E-3"/>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92D05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EEF8E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92D05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7030A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7030A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7030A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E2F3D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8233878488400732"/>
          <c:y val="8.0837160979877518E-2"/>
          <c:w val="0.64876443795621785"/>
          <c:h val="0.86860249741765094"/>
        </c:manualLayout>
      </c:layout>
      <c:barChart>
        <c:barDir val="bar"/>
        <c:grouping val="clustered"/>
        <c:varyColors val="0"/>
        <c:ser>
          <c:idx val="0"/>
          <c:order val="0"/>
          <c:tx>
            <c:strRef>
              <c:f>Pivot!$H$8</c:f>
              <c:strCache>
                <c:ptCount val="1"/>
                <c:pt idx="0">
                  <c:v>Total</c:v>
                </c:pt>
              </c:strCache>
            </c:strRef>
          </c:tx>
          <c:spPr>
            <a:solidFill>
              <a:srgbClr val="E2F3D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Pivot!$F$9:$G$33</c:f>
              <c:multiLvlStrCache>
                <c:ptCount val="25"/>
                <c:lvl>
                  <c:pt idx="0">
                    <c:v>Xanthan Gum</c:v>
                  </c:pt>
                  <c:pt idx="1">
                    <c:v>CMC (Carboxymethyl Cellulose)</c:v>
                  </c:pt>
                  <c:pt idx="2">
                    <c:v>Guar Gum</c:v>
                  </c:pt>
                  <c:pt idx="3">
                    <c:v>Carrageenan</c:v>
                  </c:pt>
                  <c:pt idx="4">
                    <c:v>Citric Acid</c:v>
                  </c:pt>
                  <c:pt idx="5">
                    <c:v>Lactic Acid</c:v>
                  </c:pt>
                  <c:pt idx="6">
                    <c:v>Phosphoric Acid</c:v>
                  </c:pt>
                  <c:pt idx="7">
                    <c:v>Sodium Citrate</c:v>
                  </c:pt>
                  <c:pt idx="8">
                    <c:v>Potassium Sorbate</c:v>
                  </c:pt>
                  <c:pt idx="9">
                    <c:v>Sodium Benzoate</c:v>
                  </c:pt>
                  <c:pt idx="10">
                    <c:v>Calcium Propionate</c:v>
                  </c:pt>
                  <c:pt idx="11">
                    <c:v>Sodium Nitrite</c:v>
                  </c:pt>
                  <c:pt idx="12">
                    <c:v>Sodium Metabisulfite</c:v>
                  </c:pt>
                  <c:pt idx="13">
                    <c:v>Modified Starch (Cold/Hot)</c:v>
                  </c:pt>
                  <c:pt idx="14">
                    <c:v>Lecithin</c:v>
                  </c:pt>
                  <c:pt idx="15">
                    <c:v>Mono &amp; Diglycerides</c:v>
                  </c:pt>
                  <c:pt idx="16">
                    <c:v>Sorbitol</c:v>
                  </c:pt>
                  <c:pt idx="17">
                    <c:v>Glucose Syrup</c:v>
                  </c:pt>
                  <c:pt idx="18">
                    <c:v>Fructose</c:v>
                  </c:pt>
                  <c:pt idx="19">
                    <c:v>Aspartame</c:v>
                  </c:pt>
                  <c:pt idx="20">
                    <c:v>Acesulfame-K</c:v>
                  </c:pt>
                  <c:pt idx="21">
                    <c:v>Tomato Paste / Concentrate</c:v>
                  </c:pt>
                  <c:pt idx="22">
                    <c:v>BHT / BHA</c:v>
                  </c:pt>
                  <c:pt idx="23">
                    <c:v>Caramel Color</c:v>
                  </c:pt>
                  <c:pt idx="24">
                    <c:v>Beta Carotene</c:v>
                  </c:pt>
                </c:lvl>
                <c:lvl>
                  <c:pt idx="0">
                    <c:v>1</c:v>
                  </c:pt>
                  <c:pt idx="1">
                    <c:v>2</c:v>
                  </c:pt>
                  <c:pt idx="2">
                    <c:v>3</c:v>
                  </c:pt>
                  <c:pt idx="3">
                    <c:v>4</c:v>
                  </c:pt>
                  <c:pt idx="4">
                    <c:v>6</c:v>
                  </c:pt>
                  <c:pt idx="5">
                    <c:v>7</c:v>
                  </c:pt>
                  <c:pt idx="6">
                    <c:v>8</c:v>
                  </c:pt>
                  <c:pt idx="7">
                    <c:v>9</c:v>
                  </c:pt>
                  <c:pt idx="8">
                    <c:v>10</c:v>
                  </c:pt>
                  <c:pt idx="9">
                    <c:v>11</c:v>
                  </c:pt>
                  <c:pt idx="10">
                    <c:v>12</c:v>
                  </c:pt>
                  <c:pt idx="11">
                    <c:v>13</c:v>
                  </c:pt>
                  <c:pt idx="12">
                    <c:v>14</c:v>
                  </c:pt>
                  <c:pt idx="13">
                    <c:v>15</c:v>
                  </c:pt>
                  <c:pt idx="14">
                    <c:v>16</c:v>
                  </c:pt>
                  <c:pt idx="15">
                    <c:v>17</c:v>
                  </c:pt>
                  <c:pt idx="16">
                    <c:v>18</c:v>
                  </c:pt>
                  <c:pt idx="17">
                    <c:v>19</c:v>
                  </c:pt>
                  <c:pt idx="18">
                    <c:v>20</c:v>
                  </c:pt>
                  <c:pt idx="19">
                    <c:v>21</c:v>
                  </c:pt>
                  <c:pt idx="20">
                    <c:v>22</c:v>
                  </c:pt>
                  <c:pt idx="21">
                    <c:v>23</c:v>
                  </c:pt>
                  <c:pt idx="22">
                    <c:v>24</c:v>
                  </c:pt>
                  <c:pt idx="23">
                    <c:v>25</c:v>
                  </c:pt>
                  <c:pt idx="24">
                    <c:v>26</c:v>
                  </c:pt>
                </c:lvl>
              </c:multiLvlStrCache>
            </c:multiLvlStrRef>
          </c:cat>
          <c:val>
            <c:numRef>
              <c:f>Pivot!$H$9:$H$33</c:f>
              <c:numCache>
                <c:formatCode>#,##0</c:formatCode>
                <c:ptCount val="25"/>
                <c:pt idx="0">
                  <c:v>11.556158</c:v>
                </c:pt>
                <c:pt idx="1">
                  <c:v>15.776132</c:v>
                </c:pt>
                <c:pt idx="2">
                  <c:v>5.2969200000000001</c:v>
                </c:pt>
                <c:pt idx="3">
                  <c:v>6.1868290000000004</c:v>
                </c:pt>
                <c:pt idx="4">
                  <c:v>17.496053</c:v>
                </c:pt>
                <c:pt idx="5">
                  <c:v>2.0033560000000001</c:v>
                </c:pt>
                <c:pt idx="6">
                  <c:v>12.946484</c:v>
                </c:pt>
                <c:pt idx="7">
                  <c:v>4.0569119999999996</c:v>
                </c:pt>
                <c:pt idx="8">
                  <c:v>8.9740669999999998</c:v>
                </c:pt>
                <c:pt idx="9">
                  <c:v>7.2834260000000004</c:v>
                </c:pt>
                <c:pt idx="10">
                  <c:v>2.145273</c:v>
                </c:pt>
                <c:pt idx="11">
                  <c:v>0.13506599999999999</c:v>
                </c:pt>
                <c:pt idx="12">
                  <c:v>5.2675520000000002</c:v>
                </c:pt>
                <c:pt idx="13">
                  <c:v>24.442250000000001</c:v>
                </c:pt>
                <c:pt idx="14">
                  <c:v>5.2576210000000003</c:v>
                </c:pt>
                <c:pt idx="15">
                  <c:v>8.2651599999999998</c:v>
                </c:pt>
                <c:pt idx="16">
                  <c:v>4.8564600000000002</c:v>
                </c:pt>
                <c:pt idx="17">
                  <c:v>7.9321080000000004</c:v>
                </c:pt>
                <c:pt idx="18">
                  <c:v>3.6236999999999998E-2</c:v>
                </c:pt>
                <c:pt idx="19">
                  <c:v>14.532233</c:v>
                </c:pt>
                <c:pt idx="20">
                  <c:v>53.776648000000002</c:v>
                </c:pt>
                <c:pt idx="21">
                  <c:v>11.020216</c:v>
                </c:pt>
                <c:pt idx="22">
                  <c:v>1.2317020000000001</c:v>
                </c:pt>
                <c:pt idx="23">
                  <c:v>11.733205999999999</c:v>
                </c:pt>
                <c:pt idx="24">
                  <c:v>14.912609</c:v>
                </c:pt>
              </c:numCache>
            </c:numRef>
          </c:val>
          <c:extLst>
            <c:ext xmlns:c16="http://schemas.microsoft.com/office/drawing/2014/chart" uri="{C3380CC4-5D6E-409C-BE32-E72D297353CC}">
              <c16:uniqueId val="{00000026-74CD-41EE-9922-C36F88F46718}"/>
            </c:ext>
          </c:extLst>
        </c:ser>
        <c:dLbls>
          <c:dLblPos val="outEnd"/>
          <c:showLegendKey val="0"/>
          <c:showVal val="1"/>
          <c:showCatName val="0"/>
          <c:showSerName val="0"/>
          <c:showPercent val="0"/>
          <c:showBubbleSize val="0"/>
        </c:dLbls>
        <c:gapWidth val="182"/>
        <c:axId val="91925343"/>
        <c:axId val="91925839"/>
      </c:barChart>
      <c:catAx>
        <c:axId val="9192534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91925839"/>
        <c:crosses val="autoZero"/>
        <c:auto val="1"/>
        <c:lblAlgn val="ctr"/>
        <c:lblOffset val="100"/>
        <c:noMultiLvlLbl val="0"/>
      </c:catAx>
      <c:valAx>
        <c:axId val="91925839"/>
        <c:scaling>
          <c:orientation val="minMax"/>
        </c:scaling>
        <c:delete val="1"/>
        <c:axPos val="b"/>
        <c:numFmt formatCode="#,##0" sourceLinked="1"/>
        <c:majorTickMark val="none"/>
        <c:minorTickMark val="none"/>
        <c:tickLblPos val="nextTo"/>
        <c:crossAx val="919253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rgbClr val="7030A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[Smart Trade.xlsm]Pivot!Page1_PT3</c:name>
    <c:fmtId val="8"/>
  </c:pivotSource>
  <c:chart>
    <c:title>
      <c:tx>
        <c:rich>
          <a:bodyPr rot="0" spcFirstLastPara="1" vertOverflow="ellipsis" vert="horz" wrap="square" anchor="ctr" anchorCtr="1"/>
          <a:lstStyle/>
          <a:p>
            <a:pPr>
              <a:defRPr sz="1600" b="0" i="0" u="none" strike="noStrike" kern="1200" spc="0" baseline="0">
                <a:solidFill>
                  <a:srgbClr val="FF0000"/>
                </a:solidFill>
                <a:latin typeface="+mn-lt"/>
                <a:ea typeface="+mn-ea"/>
                <a:cs typeface="+mn-cs"/>
              </a:defRPr>
            </a:pPr>
            <a:r>
              <a:rPr lang="en-US" sz="1600">
                <a:solidFill>
                  <a:srgbClr val="FF0000"/>
                </a:solidFill>
              </a:rPr>
              <a:t>Product Share% </a:t>
            </a:r>
          </a:p>
        </c:rich>
      </c:tx>
      <c:layout>
        <c:manualLayout>
          <c:xMode val="edge"/>
          <c:yMode val="edge"/>
          <c:x val="1.1111111111108901E-4"/>
          <c:y val="0"/>
        </c:manualLayout>
      </c:layout>
      <c:overlay val="0"/>
      <c:spPr>
        <a:noFill/>
        <a:ln>
          <a:noFill/>
        </a:ln>
        <a:effectLst/>
      </c:spPr>
      <c:txPr>
        <a:bodyPr rot="0" spcFirstLastPara="1" vertOverflow="ellipsis" vert="horz" wrap="square" anchor="ctr" anchorCtr="1"/>
        <a:lstStyle/>
        <a:p>
          <a:pPr>
            <a:defRPr sz="1600" b="0" i="0" u="none" strike="noStrike" kern="1200" spc="0" baseline="0">
              <a:solidFill>
                <a:srgbClr val="FF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CDC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0802793327591865"/>
          <c:y val="9.150462962962963E-2"/>
          <c:w val="0.55905105977963687"/>
          <c:h val="0.8830324074074074"/>
        </c:manualLayout>
      </c:layout>
      <c:barChart>
        <c:barDir val="bar"/>
        <c:grouping val="clustered"/>
        <c:varyColors val="0"/>
        <c:ser>
          <c:idx val="0"/>
          <c:order val="0"/>
          <c:tx>
            <c:strRef>
              <c:f>Pivot!$L$8</c:f>
              <c:strCache>
                <c:ptCount val="1"/>
                <c:pt idx="0">
                  <c:v>Total</c:v>
                </c:pt>
              </c:strCache>
            </c:strRef>
          </c:tx>
          <c:spPr>
            <a:solidFill>
              <a:srgbClr val="FFCDC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Pivot!$J$9:$K$33</c:f>
              <c:multiLvlStrCache>
                <c:ptCount val="25"/>
                <c:lvl>
                  <c:pt idx="0">
                    <c:v>Xanthan Gum</c:v>
                  </c:pt>
                  <c:pt idx="1">
                    <c:v>CMC (Carboxymethyl Cellulose)</c:v>
                  </c:pt>
                  <c:pt idx="2">
                    <c:v>Guar Gum</c:v>
                  </c:pt>
                  <c:pt idx="3">
                    <c:v>Carrageenan</c:v>
                  </c:pt>
                  <c:pt idx="4">
                    <c:v>Citric Acid</c:v>
                  </c:pt>
                  <c:pt idx="5">
                    <c:v>Lactic Acid</c:v>
                  </c:pt>
                  <c:pt idx="6">
                    <c:v>Phosphoric Acid</c:v>
                  </c:pt>
                  <c:pt idx="7">
                    <c:v>Sodium Citrate</c:v>
                  </c:pt>
                  <c:pt idx="8">
                    <c:v>Potassium Sorbate</c:v>
                  </c:pt>
                  <c:pt idx="9">
                    <c:v>Sodium Benzoate</c:v>
                  </c:pt>
                  <c:pt idx="10">
                    <c:v>Calcium Propionate</c:v>
                  </c:pt>
                  <c:pt idx="11">
                    <c:v>Sodium Nitrite</c:v>
                  </c:pt>
                  <c:pt idx="12">
                    <c:v>Sodium Metabisulfite</c:v>
                  </c:pt>
                  <c:pt idx="13">
                    <c:v>Modified Starch (Cold/Hot)</c:v>
                  </c:pt>
                  <c:pt idx="14">
                    <c:v>Lecithin</c:v>
                  </c:pt>
                  <c:pt idx="15">
                    <c:v>Mono &amp; Diglycerides</c:v>
                  </c:pt>
                  <c:pt idx="16">
                    <c:v>Sorbitol</c:v>
                  </c:pt>
                  <c:pt idx="17">
                    <c:v>Glucose Syrup</c:v>
                  </c:pt>
                  <c:pt idx="18">
                    <c:v>Fructose</c:v>
                  </c:pt>
                  <c:pt idx="19">
                    <c:v>Aspartame</c:v>
                  </c:pt>
                  <c:pt idx="20">
                    <c:v>Acesulfame-K</c:v>
                  </c:pt>
                  <c:pt idx="21">
                    <c:v>Tomato Paste / Concentrate</c:v>
                  </c:pt>
                  <c:pt idx="22">
                    <c:v>BHT / BHA</c:v>
                  </c:pt>
                  <c:pt idx="23">
                    <c:v>Caramel Color</c:v>
                  </c:pt>
                  <c:pt idx="24">
                    <c:v>Beta Carotene</c:v>
                  </c:pt>
                </c:lvl>
                <c:lvl>
                  <c:pt idx="0">
                    <c:v>1</c:v>
                  </c:pt>
                  <c:pt idx="1">
                    <c:v>2</c:v>
                  </c:pt>
                  <c:pt idx="2">
                    <c:v>3</c:v>
                  </c:pt>
                  <c:pt idx="3">
                    <c:v>4</c:v>
                  </c:pt>
                  <c:pt idx="4">
                    <c:v>6</c:v>
                  </c:pt>
                  <c:pt idx="5">
                    <c:v>7</c:v>
                  </c:pt>
                  <c:pt idx="6">
                    <c:v>8</c:v>
                  </c:pt>
                  <c:pt idx="7">
                    <c:v>9</c:v>
                  </c:pt>
                  <c:pt idx="8">
                    <c:v>10</c:v>
                  </c:pt>
                  <c:pt idx="9">
                    <c:v>11</c:v>
                  </c:pt>
                  <c:pt idx="10">
                    <c:v>12</c:v>
                  </c:pt>
                  <c:pt idx="11">
                    <c:v>13</c:v>
                  </c:pt>
                  <c:pt idx="12">
                    <c:v>14</c:v>
                  </c:pt>
                  <c:pt idx="13">
                    <c:v>15</c:v>
                  </c:pt>
                  <c:pt idx="14">
                    <c:v>16</c:v>
                  </c:pt>
                  <c:pt idx="15">
                    <c:v>17</c:v>
                  </c:pt>
                  <c:pt idx="16">
                    <c:v>18</c:v>
                  </c:pt>
                  <c:pt idx="17">
                    <c:v>19</c:v>
                  </c:pt>
                  <c:pt idx="18">
                    <c:v>20</c:v>
                  </c:pt>
                  <c:pt idx="19">
                    <c:v>21</c:v>
                  </c:pt>
                  <c:pt idx="20">
                    <c:v>22</c:v>
                  </c:pt>
                  <c:pt idx="21">
                    <c:v>23</c:v>
                  </c:pt>
                  <c:pt idx="22">
                    <c:v>24</c:v>
                  </c:pt>
                  <c:pt idx="23">
                    <c:v>25</c:v>
                  </c:pt>
                  <c:pt idx="24">
                    <c:v>26</c:v>
                  </c:pt>
                </c:lvl>
              </c:multiLvlStrCache>
            </c:multiLvlStrRef>
          </c:cat>
          <c:val>
            <c:numRef>
              <c:f>Pivot!$L$9:$L$33</c:f>
              <c:numCache>
                <c:formatCode>0%</c:formatCode>
                <c:ptCount val="25"/>
                <c:pt idx="0">
                  <c:v>0.19</c:v>
                </c:pt>
                <c:pt idx="1">
                  <c:v>0.17</c:v>
                </c:pt>
                <c:pt idx="2">
                  <c:v>0.11</c:v>
                </c:pt>
                <c:pt idx="3">
                  <c:v>0.16</c:v>
                </c:pt>
                <c:pt idx="4">
                  <c:v>0.14000000000000001</c:v>
                </c:pt>
                <c:pt idx="5">
                  <c:v>0.12</c:v>
                </c:pt>
                <c:pt idx="6">
                  <c:v>0.12</c:v>
                </c:pt>
                <c:pt idx="7">
                  <c:v>0.14000000000000001</c:v>
                </c:pt>
                <c:pt idx="8">
                  <c:v>0.14000000000000001</c:v>
                </c:pt>
                <c:pt idx="9">
                  <c:v>0.14000000000000001</c:v>
                </c:pt>
                <c:pt idx="10">
                  <c:v>0.11</c:v>
                </c:pt>
                <c:pt idx="11">
                  <c:v>0.04</c:v>
                </c:pt>
                <c:pt idx="12">
                  <c:v>0.11</c:v>
                </c:pt>
                <c:pt idx="13">
                  <c:v>0.23</c:v>
                </c:pt>
                <c:pt idx="14">
                  <c:v>0.14000000000000001</c:v>
                </c:pt>
                <c:pt idx="15">
                  <c:v>0.17</c:v>
                </c:pt>
                <c:pt idx="16">
                  <c:v>7.0000000000000007E-2</c:v>
                </c:pt>
                <c:pt idx="17">
                  <c:v>0.09</c:v>
                </c:pt>
                <c:pt idx="18">
                  <c:v>0.02</c:v>
                </c:pt>
                <c:pt idx="19">
                  <c:v>0.16</c:v>
                </c:pt>
                <c:pt idx="20">
                  <c:v>0.19</c:v>
                </c:pt>
                <c:pt idx="21">
                  <c:v>0.11</c:v>
                </c:pt>
                <c:pt idx="22">
                  <c:v>0.12</c:v>
                </c:pt>
                <c:pt idx="23">
                  <c:v>0.2</c:v>
                </c:pt>
                <c:pt idx="24">
                  <c:v>0.2</c:v>
                </c:pt>
              </c:numCache>
            </c:numRef>
          </c:val>
          <c:extLst>
            <c:ext xmlns:c16="http://schemas.microsoft.com/office/drawing/2014/chart" uri="{C3380CC4-5D6E-409C-BE32-E72D297353CC}">
              <c16:uniqueId val="{00000027-DB2B-44AC-91B4-3F6222A62BED}"/>
            </c:ext>
          </c:extLst>
        </c:ser>
        <c:dLbls>
          <c:dLblPos val="outEnd"/>
          <c:showLegendKey val="0"/>
          <c:showVal val="1"/>
          <c:showCatName val="0"/>
          <c:showSerName val="0"/>
          <c:showPercent val="0"/>
          <c:showBubbleSize val="0"/>
        </c:dLbls>
        <c:gapWidth val="182"/>
        <c:axId val="1261829167"/>
        <c:axId val="616733343"/>
      </c:barChart>
      <c:catAx>
        <c:axId val="12618291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616733343"/>
        <c:crosses val="autoZero"/>
        <c:auto val="1"/>
        <c:lblAlgn val="ctr"/>
        <c:lblOffset val="100"/>
        <c:noMultiLvlLbl val="0"/>
      </c:catAx>
      <c:valAx>
        <c:axId val="616733343"/>
        <c:scaling>
          <c:orientation val="minMax"/>
        </c:scaling>
        <c:delete val="1"/>
        <c:axPos val="b"/>
        <c:numFmt formatCode="0%" sourceLinked="1"/>
        <c:majorTickMark val="none"/>
        <c:minorTickMark val="none"/>
        <c:tickLblPos val="nextTo"/>
        <c:crossAx val="12618291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[Smart Trade.xlsm]Pivot!Page1_PT4</c:name>
    <c:fmtId val="9"/>
  </c:pivotSource>
  <c:chart>
    <c:title>
      <c:tx>
        <c:rich>
          <a:bodyPr rot="0" spcFirstLastPara="1" vertOverflow="ellipsis" vert="horz" wrap="square" anchor="ctr" anchorCtr="1"/>
          <a:lstStyle/>
          <a:p>
            <a:pPr>
              <a:defRPr sz="1600" b="0" i="0" u="none" strike="noStrike" kern="1200" spc="0" baseline="0">
                <a:solidFill>
                  <a:srgbClr val="92D050"/>
                </a:solidFill>
                <a:latin typeface="+mn-lt"/>
                <a:ea typeface="+mn-ea"/>
                <a:cs typeface="+mn-cs"/>
              </a:defRPr>
            </a:pPr>
            <a:r>
              <a:rPr lang="en-US" sz="1600">
                <a:solidFill>
                  <a:srgbClr val="92D050"/>
                </a:solidFill>
              </a:rPr>
              <a:t>Product</a:t>
            </a:r>
            <a:r>
              <a:rPr lang="en-US" sz="1600" baseline="0">
                <a:solidFill>
                  <a:srgbClr val="92D050"/>
                </a:solidFill>
              </a:rPr>
              <a:t> Rank</a:t>
            </a:r>
            <a:endParaRPr lang="en-US" sz="1600">
              <a:solidFill>
                <a:srgbClr val="92D050"/>
              </a:solidFill>
            </a:endParaRPr>
          </a:p>
        </c:rich>
      </c:tx>
      <c:layout>
        <c:manualLayout>
          <c:xMode val="edge"/>
          <c:yMode val="edge"/>
          <c:x val="1.375404530744312E-3"/>
          <c:y val="0"/>
        </c:manualLayout>
      </c:layout>
      <c:overlay val="0"/>
      <c:spPr>
        <a:noFill/>
        <a:ln>
          <a:noFill/>
        </a:ln>
        <a:effectLst/>
      </c:spPr>
      <c:txPr>
        <a:bodyPr rot="0" spcFirstLastPara="1" vertOverflow="ellipsis" vert="horz" wrap="square" anchor="ctr" anchorCtr="1"/>
        <a:lstStyle/>
        <a:p>
          <a:pPr>
            <a:defRPr sz="1600" b="0" i="0" u="none" strike="noStrike" kern="1200" spc="0" baseline="0">
              <a:solidFill>
                <a:srgbClr val="92D05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E2F3D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3589918371854005"/>
          <c:y val="9.150462962962963E-2"/>
          <c:w val="0.55352907949613095"/>
          <c:h val="0.8830324074074074"/>
        </c:manualLayout>
      </c:layout>
      <c:barChart>
        <c:barDir val="bar"/>
        <c:grouping val="clustered"/>
        <c:varyColors val="0"/>
        <c:ser>
          <c:idx val="0"/>
          <c:order val="0"/>
          <c:tx>
            <c:strRef>
              <c:f>Pivot!$P$8</c:f>
              <c:strCache>
                <c:ptCount val="1"/>
                <c:pt idx="0">
                  <c:v>Total</c:v>
                </c:pt>
              </c:strCache>
            </c:strRef>
          </c:tx>
          <c:spPr>
            <a:solidFill>
              <a:srgbClr val="E2F3D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Pivot!$N$9:$O$33</c:f>
              <c:multiLvlStrCache>
                <c:ptCount val="25"/>
                <c:lvl>
                  <c:pt idx="0">
                    <c:v>Xanthan Gum</c:v>
                  </c:pt>
                  <c:pt idx="1">
                    <c:v>CMC (Carboxymethyl Cellulose)</c:v>
                  </c:pt>
                  <c:pt idx="2">
                    <c:v>Guar Gum</c:v>
                  </c:pt>
                  <c:pt idx="3">
                    <c:v>Carrageenan</c:v>
                  </c:pt>
                  <c:pt idx="4">
                    <c:v>Citric Acid</c:v>
                  </c:pt>
                  <c:pt idx="5">
                    <c:v>Lactic Acid</c:v>
                  </c:pt>
                  <c:pt idx="6">
                    <c:v>Phosphoric Acid</c:v>
                  </c:pt>
                  <c:pt idx="7">
                    <c:v>Sodium Citrate</c:v>
                  </c:pt>
                  <c:pt idx="8">
                    <c:v>Potassium Sorbate</c:v>
                  </c:pt>
                  <c:pt idx="9">
                    <c:v>Sodium Benzoate</c:v>
                  </c:pt>
                  <c:pt idx="10">
                    <c:v>Calcium Propionate</c:v>
                  </c:pt>
                  <c:pt idx="11">
                    <c:v>Sodium Nitrite</c:v>
                  </c:pt>
                  <c:pt idx="12">
                    <c:v>Sodium Metabisulfite</c:v>
                  </c:pt>
                  <c:pt idx="13">
                    <c:v>Modified Starch (Cold/Hot)</c:v>
                  </c:pt>
                  <c:pt idx="14">
                    <c:v>Lecithin</c:v>
                  </c:pt>
                  <c:pt idx="15">
                    <c:v>Mono &amp; Diglycerides</c:v>
                  </c:pt>
                  <c:pt idx="16">
                    <c:v>Sorbitol</c:v>
                  </c:pt>
                  <c:pt idx="17">
                    <c:v>Glucose Syrup</c:v>
                  </c:pt>
                  <c:pt idx="18">
                    <c:v>Fructose</c:v>
                  </c:pt>
                  <c:pt idx="19">
                    <c:v>Aspartame</c:v>
                  </c:pt>
                  <c:pt idx="20">
                    <c:v>Acesulfame-K</c:v>
                  </c:pt>
                  <c:pt idx="21">
                    <c:v>Tomato Paste / Concentrate</c:v>
                  </c:pt>
                  <c:pt idx="22">
                    <c:v>BHT / BHA</c:v>
                  </c:pt>
                  <c:pt idx="23">
                    <c:v>Caramel Color</c:v>
                  </c:pt>
                  <c:pt idx="24">
                    <c:v>Beta Carotene</c:v>
                  </c:pt>
                </c:lvl>
                <c:lvl>
                  <c:pt idx="0">
                    <c:v>1</c:v>
                  </c:pt>
                  <c:pt idx="1">
                    <c:v>2</c:v>
                  </c:pt>
                  <c:pt idx="2">
                    <c:v>3</c:v>
                  </c:pt>
                  <c:pt idx="3">
                    <c:v>4</c:v>
                  </c:pt>
                  <c:pt idx="4">
                    <c:v>6</c:v>
                  </c:pt>
                  <c:pt idx="5">
                    <c:v>7</c:v>
                  </c:pt>
                  <c:pt idx="6">
                    <c:v>8</c:v>
                  </c:pt>
                  <c:pt idx="7">
                    <c:v>9</c:v>
                  </c:pt>
                  <c:pt idx="8">
                    <c:v>10</c:v>
                  </c:pt>
                  <c:pt idx="9">
                    <c:v>11</c:v>
                  </c:pt>
                  <c:pt idx="10">
                    <c:v>12</c:v>
                  </c:pt>
                  <c:pt idx="11">
                    <c:v>13</c:v>
                  </c:pt>
                  <c:pt idx="12">
                    <c:v>14</c:v>
                  </c:pt>
                  <c:pt idx="13">
                    <c:v>15</c:v>
                  </c:pt>
                  <c:pt idx="14">
                    <c:v>16</c:v>
                  </c:pt>
                  <c:pt idx="15">
                    <c:v>17</c:v>
                  </c:pt>
                  <c:pt idx="16">
                    <c:v>18</c:v>
                  </c:pt>
                  <c:pt idx="17">
                    <c:v>19</c:v>
                  </c:pt>
                  <c:pt idx="18">
                    <c:v>20</c:v>
                  </c:pt>
                  <c:pt idx="19">
                    <c:v>21</c:v>
                  </c:pt>
                  <c:pt idx="20">
                    <c:v>22</c:v>
                  </c:pt>
                  <c:pt idx="21">
                    <c:v>23</c:v>
                  </c:pt>
                  <c:pt idx="22">
                    <c:v>24</c:v>
                  </c:pt>
                  <c:pt idx="23">
                    <c:v>25</c:v>
                  </c:pt>
                  <c:pt idx="24">
                    <c:v>26</c:v>
                  </c:pt>
                </c:lvl>
              </c:multiLvlStrCache>
            </c:multiLvlStrRef>
          </c:cat>
          <c:val>
            <c:numRef>
              <c:f>Pivot!$P$9:$P$33</c:f>
              <c:numCache>
                <c:formatCode>General</c:formatCode>
                <c:ptCount val="25"/>
                <c:pt idx="0">
                  <c:v>18</c:v>
                </c:pt>
                <c:pt idx="1">
                  <c:v>27</c:v>
                </c:pt>
                <c:pt idx="2">
                  <c:v>42</c:v>
                </c:pt>
                <c:pt idx="3">
                  <c:v>76</c:v>
                </c:pt>
                <c:pt idx="4">
                  <c:v>11</c:v>
                </c:pt>
                <c:pt idx="5">
                  <c:v>99</c:v>
                </c:pt>
                <c:pt idx="6">
                  <c:v>30</c:v>
                </c:pt>
                <c:pt idx="7">
                  <c:v>72</c:v>
                </c:pt>
                <c:pt idx="8">
                  <c:v>45</c:v>
                </c:pt>
                <c:pt idx="9">
                  <c:v>49</c:v>
                </c:pt>
                <c:pt idx="10">
                  <c:v>82</c:v>
                </c:pt>
                <c:pt idx="11">
                  <c:v>304</c:v>
                </c:pt>
                <c:pt idx="12">
                  <c:v>41</c:v>
                </c:pt>
                <c:pt idx="13">
                  <c:v>19</c:v>
                </c:pt>
                <c:pt idx="14">
                  <c:v>55</c:v>
                </c:pt>
                <c:pt idx="15">
                  <c:v>51</c:v>
                </c:pt>
                <c:pt idx="16">
                  <c:v>62</c:v>
                </c:pt>
                <c:pt idx="17">
                  <c:v>28</c:v>
                </c:pt>
                <c:pt idx="18">
                  <c:v>352</c:v>
                </c:pt>
                <c:pt idx="19">
                  <c:v>20</c:v>
                </c:pt>
                <c:pt idx="20">
                  <c:v>8</c:v>
                </c:pt>
                <c:pt idx="21">
                  <c:v>36</c:v>
                </c:pt>
                <c:pt idx="22">
                  <c:v>172</c:v>
                </c:pt>
                <c:pt idx="23">
                  <c:v>31</c:v>
                </c:pt>
                <c:pt idx="24">
                  <c:v>29</c:v>
                </c:pt>
              </c:numCache>
            </c:numRef>
          </c:val>
          <c:extLst>
            <c:ext xmlns:c16="http://schemas.microsoft.com/office/drawing/2014/chart" uri="{C3380CC4-5D6E-409C-BE32-E72D297353CC}">
              <c16:uniqueId val="{00000027-8F40-4975-BA0C-DFD50AE8577A}"/>
            </c:ext>
          </c:extLst>
        </c:ser>
        <c:dLbls>
          <c:dLblPos val="outEnd"/>
          <c:showLegendKey val="0"/>
          <c:showVal val="1"/>
          <c:showCatName val="0"/>
          <c:showSerName val="0"/>
          <c:showPercent val="0"/>
          <c:showBubbleSize val="0"/>
        </c:dLbls>
        <c:gapWidth val="182"/>
        <c:axId val="614571215"/>
        <c:axId val="614571695"/>
      </c:barChart>
      <c:catAx>
        <c:axId val="61457121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614571695"/>
        <c:crosses val="autoZero"/>
        <c:auto val="1"/>
        <c:lblAlgn val="ctr"/>
        <c:lblOffset val="100"/>
        <c:noMultiLvlLbl val="0"/>
      </c:catAx>
      <c:valAx>
        <c:axId val="614571695"/>
        <c:scaling>
          <c:orientation val="minMax"/>
        </c:scaling>
        <c:delete val="1"/>
        <c:axPos val="b"/>
        <c:numFmt formatCode="General" sourceLinked="1"/>
        <c:majorTickMark val="none"/>
        <c:minorTickMark val="none"/>
        <c:tickLblPos val="nextTo"/>
        <c:crossAx val="6145712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[Smart Trade.xlsm]Pivot!Page1_PT5</c:name>
    <c:fmtId val="5"/>
  </c:pivotSource>
  <c:chart>
    <c:title>
      <c:tx>
        <c:rich>
          <a:bodyPr rot="0" spcFirstLastPara="1" vertOverflow="ellipsis" vert="horz" wrap="square" anchor="ctr" anchorCtr="1"/>
          <a:lstStyle/>
          <a:p>
            <a:pPr>
              <a:defRPr sz="1400" b="0" i="0" u="none" strike="noStrike" kern="1200" spc="0" baseline="0">
                <a:solidFill>
                  <a:srgbClr val="FF0000"/>
                </a:solidFill>
                <a:latin typeface="+mn-lt"/>
                <a:ea typeface="+mn-ea"/>
                <a:cs typeface="+mn-cs"/>
              </a:defRPr>
            </a:pPr>
            <a:r>
              <a:rPr lang="en-US">
                <a:solidFill>
                  <a:srgbClr val="FF0000"/>
                </a:solidFill>
              </a:rPr>
              <a:t>Origin Volume - Ton</a:t>
            </a:r>
          </a:p>
        </c:rich>
      </c:tx>
      <c:layout>
        <c:manualLayout>
          <c:xMode val="edge"/>
          <c:yMode val="edge"/>
          <c:x val="4.4404899269047203E-4"/>
          <c:y val="6.4199388134335454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F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FCDC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0595413544836136"/>
          <c:y val="6.3404065158046516E-2"/>
          <c:w val="0.66496228211166764"/>
          <c:h val="0.9072600320137526"/>
        </c:manualLayout>
      </c:layout>
      <c:barChart>
        <c:barDir val="bar"/>
        <c:grouping val="clustered"/>
        <c:varyColors val="0"/>
        <c:ser>
          <c:idx val="0"/>
          <c:order val="0"/>
          <c:tx>
            <c:strRef>
              <c:f>Pivot!$S$8</c:f>
              <c:strCache>
                <c:ptCount val="1"/>
                <c:pt idx="0">
                  <c:v>Total</c:v>
                </c:pt>
              </c:strCache>
            </c:strRef>
          </c:tx>
          <c:spPr>
            <a:solidFill>
              <a:srgbClr val="FFCDC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Pivot!$R$9:$R$27</c:f>
              <c:strCache>
                <c:ptCount val="19"/>
                <c:pt idx="0">
                  <c:v>Australia</c:v>
                </c:pt>
                <c:pt idx="1">
                  <c:v>Belgium</c:v>
                </c:pt>
                <c:pt idx="2">
                  <c:v>Canada</c:v>
                </c:pt>
                <c:pt idx="3">
                  <c:v>China</c:v>
                </c:pt>
                <c:pt idx="4">
                  <c:v>Colombia</c:v>
                </c:pt>
                <c:pt idx="5">
                  <c:v>Denmark</c:v>
                </c:pt>
                <c:pt idx="6">
                  <c:v>France</c:v>
                </c:pt>
                <c:pt idx="7">
                  <c:v>Germany</c:v>
                </c:pt>
                <c:pt idx="8">
                  <c:v>India</c:v>
                </c:pt>
                <c:pt idx="9">
                  <c:v>Ireland</c:v>
                </c:pt>
                <c:pt idx="10">
                  <c:v>Italy</c:v>
                </c:pt>
                <c:pt idx="11">
                  <c:v>Malaysia</c:v>
                </c:pt>
                <c:pt idx="12">
                  <c:v>Netherlands</c:v>
                </c:pt>
                <c:pt idx="13">
                  <c:v>Poland</c:v>
                </c:pt>
                <c:pt idx="14">
                  <c:v>Saudi Arabia</c:v>
                </c:pt>
                <c:pt idx="15">
                  <c:v>Singapore</c:v>
                </c:pt>
                <c:pt idx="16">
                  <c:v>Türkiye</c:v>
                </c:pt>
                <c:pt idx="17">
                  <c:v>USA</c:v>
                </c:pt>
                <c:pt idx="18">
                  <c:v>North Korea</c:v>
                </c:pt>
              </c:strCache>
            </c:strRef>
          </c:cat>
          <c:val>
            <c:numRef>
              <c:f>Pivot!$S$9:$S$27</c:f>
              <c:numCache>
                <c:formatCode>#,##0</c:formatCode>
                <c:ptCount val="19"/>
                <c:pt idx="0">
                  <c:v>12.822700000000001</c:v>
                </c:pt>
                <c:pt idx="1">
                  <c:v>0.44360000000000005</c:v>
                </c:pt>
                <c:pt idx="2">
                  <c:v>2.8000000000000001E-2</c:v>
                </c:pt>
                <c:pt idx="3">
                  <c:v>2124.212</c:v>
                </c:pt>
                <c:pt idx="4">
                  <c:v>20.0002</c:v>
                </c:pt>
                <c:pt idx="5">
                  <c:v>0.36</c:v>
                </c:pt>
                <c:pt idx="6">
                  <c:v>0.88970000000000005</c:v>
                </c:pt>
                <c:pt idx="7">
                  <c:v>1.9610000000000001</c:v>
                </c:pt>
                <c:pt idx="8">
                  <c:v>4.9009999999999998</c:v>
                </c:pt>
                <c:pt idx="9">
                  <c:v>0.32800000000000001</c:v>
                </c:pt>
                <c:pt idx="10">
                  <c:v>0.14299999999999999</c:v>
                </c:pt>
                <c:pt idx="11">
                  <c:v>4.0000000000000001E-3</c:v>
                </c:pt>
                <c:pt idx="12">
                  <c:v>3.8759999999999999</c:v>
                </c:pt>
                <c:pt idx="13">
                  <c:v>0.42499999999999999</c:v>
                </c:pt>
                <c:pt idx="14">
                  <c:v>82.8</c:v>
                </c:pt>
                <c:pt idx="15">
                  <c:v>39.340000000000003</c:v>
                </c:pt>
                <c:pt idx="16">
                  <c:v>5</c:v>
                </c:pt>
                <c:pt idx="17">
                  <c:v>0.8</c:v>
                </c:pt>
                <c:pt idx="18">
                  <c:v>2.5999999999999999E-2</c:v>
                </c:pt>
              </c:numCache>
            </c:numRef>
          </c:val>
          <c:extLst>
            <c:ext xmlns:c16="http://schemas.microsoft.com/office/drawing/2014/chart" uri="{C3380CC4-5D6E-409C-BE32-E72D297353CC}">
              <c16:uniqueId val="{0000001C-D7D3-4125-B7DE-DDE6552801C0}"/>
            </c:ext>
          </c:extLst>
        </c:ser>
        <c:dLbls>
          <c:dLblPos val="outEnd"/>
          <c:showLegendKey val="0"/>
          <c:showVal val="1"/>
          <c:showCatName val="0"/>
          <c:showSerName val="0"/>
          <c:showPercent val="0"/>
          <c:showBubbleSize val="0"/>
        </c:dLbls>
        <c:gapWidth val="182"/>
        <c:axId val="1707958192"/>
        <c:axId val="1707959152"/>
      </c:barChart>
      <c:catAx>
        <c:axId val="17079581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707959152"/>
        <c:crosses val="autoZero"/>
        <c:auto val="1"/>
        <c:lblAlgn val="ctr"/>
        <c:lblOffset val="100"/>
        <c:noMultiLvlLbl val="0"/>
      </c:catAx>
      <c:valAx>
        <c:axId val="1707959152"/>
        <c:scaling>
          <c:orientation val="minMax"/>
        </c:scaling>
        <c:delete val="1"/>
        <c:axPos val="b"/>
        <c:numFmt formatCode="#,##0" sourceLinked="1"/>
        <c:majorTickMark val="none"/>
        <c:minorTickMark val="none"/>
        <c:tickLblPos val="nextTo"/>
        <c:crossAx val="17079581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[Smart Trade.xlsm]Pivot!Page1_PT6</c:name>
    <c:fmtId val="8"/>
  </c:pivotSource>
  <c:chart>
    <c:title>
      <c:tx>
        <c:rich>
          <a:bodyPr rot="0" spcFirstLastPara="1" vertOverflow="ellipsis" vert="horz" wrap="square" anchor="ctr" anchorCtr="1"/>
          <a:lstStyle/>
          <a:p>
            <a:pPr>
              <a:defRPr sz="1400" b="0" i="0" u="none" strike="noStrike" kern="1200" spc="0" baseline="0">
                <a:solidFill>
                  <a:srgbClr val="92D050"/>
                </a:solidFill>
                <a:latin typeface="+mn-lt"/>
                <a:ea typeface="+mn-ea"/>
                <a:cs typeface="+mn-cs"/>
              </a:defRPr>
            </a:pPr>
            <a:r>
              <a:rPr lang="en-US">
                <a:solidFill>
                  <a:srgbClr val="92D050"/>
                </a:solidFill>
              </a:rPr>
              <a:t>Origin Share% </a:t>
            </a:r>
          </a:p>
        </c:rich>
      </c:tx>
      <c:layout>
        <c:manualLayout>
          <c:xMode val="edge"/>
          <c:yMode val="edge"/>
          <c:x val="2.0122484689413824E-4"/>
          <c:y val="4.6987282725439988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92D05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E2F3D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9878280839895011"/>
          <c:y val="5.1897453770248479E-2"/>
          <c:w val="0.62135608048993873"/>
          <c:h val="0.92225954073075955"/>
        </c:manualLayout>
      </c:layout>
      <c:barChart>
        <c:barDir val="bar"/>
        <c:grouping val="clustered"/>
        <c:varyColors val="0"/>
        <c:ser>
          <c:idx val="0"/>
          <c:order val="0"/>
          <c:tx>
            <c:strRef>
              <c:f>Pivot!$V$8</c:f>
              <c:strCache>
                <c:ptCount val="1"/>
                <c:pt idx="0">
                  <c:v>Total</c:v>
                </c:pt>
              </c:strCache>
            </c:strRef>
          </c:tx>
          <c:spPr>
            <a:solidFill>
              <a:srgbClr val="E2F3D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Pivot!$U$9:$U$27</c:f>
              <c:strCache>
                <c:ptCount val="19"/>
                <c:pt idx="0">
                  <c:v>Australia</c:v>
                </c:pt>
                <c:pt idx="1">
                  <c:v>Belgium</c:v>
                </c:pt>
                <c:pt idx="2">
                  <c:v>Canada</c:v>
                </c:pt>
                <c:pt idx="3">
                  <c:v>China</c:v>
                </c:pt>
                <c:pt idx="4">
                  <c:v>Colombia</c:v>
                </c:pt>
                <c:pt idx="5">
                  <c:v>Denmark</c:v>
                </c:pt>
                <c:pt idx="6">
                  <c:v>France</c:v>
                </c:pt>
                <c:pt idx="7">
                  <c:v>Germany</c:v>
                </c:pt>
                <c:pt idx="8">
                  <c:v>India</c:v>
                </c:pt>
                <c:pt idx="9">
                  <c:v>Ireland</c:v>
                </c:pt>
                <c:pt idx="10">
                  <c:v>Italy</c:v>
                </c:pt>
                <c:pt idx="11">
                  <c:v>Malaysia</c:v>
                </c:pt>
                <c:pt idx="12">
                  <c:v>Netherlands</c:v>
                </c:pt>
                <c:pt idx="13">
                  <c:v>Poland</c:v>
                </c:pt>
                <c:pt idx="14">
                  <c:v>Saudi Arabia</c:v>
                </c:pt>
                <c:pt idx="15">
                  <c:v>Singapore</c:v>
                </c:pt>
                <c:pt idx="16">
                  <c:v>Türkiye</c:v>
                </c:pt>
                <c:pt idx="17">
                  <c:v>USA</c:v>
                </c:pt>
                <c:pt idx="18">
                  <c:v>North Korea</c:v>
                </c:pt>
              </c:strCache>
            </c:strRef>
          </c:cat>
          <c:val>
            <c:numRef>
              <c:f>Pivot!$V$9:$V$27</c:f>
              <c:numCache>
                <c:formatCode>0%</c:formatCode>
                <c:ptCount val="19"/>
                <c:pt idx="0">
                  <c:v>3.4499052228579408E-5</c:v>
                </c:pt>
                <c:pt idx="1">
                  <c:v>5.3992075088500962E-3</c:v>
                </c:pt>
                <c:pt idx="2">
                  <c:v>1.2732039388690099E-7</c:v>
                </c:pt>
                <c:pt idx="3">
                  <c:v>6.321329281187793E-2</c:v>
                </c:pt>
                <c:pt idx="4">
                  <c:v>1.0324304639960562E-4</c:v>
                </c:pt>
                <c:pt idx="5">
                  <c:v>4.8573207719329804E-4</c:v>
                </c:pt>
                <c:pt idx="6">
                  <c:v>1.6951290293147386E-2</c:v>
                </c:pt>
                <c:pt idx="7">
                  <c:v>1.1674623358397021E-2</c:v>
                </c:pt>
                <c:pt idx="8">
                  <c:v>2.2441761060335613E-2</c:v>
                </c:pt>
                <c:pt idx="9">
                  <c:v>4.9588465845200368E-3</c:v>
                </c:pt>
                <c:pt idx="10">
                  <c:v>1.1178535358665947E-2</c:v>
                </c:pt>
                <c:pt idx="11">
                  <c:v>0.25769345655074266</c:v>
                </c:pt>
                <c:pt idx="12">
                  <c:v>1.4561232389604124E-2</c:v>
                </c:pt>
                <c:pt idx="13">
                  <c:v>6.3855771678493602E-3</c:v>
                </c:pt>
                <c:pt idx="14">
                  <c:v>9.709938116315122E-3</c:v>
                </c:pt>
                <c:pt idx="15">
                  <c:v>8.2796770445636432E-4</c:v>
                </c:pt>
                <c:pt idx="16">
                  <c:v>4.7522902002533667E-2</c:v>
                </c:pt>
                <c:pt idx="17">
                  <c:v>9.425427433633813E-3</c:v>
                </c:pt>
                <c:pt idx="18">
                  <c:v>1.389484063100993E-2</c:v>
                </c:pt>
              </c:numCache>
            </c:numRef>
          </c:val>
          <c:extLst>
            <c:ext xmlns:c16="http://schemas.microsoft.com/office/drawing/2014/chart" uri="{C3380CC4-5D6E-409C-BE32-E72D297353CC}">
              <c16:uniqueId val="{0000001C-9B3F-4ACC-81BB-8396F639C49E}"/>
            </c:ext>
          </c:extLst>
        </c:ser>
        <c:dLbls>
          <c:dLblPos val="outEnd"/>
          <c:showLegendKey val="0"/>
          <c:showVal val="1"/>
          <c:showCatName val="0"/>
          <c:showSerName val="0"/>
          <c:showPercent val="0"/>
          <c:showBubbleSize val="0"/>
        </c:dLbls>
        <c:gapWidth val="182"/>
        <c:axId val="1704245632"/>
        <c:axId val="1704247072"/>
      </c:barChart>
      <c:catAx>
        <c:axId val="17042456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4247072"/>
        <c:crosses val="autoZero"/>
        <c:auto val="1"/>
        <c:lblAlgn val="ctr"/>
        <c:lblOffset val="100"/>
        <c:noMultiLvlLbl val="0"/>
      </c:catAx>
      <c:valAx>
        <c:axId val="1704247072"/>
        <c:scaling>
          <c:orientation val="minMax"/>
        </c:scaling>
        <c:delete val="1"/>
        <c:axPos val="b"/>
        <c:numFmt formatCode="0%" sourceLinked="1"/>
        <c:majorTickMark val="none"/>
        <c:minorTickMark val="none"/>
        <c:tickLblPos val="nextTo"/>
        <c:crossAx val="17042456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[Smart Trade.xlsm]Pivot!Page2_PT1</c:name>
    <c:fmtId val="7"/>
  </c:pivotSource>
  <c:chart>
    <c:title>
      <c:tx>
        <c:rich>
          <a:bodyPr rot="0" spcFirstLastPara="1" vertOverflow="ellipsis" vert="horz" wrap="square" anchor="ctr" anchorCtr="1"/>
          <a:lstStyle/>
          <a:p>
            <a:pPr>
              <a:defRPr sz="1600" b="0" i="0" u="none" strike="noStrike" kern="1200" spc="0" baseline="0">
                <a:solidFill>
                  <a:srgbClr val="FF0000"/>
                </a:solidFill>
                <a:latin typeface="+mn-lt"/>
                <a:ea typeface="+mn-ea"/>
                <a:cs typeface="+mn-cs"/>
              </a:defRPr>
            </a:pPr>
            <a:r>
              <a:rPr lang="en-US" sz="1600">
                <a:solidFill>
                  <a:srgbClr val="FF0000"/>
                </a:solidFill>
              </a:rPr>
              <a:t>Country Volume - Ton</a:t>
            </a:r>
          </a:p>
        </c:rich>
      </c:tx>
      <c:layout>
        <c:manualLayout>
          <c:xMode val="edge"/>
          <c:yMode val="edge"/>
          <c:x val="1.2295032945100611E-2"/>
          <c:y val="0"/>
        </c:manualLayout>
      </c:layout>
      <c:overlay val="0"/>
      <c:spPr>
        <a:noFill/>
        <a:ln>
          <a:noFill/>
        </a:ln>
        <a:effectLst/>
      </c:spPr>
      <c:txPr>
        <a:bodyPr rot="0" spcFirstLastPara="1" vertOverflow="ellipsis" vert="horz" wrap="square" anchor="ctr" anchorCtr="1"/>
        <a:lstStyle/>
        <a:p>
          <a:pPr>
            <a:defRPr sz="1600" b="0" i="0" u="none" strike="noStrike" kern="1200" spc="0" baseline="0">
              <a:solidFill>
                <a:srgbClr val="FF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E5E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0390659175415574"/>
          <c:y val="9.0634767085137014E-2"/>
          <c:w val="0.67202109990157477"/>
          <c:h val="0.87841932421453495"/>
        </c:manualLayout>
      </c:layout>
      <c:barChart>
        <c:barDir val="bar"/>
        <c:grouping val="clustered"/>
        <c:varyColors val="0"/>
        <c:ser>
          <c:idx val="0"/>
          <c:order val="0"/>
          <c:tx>
            <c:strRef>
              <c:f>Pivot!$AB$8</c:f>
              <c:strCache>
                <c:ptCount val="1"/>
                <c:pt idx="0">
                  <c:v>Total</c:v>
                </c:pt>
              </c:strCache>
            </c:strRef>
          </c:tx>
          <c:spPr>
            <a:solidFill>
              <a:srgbClr val="FFE5E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Pivot!$Z$9:$AA$33</c:f>
              <c:multiLvlStrCache>
                <c:ptCount val="25"/>
                <c:lvl>
                  <c:pt idx="0">
                    <c:v>Rep. of Korea</c:v>
                  </c:pt>
                  <c:pt idx="1">
                    <c:v>USA</c:v>
                  </c:pt>
                  <c:pt idx="2">
                    <c:v>United Kingdom</c:v>
                  </c:pt>
                  <c:pt idx="3">
                    <c:v>Ukraine</c:v>
                  </c:pt>
                  <c:pt idx="4">
                    <c:v>Uganda</c:v>
                  </c:pt>
                  <c:pt idx="5">
                    <c:v>Türkiye</c:v>
                  </c:pt>
                  <c:pt idx="6">
                    <c:v>Tunisia</c:v>
                  </c:pt>
                  <c:pt idx="7">
                    <c:v>Thailand</c:v>
                  </c:pt>
                  <c:pt idx="8">
                    <c:v>Switzerland</c:v>
                  </c:pt>
                  <c:pt idx="9">
                    <c:v>Sweden</c:v>
                  </c:pt>
                  <c:pt idx="10">
                    <c:v>Sri Lanka</c:v>
                  </c:pt>
                  <c:pt idx="11">
                    <c:v>Spain</c:v>
                  </c:pt>
                  <c:pt idx="12">
                    <c:v>South Africa</c:v>
                  </c:pt>
                  <c:pt idx="13">
                    <c:v>Slovenia</c:v>
                  </c:pt>
                  <c:pt idx="14">
                    <c:v>Slovakia</c:v>
                  </c:pt>
                  <c:pt idx="15">
                    <c:v>Singapore</c:v>
                  </c:pt>
                  <c:pt idx="16">
                    <c:v>Serbia</c:v>
                  </c:pt>
                  <c:pt idx="17">
                    <c:v>Saudi Arabia</c:v>
                  </c:pt>
                  <c:pt idx="18">
                    <c:v>Romania</c:v>
                  </c:pt>
                  <c:pt idx="19">
                    <c:v>Portugal</c:v>
                  </c:pt>
                  <c:pt idx="20">
                    <c:v>Poland</c:v>
                  </c:pt>
                  <c:pt idx="21">
                    <c:v>Philippines</c:v>
                  </c:pt>
                  <c:pt idx="22">
                    <c:v>Peru</c:v>
                  </c:pt>
                  <c:pt idx="23">
                    <c:v>Pakistan</c:v>
                  </c:pt>
                  <c:pt idx="24">
                    <c:v>North Korea</c:v>
                  </c:pt>
                </c:lvl>
                <c:lvl>
                  <c:pt idx="1">
                    <c:v>182</c:v>
                  </c:pt>
                  <c:pt idx="2">
                    <c:v>181</c:v>
                  </c:pt>
                  <c:pt idx="3">
                    <c:v>179</c:v>
                  </c:pt>
                  <c:pt idx="4">
                    <c:v>178</c:v>
                  </c:pt>
                  <c:pt idx="5">
                    <c:v>175</c:v>
                  </c:pt>
                  <c:pt idx="6">
                    <c:v>174</c:v>
                  </c:pt>
                  <c:pt idx="7">
                    <c:v>169</c:v>
                  </c:pt>
                  <c:pt idx="8">
                    <c:v>164</c:v>
                  </c:pt>
                  <c:pt idx="9">
                    <c:v>163</c:v>
                  </c:pt>
                  <c:pt idx="10">
                    <c:v>160</c:v>
                  </c:pt>
                  <c:pt idx="11">
                    <c:v>159</c:v>
                  </c:pt>
                  <c:pt idx="12">
                    <c:v>156</c:v>
                  </c:pt>
                  <c:pt idx="13">
                    <c:v>153</c:v>
                  </c:pt>
                  <c:pt idx="14">
                    <c:v>152</c:v>
                  </c:pt>
                  <c:pt idx="15">
                    <c:v>151</c:v>
                  </c:pt>
                  <c:pt idx="16">
                    <c:v>148</c:v>
                  </c:pt>
                  <c:pt idx="17">
                    <c:v>146</c:v>
                  </c:pt>
                  <c:pt idx="18">
                    <c:v>137</c:v>
                  </c:pt>
                  <c:pt idx="19">
                    <c:v>135</c:v>
                  </c:pt>
                  <c:pt idx="20">
                    <c:v>134</c:v>
                  </c:pt>
                  <c:pt idx="21">
                    <c:v>133</c:v>
                  </c:pt>
                  <c:pt idx="22">
                    <c:v>132</c:v>
                  </c:pt>
                  <c:pt idx="23">
                    <c:v>127</c:v>
                  </c:pt>
                  <c:pt idx="24">
                    <c:v>123</c:v>
                  </c:pt>
                </c:lvl>
              </c:multiLvlStrCache>
            </c:multiLvlStrRef>
          </c:cat>
          <c:val>
            <c:numRef>
              <c:f>Pivot!$AB$9:$AB$33</c:f>
              <c:numCache>
                <c:formatCode>#,##0</c:formatCode>
                <c:ptCount val="25"/>
                <c:pt idx="0">
                  <c:v>2054.77</c:v>
                </c:pt>
                <c:pt idx="1">
                  <c:v>13639.847</c:v>
                </c:pt>
                <c:pt idx="2">
                  <c:v>579.59500000000003</c:v>
                </c:pt>
                <c:pt idx="3">
                  <c:v>190793</c:v>
                </c:pt>
                <c:pt idx="4">
                  <c:v>1597.13</c:v>
                </c:pt>
                <c:pt idx="5">
                  <c:v>142652.77799999999</c:v>
                </c:pt>
                <c:pt idx="6">
                  <c:v>0</c:v>
                </c:pt>
                <c:pt idx="7">
                  <c:v>2256.5500000000002</c:v>
                </c:pt>
                <c:pt idx="8">
                  <c:v>84.778999999999996</c:v>
                </c:pt>
                <c:pt idx="9">
                  <c:v>136</c:v>
                </c:pt>
                <c:pt idx="10">
                  <c:v>1</c:v>
                </c:pt>
                <c:pt idx="11">
                  <c:v>6047.2361999999985</c:v>
                </c:pt>
                <c:pt idx="12">
                  <c:v>79.420899999999989</c:v>
                </c:pt>
                <c:pt idx="13">
                  <c:v>19.085099999999997</c:v>
                </c:pt>
                <c:pt idx="14">
                  <c:v>708.75</c:v>
                </c:pt>
                <c:pt idx="15">
                  <c:v>1866.4731000000002</c:v>
                </c:pt>
                <c:pt idx="16">
                  <c:v>189.72499999999999</c:v>
                </c:pt>
                <c:pt idx="17">
                  <c:v>21963.4372</c:v>
                </c:pt>
                <c:pt idx="18">
                  <c:v>200</c:v>
                </c:pt>
                <c:pt idx="19">
                  <c:v>1.752</c:v>
                </c:pt>
                <c:pt idx="20">
                  <c:v>18253.7261</c:v>
                </c:pt>
                <c:pt idx="21">
                  <c:v>131.255</c:v>
                </c:pt>
                <c:pt idx="22">
                  <c:v>23</c:v>
                </c:pt>
                <c:pt idx="23">
                  <c:v>1188.5999999999999</c:v>
                </c:pt>
                <c:pt idx="24">
                  <c:v>29317.3073</c:v>
                </c:pt>
              </c:numCache>
            </c:numRef>
          </c:val>
          <c:extLst>
            <c:ext xmlns:c16="http://schemas.microsoft.com/office/drawing/2014/chart" uri="{C3380CC4-5D6E-409C-BE32-E72D297353CC}">
              <c16:uniqueId val="{00000021-9F95-400C-8991-DDAE7072842F}"/>
            </c:ext>
          </c:extLst>
        </c:ser>
        <c:dLbls>
          <c:dLblPos val="outEnd"/>
          <c:showLegendKey val="0"/>
          <c:showVal val="1"/>
          <c:showCatName val="0"/>
          <c:showSerName val="0"/>
          <c:showPercent val="0"/>
          <c:showBubbleSize val="0"/>
        </c:dLbls>
        <c:gapWidth val="182"/>
        <c:axId val="1690102464"/>
        <c:axId val="1690104384"/>
      </c:barChart>
      <c:catAx>
        <c:axId val="16901024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690104384"/>
        <c:crosses val="autoZero"/>
        <c:auto val="1"/>
        <c:lblAlgn val="ctr"/>
        <c:lblOffset val="100"/>
        <c:noMultiLvlLbl val="0"/>
      </c:catAx>
      <c:valAx>
        <c:axId val="1690104384"/>
        <c:scaling>
          <c:orientation val="minMax"/>
        </c:scaling>
        <c:delete val="1"/>
        <c:axPos val="b"/>
        <c:numFmt formatCode="#,##0" sourceLinked="1"/>
        <c:majorTickMark val="none"/>
        <c:minorTickMark val="none"/>
        <c:tickLblPos val="nextTo"/>
        <c:crossAx val="16901024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[Smart Trade.xlsm]Pivot!Page2_PT2</c:name>
    <c:fmtId val="8"/>
  </c:pivotSource>
  <c:chart>
    <c:title>
      <c:tx>
        <c:rich>
          <a:bodyPr rot="0" spcFirstLastPara="1" vertOverflow="ellipsis" vert="horz" wrap="square" anchor="ctr" anchorCtr="1"/>
          <a:lstStyle/>
          <a:p>
            <a:pPr>
              <a:defRPr sz="1600" b="0" i="0" u="none" strike="noStrike" kern="1200" spc="0" baseline="0">
                <a:solidFill>
                  <a:srgbClr val="92D050"/>
                </a:solidFill>
                <a:latin typeface="+mn-lt"/>
                <a:ea typeface="+mn-ea"/>
                <a:cs typeface="+mn-cs"/>
              </a:defRPr>
            </a:pPr>
            <a:r>
              <a:rPr lang="en-US" sz="1600">
                <a:solidFill>
                  <a:srgbClr val="92D050"/>
                </a:solidFill>
              </a:rPr>
              <a:t>Country Spend - USD</a:t>
            </a:r>
            <a:r>
              <a:rPr lang="en-US" sz="1600" baseline="0">
                <a:solidFill>
                  <a:srgbClr val="92D050"/>
                </a:solidFill>
              </a:rPr>
              <a:t> M</a:t>
            </a:r>
            <a:endParaRPr lang="en-US" sz="1600">
              <a:solidFill>
                <a:srgbClr val="92D050"/>
              </a:solidFill>
            </a:endParaRPr>
          </a:p>
        </c:rich>
      </c:tx>
      <c:layout>
        <c:manualLayout>
          <c:xMode val="edge"/>
          <c:yMode val="edge"/>
          <c:x val="2.5678040244968438E-4"/>
          <c:y val="0"/>
        </c:manualLayout>
      </c:layout>
      <c:overlay val="0"/>
      <c:spPr>
        <a:noFill/>
        <a:ln>
          <a:noFill/>
        </a:ln>
        <a:effectLst/>
      </c:spPr>
      <c:txPr>
        <a:bodyPr rot="0" spcFirstLastPara="1" vertOverflow="ellipsis" vert="horz" wrap="square" anchor="ctr" anchorCtr="1"/>
        <a:lstStyle/>
        <a:p>
          <a:pPr>
            <a:defRPr sz="1600" b="0" i="0" u="none" strike="noStrike" kern="1200" spc="0" baseline="0">
              <a:solidFill>
                <a:srgbClr val="92D05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E2F3D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Pivot!$AF$8</c:f>
              <c:strCache>
                <c:ptCount val="1"/>
                <c:pt idx="0">
                  <c:v>Total</c:v>
                </c:pt>
              </c:strCache>
            </c:strRef>
          </c:tx>
          <c:spPr>
            <a:solidFill>
              <a:srgbClr val="E2F3D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Pivot!$AD$9:$AE$33</c:f>
              <c:multiLvlStrCache>
                <c:ptCount val="25"/>
                <c:lvl>
                  <c:pt idx="0">
                    <c:v>Rep. of Korea</c:v>
                  </c:pt>
                  <c:pt idx="1">
                    <c:v>USA</c:v>
                  </c:pt>
                  <c:pt idx="2">
                    <c:v>United Kingdom</c:v>
                  </c:pt>
                  <c:pt idx="3">
                    <c:v>Ukraine</c:v>
                  </c:pt>
                  <c:pt idx="4">
                    <c:v>Uganda</c:v>
                  </c:pt>
                  <c:pt idx="5">
                    <c:v>Türkiye</c:v>
                  </c:pt>
                  <c:pt idx="6">
                    <c:v>Tunisia</c:v>
                  </c:pt>
                  <c:pt idx="7">
                    <c:v>Thailand</c:v>
                  </c:pt>
                  <c:pt idx="8">
                    <c:v>Switzerland</c:v>
                  </c:pt>
                  <c:pt idx="9">
                    <c:v>Sweden</c:v>
                  </c:pt>
                  <c:pt idx="10">
                    <c:v>Sri Lanka</c:v>
                  </c:pt>
                  <c:pt idx="11">
                    <c:v>Spain</c:v>
                  </c:pt>
                  <c:pt idx="12">
                    <c:v>South Africa</c:v>
                  </c:pt>
                  <c:pt idx="13">
                    <c:v>Slovenia</c:v>
                  </c:pt>
                  <c:pt idx="14">
                    <c:v>Slovakia</c:v>
                  </c:pt>
                  <c:pt idx="15">
                    <c:v>Singapore</c:v>
                  </c:pt>
                  <c:pt idx="16">
                    <c:v>Serbia</c:v>
                  </c:pt>
                  <c:pt idx="17">
                    <c:v>Saudi Arabia</c:v>
                  </c:pt>
                  <c:pt idx="18">
                    <c:v>Romania</c:v>
                  </c:pt>
                  <c:pt idx="19">
                    <c:v>Portugal</c:v>
                  </c:pt>
                  <c:pt idx="20">
                    <c:v>Poland</c:v>
                  </c:pt>
                  <c:pt idx="21">
                    <c:v>Philippines</c:v>
                  </c:pt>
                  <c:pt idx="22">
                    <c:v>Peru</c:v>
                  </c:pt>
                  <c:pt idx="23">
                    <c:v>Pakistan</c:v>
                  </c:pt>
                  <c:pt idx="24">
                    <c:v>North Korea</c:v>
                  </c:pt>
                </c:lvl>
                <c:lvl>
                  <c:pt idx="1">
                    <c:v>182</c:v>
                  </c:pt>
                  <c:pt idx="2">
                    <c:v>181</c:v>
                  </c:pt>
                  <c:pt idx="3">
                    <c:v>179</c:v>
                  </c:pt>
                  <c:pt idx="4">
                    <c:v>178</c:v>
                  </c:pt>
                  <c:pt idx="5">
                    <c:v>175</c:v>
                  </c:pt>
                  <c:pt idx="6">
                    <c:v>174</c:v>
                  </c:pt>
                  <c:pt idx="7">
                    <c:v>169</c:v>
                  </c:pt>
                  <c:pt idx="8">
                    <c:v>164</c:v>
                  </c:pt>
                  <c:pt idx="9">
                    <c:v>163</c:v>
                  </c:pt>
                  <c:pt idx="10">
                    <c:v>160</c:v>
                  </c:pt>
                  <c:pt idx="11">
                    <c:v>159</c:v>
                  </c:pt>
                  <c:pt idx="12">
                    <c:v>156</c:v>
                  </c:pt>
                  <c:pt idx="13">
                    <c:v>153</c:v>
                  </c:pt>
                  <c:pt idx="14">
                    <c:v>152</c:v>
                  </c:pt>
                  <c:pt idx="15">
                    <c:v>151</c:v>
                  </c:pt>
                  <c:pt idx="16">
                    <c:v>148</c:v>
                  </c:pt>
                  <c:pt idx="17">
                    <c:v>146</c:v>
                  </c:pt>
                  <c:pt idx="18">
                    <c:v>137</c:v>
                  </c:pt>
                  <c:pt idx="19">
                    <c:v>135</c:v>
                  </c:pt>
                  <c:pt idx="20">
                    <c:v>134</c:v>
                  </c:pt>
                  <c:pt idx="21">
                    <c:v>133</c:v>
                  </c:pt>
                  <c:pt idx="22">
                    <c:v>132</c:v>
                  </c:pt>
                  <c:pt idx="23">
                    <c:v>127</c:v>
                  </c:pt>
                  <c:pt idx="24">
                    <c:v>123</c:v>
                  </c:pt>
                </c:lvl>
              </c:multiLvlStrCache>
            </c:multiLvlStrRef>
          </c:cat>
          <c:val>
            <c:numRef>
              <c:f>Pivot!$AF$9:$AF$33</c:f>
              <c:numCache>
                <c:formatCode>#,##0</c:formatCode>
                <c:ptCount val="25"/>
                <c:pt idx="0">
                  <c:v>2.840973</c:v>
                </c:pt>
                <c:pt idx="1">
                  <c:v>17.767009000000002</c:v>
                </c:pt>
                <c:pt idx="2">
                  <c:v>2.4702660000000001</c:v>
                </c:pt>
                <c:pt idx="3">
                  <c:v>144.483397</c:v>
                </c:pt>
                <c:pt idx="4">
                  <c:v>1.605559</c:v>
                </c:pt>
                <c:pt idx="5">
                  <c:v>89.581064999999995</c:v>
                </c:pt>
                <c:pt idx="6">
                  <c:v>0.533891</c:v>
                </c:pt>
                <c:pt idx="7">
                  <c:v>1.5143709999999999</c:v>
                </c:pt>
                <c:pt idx="8">
                  <c:v>2.1923210000000002</c:v>
                </c:pt>
                <c:pt idx="9">
                  <c:v>0.21859100000000001</c:v>
                </c:pt>
                <c:pt idx="10">
                  <c:v>1.0150000000000001E-3</c:v>
                </c:pt>
                <c:pt idx="11">
                  <c:v>11.517753000000001</c:v>
                </c:pt>
                <c:pt idx="12">
                  <c:v>0.26074799999999998</c:v>
                </c:pt>
                <c:pt idx="13">
                  <c:v>0.106306</c:v>
                </c:pt>
                <c:pt idx="14">
                  <c:v>0.643015</c:v>
                </c:pt>
                <c:pt idx="15">
                  <c:v>1.5607260000000001</c:v>
                </c:pt>
                <c:pt idx="16">
                  <c:v>3.8216E-2</c:v>
                </c:pt>
                <c:pt idx="17">
                  <c:v>18.303314</c:v>
                </c:pt>
                <c:pt idx="18">
                  <c:v>7.4524000000000007E-2</c:v>
                </c:pt>
                <c:pt idx="19">
                  <c:v>8.4729999999999996E-3</c:v>
                </c:pt>
                <c:pt idx="20">
                  <c:v>12.036866</c:v>
                </c:pt>
                <c:pt idx="21">
                  <c:v>1.074786</c:v>
                </c:pt>
                <c:pt idx="22">
                  <c:v>0.10009800000000001</c:v>
                </c:pt>
                <c:pt idx="23">
                  <c:v>0.72061399999999998</c:v>
                </c:pt>
                <c:pt idx="24">
                  <c:v>26.191890000000001</c:v>
                </c:pt>
              </c:numCache>
            </c:numRef>
          </c:val>
          <c:extLst>
            <c:ext xmlns:c16="http://schemas.microsoft.com/office/drawing/2014/chart" uri="{C3380CC4-5D6E-409C-BE32-E72D297353CC}">
              <c16:uniqueId val="{00000021-5452-4D06-82A8-6BD3058E3188}"/>
            </c:ext>
          </c:extLst>
        </c:ser>
        <c:dLbls>
          <c:dLblPos val="outEnd"/>
          <c:showLegendKey val="0"/>
          <c:showVal val="1"/>
          <c:showCatName val="0"/>
          <c:showSerName val="0"/>
          <c:showPercent val="0"/>
          <c:showBubbleSize val="0"/>
        </c:dLbls>
        <c:gapWidth val="182"/>
        <c:axId val="217424527"/>
        <c:axId val="161854336"/>
      </c:barChart>
      <c:catAx>
        <c:axId val="2174245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61854336"/>
        <c:crosses val="autoZero"/>
        <c:auto val="1"/>
        <c:lblAlgn val="ctr"/>
        <c:lblOffset val="100"/>
        <c:noMultiLvlLbl val="0"/>
      </c:catAx>
      <c:valAx>
        <c:axId val="161854336"/>
        <c:scaling>
          <c:orientation val="minMax"/>
        </c:scaling>
        <c:delete val="1"/>
        <c:axPos val="b"/>
        <c:numFmt formatCode="#,##0" sourceLinked="1"/>
        <c:majorTickMark val="none"/>
        <c:minorTickMark val="none"/>
        <c:tickLblPos val="nextTo"/>
        <c:crossAx val="2174245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[Smart Trade.xlsm]Pivot!Page2_PT3</c:name>
    <c:fmtId val="10"/>
  </c:pivotSource>
  <c:chart>
    <c:title>
      <c:tx>
        <c:rich>
          <a:bodyPr rot="0" spcFirstLastPara="1" vertOverflow="ellipsis" vert="horz" wrap="square" anchor="ctr" anchorCtr="1"/>
          <a:lstStyle/>
          <a:p>
            <a:pPr>
              <a:defRPr sz="1400" b="0" i="0" u="none" strike="noStrike" kern="1200" spc="0" baseline="0">
                <a:solidFill>
                  <a:srgbClr val="FF0000"/>
                </a:solidFill>
                <a:latin typeface="+mn-lt"/>
                <a:ea typeface="+mn-ea"/>
                <a:cs typeface="+mn-cs"/>
              </a:defRPr>
            </a:pPr>
            <a:r>
              <a:rPr lang="en-US">
                <a:solidFill>
                  <a:srgbClr val="FF0000"/>
                </a:solidFill>
              </a:rPr>
              <a:t>Country Share %</a:t>
            </a:r>
          </a:p>
        </c:rich>
      </c:tx>
      <c:layout>
        <c:manualLayout>
          <c:xMode val="edge"/>
          <c:yMode val="edge"/>
          <c:x val="1.3888888888892047E-4"/>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F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E5E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1472069116360457"/>
          <c:y val="8.7719807913019684E-2"/>
          <c:w val="0.65472375328083987"/>
          <c:h val="0.88626461141717128"/>
        </c:manualLayout>
      </c:layout>
      <c:barChart>
        <c:barDir val="bar"/>
        <c:grouping val="clustered"/>
        <c:varyColors val="0"/>
        <c:ser>
          <c:idx val="0"/>
          <c:order val="0"/>
          <c:tx>
            <c:strRef>
              <c:f>Pivot!$AJ$8</c:f>
              <c:strCache>
                <c:ptCount val="1"/>
                <c:pt idx="0">
                  <c:v>Total</c:v>
                </c:pt>
              </c:strCache>
            </c:strRef>
          </c:tx>
          <c:spPr>
            <a:solidFill>
              <a:srgbClr val="FFE5E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Pivot!$AH$9:$AI$33</c:f>
              <c:multiLvlStrCache>
                <c:ptCount val="25"/>
                <c:lvl>
                  <c:pt idx="0">
                    <c:v>Rep. of Korea</c:v>
                  </c:pt>
                  <c:pt idx="1">
                    <c:v>USA</c:v>
                  </c:pt>
                  <c:pt idx="2">
                    <c:v>United Kingdom</c:v>
                  </c:pt>
                  <c:pt idx="3">
                    <c:v>Ukraine</c:v>
                  </c:pt>
                  <c:pt idx="4">
                    <c:v>Uganda</c:v>
                  </c:pt>
                  <c:pt idx="5">
                    <c:v>Türkiye</c:v>
                  </c:pt>
                  <c:pt idx="6">
                    <c:v>Tunisia</c:v>
                  </c:pt>
                  <c:pt idx="7">
                    <c:v>Thailand</c:v>
                  </c:pt>
                  <c:pt idx="8">
                    <c:v>Switzerland</c:v>
                  </c:pt>
                  <c:pt idx="9">
                    <c:v>Sweden</c:v>
                  </c:pt>
                  <c:pt idx="10">
                    <c:v>Sri Lanka</c:v>
                  </c:pt>
                  <c:pt idx="11">
                    <c:v>Spain</c:v>
                  </c:pt>
                  <c:pt idx="12">
                    <c:v>South Africa</c:v>
                  </c:pt>
                  <c:pt idx="13">
                    <c:v>Slovenia</c:v>
                  </c:pt>
                  <c:pt idx="14">
                    <c:v>Slovakia</c:v>
                  </c:pt>
                  <c:pt idx="15">
                    <c:v>Singapore</c:v>
                  </c:pt>
                  <c:pt idx="16">
                    <c:v>Serbia</c:v>
                  </c:pt>
                  <c:pt idx="17">
                    <c:v>Saudi Arabia</c:v>
                  </c:pt>
                  <c:pt idx="18">
                    <c:v>Romania</c:v>
                  </c:pt>
                  <c:pt idx="19">
                    <c:v>Portugal</c:v>
                  </c:pt>
                  <c:pt idx="20">
                    <c:v>Poland</c:v>
                  </c:pt>
                  <c:pt idx="21">
                    <c:v>Philippines</c:v>
                  </c:pt>
                  <c:pt idx="22">
                    <c:v>Peru</c:v>
                  </c:pt>
                  <c:pt idx="23">
                    <c:v>Pakistan</c:v>
                  </c:pt>
                  <c:pt idx="24">
                    <c:v>North Korea</c:v>
                  </c:pt>
                </c:lvl>
                <c:lvl>
                  <c:pt idx="1">
                    <c:v>182</c:v>
                  </c:pt>
                  <c:pt idx="2">
                    <c:v>181</c:v>
                  </c:pt>
                  <c:pt idx="3">
                    <c:v>179</c:v>
                  </c:pt>
                  <c:pt idx="4">
                    <c:v>178</c:v>
                  </c:pt>
                  <c:pt idx="5">
                    <c:v>175</c:v>
                  </c:pt>
                  <c:pt idx="6">
                    <c:v>174</c:v>
                  </c:pt>
                  <c:pt idx="7">
                    <c:v>169</c:v>
                  </c:pt>
                  <c:pt idx="8">
                    <c:v>164</c:v>
                  </c:pt>
                  <c:pt idx="9">
                    <c:v>163</c:v>
                  </c:pt>
                  <c:pt idx="10">
                    <c:v>160</c:v>
                  </c:pt>
                  <c:pt idx="11">
                    <c:v>159</c:v>
                  </c:pt>
                  <c:pt idx="12">
                    <c:v>156</c:v>
                  </c:pt>
                  <c:pt idx="13">
                    <c:v>153</c:v>
                  </c:pt>
                  <c:pt idx="14">
                    <c:v>152</c:v>
                  </c:pt>
                  <c:pt idx="15">
                    <c:v>151</c:v>
                  </c:pt>
                  <c:pt idx="16">
                    <c:v>148</c:v>
                  </c:pt>
                  <c:pt idx="17">
                    <c:v>146</c:v>
                  </c:pt>
                  <c:pt idx="18">
                    <c:v>137</c:v>
                  </c:pt>
                  <c:pt idx="19">
                    <c:v>135</c:v>
                  </c:pt>
                  <c:pt idx="20">
                    <c:v>134</c:v>
                  </c:pt>
                  <c:pt idx="21">
                    <c:v>133</c:v>
                  </c:pt>
                  <c:pt idx="22">
                    <c:v>132</c:v>
                  </c:pt>
                  <c:pt idx="23">
                    <c:v>127</c:v>
                  </c:pt>
                  <c:pt idx="24">
                    <c:v>123</c:v>
                  </c:pt>
                </c:lvl>
              </c:multiLvlStrCache>
            </c:multiLvlStrRef>
          </c:cat>
          <c:val>
            <c:numRef>
              <c:f>Pivot!$AJ$9:$AJ$33</c:f>
              <c:numCache>
                <c:formatCode>0%</c:formatCode>
                <c:ptCount val="25"/>
                <c:pt idx="0">
                  <c:v>1.5071408390918784E-3</c:v>
                </c:pt>
                <c:pt idx="1">
                  <c:v>0.25448654070811288</c:v>
                </c:pt>
                <c:pt idx="2">
                  <c:v>2.6209603343784953E-2</c:v>
                </c:pt>
                <c:pt idx="3">
                  <c:v>0.45989207540393723</c:v>
                </c:pt>
                <c:pt idx="4">
                  <c:v>8.5175168453607863E-4</c:v>
                </c:pt>
                <c:pt idx="5">
                  <c:v>1.7108244720912109</c:v>
                </c:pt>
                <c:pt idx="6">
                  <c:v>2.8323005171946442E-4</c:v>
                </c:pt>
                <c:pt idx="7">
                  <c:v>4.8202578052725037E-3</c:v>
                </c:pt>
                <c:pt idx="8">
                  <c:v>1.163029888527186E-2</c:v>
                </c:pt>
                <c:pt idx="9">
                  <c:v>4.6385153700219292E-4</c:v>
                </c:pt>
                <c:pt idx="10">
                  <c:v>5.3845916581335217E-7</c:v>
                </c:pt>
                <c:pt idx="11">
                  <c:v>0.17719541921212092</c:v>
                </c:pt>
                <c:pt idx="12">
                  <c:v>9.6829069356896497E-4</c:v>
                </c:pt>
                <c:pt idx="13">
                  <c:v>2.2558202987568162E-4</c:v>
                </c:pt>
                <c:pt idx="14">
                  <c:v>6.8224102562654699E-4</c:v>
                </c:pt>
                <c:pt idx="15">
                  <c:v>6.6237416356509154E-3</c:v>
                </c:pt>
                <c:pt idx="16">
                  <c:v>4.05473014398484E-5</c:v>
                </c:pt>
                <c:pt idx="17">
                  <c:v>0.13593913362841173</c:v>
                </c:pt>
                <c:pt idx="18">
                  <c:v>3.953510430844754E-5</c:v>
                </c:pt>
                <c:pt idx="19">
                  <c:v>4.4949404058488006E-6</c:v>
                </c:pt>
                <c:pt idx="20">
                  <c:v>7.0241348846342977E-2</c:v>
                </c:pt>
                <c:pt idx="21">
                  <c:v>5.701757369338615E-4</c:v>
                </c:pt>
                <c:pt idx="22">
                  <c:v>5.3102153280379235E-5</c:v>
                </c:pt>
                <c:pt idx="23">
                  <c:v>1.529147638673588E-3</c:v>
                </c:pt>
                <c:pt idx="24">
                  <c:v>0.12505356567908937</c:v>
                </c:pt>
              </c:numCache>
            </c:numRef>
          </c:val>
          <c:extLst>
            <c:ext xmlns:c16="http://schemas.microsoft.com/office/drawing/2014/chart" uri="{C3380CC4-5D6E-409C-BE32-E72D297353CC}">
              <c16:uniqueId val="{00000021-7DB2-4171-856E-EC2DD282B335}"/>
            </c:ext>
          </c:extLst>
        </c:ser>
        <c:dLbls>
          <c:dLblPos val="outEnd"/>
          <c:showLegendKey val="0"/>
          <c:showVal val="1"/>
          <c:showCatName val="0"/>
          <c:showSerName val="0"/>
          <c:showPercent val="0"/>
          <c:showBubbleSize val="0"/>
        </c:dLbls>
        <c:gapWidth val="182"/>
        <c:axId val="388471920"/>
        <c:axId val="388470000"/>
      </c:barChart>
      <c:catAx>
        <c:axId val="3884719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88470000"/>
        <c:crosses val="autoZero"/>
        <c:auto val="1"/>
        <c:lblAlgn val="ctr"/>
        <c:lblOffset val="100"/>
        <c:noMultiLvlLbl val="0"/>
      </c:catAx>
      <c:valAx>
        <c:axId val="388470000"/>
        <c:scaling>
          <c:orientation val="minMax"/>
        </c:scaling>
        <c:delete val="1"/>
        <c:axPos val="b"/>
        <c:numFmt formatCode="0%" sourceLinked="1"/>
        <c:majorTickMark val="none"/>
        <c:minorTickMark val="none"/>
        <c:tickLblPos val="nextTo"/>
        <c:crossAx val="388471920"/>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[Smart Trade.xlsm]Pivot!Page2_PT4</c:name>
    <c:fmtId val="10"/>
  </c:pivotSource>
  <c:chart>
    <c:title>
      <c:tx>
        <c:rich>
          <a:bodyPr rot="0" spcFirstLastPara="1" vertOverflow="ellipsis" vert="horz" wrap="square" anchor="ctr" anchorCtr="1"/>
          <a:lstStyle/>
          <a:p>
            <a:pPr>
              <a:defRPr sz="1600" b="0" i="0" u="none" strike="noStrike" kern="1200" spc="0" baseline="0">
                <a:solidFill>
                  <a:srgbClr val="92D050"/>
                </a:solidFill>
                <a:latin typeface="+mn-lt"/>
                <a:ea typeface="+mn-ea"/>
                <a:cs typeface="+mn-cs"/>
              </a:defRPr>
            </a:pPr>
            <a:r>
              <a:rPr lang="en-US" sz="1600">
                <a:solidFill>
                  <a:srgbClr val="92D050"/>
                </a:solidFill>
              </a:rPr>
              <a:t>Country Rank</a:t>
            </a:r>
          </a:p>
        </c:rich>
      </c:tx>
      <c:layout>
        <c:manualLayout>
          <c:xMode val="edge"/>
          <c:yMode val="edge"/>
          <c:x val="1.9512248468941272E-3"/>
          <c:y val="0"/>
        </c:manualLayout>
      </c:layout>
      <c:overlay val="0"/>
      <c:spPr>
        <a:noFill/>
        <a:ln>
          <a:noFill/>
        </a:ln>
        <a:effectLst/>
      </c:spPr>
      <c:txPr>
        <a:bodyPr rot="0" spcFirstLastPara="1" vertOverflow="ellipsis" vert="horz" wrap="square" anchor="ctr" anchorCtr="1"/>
        <a:lstStyle/>
        <a:p>
          <a:pPr>
            <a:defRPr sz="1600" b="0" i="0" u="none" strike="noStrike" kern="1200" spc="0" baseline="0">
              <a:solidFill>
                <a:srgbClr val="92D05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E2F3D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452762467191601"/>
          <c:y val="9.2820431658613478E-2"/>
          <c:w val="0.72416819772528429"/>
          <c:h val="0.88135045758386699"/>
        </c:manualLayout>
      </c:layout>
      <c:barChart>
        <c:barDir val="bar"/>
        <c:grouping val="clustered"/>
        <c:varyColors val="0"/>
        <c:ser>
          <c:idx val="0"/>
          <c:order val="0"/>
          <c:tx>
            <c:strRef>
              <c:f>Pivot!$AN$8</c:f>
              <c:strCache>
                <c:ptCount val="1"/>
                <c:pt idx="0">
                  <c:v>Total</c:v>
                </c:pt>
              </c:strCache>
            </c:strRef>
          </c:tx>
          <c:spPr>
            <a:solidFill>
              <a:srgbClr val="E2F3D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Pivot!$AL$9:$AM$33</c:f>
              <c:multiLvlStrCache>
                <c:ptCount val="25"/>
                <c:lvl>
                  <c:pt idx="0">
                    <c:v>Rep. of Korea</c:v>
                  </c:pt>
                  <c:pt idx="1">
                    <c:v>USA</c:v>
                  </c:pt>
                  <c:pt idx="2">
                    <c:v>United Kingdom</c:v>
                  </c:pt>
                  <c:pt idx="3">
                    <c:v>Ukraine</c:v>
                  </c:pt>
                  <c:pt idx="4">
                    <c:v>Uganda</c:v>
                  </c:pt>
                  <c:pt idx="5">
                    <c:v>Türkiye</c:v>
                  </c:pt>
                  <c:pt idx="6">
                    <c:v>Tunisia</c:v>
                  </c:pt>
                  <c:pt idx="7">
                    <c:v>Thailand</c:v>
                  </c:pt>
                  <c:pt idx="8">
                    <c:v>Switzerland</c:v>
                  </c:pt>
                  <c:pt idx="9">
                    <c:v>Sweden</c:v>
                  </c:pt>
                  <c:pt idx="10">
                    <c:v>Sri Lanka</c:v>
                  </c:pt>
                  <c:pt idx="11">
                    <c:v>Spain</c:v>
                  </c:pt>
                  <c:pt idx="12">
                    <c:v>South Africa</c:v>
                  </c:pt>
                  <c:pt idx="13">
                    <c:v>Slovenia</c:v>
                  </c:pt>
                  <c:pt idx="14">
                    <c:v>Slovakia</c:v>
                  </c:pt>
                  <c:pt idx="15">
                    <c:v>Singapore</c:v>
                  </c:pt>
                  <c:pt idx="16">
                    <c:v>Serbia</c:v>
                  </c:pt>
                  <c:pt idx="17">
                    <c:v>Saudi Arabia</c:v>
                  </c:pt>
                  <c:pt idx="18">
                    <c:v>Romania</c:v>
                  </c:pt>
                  <c:pt idx="20">
                    <c:v>Poland</c:v>
                  </c:pt>
                  <c:pt idx="21">
                    <c:v>Philippines</c:v>
                  </c:pt>
                  <c:pt idx="22">
                    <c:v>Peru</c:v>
                  </c:pt>
                  <c:pt idx="23">
                    <c:v>Pakistan</c:v>
                  </c:pt>
                  <c:pt idx="24">
                    <c:v>North Korea</c:v>
                  </c:pt>
                </c:lvl>
                <c:lvl>
                  <c:pt idx="1">
                    <c:v>182</c:v>
                  </c:pt>
                  <c:pt idx="2">
                    <c:v>181</c:v>
                  </c:pt>
                  <c:pt idx="3">
                    <c:v>179</c:v>
                  </c:pt>
                  <c:pt idx="4">
                    <c:v>178</c:v>
                  </c:pt>
                  <c:pt idx="5">
                    <c:v>175</c:v>
                  </c:pt>
                  <c:pt idx="6">
                    <c:v>174</c:v>
                  </c:pt>
                  <c:pt idx="7">
                    <c:v>169</c:v>
                  </c:pt>
                  <c:pt idx="8">
                    <c:v>164</c:v>
                  </c:pt>
                  <c:pt idx="9">
                    <c:v>163</c:v>
                  </c:pt>
                  <c:pt idx="10">
                    <c:v>160</c:v>
                  </c:pt>
                  <c:pt idx="11">
                    <c:v>159</c:v>
                  </c:pt>
                  <c:pt idx="12">
                    <c:v>156</c:v>
                  </c:pt>
                  <c:pt idx="13">
                    <c:v>153</c:v>
                  </c:pt>
                  <c:pt idx="14">
                    <c:v>152</c:v>
                  </c:pt>
                  <c:pt idx="15">
                    <c:v>151</c:v>
                  </c:pt>
                  <c:pt idx="16">
                    <c:v>148</c:v>
                  </c:pt>
                  <c:pt idx="17">
                    <c:v>146</c:v>
                  </c:pt>
                  <c:pt idx="18">
                    <c:v>137</c:v>
                  </c:pt>
                  <c:pt idx="19">
                    <c:v>135</c:v>
                  </c:pt>
                  <c:pt idx="20">
                    <c:v>134</c:v>
                  </c:pt>
                  <c:pt idx="21">
                    <c:v>133</c:v>
                  </c:pt>
                  <c:pt idx="22">
                    <c:v>132</c:v>
                  </c:pt>
                  <c:pt idx="23">
                    <c:v>127</c:v>
                  </c:pt>
                  <c:pt idx="24">
                    <c:v>123</c:v>
                  </c:pt>
                </c:lvl>
              </c:multiLvlStrCache>
            </c:multiLvlStrRef>
          </c:cat>
          <c:val>
            <c:numRef>
              <c:f>Pivot!$AN$9:$AN$33</c:f>
              <c:numCache>
                <c:formatCode>#,##0</c:formatCode>
                <c:ptCount val="25"/>
                <c:pt idx="0">
                  <c:v>1</c:v>
                </c:pt>
                <c:pt idx="1">
                  <c:v>14</c:v>
                </c:pt>
                <c:pt idx="2">
                  <c:v>10.5</c:v>
                </c:pt>
                <c:pt idx="3">
                  <c:v>3.5</c:v>
                </c:pt>
                <c:pt idx="4">
                  <c:v>1</c:v>
                </c:pt>
                <c:pt idx="5">
                  <c:v>18.5</c:v>
                </c:pt>
                <c:pt idx="6">
                  <c:v>1</c:v>
                </c:pt>
                <c:pt idx="7">
                  <c:v>3.5</c:v>
                </c:pt>
                <c:pt idx="8">
                  <c:v>5.5</c:v>
                </c:pt>
                <c:pt idx="9">
                  <c:v>2.5</c:v>
                </c:pt>
                <c:pt idx="10">
                  <c:v>1</c:v>
                </c:pt>
                <c:pt idx="11">
                  <c:v>15</c:v>
                </c:pt>
                <c:pt idx="12">
                  <c:v>4</c:v>
                </c:pt>
                <c:pt idx="13">
                  <c:v>2.5</c:v>
                </c:pt>
                <c:pt idx="14">
                  <c:v>1.5</c:v>
                </c:pt>
                <c:pt idx="15">
                  <c:v>4.5</c:v>
                </c:pt>
                <c:pt idx="16">
                  <c:v>1.5</c:v>
                </c:pt>
                <c:pt idx="17">
                  <c:v>7.5</c:v>
                </c:pt>
                <c:pt idx="18">
                  <c:v>1</c:v>
                </c:pt>
                <c:pt idx="19">
                  <c:v>1</c:v>
                </c:pt>
                <c:pt idx="20">
                  <c:v>6</c:v>
                </c:pt>
                <c:pt idx="21">
                  <c:v>1</c:v>
                </c:pt>
                <c:pt idx="22">
                  <c:v>1</c:v>
                </c:pt>
                <c:pt idx="23">
                  <c:v>2.5</c:v>
                </c:pt>
                <c:pt idx="24">
                  <c:v>5</c:v>
                </c:pt>
              </c:numCache>
            </c:numRef>
          </c:val>
          <c:extLst>
            <c:ext xmlns:c16="http://schemas.microsoft.com/office/drawing/2014/chart" uri="{C3380CC4-5D6E-409C-BE32-E72D297353CC}">
              <c16:uniqueId val="{00000021-317A-485E-B61E-0D2E8C15B427}"/>
            </c:ext>
          </c:extLst>
        </c:ser>
        <c:dLbls>
          <c:dLblPos val="outEnd"/>
          <c:showLegendKey val="0"/>
          <c:showVal val="1"/>
          <c:showCatName val="0"/>
          <c:showSerName val="0"/>
          <c:showPercent val="0"/>
          <c:showBubbleSize val="0"/>
        </c:dLbls>
        <c:gapWidth val="182"/>
        <c:axId val="259354751"/>
        <c:axId val="221806560"/>
      </c:barChart>
      <c:catAx>
        <c:axId val="2593547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1806560"/>
        <c:crosses val="autoZero"/>
        <c:auto val="1"/>
        <c:lblAlgn val="ctr"/>
        <c:lblOffset val="100"/>
        <c:noMultiLvlLbl val="0"/>
      </c:catAx>
      <c:valAx>
        <c:axId val="221806560"/>
        <c:scaling>
          <c:orientation val="minMax"/>
        </c:scaling>
        <c:delete val="1"/>
        <c:axPos val="b"/>
        <c:numFmt formatCode="#,##0" sourceLinked="1"/>
        <c:majorTickMark val="none"/>
        <c:minorTickMark val="none"/>
        <c:tickLblPos val="nextTo"/>
        <c:crossAx val="2593547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[Smart Trade.xlsm]Pivot!Page2_PT5</c:name>
    <c:fmtId val="11"/>
  </c:pivotSource>
  <c:chart>
    <c:title>
      <c:tx>
        <c:rich>
          <a:bodyPr rot="0" spcFirstLastPara="1" vertOverflow="ellipsis" vert="horz" wrap="square" anchor="ctr" anchorCtr="1"/>
          <a:lstStyle/>
          <a:p>
            <a:pPr>
              <a:defRPr sz="1400" b="0" i="0" u="none" strike="noStrike" kern="1200" spc="0" baseline="0">
                <a:solidFill>
                  <a:srgbClr val="FF0000"/>
                </a:solidFill>
                <a:latin typeface="+mn-lt"/>
                <a:ea typeface="+mn-ea"/>
                <a:cs typeface="+mn-cs"/>
              </a:defRPr>
            </a:pPr>
            <a:r>
              <a:rPr lang="en-US">
                <a:solidFill>
                  <a:srgbClr val="FF0000"/>
                </a:solidFill>
              </a:rPr>
              <a:t>Product Volume</a:t>
            </a:r>
          </a:p>
        </c:rich>
      </c:tx>
      <c:layout>
        <c:manualLayout>
          <c:xMode val="edge"/>
          <c:yMode val="edge"/>
          <c:x val="1.959130108736397E-3"/>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F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E5E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666984335291422"/>
          <c:y val="8.6993643025824408E-2"/>
          <c:w val="0.44070897387826524"/>
          <c:h val="0.88720613930677017"/>
        </c:manualLayout>
      </c:layout>
      <c:barChart>
        <c:barDir val="bar"/>
        <c:grouping val="clustered"/>
        <c:varyColors val="0"/>
        <c:ser>
          <c:idx val="0"/>
          <c:order val="0"/>
          <c:tx>
            <c:strRef>
              <c:f>Pivot!$AQ$8</c:f>
              <c:strCache>
                <c:ptCount val="1"/>
                <c:pt idx="0">
                  <c:v>Total</c:v>
                </c:pt>
              </c:strCache>
            </c:strRef>
          </c:tx>
          <c:spPr>
            <a:solidFill>
              <a:srgbClr val="FFE5E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Pivot!$AP$9</c:f>
              <c:strCache>
                <c:ptCount val="1"/>
                <c:pt idx="0">
                  <c:v>Xanthan Gum</c:v>
                </c:pt>
              </c:strCache>
            </c:strRef>
          </c:cat>
          <c:val>
            <c:numRef>
              <c:f>Pivot!$AQ$9</c:f>
              <c:numCache>
                <c:formatCode>#,##0</c:formatCode>
                <c:ptCount val="1"/>
                <c:pt idx="0">
                  <c:v>12.822700000000001</c:v>
                </c:pt>
              </c:numCache>
            </c:numRef>
          </c:val>
          <c:extLst>
            <c:ext xmlns:c16="http://schemas.microsoft.com/office/drawing/2014/chart" uri="{C3380CC4-5D6E-409C-BE32-E72D297353CC}">
              <c16:uniqueId val="{00000021-F504-4549-8FF1-046FE4F20BFE}"/>
            </c:ext>
          </c:extLst>
        </c:ser>
        <c:dLbls>
          <c:dLblPos val="outEnd"/>
          <c:showLegendKey val="0"/>
          <c:showVal val="1"/>
          <c:showCatName val="0"/>
          <c:showSerName val="0"/>
          <c:showPercent val="0"/>
          <c:showBubbleSize val="0"/>
        </c:dLbls>
        <c:gapWidth val="182"/>
        <c:axId val="474453216"/>
        <c:axId val="474448896"/>
      </c:barChart>
      <c:catAx>
        <c:axId val="4744532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474448896"/>
        <c:crosses val="autoZero"/>
        <c:auto val="1"/>
        <c:lblAlgn val="ctr"/>
        <c:lblOffset val="100"/>
        <c:noMultiLvlLbl val="1"/>
      </c:catAx>
      <c:valAx>
        <c:axId val="474448896"/>
        <c:scaling>
          <c:orientation val="minMax"/>
        </c:scaling>
        <c:delete val="1"/>
        <c:axPos val="b"/>
        <c:numFmt formatCode="#,##0" sourceLinked="1"/>
        <c:majorTickMark val="none"/>
        <c:minorTickMark val="none"/>
        <c:tickLblPos val="nextTo"/>
        <c:crossAx val="4744532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[Smart Trade.xlsm]Pivot!Page2_PT6</c:name>
    <c:fmtId val="11"/>
  </c:pivotSource>
  <c:chart>
    <c:title>
      <c:tx>
        <c:rich>
          <a:bodyPr rot="0" spcFirstLastPara="1" vertOverflow="ellipsis" vert="horz" wrap="square" anchor="ctr" anchorCtr="1"/>
          <a:lstStyle/>
          <a:p>
            <a:pPr>
              <a:defRPr sz="1400" b="0" i="0" u="none" strike="noStrike" kern="1200" spc="0" baseline="0">
                <a:solidFill>
                  <a:srgbClr val="92D050"/>
                </a:solidFill>
                <a:latin typeface="+mn-lt"/>
                <a:ea typeface="+mn-ea"/>
                <a:cs typeface="+mn-cs"/>
              </a:defRPr>
            </a:pPr>
            <a:r>
              <a:rPr lang="en-US">
                <a:solidFill>
                  <a:srgbClr val="92D050"/>
                </a:solidFill>
              </a:rPr>
              <a:t>Product</a:t>
            </a:r>
            <a:r>
              <a:rPr lang="en-US" baseline="0">
                <a:solidFill>
                  <a:srgbClr val="92D050"/>
                </a:solidFill>
              </a:rPr>
              <a:t> Share %</a:t>
            </a:r>
            <a:endParaRPr lang="en-US">
              <a:solidFill>
                <a:srgbClr val="92D050"/>
              </a:solidFill>
            </a:endParaRPr>
          </a:p>
        </c:rich>
      </c:tx>
      <c:layout>
        <c:manualLayout>
          <c:xMode val="edge"/>
          <c:yMode val="edge"/>
          <c:x val="2.1742073907428465E-3"/>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92D05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E2F3D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2701589384660249"/>
          <c:y val="8.6993643025824408E-2"/>
          <c:w val="0.50353966170895303"/>
          <c:h val="0.88720613930677017"/>
        </c:manualLayout>
      </c:layout>
      <c:barChart>
        <c:barDir val="bar"/>
        <c:grouping val="clustered"/>
        <c:varyColors val="0"/>
        <c:ser>
          <c:idx val="0"/>
          <c:order val="0"/>
          <c:tx>
            <c:strRef>
              <c:f>Pivot!$AT$8</c:f>
              <c:strCache>
                <c:ptCount val="1"/>
                <c:pt idx="0">
                  <c:v>Total</c:v>
                </c:pt>
              </c:strCache>
            </c:strRef>
          </c:tx>
          <c:spPr>
            <a:solidFill>
              <a:srgbClr val="E2F3D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Pivot!$AS$9</c:f>
              <c:strCache>
                <c:ptCount val="1"/>
                <c:pt idx="0">
                  <c:v>Xanthan Gum</c:v>
                </c:pt>
              </c:strCache>
            </c:strRef>
          </c:cat>
          <c:val>
            <c:numRef>
              <c:f>Pivot!$AT$9</c:f>
              <c:numCache>
                <c:formatCode>0%</c:formatCode>
                <c:ptCount val="1"/>
                <c:pt idx="0">
                  <c:v>0.01</c:v>
                </c:pt>
              </c:numCache>
            </c:numRef>
          </c:val>
          <c:extLst>
            <c:ext xmlns:c16="http://schemas.microsoft.com/office/drawing/2014/chart" uri="{C3380CC4-5D6E-409C-BE32-E72D297353CC}">
              <c16:uniqueId val="{00000021-B41D-45EE-962F-F4A9734B0DF0}"/>
            </c:ext>
          </c:extLst>
        </c:ser>
        <c:dLbls>
          <c:dLblPos val="outEnd"/>
          <c:showLegendKey val="0"/>
          <c:showVal val="1"/>
          <c:showCatName val="0"/>
          <c:showSerName val="0"/>
          <c:showPercent val="0"/>
          <c:showBubbleSize val="0"/>
        </c:dLbls>
        <c:gapWidth val="182"/>
        <c:axId val="474443616"/>
        <c:axId val="474440256"/>
      </c:barChart>
      <c:catAx>
        <c:axId val="4744436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474440256"/>
        <c:crosses val="autoZero"/>
        <c:auto val="1"/>
        <c:lblAlgn val="ctr"/>
        <c:lblOffset val="100"/>
        <c:noMultiLvlLbl val="1"/>
      </c:catAx>
      <c:valAx>
        <c:axId val="474440256"/>
        <c:scaling>
          <c:orientation val="minMax"/>
        </c:scaling>
        <c:delete val="1"/>
        <c:axPos val="b"/>
        <c:numFmt formatCode="0%" sourceLinked="1"/>
        <c:majorTickMark val="none"/>
        <c:minorTickMark val="none"/>
        <c:tickLblPos val="nextTo"/>
        <c:crossAx val="47444361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[Smart Trade.xlsm]Pivot!Page3_PT1</c:name>
    <c:fmtId val="2"/>
  </c:pivotSource>
  <c:chart>
    <c:title>
      <c:tx>
        <c:rich>
          <a:bodyPr rot="0" spcFirstLastPara="1" vertOverflow="ellipsis" vert="horz" wrap="square" anchor="ctr" anchorCtr="1"/>
          <a:lstStyle/>
          <a:p>
            <a:pPr>
              <a:defRPr sz="1400" b="0" i="0" u="none" strike="noStrike" kern="1200" spc="0" baseline="0">
                <a:solidFill>
                  <a:srgbClr val="FF0000"/>
                </a:solidFill>
                <a:latin typeface="+mn-lt"/>
                <a:ea typeface="+mn-ea"/>
                <a:cs typeface="+mn-cs"/>
              </a:defRPr>
            </a:pPr>
            <a:r>
              <a:rPr lang="en-US" sz="1400">
                <a:solidFill>
                  <a:srgbClr val="FF0000"/>
                </a:solidFill>
              </a:rPr>
              <a:t>High</a:t>
            </a:r>
            <a:r>
              <a:rPr lang="en-US" sz="1400" baseline="0">
                <a:solidFill>
                  <a:srgbClr val="FF0000"/>
                </a:solidFill>
              </a:rPr>
              <a:t> Risk Volume - Ton</a:t>
            </a:r>
            <a:endParaRPr lang="en-US" sz="1400">
              <a:solidFill>
                <a:srgbClr val="FF0000"/>
              </a:solidFill>
            </a:endParaRPr>
          </a:p>
        </c:rich>
      </c:tx>
      <c:layout>
        <c:manualLayout>
          <c:xMode val="edge"/>
          <c:yMode val="edge"/>
          <c:x val="2.5763342082239719E-3"/>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F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E5E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4748599133441652"/>
          <c:y val="8.5716417380829121E-2"/>
          <c:w val="0.44338702453859935"/>
          <c:h val="0.88886215929242185"/>
        </c:manualLayout>
      </c:layout>
      <c:barChart>
        <c:barDir val="bar"/>
        <c:grouping val="clustered"/>
        <c:varyColors val="0"/>
        <c:ser>
          <c:idx val="0"/>
          <c:order val="0"/>
          <c:tx>
            <c:strRef>
              <c:f>Pivot!$BA$6</c:f>
              <c:strCache>
                <c:ptCount val="1"/>
                <c:pt idx="0">
                  <c:v>Total</c:v>
                </c:pt>
              </c:strCache>
            </c:strRef>
          </c:tx>
          <c:spPr>
            <a:solidFill>
              <a:srgbClr val="FFE5E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Pivot!$AZ$7:$AZ$8</c:f>
              <c:strCache>
                <c:ptCount val="2"/>
                <c:pt idx="0">
                  <c:v>Fructose</c:v>
                </c:pt>
                <c:pt idx="1">
                  <c:v>Raw Sugar</c:v>
                </c:pt>
              </c:strCache>
            </c:strRef>
          </c:cat>
          <c:val>
            <c:numRef>
              <c:f>Pivot!$BA$7:$BA$8</c:f>
              <c:numCache>
                <c:formatCode>#,##0</c:formatCode>
                <c:ptCount val="2"/>
                <c:pt idx="0">
                  <c:v>70.275000000000006</c:v>
                </c:pt>
                <c:pt idx="1">
                  <c:v>42.3</c:v>
                </c:pt>
              </c:numCache>
            </c:numRef>
          </c:val>
          <c:extLst>
            <c:ext xmlns:c16="http://schemas.microsoft.com/office/drawing/2014/chart" uri="{C3380CC4-5D6E-409C-BE32-E72D297353CC}">
              <c16:uniqueId val="{00000022-139F-4843-A895-196A9A29DB94}"/>
            </c:ext>
          </c:extLst>
        </c:ser>
        <c:dLbls>
          <c:dLblPos val="outEnd"/>
          <c:showLegendKey val="0"/>
          <c:showVal val="1"/>
          <c:showCatName val="0"/>
          <c:showSerName val="0"/>
          <c:showPercent val="0"/>
          <c:showBubbleSize val="0"/>
        </c:dLbls>
        <c:gapWidth val="182"/>
        <c:axId val="47627344"/>
        <c:axId val="1198458816"/>
      </c:barChart>
      <c:catAx>
        <c:axId val="476273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58816"/>
        <c:crosses val="autoZero"/>
        <c:auto val="1"/>
        <c:lblAlgn val="ctr"/>
        <c:lblOffset val="100"/>
        <c:noMultiLvlLbl val="0"/>
      </c:catAx>
      <c:valAx>
        <c:axId val="1198458816"/>
        <c:scaling>
          <c:orientation val="minMax"/>
        </c:scaling>
        <c:delete val="1"/>
        <c:axPos val="b"/>
        <c:numFmt formatCode="#,##0" sourceLinked="1"/>
        <c:majorTickMark val="none"/>
        <c:minorTickMark val="none"/>
        <c:tickLblPos val="nextTo"/>
        <c:crossAx val="476273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[Smart Trade.xlsm]Pivot!Page3_PT2</c:name>
    <c:fmtId val="2"/>
  </c:pivotSource>
  <c:chart>
    <c:title>
      <c:tx>
        <c:rich>
          <a:bodyPr rot="0" spcFirstLastPara="1" vertOverflow="ellipsis" vert="horz" wrap="square" anchor="ctr" anchorCtr="1"/>
          <a:lstStyle/>
          <a:p>
            <a:pPr>
              <a:defRPr sz="1400" b="0" i="0" u="none" strike="noStrike" kern="1200" spc="0" baseline="0">
                <a:solidFill>
                  <a:srgbClr val="FF0000"/>
                </a:solidFill>
                <a:latin typeface="+mn-lt"/>
                <a:ea typeface="+mn-ea"/>
                <a:cs typeface="+mn-cs"/>
              </a:defRPr>
            </a:pPr>
            <a:r>
              <a:rPr lang="en-US" sz="1400">
                <a:solidFill>
                  <a:srgbClr val="FF0000"/>
                </a:solidFill>
              </a:rPr>
              <a:t>High Risk</a:t>
            </a:r>
            <a:r>
              <a:rPr lang="en-US" sz="1400" baseline="0">
                <a:solidFill>
                  <a:srgbClr val="FF0000"/>
                </a:solidFill>
              </a:rPr>
              <a:t> Spend - USD M</a:t>
            </a:r>
            <a:endParaRPr lang="en-US" sz="1400">
              <a:solidFill>
                <a:srgbClr val="FF0000"/>
              </a:solidFill>
            </a:endParaRPr>
          </a:p>
        </c:rich>
      </c:tx>
      <c:layout>
        <c:manualLayout>
          <c:xMode val="edge"/>
          <c:yMode val="edge"/>
          <c:x val="2.3148148148148242E-3"/>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F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E5E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6402038286880815"/>
          <c:y val="8.5716417380829121E-2"/>
          <c:w val="0.42354575469732952"/>
          <c:h val="0.88886215929242185"/>
        </c:manualLayout>
      </c:layout>
      <c:barChart>
        <c:barDir val="bar"/>
        <c:grouping val="clustered"/>
        <c:varyColors val="0"/>
        <c:ser>
          <c:idx val="0"/>
          <c:order val="0"/>
          <c:tx>
            <c:strRef>
              <c:f>Pivot!$BD$6</c:f>
              <c:strCache>
                <c:ptCount val="1"/>
                <c:pt idx="0">
                  <c:v>Total</c:v>
                </c:pt>
              </c:strCache>
            </c:strRef>
          </c:tx>
          <c:spPr>
            <a:solidFill>
              <a:srgbClr val="FFE5E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Pivot!$BC$7:$BC$8</c:f>
              <c:strCache>
                <c:ptCount val="2"/>
                <c:pt idx="0">
                  <c:v>Fructose</c:v>
                </c:pt>
                <c:pt idx="1">
                  <c:v>Raw Sugar</c:v>
                </c:pt>
              </c:strCache>
            </c:strRef>
          </c:cat>
          <c:val>
            <c:numRef>
              <c:f>Pivot!$BD$7:$BD$8</c:f>
              <c:numCache>
                <c:formatCode>#,##0</c:formatCode>
                <c:ptCount val="2"/>
                <c:pt idx="0">
                  <c:v>3.6236999999999998E-2</c:v>
                </c:pt>
                <c:pt idx="1">
                  <c:v>5.5211999999999997E-2</c:v>
                </c:pt>
              </c:numCache>
            </c:numRef>
          </c:val>
          <c:extLst>
            <c:ext xmlns:c16="http://schemas.microsoft.com/office/drawing/2014/chart" uri="{C3380CC4-5D6E-409C-BE32-E72D297353CC}">
              <c16:uniqueId val="{00000022-BAC0-425B-A57D-FE4685BACCC4}"/>
            </c:ext>
          </c:extLst>
        </c:ser>
        <c:dLbls>
          <c:dLblPos val="outEnd"/>
          <c:showLegendKey val="0"/>
          <c:showVal val="1"/>
          <c:showCatName val="0"/>
          <c:showSerName val="0"/>
          <c:showPercent val="0"/>
          <c:showBubbleSize val="0"/>
        </c:dLbls>
        <c:gapWidth val="182"/>
        <c:axId val="1198460256"/>
        <c:axId val="1198466496"/>
      </c:barChart>
      <c:catAx>
        <c:axId val="11984602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66496"/>
        <c:crosses val="autoZero"/>
        <c:auto val="1"/>
        <c:lblAlgn val="ctr"/>
        <c:lblOffset val="100"/>
        <c:noMultiLvlLbl val="0"/>
      </c:catAx>
      <c:valAx>
        <c:axId val="1198466496"/>
        <c:scaling>
          <c:orientation val="minMax"/>
        </c:scaling>
        <c:delete val="1"/>
        <c:axPos val="b"/>
        <c:numFmt formatCode="#,##0" sourceLinked="1"/>
        <c:majorTickMark val="none"/>
        <c:minorTickMark val="none"/>
        <c:tickLblPos val="nextTo"/>
        <c:crossAx val="11984602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[Smart Trade.xlsm]Pivot!Page3_PT4</c:name>
    <c:fmtId val="10"/>
  </c:pivotSource>
  <c:chart>
    <c:title>
      <c:tx>
        <c:rich>
          <a:bodyPr rot="0" spcFirstLastPara="1" vertOverflow="ellipsis" vert="horz" wrap="square" anchor="ctr" anchorCtr="1"/>
          <a:lstStyle/>
          <a:p>
            <a:pPr>
              <a:defRPr sz="1400" b="0" i="0" u="none" strike="noStrike" kern="1200" spc="0" baseline="0">
                <a:solidFill>
                  <a:srgbClr val="FF0000"/>
                </a:solidFill>
                <a:latin typeface="+mn-lt"/>
                <a:ea typeface="+mn-ea"/>
                <a:cs typeface="+mn-cs"/>
              </a:defRPr>
            </a:pPr>
            <a:r>
              <a:rPr lang="en-US" sz="1400">
                <a:solidFill>
                  <a:srgbClr val="FF0000"/>
                </a:solidFill>
              </a:rPr>
              <a:t>Risk</a:t>
            </a:r>
            <a:r>
              <a:rPr lang="en-US" sz="1400" baseline="0">
                <a:solidFill>
                  <a:srgbClr val="FF0000"/>
                </a:solidFill>
              </a:rPr>
              <a:t> Volume - Ton</a:t>
            </a:r>
            <a:endParaRPr lang="en-US" sz="1400">
              <a:solidFill>
                <a:srgbClr val="FF0000"/>
              </a:solidFill>
            </a:endParaRPr>
          </a:p>
        </c:rich>
      </c:tx>
      <c:layout>
        <c:manualLayout>
          <c:xMode val="edge"/>
          <c:yMode val="edge"/>
          <c:x val="4.5926787560645827E-3"/>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F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0000"/>
          </a:solidFill>
          <a:ln>
            <a:noFill/>
          </a:ln>
          <a:effectLst/>
        </c:spPr>
      </c:pivotFmt>
      <c:pivotFmt>
        <c:idx val="4"/>
        <c:spPr>
          <a:solidFill>
            <a:srgbClr val="92D050"/>
          </a:solidFill>
          <a:ln>
            <a:noFill/>
          </a:ln>
          <a:effectLst/>
        </c:spPr>
      </c:pivotFmt>
      <c:pivotFmt>
        <c:idx val="5"/>
        <c:spPr>
          <a:solidFill>
            <a:srgbClr val="FFC000"/>
          </a:solidFill>
          <a:ln>
            <a:noFill/>
          </a:ln>
          <a:effectLst/>
        </c:spPr>
      </c:pivotFmt>
    </c:pivotFmts>
    <c:plotArea>
      <c:layout>
        <c:manualLayout>
          <c:layoutTarget val="inner"/>
          <c:xMode val="edge"/>
          <c:yMode val="edge"/>
          <c:x val="0.3333934820647419"/>
          <c:y val="0.18996208807232426"/>
          <c:w val="0.59716207349081363"/>
          <c:h val="0.6635841353164188"/>
        </c:manualLayout>
      </c:layout>
      <c:barChart>
        <c:barDir val="bar"/>
        <c:grouping val="clustered"/>
        <c:varyColors val="0"/>
        <c:ser>
          <c:idx val="0"/>
          <c:order val="0"/>
          <c:tx>
            <c:strRef>
              <c:f>Pivot!$BJ$6</c:f>
              <c:strCache>
                <c:ptCount val="1"/>
                <c:pt idx="0">
                  <c:v>Total</c:v>
                </c:pt>
              </c:strCache>
            </c:strRef>
          </c:tx>
          <c:spPr>
            <a:solidFill>
              <a:schemeClr val="accent1"/>
            </a:solidFill>
            <a:ln>
              <a:noFill/>
            </a:ln>
            <a:effectLst/>
          </c:spPr>
          <c:invertIfNegative val="0"/>
          <c:dPt>
            <c:idx val="0"/>
            <c:invertIfNegative val="0"/>
            <c:bubble3D val="0"/>
            <c:spPr>
              <a:solidFill>
                <a:srgbClr val="FF0000"/>
              </a:solidFill>
              <a:ln>
                <a:noFill/>
              </a:ln>
              <a:effectLst/>
            </c:spPr>
          </c:dPt>
          <c:dPt>
            <c:idx val="1"/>
            <c:invertIfNegative val="0"/>
            <c:bubble3D val="0"/>
            <c:spPr>
              <a:solidFill>
                <a:srgbClr val="92D050"/>
              </a:solidFill>
              <a:ln>
                <a:noFill/>
              </a:ln>
              <a:effectLst/>
            </c:spPr>
          </c:dPt>
          <c:dPt>
            <c:idx val="2"/>
            <c:invertIfNegative val="0"/>
            <c:bubble3D val="0"/>
            <c:spPr>
              <a:solidFill>
                <a:srgbClr val="FFC000"/>
              </a:solidFill>
              <a:ln>
                <a:noFill/>
              </a:ln>
              <a:effectLst/>
            </c:spPr>
          </c:dPt>
          <c:dLbls>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Pivot!$BI$7:$BI$9</c:f>
              <c:strCache>
                <c:ptCount val="3"/>
                <c:pt idx="0">
                  <c:v>High</c:v>
                </c:pt>
                <c:pt idx="1">
                  <c:v>Low</c:v>
                </c:pt>
                <c:pt idx="2">
                  <c:v>Medium</c:v>
                </c:pt>
              </c:strCache>
            </c:strRef>
          </c:cat>
          <c:val>
            <c:numRef>
              <c:f>Pivot!$BJ$7:$BJ$9</c:f>
              <c:numCache>
                <c:formatCode>#,##0</c:formatCode>
                <c:ptCount val="3"/>
                <c:pt idx="0">
                  <c:v>1455510.034</c:v>
                </c:pt>
                <c:pt idx="1">
                  <c:v>430772.45400000003</c:v>
                </c:pt>
                <c:pt idx="2">
                  <c:v>80054.906000000003</c:v>
                </c:pt>
              </c:numCache>
            </c:numRef>
          </c:val>
          <c:extLst>
            <c:ext xmlns:c16="http://schemas.microsoft.com/office/drawing/2014/chart" uri="{C3380CC4-5D6E-409C-BE32-E72D297353CC}">
              <c16:uniqueId val="{00000027-3451-4517-A23B-905408378A15}"/>
            </c:ext>
          </c:extLst>
        </c:ser>
        <c:dLbls>
          <c:dLblPos val="outEnd"/>
          <c:showLegendKey val="0"/>
          <c:showVal val="1"/>
          <c:showCatName val="0"/>
          <c:showSerName val="0"/>
          <c:showPercent val="0"/>
          <c:showBubbleSize val="0"/>
        </c:dLbls>
        <c:gapWidth val="219"/>
        <c:axId val="1198457856"/>
        <c:axId val="1198458336"/>
      </c:barChart>
      <c:catAx>
        <c:axId val="11984578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8458336"/>
        <c:crosses val="autoZero"/>
        <c:auto val="1"/>
        <c:lblAlgn val="ctr"/>
        <c:lblOffset val="100"/>
        <c:noMultiLvlLbl val="0"/>
      </c:catAx>
      <c:valAx>
        <c:axId val="1198458336"/>
        <c:scaling>
          <c:orientation val="minMax"/>
        </c:scaling>
        <c:delete val="1"/>
        <c:axPos val="b"/>
        <c:numFmt formatCode="#,##0" sourceLinked="1"/>
        <c:majorTickMark val="none"/>
        <c:minorTickMark val="none"/>
        <c:tickLblPos val="nextTo"/>
        <c:crossAx val="11984578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[Smart Trade.xlsm]Pivot!Page3_PT5</c:name>
    <c:fmtId val="10"/>
  </c:pivotSource>
  <c:chart>
    <c:title>
      <c:tx>
        <c:rich>
          <a:bodyPr rot="0" spcFirstLastPara="1" vertOverflow="ellipsis" vert="horz" wrap="square" anchor="ctr" anchorCtr="1"/>
          <a:lstStyle/>
          <a:p>
            <a:pPr>
              <a:defRPr sz="1400" b="0" i="0" u="none" strike="noStrike" kern="1200" spc="0" baseline="0">
                <a:solidFill>
                  <a:srgbClr val="FF0000"/>
                </a:solidFill>
                <a:latin typeface="+mn-lt"/>
                <a:ea typeface="+mn-ea"/>
                <a:cs typeface="+mn-cs"/>
              </a:defRPr>
            </a:pPr>
            <a:r>
              <a:rPr lang="en-US" sz="1400">
                <a:solidFill>
                  <a:srgbClr val="FF0000"/>
                </a:solidFill>
              </a:rPr>
              <a:t>Risk Spend - USD M</a:t>
            </a:r>
          </a:p>
        </c:rich>
      </c:tx>
      <c:layout>
        <c:manualLayout>
          <c:xMode val="edge"/>
          <c:yMode val="edge"/>
          <c:x val="4.576771653543304E-3"/>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F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0000"/>
          </a:solidFill>
          <a:ln>
            <a:noFill/>
          </a:ln>
          <a:effectLst/>
        </c:spPr>
      </c:pivotFmt>
      <c:pivotFmt>
        <c:idx val="4"/>
        <c:spPr>
          <a:solidFill>
            <a:srgbClr val="92D050"/>
          </a:solidFill>
          <a:ln>
            <a:noFill/>
          </a:ln>
          <a:effectLst/>
        </c:spPr>
      </c:pivotFmt>
      <c:pivotFmt>
        <c:idx val="5"/>
        <c:spPr>
          <a:solidFill>
            <a:srgbClr val="FFC000"/>
          </a:solidFill>
          <a:ln>
            <a:noFill/>
          </a:ln>
          <a:effectLst/>
        </c:spPr>
      </c:pivotFmt>
    </c:pivotFmts>
    <c:plotArea>
      <c:layout>
        <c:manualLayout>
          <c:layoutTarget val="inner"/>
          <c:xMode val="edge"/>
          <c:yMode val="edge"/>
          <c:x val="0.26350513004056308"/>
          <c:y val="0.15923811606882476"/>
          <c:w val="0.65398025530899551"/>
          <c:h val="0.69430810731991832"/>
        </c:manualLayout>
      </c:layout>
      <c:barChart>
        <c:barDir val="bar"/>
        <c:grouping val="clustered"/>
        <c:varyColors val="0"/>
        <c:ser>
          <c:idx val="0"/>
          <c:order val="0"/>
          <c:tx>
            <c:strRef>
              <c:f>Pivot!$BM$6</c:f>
              <c:strCache>
                <c:ptCount val="1"/>
                <c:pt idx="0">
                  <c:v>Total</c:v>
                </c:pt>
              </c:strCache>
            </c:strRef>
          </c:tx>
          <c:spPr>
            <a:solidFill>
              <a:schemeClr val="accent1"/>
            </a:solidFill>
            <a:ln>
              <a:noFill/>
            </a:ln>
            <a:effectLst/>
          </c:spPr>
          <c:invertIfNegative val="0"/>
          <c:dPt>
            <c:idx val="0"/>
            <c:invertIfNegative val="0"/>
            <c:bubble3D val="0"/>
            <c:spPr>
              <a:solidFill>
                <a:srgbClr val="FF0000"/>
              </a:solidFill>
              <a:ln>
                <a:noFill/>
              </a:ln>
              <a:effectLst/>
            </c:spPr>
          </c:dPt>
          <c:dPt>
            <c:idx val="1"/>
            <c:invertIfNegative val="0"/>
            <c:bubble3D val="0"/>
            <c:spPr>
              <a:solidFill>
                <a:srgbClr val="92D050"/>
              </a:solidFill>
              <a:ln>
                <a:noFill/>
              </a:ln>
              <a:effectLst/>
            </c:spPr>
          </c:dPt>
          <c:dPt>
            <c:idx val="2"/>
            <c:invertIfNegative val="0"/>
            <c:bubble3D val="0"/>
            <c:spPr>
              <a:solidFill>
                <a:srgbClr val="FFC000"/>
              </a:solidFill>
              <a:ln>
                <a:noFill/>
              </a:ln>
              <a:effectLst/>
            </c:spPr>
          </c:dPt>
          <c:dLbls>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Pivot!$BL$7:$BL$9</c:f>
              <c:strCache>
                <c:ptCount val="3"/>
                <c:pt idx="0">
                  <c:v>High</c:v>
                </c:pt>
                <c:pt idx="1">
                  <c:v>Low</c:v>
                </c:pt>
                <c:pt idx="2">
                  <c:v>Medium</c:v>
                </c:pt>
              </c:strCache>
            </c:strRef>
          </c:cat>
          <c:val>
            <c:numRef>
              <c:f>Pivot!$BM$7:$BM$9</c:f>
              <c:numCache>
                <c:formatCode>#,##0</c:formatCode>
                <c:ptCount val="3"/>
                <c:pt idx="0">
                  <c:v>1310.759446</c:v>
                </c:pt>
                <c:pt idx="1">
                  <c:v>471.939482</c:v>
                </c:pt>
                <c:pt idx="2">
                  <c:v>102.309378</c:v>
                </c:pt>
              </c:numCache>
            </c:numRef>
          </c:val>
          <c:extLst>
            <c:ext xmlns:c16="http://schemas.microsoft.com/office/drawing/2014/chart" uri="{C3380CC4-5D6E-409C-BE32-E72D297353CC}">
              <c16:uniqueId val="{00000027-BD38-417C-8050-D5A7DDFBCF2B}"/>
            </c:ext>
          </c:extLst>
        </c:ser>
        <c:dLbls>
          <c:dLblPos val="outEnd"/>
          <c:showLegendKey val="0"/>
          <c:showVal val="1"/>
          <c:showCatName val="0"/>
          <c:showSerName val="0"/>
          <c:showPercent val="0"/>
          <c:showBubbleSize val="0"/>
        </c:dLbls>
        <c:gapWidth val="219"/>
        <c:axId val="1227909152"/>
        <c:axId val="1227915872"/>
      </c:barChart>
      <c:catAx>
        <c:axId val="12279091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7915872"/>
        <c:crosses val="autoZero"/>
        <c:auto val="1"/>
        <c:lblAlgn val="ctr"/>
        <c:lblOffset val="100"/>
        <c:noMultiLvlLbl val="0"/>
      </c:catAx>
      <c:valAx>
        <c:axId val="1227915872"/>
        <c:scaling>
          <c:orientation val="minMax"/>
        </c:scaling>
        <c:delete val="1"/>
        <c:axPos val="b"/>
        <c:numFmt formatCode="#,##0" sourceLinked="1"/>
        <c:majorTickMark val="none"/>
        <c:minorTickMark val="none"/>
        <c:tickLblPos val="nextTo"/>
        <c:crossAx val="12279091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[Smart Trade.xlsm]Pivot!Page3_PT8</c:name>
    <c:fmtId val="16"/>
  </c:pivotSource>
  <c:chart>
    <c:title>
      <c:tx>
        <c:rich>
          <a:bodyPr rot="0" spcFirstLastPara="1" vertOverflow="ellipsis" vert="horz" wrap="square" anchor="ctr" anchorCtr="1"/>
          <a:lstStyle/>
          <a:p>
            <a:pPr>
              <a:defRPr sz="1400" b="0" i="0" u="none" strike="noStrike" kern="1200" spc="0" baseline="0">
                <a:solidFill>
                  <a:srgbClr val="FF0000"/>
                </a:solidFill>
                <a:latin typeface="+mn-lt"/>
                <a:ea typeface="+mn-ea"/>
                <a:cs typeface="+mn-cs"/>
              </a:defRPr>
            </a:pPr>
            <a:r>
              <a:rPr lang="en-US">
                <a:solidFill>
                  <a:srgbClr val="FF0000"/>
                </a:solidFill>
              </a:rPr>
              <a:t>Procurement Priority - Volume - Ton</a:t>
            </a:r>
          </a:p>
        </c:rich>
      </c:tx>
      <c:layout>
        <c:manualLayout>
          <c:xMode val="edge"/>
          <c:yMode val="edge"/>
          <c:x val="2.1481689788776216E-4"/>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F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CE9D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3095159980002501"/>
          <c:y val="0.17171296296296296"/>
          <c:w val="0.47976268591426074"/>
          <c:h val="0.77736111111111106"/>
        </c:manualLayout>
      </c:layout>
      <c:barChart>
        <c:barDir val="bar"/>
        <c:grouping val="clustered"/>
        <c:varyColors val="0"/>
        <c:ser>
          <c:idx val="0"/>
          <c:order val="0"/>
          <c:tx>
            <c:strRef>
              <c:f>Pivot!$BV$6</c:f>
              <c:strCache>
                <c:ptCount val="1"/>
                <c:pt idx="0">
                  <c:v>Total</c:v>
                </c:pt>
              </c:strCache>
            </c:strRef>
          </c:tx>
          <c:spPr>
            <a:solidFill>
              <a:srgbClr val="FCE9D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Pivot!$BU$7:$BU$9</c:f>
              <c:strCache>
                <c:ptCount val="3"/>
                <c:pt idx="0">
                  <c:v>Refined Palm Oil</c:v>
                </c:pt>
                <c:pt idx="1">
                  <c:v>Shortening / Hydrogenated Oils</c:v>
                </c:pt>
                <c:pt idx="2">
                  <c:v>Sunflower Oil</c:v>
                </c:pt>
              </c:strCache>
            </c:strRef>
          </c:cat>
          <c:val>
            <c:numRef>
              <c:f>Pivot!$BV$7:$BV$9</c:f>
              <c:numCache>
                <c:formatCode>#,##0</c:formatCode>
                <c:ptCount val="3"/>
                <c:pt idx="0">
                  <c:v>1231357.2790000001</c:v>
                </c:pt>
                <c:pt idx="1">
                  <c:v>80054.906000000003</c:v>
                </c:pt>
                <c:pt idx="2">
                  <c:v>224152.755</c:v>
                </c:pt>
              </c:numCache>
            </c:numRef>
          </c:val>
          <c:extLst>
            <c:ext xmlns:c16="http://schemas.microsoft.com/office/drawing/2014/chart" uri="{C3380CC4-5D6E-409C-BE32-E72D297353CC}">
              <c16:uniqueId val="{00000021-9FA6-4B35-9F4F-AB5EB7F63FB5}"/>
            </c:ext>
          </c:extLst>
        </c:ser>
        <c:dLbls>
          <c:dLblPos val="outEnd"/>
          <c:showLegendKey val="0"/>
          <c:showVal val="1"/>
          <c:showCatName val="0"/>
          <c:showSerName val="0"/>
          <c:showPercent val="0"/>
          <c:showBubbleSize val="0"/>
        </c:dLbls>
        <c:gapWidth val="182"/>
        <c:axId val="1411242624"/>
        <c:axId val="1411226304"/>
      </c:barChart>
      <c:catAx>
        <c:axId val="14112426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226304"/>
        <c:crosses val="autoZero"/>
        <c:auto val="1"/>
        <c:lblAlgn val="ctr"/>
        <c:lblOffset val="100"/>
        <c:noMultiLvlLbl val="0"/>
      </c:catAx>
      <c:valAx>
        <c:axId val="1411226304"/>
        <c:scaling>
          <c:orientation val="minMax"/>
        </c:scaling>
        <c:delete val="1"/>
        <c:axPos val="b"/>
        <c:numFmt formatCode="#,##0" sourceLinked="1"/>
        <c:majorTickMark val="none"/>
        <c:minorTickMark val="none"/>
        <c:tickLblPos val="nextTo"/>
        <c:crossAx val="14112426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[Smart Trade.xlsm]Pivot!Page3_PT9</c:name>
    <c:fmtId val="14"/>
  </c:pivotSource>
  <c:chart>
    <c:title>
      <c:tx>
        <c:rich>
          <a:bodyPr rot="0" spcFirstLastPara="1" vertOverflow="ellipsis" vert="horz" wrap="square" anchor="ctr" anchorCtr="1"/>
          <a:lstStyle/>
          <a:p>
            <a:pPr>
              <a:defRPr sz="1400" b="0" i="0" u="none" strike="noStrike" kern="1200" spc="0" baseline="0">
                <a:solidFill>
                  <a:srgbClr val="FF0000"/>
                </a:solidFill>
                <a:latin typeface="+mn-lt"/>
                <a:ea typeface="+mn-ea"/>
                <a:cs typeface="+mn-cs"/>
              </a:defRPr>
            </a:pPr>
            <a:r>
              <a:rPr lang="en-US">
                <a:solidFill>
                  <a:srgbClr val="FF0000"/>
                </a:solidFill>
              </a:rPr>
              <a:t>Procurement Priority - Spend - USD M</a:t>
            </a:r>
          </a:p>
        </c:rich>
      </c:tx>
      <c:layout>
        <c:manualLayout>
          <c:xMode val="edge"/>
          <c:yMode val="edge"/>
          <c:x val="2.1080698246052467E-3"/>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F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CE9D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3095159980002501"/>
          <c:y val="0.17171296296296296"/>
          <c:w val="0.47976268591426074"/>
          <c:h val="0.77736111111111106"/>
        </c:manualLayout>
      </c:layout>
      <c:barChart>
        <c:barDir val="bar"/>
        <c:grouping val="clustered"/>
        <c:varyColors val="0"/>
        <c:ser>
          <c:idx val="0"/>
          <c:order val="0"/>
          <c:tx>
            <c:strRef>
              <c:f>Pivot!$BY$6</c:f>
              <c:strCache>
                <c:ptCount val="1"/>
                <c:pt idx="0">
                  <c:v>Total</c:v>
                </c:pt>
              </c:strCache>
            </c:strRef>
          </c:tx>
          <c:spPr>
            <a:solidFill>
              <a:srgbClr val="FCE9D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Pivot!$BX$7:$BX$9</c:f>
              <c:strCache>
                <c:ptCount val="3"/>
                <c:pt idx="0">
                  <c:v>Refined Palm Oil</c:v>
                </c:pt>
                <c:pt idx="1">
                  <c:v>Shortening / Hydrogenated Oils</c:v>
                </c:pt>
                <c:pt idx="2">
                  <c:v>Sunflower Oil</c:v>
                </c:pt>
              </c:strCache>
            </c:strRef>
          </c:cat>
          <c:val>
            <c:numRef>
              <c:f>Pivot!$BY$7:$BY$9</c:f>
              <c:numCache>
                <c:formatCode>#,##0</c:formatCode>
                <c:ptCount val="3"/>
                <c:pt idx="0">
                  <c:v>1137.512379</c:v>
                </c:pt>
                <c:pt idx="1">
                  <c:v>102.309378</c:v>
                </c:pt>
                <c:pt idx="2">
                  <c:v>173.24706699999999</c:v>
                </c:pt>
              </c:numCache>
            </c:numRef>
          </c:val>
          <c:extLst>
            <c:ext xmlns:c16="http://schemas.microsoft.com/office/drawing/2014/chart" uri="{C3380CC4-5D6E-409C-BE32-E72D297353CC}">
              <c16:uniqueId val="{00000021-CF5D-48BB-82D5-08C6BDDC4C67}"/>
            </c:ext>
          </c:extLst>
        </c:ser>
        <c:dLbls>
          <c:dLblPos val="outEnd"/>
          <c:showLegendKey val="0"/>
          <c:showVal val="1"/>
          <c:showCatName val="0"/>
          <c:showSerName val="0"/>
          <c:showPercent val="0"/>
          <c:showBubbleSize val="0"/>
        </c:dLbls>
        <c:gapWidth val="182"/>
        <c:axId val="1411244544"/>
        <c:axId val="1411245024"/>
      </c:barChart>
      <c:catAx>
        <c:axId val="14112445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245024"/>
        <c:crosses val="autoZero"/>
        <c:auto val="1"/>
        <c:lblAlgn val="ctr"/>
        <c:lblOffset val="100"/>
        <c:noMultiLvlLbl val="0"/>
      </c:catAx>
      <c:valAx>
        <c:axId val="1411245024"/>
        <c:scaling>
          <c:orientation val="minMax"/>
        </c:scaling>
        <c:delete val="1"/>
        <c:axPos val="b"/>
        <c:numFmt formatCode="#,##0" sourceLinked="1"/>
        <c:majorTickMark val="none"/>
        <c:minorTickMark val="none"/>
        <c:tickLblPos val="nextTo"/>
        <c:crossAx val="14112445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F0000"/>
                </a:solidFill>
                <a:latin typeface="+mn-lt"/>
                <a:ea typeface="+mn-ea"/>
                <a:cs typeface="+mn-cs"/>
              </a:defRPr>
            </a:pPr>
            <a:r>
              <a:rPr lang="en-US">
                <a:solidFill>
                  <a:srgbClr val="FF0000"/>
                </a:solidFill>
              </a:rPr>
              <a:t>Risk %</a:t>
            </a:r>
          </a:p>
        </c:rich>
      </c:tx>
      <c:layout>
        <c:manualLayout>
          <c:xMode val="edge"/>
          <c:yMode val="edge"/>
          <c:x val="4.8292969060685738E-3"/>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F0000"/>
              </a:solidFill>
              <a:latin typeface="+mn-lt"/>
              <a:ea typeface="+mn-ea"/>
              <a:cs typeface="+mn-cs"/>
            </a:defRPr>
          </a:pPr>
          <a:endParaRPr lang="en-US"/>
        </a:p>
      </c:txPr>
    </c:title>
    <c:autoTitleDeleted val="0"/>
    <c:plotArea>
      <c:layout>
        <c:manualLayout>
          <c:layoutTarget val="inner"/>
          <c:xMode val="edge"/>
          <c:yMode val="edge"/>
          <c:x val="0.32032331185874491"/>
          <c:y val="0.25756944444444446"/>
          <c:w val="0.53447466793923482"/>
          <c:h val="0.66604166666666664"/>
        </c:manualLayout>
      </c:layout>
      <c:barChart>
        <c:barDir val="bar"/>
        <c:grouping val="clustered"/>
        <c:varyColors val="0"/>
        <c:ser>
          <c:idx val="0"/>
          <c:order val="0"/>
          <c:spPr>
            <a:solidFill>
              <a:schemeClr val="accent1"/>
            </a:solidFill>
            <a:ln>
              <a:noFill/>
            </a:ln>
            <a:effectLst/>
          </c:spPr>
          <c:invertIfNegative val="0"/>
          <c:dPt>
            <c:idx val="0"/>
            <c:invertIfNegative val="0"/>
            <c:bubble3D val="0"/>
            <c:spPr>
              <a:solidFill>
                <a:srgbClr val="FF0000"/>
              </a:solidFill>
              <a:ln>
                <a:noFill/>
              </a:ln>
              <a:effectLst/>
            </c:spPr>
            <c:extLst>
              <c:ext xmlns:c16="http://schemas.microsoft.com/office/drawing/2014/chart" uri="{C3380CC4-5D6E-409C-BE32-E72D297353CC}">
                <c16:uniqueId val="{00000003-88DB-479C-AEB7-E263DE306441}"/>
              </c:ext>
            </c:extLst>
          </c:dPt>
          <c:dPt>
            <c:idx val="1"/>
            <c:invertIfNegative val="0"/>
            <c:bubble3D val="0"/>
            <c:spPr>
              <a:solidFill>
                <a:srgbClr val="FFC000"/>
              </a:solidFill>
              <a:ln>
                <a:noFill/>
              </a:ln>
              <a:effectLst/>
            </c:spPr>
            <c:extLst>
              <c:ext xmlns:c16="http://schemas.microsoft.com/office/drawing/2014/chart" uri="{C3380CC4-5D6E-409C-BE32-E72D297353CC}">
                <c16:uniqueId val="{00000002-88DB-479C-AEB7-E263DE306441}"/>
              </c:ext>
            </c:extLst>
          </c:dPt>
          <c:dPt>
            <c:idx val="2"/>
            <c:invertIfNegative val="0"/>
            <c:bubble3D val="0"/>
            <c:spPr>
              <a:solidFill>
                <a:srgbClr val="92D050"/>
              </a:solidFill>
              <a:ln>
                <a:noFill/>
              </a:ln>
              <a:effectLst/>
            </c:spPr>
            <c:extLst>
              <c:ext xmlns:c16="http://schemas.microsoft.com/office/drawing/2014/chart" uri="{C3380CC4-5D6E-409C-BE32-E72D297353CC}">
                <c16:uniqueId val="{00000001-88DB-479C-AEB7-E263DE30644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Pivot!$AV$2:$AV$4</c:f>
              <c:strCache>
                <c:ptCount val="3"/>
                <c:pt idx="0">
                  <c:v>High</c:v>
                </c:pt>
                <c:pt idx="1">
                  <c:v>Medium</c:v>
                </c:pt>
                <c:pt idx="2">
                  <c:v>Low</c:v>
                </c:pt>
              </c:strCache>
            </c:strRef>
          </c:cat>
          <c:val>
            <c:numRef>
              <c:f>Pivot!$AX$2:$AX$4</c:f>
              <c:numCache>
                <c:formatCode>0%</c:formatCode>
                <c:ptCount val="3"/>
                <c:pt idx="0">
                  <c:v>2.5974025974025976E-2</c:v>
                </c:pt>
                <c:pt idx="1">
                  <c:v>3.3395176252319109E-2</c:v>
                </c:pt>
                <c:pt idx="2">
                  <c:v>0.94063079777365488</c:v>
                </c:pt>
              </c:numCache>
            </c:numRef>
          </c:val>
          <c:extLst>
            <c:ext xmlns:c16="http://schemas.microsoft.com/office/drawing/2014/chart" uri="{C3380CC4-5D6E-409C-BE32-E72D297353CC}">
              <c16:uniqueId val="{00000000-88DB-479C-AEB7-E263DE306441}"/>
            </c:ext>
          </c:extLst>
        </c:ser>
        <c:dLbls>
          <c:dLblPos val="outEnd"/>
          <c:showLegendKey val="0"/>
          <c:showVal val="1"/>
          <c:showCatName val="0"/>
          <c:showSerName val="0"/>
          <c:showPercent val="0"/>
          <c:showBubbleSize val="0"/>
        </c:dLbls>
        <c:gapWidth val="219"/>
        <c:axId val="1411237824"/>
        <c:axId val="1411235424"/>
      </c:barChart>
      <c:catAx>
        <c:axId val="14112378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235424"/>
        <c:crosses val="autoZero"/>
        <c:auto val="1"/>
        <c:lblAlgn val="ctr"/>
        <c:lblOffset val="100"/>
        <c:noMultiLvlLbl val="0"/>
      </c:catAx>
      <c:valAx>
        <c:axId val="1411235424"/>
        <c:scaling>
          <c:orientation val="minMax"/>
        </c:scaling>
        <c:delete val="1"/>
        <c:axPos val="b"/>
        <c:numFmt formatCode="0%" sourceLinked="1"/>
        <c:majorTickMark val="none"/>
        <c:minorTickMark val="none"/>
        <c:tickLblPos val="nextTo"/>
        <c:crossAx val="14112378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[Smart Trade.xlsm]Pivot!Page4_PT1</c:name>
    <c:fmtId val="2"/>
  </c:pivotSource>
  <c:chart>
    <c:title>
      <c:tx>
        <c:rich>
          <a:bodyPr rot="0" spcFirstLastPara="1" vertOverflow="ellipsis" vert="horz" wrap="square" anchor="ctr" anchorCtr="1"/>
          <a:lstStyle/>
          <a:p>
            <a:pPr>
              <a:defRPr sz="1400" b="0" i="0" u="none" strike="noStrike" kern="1200" spc="0" baseline="0">
                <a:solidFill>
                  <a:srgbClr val="FF0000"/>
                </a:solidFill>
                <a:latin typeface="+mn-lt"/>
                <a:ea typeface="+mn-ea"/>
                <a:cs typeface="+mn-cs"/>
              </a:defRPr>
            </a:pPr>
            <a:r>
              <a:rPr lang="en-US">
                <a:solidFill>
                  <a:srgbClr val="FF0000"/>
                </a:solidFill>
              </a:rPr>
              <a:t>Crisis </a:t>
            </a:r>
            <a:r>
              <a:rPr lang="en-US" baseline="0">
                <a:solidFill>
                  <a:srgbClr val="FF0000"/>
                </a:solidFill>
              </a:rPr>
              <a:t>Volume Impact - Ton</a:t>
            </a:r>
            <a:endParaRPr lang="en-US">
              <a:solidFill>
                <a:srgbClr val="FF0000"/>
              </a:solidFill>
            </a:endParaRPr>
          </a:p>
        </c:rich>
      </c:tx>
      <c:layout>
        <c:manualLayout>
          <c:xMode val="edge"/>
          <c:yMode val="edge"/>
          <c:x val="5.1208442694663766E-4"/>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F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E5E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E5E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8754186976627922"/>
          <c:y val="8.4834640844520179E-2"/>
          <c:w val="0.39616579177602801"/>
          <c:h val="0.88710618736317737"/>
        </c:manualLayout>
      </c:layout>
      <c:barChart>
        <c:barDir val="bar"/>
        <c:grouping val="clustered"/>
        <c:varyColors val="0"/>
        <c:ser>
          <c:idx val="0"/>
          <c:order val="0"/>
          <c:tx>
            <c:strRef>
              <c:f>Pivot!$CB$6</c:f>
              <c:strCache>
                <c:ptCount val="1"/>
                <c:pt idx="0">
                  <c:v>Total</c:v>
                </c:pt>
              </c:strCache>
            </c:strRef>
          </c:tx>
          <c:spPr>
            <a:solidFill>
              <a:srgbClr val="FFE5E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Pivot!$CA$7:$CA$40</c:f>
              <c:strCache>
                <c:ptCount val="34"/>
                <c:pt idx="0">
                  <c:v>Aspartame</c:v>
                </c:pt>
                <c:pt idx="1">
                  <c:v>Beta Carotene</c:v>
                </c:pt>
                <c:pt idx="2">
                  <c:v>BHT / BHA</c:v>
                </c:pt>
                <c:pt idx="3">
                  <c:v>Calcium Propionate</c:v>
                </c:pt>
                <c:pt idx="4">
                  <c:v>Caramel Color</c:v>
                </c:pt>
                <c:pt idx="5">
                  <c:v>Carrageenan</c:v>
                </c:pt>
                <c:pt idx="6">
                  <c:v>Citric Acid</c:v>
                </c:pt>
                <c:pt idx="7">
                  <c:v>CMC (Carboxymethyl Cellulose)</c:v>
                </c:pt>
                <c:pt idx="8">
                  <c:v>Corn Starch</c:v>
                </c:pt>
                <c:pt idx="9">
                  <c:v>Glucose Syrup</c:v>
                </c:pt>
                <c:pt idx="10">
                  <c:v>Guar Gum</c:v>
                </c:pt>
                <c:pt idx="11">
                  <c:v>Lactic Acid</c:v>
                </c:pt>
                <c:pt idx="12">
                  <c:v>Lactose</c:v>
                </c:pt>
                <c:pt idx="13">
                  <c:v>Lecithin</c:v>
                </c:pt>
                <c:pt idx="14">
                  <c:v>Modified Starch (Cold/Hot)</c:v>
                </c:pt>
                <c:pt idx="15">
                  <c:v>Mono &amp; Diglycerides</c:v>
                </c:pt>
                <c:pt idx="16">
                  <c:v>Natural Extract Colors</c:v>
                </c:pt>
                <c:pt idx="17">
                  <c:v>Phosphates</c:v>
                </c:pt>
                <c:pt idx="18">
                  <c:v>Phosphoric Acid</c:v>
                </c:pt>
                <c:pt idx="19">
                  <c:v>Potassium Sorbate</c:v>
                </c:pt>
                <c:pt idx="20">
                  <c:v>Potato Starch</c:v>
                </c:pt>
                <c:pt idx="21">
                  <c:v>Salt</c:v>
                </c:pt>
                <c:pt idx="22">
                  <c:v>Shortening / Hydrogenated Oils</c:v>
                </c:pt>
                <c:pt idx="23">
                  <c:v>Sodium Benzoate</c:v>
                </c:pt>
                <c:pt idx="24">
                  <c:v>Sodium Bicarbonate</c:v>
                </c:pt>
                <c:pt idx="25">
                  <c:v>Sodium Citrate</c:v>
                </c:pt>
                <c:pt idx="26">
                  <c:v>Sodium Metabisulfite</c:v>
                </c:pt>
                <c:pt idx="27">
                  <c:v>Sodium Nitrite</c:v>
                </c:pt>
                <c:pt idx="28">
                  <c:v>Sorbitol</c:v>
                </c:pt>
                <c:pt idx="29">
                  <c:v>Sugar (White Crystal)</c:v>
                </c:pt>
                <c:pt idx="30">
                  <c:v>Tomato Paste / Concentrate</c:v>
                </c:pt>
                <c:pt idx="31">
                  <c:v>Wheat Flour</c:v>
                </c:pt>
                <c:pt idx="32">
                  <c:v>Xanthan Gum</c:v>
                </c:pt>
                <c:pt idx="33">
                  <c:v>Propylene Glycol</c:v>
                </c:pt>
              </c:strCache>
            </c:strRef>
          </c:cat>
          <c:val>
            <c:numRef>
              <c:f>Pivot!$CB$7:$CB$40</c:f>
              <c:numCache>
                <c:formatCode>#,##0</c:formatCode>
                <c:ptCount val="34"/>
                <c:pt idx="0">
                  <c:v>224.01554000000002</c:v>
                </c:pt>
                <c:pt idx="1">
                  <c:v>124.06170000000002</c:v>
                </c:pt>
                <c:pt idx="2">
                  <c:v>14.309400000000002</c:v>
                </c:pt>
                <c:pt idx="3">
                  <c:v>32.956000000000003</c:v>
                </c:pt>
                <c:pt idx="4">
                  <c:v>394.81638000000004</c:v>
                </c:pt>
                <c:pt idx="5">
                  <c:v>38.729600000000005</c:v>
                </c:pt>
                <c:pt idx="6">
                  <c:v>2893.4612000000002</c:v>
                </c:pt>
                <c:pt idx="7">
                  <c:v>340.09640000000002</c:v>
                </c:pt>
                <c:pt idx="8">
                  <c:v>2.7300000000000004</c:v>
                </c:pt>
                <c:pt idx="9">
                  <c:v>1368.1928400000002</c:v>
                </c:pt>
                <c:pt idx="10">
                  <c:v>8.6379999999999999</c:v>
                </c:pt>
                <c:pt idx="11">
                  <c:v>153.37350000000004</c:v>
                </c:pt>
                <c:pt idx="12">
                  <c:v>2.1000000000000005E-2</c:v>
                </c:pt>
                <c:pt idx="13">
                  <c:v>33.936</c:v>
                </c:pt>
                <c:pt idx="14">
                  <c:v>115.21664000000001</c:v>
                </c:pt>
                <c:pt idx="15">
                  <c:v>20.442660000000004</c:v>
                </c:pt>
                <c:pt idx="16">
                  <c:v>24.559080000000002</c:v>
                </c:pt>
                <c:pt idx="17">
                  <c:v>651.70350000000008</c:v>
                </c:pt>
                <c:pt idx="18">
                  <c:v>526.37886000000015</c:v>
                </c:pt>
                <c:pt idx="19">
                  <c:v>183.89714000000001</c:v>
                </c:pt>
                <c:pt idx="20">
                  <c:v>3.2901400000000005</c:v>
                </c:pt>
                <c:pt idx="21">
                  <c:v>25.836706000000003</c:v>
                </c:pt>
                <c:pt idx="22">
                  <c:v>3.5000000000000005E-3</c:v>
                </c:pt>
                <c:pt idx="23">
                  <c:v>301.41649999999998</c:v>
                </c:pt>
                <c:pt idx="24">
                  <c:v>142.92978000000002</c:v>
                </c:pt>
                <c:pt idx="25">
                  <c:v>273.84518000000003</c:v>
                </c:pt>
                <c:pt idx="26">
                  <c:v>467.29550000000006</c:v>
                </c:pt>
                <c:pt idx="27">
                  <c:v>14.560000000000002</c:v>
                </c:pt>
                <c:pt idx="28">
                  <c:v>159.92060000000001</c:v>
                </c:pt>
                <c:pt idx="29">
                  <c:v>7.6020000000000004E-2</c:v>
                </c:pt>
                <c:pt idx="30">
                  <c:v>537.17692</c:v>
                </c:pt>
                <c:pt idx="31">
                  <c:v>63.000000000000007</c:v>
                </c:pt>
                <c:pt idx="32">
                  <c:v>297.38968000000006</c:v>
                </c:pt>
                <c:pt idx="33">
                  <c:v>907.36940000000016</c:v>
                </c:pt>
              </c:numCache>
            </c:numRef>
          </c:val>
          <c:extLst>
            <c:ext xmlns:c16="http://schemas.microsoft.com/office/drawing/2014/chart" uri="{C3380CC4-5D6E-409C-BE32-E72D297353CC}">
              <c16:uniqueId val="{00000026-EB78-4960-8E04-7EB3B9EF16C0}"/>
            </c:ext>
          </c:extLst>
        </c:ser>
        <c:dLbls>
          <c:dLblPos val="outEnd"/>
          <c:showLegendKey val="0"/>
          <c:showVal val="1"/>
          <c:showCatName val="0"/>
          <c:showSerName val="0"/>
          <c:showPercent val="0"/>
          <c:showBubbleSize val="0"/>
        </c:dLbls>
        <c:gapWidth val="182"/>
        <c:axId val="1411230624"/>
        <c:axId val="1411231104"/>
      </c:barChart>
      <c:catAx>
        <c:axId val="14112306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231104"/>
        <c:crosses val="autoZero"/>
        <c:auto val="1"/>
        <c:lblAlgn val="ctr"/>
        <c:lblOffset val="100"/>
        <c:noMultiLvlLbl val="0"/>
      </c:catAx>
      <c:valAx>
        <c:axId val="1411231104"/>
        <c:scaling>
          <c:orientation val="minMax"/>
        </c:scaling>
        <c:delete val="1"/>
        <c:axPos val="b"/>
        <c:numFmt formatCode="#,##0" sourceLinked="1"/>
        <c:majorTickMark val="none"/>
        <c:minorTickMark val="none"/>
        <c:tickLblPos val="nextTo"/>
        <c:crossAx val="14112306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[Smart Trade.xlsm]Pivot!Page4_PT2</c:name>
    <c:fmtId val="2"/>
  </c:pivotSource>
  <c:chart>
    <c:title>
      <c:tx>
        <c:rich>
          <a:bodyPr rot="0" spcFirstLastPara="1" vertOverflow="ellipsis" vert="horz" wrap="square" anchor="ctr" anchorCtr="1"/>
          <a:lstStyle/>
          <a:p>
            <a:pPr>
              <a:defRPr sz="1400" b="0" i="0" u="none" strike="noStrike" kern="1200" spc="0" baseline="0">
                <a:solidFill>
                  <a:srgbClr val="FF0000"/>
                </a:solidFill>
                <a:latin typeface="+mn-lt"/>
                <a:ea typeface="+mn-ea"/>
                <a:cs typeface="+mn-cs"/>
              </a:defRPr>
            </a:pPr>
            <a:r>
              <a:rPr lang="en-US">
                <a:solidFill>
                  <a:srgbClr val="FF0000"/>
                </a:solidFill>
              </a:rPr>
              <a:t>Crisis </a:t>
            </a:r>
            <a:r>
              <a:rPr lang="en-US" baseline="0">
                <a:solidFill>
                  <a:srgbClr val="FF0000"/>
                </a:solidFill>
              </a:rPr>
              <a:t>Spend Impact - USD M</a:t>
            </a:r>
            <a:endParaRPr lang="en-US">
              <a:solidFill>
                <a:srgbClr val="FF0000"/>
              </a:solidFill>
            </a:endParaRPr>
          </a:p>
        </c:rich>
      </c:tx>
      <c:layout>
        <c:manualLayout>
          <c:xMode val="edge"/>
          <c:yMode val="edge"/>
          <c:x val="2.4999999999999961E-3"/>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F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979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979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51731408573928261"/>
          <c:y val="8.8356071413386528E-2"/>
          <c:w val="0.43407480314960628"/>
          <c:h val="0.88223323650325103"/>
        </c:manualLayout>
      </c:layout>
      <c:barChart>
        <c:barDir val="bar"/>
        <c:grouping val="clustered"/>
        <c:varyColors val="0"/>
        <c:ser>
          <c:idx val="0"/>
          <c:order val="0"/>
          <c:tx>
            <c:strRef>
              <c:f>Pivot!$CE$6</c:f>
              <c:strCache>
                <c:ptCount val="1"/>
                <c:pt idx="0">
                  <c:v>Total</c:v>
                </c:pt>
              </c:strCache>
            </c:strRef>
          </c:tx>
          <c:spPr>
            <a:solidFill>
              <a:srgbClr val="FF9797"/>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Pivot!$CD$7:$CD$42</c:f>
              <c:strCache>
                <c:ptCount val="36"/>
                <c:pt idx="0">
                  <c:v>Acesulfame-K</c:v>
                </c:pt>
                <c:pt idx="1">
                  <c:v>Aspartame</c:v>
                </c:pt>
                <c:pt idx="2">
                  <c:v>Beta Carotene</c:v>
                </c:pt>
                <c:pt idx="3">
                  <c:v>BHT / BHA</c:v>
                </c:pt>
                <c:pt idx="4">
                  <c:v>Calcium Propionate</c:v>
                </c:pt>
                <c:pt idx="5">
                  <c:v>Caramel Color</c:v>
                </c:pt>
                <c:pt idx="6">
                  <c:v>Carrageenan</c:v>
                </c:pt>
                <c:pt idx="7">
                  <c:v>Citric Acid</c:v>
                </c:pt>
                <c:pt idx="8">
                  <c:v>CMC (Carboxymethyl Cellulose)</c:v>
                </c:pt>
                <c:pt idx="9">
                  <c:v>Corn Starch</c:v>
                </c:pt>
                <c:pt idx="10">
                  <c:v>Glucose Syrup</c:v>
                </c:pt>
                <c:pt idx="11">
                  <c:v>Guar Gum</c:v>
                </c:pt>
                <c:pt idx="12">
                  <c:v>Lactic Acid</c:v>
                </c:pt>
                <c:pt idx="13">
                  <c:v>Lactose</c:v>
                </c:pt>
                <c:pt idx="14">
                  <c:v>Lecithin</c:v>
                </c:pt>
                <c:pt idx="15">
                  <c:v>Modified Starch (Cold/Hot)</c:v>
                </c:pt>
                <c:pt idx="16">
                  <c:v>Mono &amp; Diglycerides</c:v>
                </c:pt>
                <c:pt idx="17">
                  <c:v>MSG</c:v>
                </c:pt>
                <c:pt idx="18">
                  <c:v>Natural Extract Colors</c:v>
                </c:pt>
                <c:pt idx="19">
                  <c:v>Phosphates</c:v>
                </c:pt>
                <c:pt idx="20">
                  <c:v>Phosphoric Acid</c:v>
                </c:pt>
                <c:pt idx="21">
                  <c:v>Potassium Sorbate</c:v>
                </c:pt>
                <c:pt idx="22">
                  <c:v>Potato Starch</c:v>
                </c:pt>
                <c:pt idx="23">
                  <c:v>Salt</c:v>
                </c:pt>
                <c:pt idx="24">
                  <c:v>Shortening / Hydrogenated Oils</c:v>
                </c:pt>
                <c:pt idx="25">
                  <c:v>Sodium Benzoate</c:v>
                </c:pt>
                <c:pt idx="26">
                  <c:v>Sodium Bicarbonate</c:v>
                </c:pt>
                <c:pt idx="27">
                  <c:v>Sodium Citrate</c:v>
                </c:pt>
                <c:pt idx="28">
                  <c:v>Sodium Metabisulfite</c:v>
                </c:pt>
                <c:pt idx="29">
                  <c:v>Sodium Nitrite</c:v>
                </c:pt>
                <c:pt idx="30">
                  <c:v>Sorbitol</c:v>
                </c:pt>
                <c:pt idx="31">
                  <c:v>Sugar (White Crystal)</c:v>
                </c:pt>
                <c:pt idx="32">
                  <c:v>Tomato Paste / Concentrate</c:v>
                </c:pt>
                <c:pt idx="33">
                  <c:v>Wheat Flour</c:v>
                </c:pt>
                <c:pt idx="34">
                  <c:v>Xanthan Gum</c:v>
                </c:pt>
                <c:pt idx="35">
                  <c:v>Propylene Glycol</c:v>
                </c:pt>
              </c:strCache>
            </c:strRef>
          </c:cat>
          <c:val>
            <c:numRef>
              <c:f>Pivot!$CE$7:$CE$42</c:f>
              <c:numCache>
                <c:formatCode>#,##0</c:formatCode>
                <c:ptCount val="36"/>
                <c:pt idx="0">
                  <c:v>2.3965053000000003</c:v>
                </c:pt>
                <c:pt idx="1">
                  <c:v>1.2755761200000002</c:v>
                </c:pt>
                <c:pt idx="2">
                  <c:v>0.16270128000000003</c:v>
                </c:pt>
                <c:pt idx="3">
                  <c:v>5.0843520000000003E-2</c:v>
                </c:pt>
                <c:pt idx="4">
                  <c:v>3.7860620000000005E-2</c:v>
                </c:pt>
                <c:pt idx="5">
                  <c:v>0.29248142000000005</c:v>
                </c:pt>
                <c:pt idx="6">
                  <c:v>0.21009786000000003</c:v>
                </c:pt>
                <c:pt idx="7">
                  <c:v>1.9123811000000002</c:v>
                </c:pt>
                <c:pt idx="8">
                  <c:v>0.83182498000000005</c:v>
                </c:pt>
                <c:pt idx="9">
                  <c:v>1.0428600000000001E-3</c:v>
                </c:pt>
                <c:pt idx="10">
                  <c:v>0.8196909</c:v>
                </c:pt>
                <c:pt idx="11">
                  <c:v>2.9392020000000005E-2</c:v>
                </c:pt>
                <c:pt idx="12">
                  <c:v>0.15530942</c:v>
                </c:pt>
                <c:pt idx="13">
                  <c:v>4.4100000000000004E-4</c:v>
                </c:pt>
                <c:pt idx="14">
                  <c:v>3.3919200000000004E-2</c:v>
                </c:pt>
                <c:pt idx="15">
                  <c:v>0.21948864000000001</c:v>
                </c:pt>
                <c:pt idx="16">
                  <c:v>4.0718440000000002E-2</c:v>
                </c:pt>
                <c:pt idx="17">
                  <c:v>2.3702754600000002</c:v>
                </c:pt>
                <c:pt idx="18">
                  <c:v>0.63661150000000011</c:v>
                </c:pt>
                <c:pt idx="19">
                  <c:v>0.37279144000000008</c:v>
                </c:pt>
                <c:pt idx="20">
                  <c:v>0.53265940000000001</c:v>
                </c:pt>
                <c:pt idx="21">
                  <c:v>0.41306300000000007</c:v>
                </c:pt>
                <c:pt idx="22">
                  <c:v>4.0580400000000006E-3</c:v>
                </c:pt>
                <c:pt idx="23">
                  <c:v>1.6363060000000002E-2</c:v>
                </c:pt>
                <c:pt idx="24">
                  <c:v>9.912E-5</c:v>
                </c:pt>
                <c:pt idx="25">
                  <c:v>0.30754794000000002</c:v>
                </c:pt>
                <c:pt idx="26">
                  <c:v>3.8812200000000005E-2</c:v>
                </c:pt>
                <c:pt idx="27">
                  <c:v>0.22316098000000001</c:v>
                </c:pt>
                <c:pt idx="28">
                  <c:v>0.16653700000000002</c:v>
                </c:pt>
                <c:pt idx="29">
                  <c:v>7.1904000000000004E-3</c:v>
                </c:pt>
                <c:pt idx="30">
                  <c:v>9.7590360000000015E-2</c:v>
                </c:pt>
                <c:pt idx="31">
                  <c:v>1.8480000000000002E-4</c:v>
                </c:pt>
                <c:pt idx="32">
                  <c:v>0.59160192</c:v>
                </c:pt>
                <c:pt idx="33">
                  <c:v>4.1466740000000002E-2</c:v>
                </c:pt>
                <c:pt idx="34">
                  <c:v>1.41123654</c:v>
                </c:pt>
                <c:pt idx="35">
                  <c:v>0.98053690000000016</c:v>
                </c:pt>
              </c:numCache>
            </c:numRef>
          </c:val>
          <c:extLst>
            <c:ext xmlns:c16="http://schemas.microsoft.com/office/drawing/2014/chart" uri="{C3380CC4-5D6E-409C-BE32-E72D297353CC}">
              <c16:uniqueId val="{00000024-3047-4C3B-9466-3BC3ED82A33A}"/>
            </c:ext>
          </c:extLst>
        </c:ser>
        <c:dLbls>
          <c:dLblPos val="outEnd"/>
          <c:showLegendKey val="0"/>
          <c:showVal val="1"/>
          <c:showCatName val="0"/>
          <c:showSerName val="0"/>
          <c:showPercent val="0"/>
          <c:showBubbleSize val="0"/>
        </c:dLbls>
        <c:gapWidth val="182"/>
        <c:axId val="1227924032"/>
        <c:axId val="1227907712"/>
      </c:barChart>
      <c:catAx>
        <c:axId val="12279240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7907712"/>
        <c:crosses val="autoZero"/>
        <c:auto val="1"/>
        <c:lblAlgn val="ctr"/>
        <c:lblOffset val="100"/>
        <c:noMultiLvlLbl val="0"/>
      </c:catAx>
      <c:valAx>
        <c:axId val="1227907712"/>
        <c:scaling>
          <c:orientation val="minMax"/>
        </c:scaling>
        <c:delete val="1"/>
        <c:axPos val="b"/>
        <c:numFmt formatCode="#,##0" sourceLinked="1"/>
        <c:majorTickMark val="none"/>
        <c:minorTickMark val="none"/>
        <c:tickLblPos val="nextTo"/>
        <c:crossAx val="12279240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_xlchart.v5.3</cx:f>
        <cx:nf>_xlchart.v5.2</cx:nf>
      </cx:strDim>
      <cx:numDim type="colorVal">
        <cx:f>_xlchart.v5.7</cx:f>
        <cx:nf>_xlchart.v5.4</cx:nf>
      </cx:numDim>
    </cx:data>
  </cx:chartData>
  <cx:chart>
    <cx:plotArea>
      <cx:plotAreaRegion>
        <cx:series layoutId="regionMap" uniqueId="{DFE4C8EB-1BD5-45B1-A61F-ED5E21DBB53B}">
          <cx:tx>
            <cx:txData>
              <cx:f>_xlchart.v5.6</cx:f>
              <cx:v> Crisis Impact%</cx:v>
            </cx:txData>
          </cx:tx>
          <cx:spPr>
            <a:ln>
              <a:noFill/>
            </a:ln>
            <a:effectLst>
              <a:outerShdw blurRad="50800" dist="38100" dir="10800000" algn="r" rotWithShape="0">
                <a:prstClr val="black">
                  <a:alpha val="40000"/>
                </a:prstClr>
              </a:outerShdw>
            </a:effectLst>
          </cx:spPr>
          <cx:dataPt idx="0">
            <cx:spPr>
              <a:solidFill>
                <a:srgbClr val="FFE5E5"/>
              </a:solidFill>
            </cx:spPr>
          </cx:dataPt>
          <cx:dataId val="0"/>
          <cx:layoutPr>
            <cx:geography cultureLanguage="en-US" cultureRegion="EG" attribution="Powered by Bing">
              <cx:geoCache provider="{E9337A44-BEBE-4D9F-B70C-5C5E7DAFC167}">
                <cx:binary>nH1bk9Q40vZfIbj+NKOjJW3svheu6iNgN9DADDcOaEA+S7Itn379q5rZd6PRUt3xaW6IqepKq1L5
ZKYyH2X982H9x0P7/cvwYu3afvzHw/qvl+U0mX/8/vv4UH7vvoy/ddXDoEf9Y/rtQXe/6x8/qofv
v38bvixVr37HENHfH8ovw/R9ffk///TS1Hf9Wj98mSrdv3Xfh+3d99G10/jEe79868WDdv10+rjy
kv718lBW/ZeXL773UzVt95v5/q+XP/3Fyxe/h3L+65kvWr+syX3znyXJb4xJwpGk8u//Xr5oda/+
/TaC5DfOCKGS/N8zsy+d/9yzy/hrEV++fRu+j+OLf//7n4/9tOL/vFqN+vD3lz3o09oO2V9f5vef
lfk//wxe8F8veOWRvp967z96OX6Zvlz8pdBHn3z63f/TcfDRp/bl7y27+favl5Q92qWThH9/7Beq
/b8///5lnP71EhH6G09kgrGAmBNKxMsXy/fTO5z8xiAihCFKIcUykS9f9HqYyn+9ZP4tJimCUDKM
qKD05YtRu9NbiP1GkRRCUgYhJ5ji/9junW43pfv/aOHf//+id92drvpp9F/j5Qvz91+dVgm8bE45
J9B/O/Pw5Z2Hhf8j9P+mfe5EIqS6g/2yXJK+4dd6mbb0kRL+P6SfnvpIOuKsGNYJqLtCbvqwUFVd
DvXQXsZJ92b+WHozs7UrZiTyZtibA3f1mrqCmus46fhn6YrjJmFG0twUSKYTqN5YN/BDnHD0s/Cy
c6PhcGU5G+UHwsSHhFAeqXT4s2xRD0llKaZ5V5ZXK9GvlgYdY5aNpTfUxxrfB7I0rCY0BxDes6Ko
06Zbx2eEo9MC/9sWsfQAeSx90Yms+QxovhndfCob6W4HOPWfJVz5pRaEXbRak8uuH/F1Zbf6yHVS
v4n7ZvznZw+NSpBlnOY+jFSHombX+4wf4mQnP8vuCmnGYvUbwtYlV1IuqYa8jNptLAMAwwYAk7CF
5BPsm2O1q7xvmz5SeIBfDvAmVtTinG3Jg7H7h6Ql3+OUEoB3QgPnvOhxviu/kztb3pgF4yjPgGWA
Xe280KoocT7Vhl5qBOA1FnUZBV4sA/DCxLWKTjXO5YKv0aLeloOIVHiAXbPpoe2N6O66DgzHtVD0
Eq9OXkXpXATwZaRN4ERAe7ctrWxTzPR45zY2q7jViwDAjNh55vNQ3tXbVB5wtfGUjObD04tHJ8v4
hXsQAUSBK3rGh1bd9ay+x42Vx2rp2NWsa7ylCPTz5QJG9D2Rbknnmg0HKabkYqu79f0k6vnIgMEs
8psGkOY+2LcrmGxeoPpqKKm4xr3pbp7+pid0/eqLBpB28warnZc2n9rifTFTfUj2Ii5oYhFAWmG1
63oyImdWwpRZ83Ut0au4hQeY9qnwZLURJq8whx9oUx2qtSme2f9zWgkw7fYKMdCtJu+rpKlSuhfy
WCekl5FbGqDakoVK1nUm542rbuvOlYdkLsl9nGoCYEtbJcathc57iUnqJF3esJVsfzwt/WQZv7AY
HgCbLOu8CznyfJnNctSKVOnienbLhq48Pv2IM+rnAbZJYeey2FaRJwu7KGhZppJEbi0PkE2WshiM
pUnuElleEdmYw4h7EOeueYBVvRFsCVpxbjl+kxTta6uaz3FKCZDaJ1ziHdY6x7VNYAqY2z4NhbFx
/pqf9uJR+iyWtrWDRTwnqLgR4H6d+MXTCz9nMAFSC1r1FrYbzyta0ouikclHPLflQVYOfXj6Efik
318ZZQDYBAhTkGEUecfFnrYSjbdWTe/NxKcDEVWVHFeg+o+VXg7zbn/stSJXdmX7h42MOIWbQVeT
MhKk9dwnt6gqRx8QbZeW5dq8VeP4FTI4p4XR75yubkS1ygMydLoZbIfl7Vrhj09/kXOWHzgGyGc1
WFD0+YT37dA1eDr2sC9ex0kPHMOiq9lYvOO8cvXDvCyvmxm/jRJ9OlY+Np95IW2pgJU5B8snkqx3
+95/ixMdeIO277t+27XMHcRdiqHJCy7jTo04CdxBt/W0rFcvXDH+Knm1oO6Z+HRa3S8sMgk8QeEE
FpMXmnPewoyZdrxQEO2p3198MS3afhGlYQcBEM2f1tMZnCWn1x8hmEzSdaoxPKcEba9t0Ta3cp/Y
QU0rOz79iDPmmZxef/QIQdHMLKxlrr3hp0a2b/jcxp2KksBNoH5kTdkOMk+QrO9Xbe0frhjmy7iV
Bw6iw4VPoomPWqKxtxbrzwaXz+z0Ob0HmCXb0NFWdSIfUFtljIAhBSXArwrh5mfCCjr3jAC5TWmc
6Hci8rlp+Z/NxlBqEgzSsqrG+6ln+i0Xw3zdda4QFyUy+1VTFeBi0T263muD7rptssdO8+RiNXX/
EKVUFoCeQQI6ZSDLV1LClNLmCiXmU5zsAPVNlSQDI7XPAWRzLWCvDqauhrj8iwWo7wkVpOCjTwKa
AV9SDevLcpZ/xK08QD5tTEOqCaJ84b7Mxeo2uaz0UF/ESQ9QvqOl3BY4I3/cHOvUDFB+moUq4tw4
CwBOZmQALiqcO198uWg2NadAwz1S7QHE+3LFfEZFkqumnW66cvjQSuvighsLEF4rR5uBeeGkmN8l
HVZpNbBIYwwgDhmtl7b2tYnVrK9qaY59ba+f3k90xqeyANrzzKjUyiZ5TZf21SAW9ZU6Xr5PCjoc
aldzkqJETu9oW6hU6Iq/1zt/kKrv7vuKTgeUrOJTaTebxO0SDVAtGreupGNtjiE2ZToTLN5WM03i
9okGwIZqk7LTbZdbllz5kP51TxyKXHqAa2Qb4RsYSZurnteXyziUKYXtGik9AHYhixIAwdu8Ajx5
I8SQakXHuPB3Kv0/Dq2oRmOi/Ek/73r6XvLkqlTd8WkTO2Nhp7r+Y9EgMYwXkxftE+HXaEwTxG7j
JAeAbqhN1J6gNpew/bpX++WImkgzCeDc7V03TnzbcwDg137AezpMm4rUSIDnRgw1HDbc5ivtSbrU
eLxahKWRdhIgemxF0xIiirxYTXEEtbaHdkNb3NpJAE/uErShqtpzZLi8XtuGpqoWz3UiTkj5Rdp6
ahw9thVYJhDbAoq8oPD73nfTxeLbgO8sp/qauIUcxmrfb6KshwRoXQya6cq5yDfXq1caq+5iJe0Y
KT1AqxQatC3rmrzH/rQAiuke1uMzTvsMokgAVqcg4/3oCxSuNvwGS1peupXPca6ABHgtZ9c0+1I0
OSja8arD8yVUCD6jlnMbHEB2HxeU1MYVOWesxodqa90b5paWpnpaYJcSU4lTGlfWcWggAZAh2xdH
is1/m8QfOVOH0XQsN4OnQ5wVBViWmy0MpbjOJweqo6H2clMAxWVbJIAyQKJZKHFNviljUzaV22Ge
2PqMGZ3rQuEAy7CkY0008EUXW7mLivfVYd9Rc9WNsLjsynG6tbPcfEJP+lQPkn6fNPJZX5TicAD1
oShwU1BU591UpcI110QOf3fa/2603/3tL57v9GIcILuxFlq4Tk2uRHt0Jf2+FuOnuFUHsO5AadWC
xj2nrQWpq/DBuS7Sc+MA1+UOVoq6sc4FSoqU9ao/LPgZ4J3xGThANfZbhxdSFBmG9Bto/dlQWxZ5
oMEBqle+zsbHsjXnyzymPofMkrUTcQjDAYK9w+9XqOva977Lbkh9c5/9OW1siRQfAFgoPJrN95F9
5lNeGekOO9dXccYSwNfsbWOVoFUO+QZx2hECfTZdgTjxKIAv3+e23Trl62mr0ek+yfdu1ZENLhTA
Ew11U6odrrlp2McpaZtDj9bIshcKAGpKsPv6gFrzfRTjBd4WmfaeznCMUjsKMFoabxw7QihveU2/
rbwZUtvO4mOc9ACkErCN2hHueVsO3xG2udye81snEb/Ifv46oz2qb2HaoxmaecrLbazuimFxqWFV
+2Hgy3gft/oAqbJNnKDcTjlPmvotsCo5lF1H47wjCqA6rBp3G+NjXvqT4vXQGfHGnyrFMy7stH+/
Uk+A1FLNI+DQjjkve/olIbI91kttrjZVuCvrVGOfCU0nM/zVgwLcJkvFimnQQ24nmKSNGfgX3mnz
cRWbejdRa1SqHVXPhOEznhkGMJaSGGW3UWTYsstKggOoIg8aMAAxqZNkL+Fqc+i2KiVCrAfLZvyM
ms4tPEBx3SyiVh0SWaPta43eI1vHHexggOBEU881sFRke+3cYVzWq50ukUyPkAdW9ULOe9n7ZROq
DlvDu7TdiuEqCmDwpKxHGKZ90TJDCMgAKw96HA++BnqMEx1gtydyBQvEIKu5vsY7uFvgHhcEYQDc
yhVq1b6emiXdmmqEUqnqSIUEqAUC88UNuxft+vdQewbG3Lm4/BgGQIW1b1vrEoKsBIwcypKDdOr0
c27g1/aNQgpYi0mVDA0DWaVll9YNQGnl1qgCg2c3/mwnzMmE8tGBDBm8pJW2VwWtk6jtRDJA5jzL
SumNgkyD5QOA1UE16pl2wzmlBNDEqi7mzWeqmRX6AlJ2U3f9nzH2jUJ+V+JGlPTCr3rsm0s0fRxh
G6mPAJQzcpLNYgMZhN3reR8uzRhHSkMnAvJjvM+CDdteeOTgib6dh+Qo+BSXg6GQ24Wga9w8+mWv
yr5Z3XrRmuRHnK4DVCpMpk3LCfjWoFCHjrk/2YiivDeSASqZtFs39162pkyk+7LeUew+RK075HW1
6wbaZfTm5yl171yX+I7mzKeogIZCUlfCiGoSuHoDtDx1DF5XG4mzwJDRlRTD0OBaymydN5xumz9r
ODrvl3FaCUDZdMRaVy3eUPR6nTBw9DXtyIUH6e7YDKQCFBbZxPuLwTNVPKsn6piOQn6Wj2B4ZNKv
upz7zOcPYDXPZIpnnJQIQLk0i3JDMYNsqzVLT1GYCtxEWkkQK7t59G575DKjdvuABrp7gpYzkeoO
cGkVXaTuapvv2IEUOfIBgeQ5YtOvzxdIBMCUk+pLhfYhb3b9sapZe7nx/Z1n3YOoeIxCctY4TKM0
a+cfYKo1rTCzaZn4/CrKykNeFjPIZyY08Zy7slRp3aO090WeSOFByGTVgva54iavhSOHXg1turVL
XNAMeVmNOBHgyO5Xzlx7UcpB3FABn2uwnFD+38cVf9Pg5xDUQkyWvfMkSlSv7jOTLT7o3bhr3DQs
bTWH8BnjPGM/IUnLaL76Wqf1vEHSzD4j8pXciwkQeZ8kicfY07t87iEBdou53Tc4byYfR9Hc0Z3z
V6Kqv/bVzp7JSE8p1q/0FQLYNMC3jZgn8lA6phsmiTjuitZZbXb0zg4tOFrJxOXaw72KNK8A15XY
Zg4GcIqJ5N638qpDD4aHpzV2xtvxANYVr+0iCtvnGBN87WzSXE4NJXHRPKRW8ZoBsu+FP3WoVb6i
w35j6y2uzYaSIAs2vrjkj9rqxOQvyzeGFvDdjuo9qpOBQnYVTlQBCrnPvthR39N5+XNxrHvGTM8o
PSRYKc8t7wiuR0/5a+5sre7mxMRR41FIpVr6qYZ9N4w5gxanpjGXsN4/RxlLyKGaBrxQW3djDpV7
KCC+Q20bKTpArnO+jjHjdsxHp9Vriq09en6Zu3564Wf8QhKgVo+zZCUQc96LuVfp2PnzRwXnKRXz
5BtHTz/k3K4GMNUGtdtwKmQbAUya9PQVGt27ONkBTBECeMKb3XKI+C0o+J8ucd+iRIdMKOAjClum
TmTrCJJ0dOh1MhJ4jBMeYJRZWyZorkrfZd/qlPbNO3/FJ85kQibU5Omr87wUi2efuLtmLz7zCZu4
vWRBUrxax1W9ApkNdpIpwuNbJiJrMYgFMXeqdlc508msrLyhbFM/HCvZksiln8zzURHJJwv1OA39
lO+JeA3F9rqoh/u43QxA2qsZrz0BOufa+xa6kZT4SmecUwxJUHYuQGKtHPKSyT8VJeqgfR0v7pDD
AmwSynyKluy9Z1jZu8rXSuvyOWieyaBCEpT2u9mg2kdQuCTfTY/UwRXJn24ak2vNI+ulKGQ2Mbmy
pNiAfwr3nY96Si65o0tcmA55TT1KFn8npajzpJ+na4mqw9x1/TMZ08nufpEx0SA5rtt59Lwp41tw
PCFXFRAs7UoWR2fwGfzP1t6NpKyXuaxzXHJ/+9H3ug9/1QmjDD5kNnVai7LXU+Ub9PIeKFymAsZR
SPyd5p9XbhgTSGBY5eteXe2seNiBXeJ8AA2A6q/ntMM+iyrHffm2YvUPtum4RjPy96l/8i+4Qb4p
xucqHwvH38hq6v+kJQHPROpz1hIAVXZVByD1Wklq8A52y7epn+dIrQRBlI9VA0ilq1xbA3ykg1M6
thWNs/OQ3DQS428REVjmrYCfBKMfXeuHAUTZYUhtcsnE/e1zq/Jm8+T1RVXX1BYqUngAUDj6S+/z
eLoRC6riIFZVpomWH+NWHuDTc/dw3TO/clit+iBYN6f1mjSRSw8iabtP5TiLucikm6vDIIW8WJst
sp4Skpl4B/QGutHX3Wr5GQt3a1F3F6eWAKBAjXura+3rQFVyZclwz1sUmYeGrKV5TrbZjJXIQM3g
Rb1O6qiHvo5UeQBQSquuQZvmvjwmP/ka3NHMyYc4pQT4NG4sbYEVz5pu0WmrNpBWTaTGQ76S5wxI
qldQZLoH47WU6ApsbVwbFoV8JEN7T94amySjfBWf13pLfqyJrzLHOa6Qk6QNRGYpa5ptxorLwVF0
4Rr5I0rrf91Le5QvFuVYg2VaSeZ7sh/4Zl7tZo7L0ENOEt79pb9kSXCmBmlSfcB1Epmgh5QkN8Ia
eBLYkoGW9hczWtPEld1lnEoCdO57U0At1JLRRbwC9BSISFw1LyQkWVn3dFZoydgGZT7sBNrLVk08
jvWHcADPzQqhPTVuyqq9aXxvploOfmJPnDPHAUD9HS3Y7pZMGQFjnxKyf5cbjDPDkJBkm2Ly3GM8
ZUDji7VUMOWNiHSJISHJ1jOZIUFTtnTT9e7AO1c8l/6fSVhCOhLzNBiz+lpyZgQpU7QTlXqK0n2U
If4XG4kIug6ynTLV95dJJ/+QJYhsPv51X+sR7qtxnlZ/G3HMkpp2B5y0l/4ad2SqFbKRJCJubxQf
s4nQD41r7vjcxTmVv+YePFp3swyD6XQxZqymUqVIOHSzTYzFJaAhDamuXOIZg+IkvvzWQV9sTRYZ
GTxRgM7dsz+XuWJjZkm5Hpho+cHu4/s4YwnQicTc1L6gqLPVT/o4CFeyAx5UJIRCphFl4+7xX+us
kHO6ufaIKIzLnEOmUS3KaWCo0p4rgY/GfcH+dBulEhiktk52HZv8+LJsTFZ12anVHBUnkcKTnw9C
fhIVtVO99tkqi+511yy4PrimLbuLuMUHya2TrnTzjvsMJ1thjzWm43blr3vvccQdFNKNdjHCjVjS
Z9NYvprdmPUCPnOh94xXhEEE9e2KcWYJ67OW1GOVIs/Q5KkfTKHjbD3kHOFVkRYw22Wz8f3IAxnW
/gfy47/exak+wCnaXeEvwSw6Y+2sPwJTJOkMOhyXA4TMI9LZUZZIdZnsxvuG2W+O2k8xC4ch7Wi3
LTebqV1mt8/9CB8o5VFuF4aco31kBWgbL3la0IHte9pvMCq9hSHjyLfKHB2WymUzHGzaU3io1RCX
O0MZoLROuFpwX0xZ4Vj/4Gsi+wd/EIiKz3743M8uQCh/TR5Db+aV8Pf7FdneJzuL4iFAeYLWoziX
TEJVoqB9ZjYrL7qxXa99Xf65uzS/BigMqUe2VbOEcJ+yfm9v2e7IsZRLnGeEIfdog2BaWoxMBveC
Hfa6eQuU/Pa0hZ9U+9/lRBhOlQJLvQ2+bOZlMyJui4mQh9PxS6dk0XFJNAxJSIbsoqnoMmRoSEyV
FvOi97zSI3tuEM0Z7YdMpKLzN1PHYR8yoQAzqfE2dLEBSp7R0TnxQddlI55GvajFZHui8nY2/XHt
6jg+HAzZSNqVm+D1PmZ1Zd/gFeRVUUfxGqEIsCo61rl673zuNdf3ch6uGBuifC4UAVJZq3ffXWx8
jKsBP/iD432XgK9Pm+Q5dZ9ef4TUsp5m2+PKZjMFnluyk5t1tHHtHBjSkXan9hIQZbPGkvWtKPB+
2Gqjnkm9TonQL9Ak8M9L52yf/KwPYLKph1IfpZ7FZ12Va5l2E3cHNrj2UHdJG5dyQBEE1n1cbVHZ
zmZgRfRQtL5ZdSE8MXY4Pr0VZ6bpwJCmNNSzgLQYh8w03PEvO7JwfiOmov/D966F+9AldhaNvzer
eH/l59/5cTJ+rgk0HxfI8XBLuSbdoUJgNLe+yl33qS/OuS2dTFN7D4PIfphk7a82imYG94VtVJu5
Ad6v4yCXm6XYePeqAhNxV3Nfbqmq1IpTCwjXcbEyZEk5zPVmVmyykpsrz+n+Y1ifO92fudIHQ46U
KMRMSmBs1lu3J7er1FD8yUDljz9CT8Npjtg2ftB6a5Yb43rbXg7F6KfILXokF0/v3xnvHo64qkW/
FIPYbcarwcmLSbgVHqe9qq0/GAARx6iBIacKao3M2BCbiZ0eJer5sUn8oLynv8MZdxBSqizAnRMN
ttkGjXuHWm4vSqfGZzR0Tvrp9UfOBifIz/VrJpu5urT3fdeRywq4Ji5/5EHenvBlb/1gsTEjW6FT
6Fed+EvghzjFBM5mEf462+SQzaxvZ6akELctB3HpKQ8dywy2HU+bV3pb+Isqcm5Tfx87bhogDFlS
MGGutP1qfa2EjSlW7IYD/YzKz5h8yJFyxdTNxVzYrNhbdoC+wHPDK+7nu3Vr8YxF/lXn+oWbD6lS
uG0p9BPYvNvtZPel6ccfc1f0195Z+uuzu1r/9MNLi1cAFPq4rnBLx6Zz107C8RJZV77tyFwep9b4
HuJa8/GmLLC4Lf3d9CFF/q1nFHHGskPGVcKnroGEN9lMqrc7seWRzZ5LHWV7IeWq4xLUC/ew4Wv7
vVTbjbFxQ3O8LfyMSELmbi+3dsgokxcuaV75qQPf4lYdgJ0DPzyYjdpmWAv72tuGvHZjNz1jFucU
HoJ9R9oX0ryzHevlDeR3BQNRx38Y8q2aNdGFdtJm0qJ77sokB7zeos7+MAmg7m82rp60qny5iKw+
Od9Ef/CjJO7jNB4U0QpX+uvCja8YyV43B1GKNnXC2/nT0s+kWyHXqmTrNAClhgw6X7UEHZvf1Bvs
b0fG2tuOEv3RpxEuiiIPWXAK6KUhaDQ+Dqmy+TG07XyoinW9evqbnLGdkHw1qmYlo79AlTXFcOm7
i1/9vIc4Vx5yr5QuxTz6MdPZ3oxHIfUlKpdnirtnfG3IvFLKz1nSbPAHoxYUB+26Jt2A9jxeTxWO
C3LhGCrLBeLDakxGEbj1h/arYdjjjkcswCspu95I6HVe8Zl9bHxB5u2amClyR4PoTJkuy6b1lu9n
9YKDrnzle9ZxtUwY8q/aoanWBXhHVs1AX7aLH3nMlfgaZ4sBZn2ZlFZl0Wl/XOffqFrqdDVdFZdv
hcSrRatig40/fyUDWI9+GEiV2plFnodC5pW/1QMsbpzOIKhe7f5mu7/26Y/rUXoJmVc77Fq3jL4h
oPfyD+MxOrZznIMPaVeFz+Rks85tllgw3Y5aHnx7fYiz85B1pUyxLv7+ns4EoUc/5vtT07cf41Ry
cmePsue91L5rJLzoxNPFjlWrHvQu4zpqMGRd2WWyhWuM94nQDz9dE/V53HHkqSKkXRE/Cx8slXdd
ehqba0zBnSj0chmnliCkjsNSyI7APpsd1xeb518dq0pEbmcAT1UjY1hzKpKC6Ssv1ave8mf8+Zko
FHKuOlbP7bpuJpNlSa4Wp0iKheG3UVoJWVcVWPzwutU3YFDjY0SlwE1vTVxwDgdIbbZZSK2WPgPm
2FLK/AV7UjyTZZzTSlBGo1qIUSQ+TsC5f2jL8aba/JicOJ0Eye5YDn7sjvSlxZpsqZ/DcxhUZIoe
0q3Kat4TwLwbdyP/yHC6j8UfcYsOAmfjGZAz6mdvJgmWqT1wmshIfeCfHUphFtWbqmozIbxMMxWt
//2WZxKhM9kKCVApJtxg1SfeRpT0mQqv3fpjcLVNl2lf7uNUE4BTrtzPAxt464loU3sBRJ2vbLFx
sTPkXPk6ulykpG3W+4oZoMWNK5a4w2LIuBrKvd8w9LGNi+aWbPSy4Pbb0yo5o/aQbTVMyl929D8x
kRl/Rr6ZaG8PtS9G3VC+Ry4+AGitoVvtUviEZRnxBWKCvqmNiRvTAkPWld4G2Pk6sc4G4S5pN5Se
OdJWcR435F2hDSCfniuT9YpdNcmxL+Pu3fp7hz8jyQ2gUaCpyszTgGDqf8Ds/dRUcd42ZF25PmGz
vzFjMmA3lwrL8xGBuPAWMq6qaa4pGrxH9JWnP/xgojfVMMRlKyHfamww52xrTSZa99Ft4h0bqq9P
G/mZGBHSrcgsyKQHfWoRTXMqpfGVbvaMRoTfsV9Um0K2FTHN0nSmM5lF0BwSUpJ3HMH6SiSTPApW
LH5APQQHq+xzbYy/PMqvHsl/Nh427101cqGz1k7bH9u4+Lu9ZVfUF07y6lVX+Z8fETMaUgOmvU2H
Tjbv5A59+qq5+VQPYn2X9JM7+AKLyxtUdFdNW2/3sKPTUVX8HfG/xnXQjdkPo5TN68nfZ0+bxrjj
MBpxVZnB/7rJsojLeis+67EDV3BboYoLMSEJTDCnKIC9yQicutRfFHLp0A+RAT2kgUlTqaFKvCFM
oz/xwZ3vaT3EDbTxvx/487bM0nOcoR/sniVK+Xmf/iejNtY0xzgTDhxGW/cKF7zps21DF3zDdVpI
HkeKhyENTOvZ/2ZFtbYZ6vw4ScDEnSTV9//l7EqW5La15Q89RoAgJm7Jqh6kZrmtyfLdMCTb4gSC
Mwny61+2V26oSxWBjVYKNArEwZnyZPpt3PHrsg43DDny9lKEw1fB44ed9n4MyOTf3s5/EpyV5Dzc
5729cCF+13H8V5iHXhOxkNp7/THVMLaNUjAaWRd/FUH7nW7KL1BwEWA75j3jfMFp1yGf7xp5tig9
+OU2LgasknOYr5MswDRFu0dKOv0UrvF0wzivvHU/sU3JYIX8SNdeahrq+33b9cMBsEAPYaK0kSw4
BczwZFu5H3EfcRmogs405YouzWVc6VqelwWDcrwN8RZ5XU4XFLaUsu1JbwxeG3ofSczIBH3nBwsl
Lixs36WY8xap4FpVnwO2TaehPPxku4iLCdvz3lAwI9cXRsYI0lakTCruN91DiGOzx4EGCaFlcxlQ
hU/yhmrQc8vf/c7cCcIFi8ZZt6hKdMHwtbKMJvFsvKoSAgKor80WpMdBBDx1dynrNUda/3Sw3t64
LC/u9Se3i7VfrOI/r80EsAalZWGAHMx3diLTUqWYJhjSYRT0kUG+8X1XGK9wCH/NcfIVFKd2hjkZ
wPKrj2X7yATxCcixshOQN2h3A745t5d9M00SGbFBWKf98Ouv+7LIW4f0kmf855AgS2D2VlLA/fb4
rozjE6/VPYn1n+FxCxXwr7d+6284jtZUvIrmg+EHzIrY8yaqvw031XOgMXgZrGX46dgK8b4I1cyS
ZiXNUwSWhyVpl2h4ZrnETvpwq/Y0zEv71zqF+hZu+OrWHDcN6oRwIYDgXarwmIZk7eGodZH3T5UB
50jaRm1H7kZGq4ceecp9KcfoiUFS8avZq+idHJr9Idh0mXVSihNQcUP668/ycjRvHRl9/VliWlTt
OgTt5ZA7P2miMWw0eZVecaGc52Imh2A1g4tfoji+4xvV6R4DqOq3dee9AMunCGboOINHbS0xx7SZ
Uw7aNr/VXXDaMFIRLaZH2SHElPd8FEtiJ6+8Q0CX9/WpQ+43moGsR+pLNpkIiEeAXzW68Rxd+aQu
NM3k5bILSdpLdGxpp8mPnAZeAiDYuPNEhHGNokCLqoCeJK6KYXUC1rYbGdObJQcs7jwRZO3HQHQG
vZcC8ptHSW1q9ki9t7r16qrhTzgvhDag3mOdaC7trNRpnNt3617dujLX9u/YOLi4IDZo1xaTe2p7
VGAOTZshjGDMg/SJPrF/x1yrKkJ039XtZRB8+qy36jkKZvPFy6BcWFoDyqaWgKj4ggZtCOhb/KWY
gX/xW9yx1g3gAGvMhp2/TE7I7kmr4NlraRcNVlq2jipvgwxVcJHUpM4Tqabvv178inN34WC6RfXB
jPioUDA753p8rybz0EXqXGFKi4rSJ/gRsQv52vsx5iTH2TdF/jUu4qfYzF5YVaztGC0khekG6amX
tdd/GCkfiph/+vXpXPHqLsprXdEs5cDAoaQ0oKhcRr15JIDM3Jtmif8omGo+/voPvcRpb/gp6Riu
AWsxJLBjfYkLDt0WLaDJAZ1wcz8fZHs0+2ABmbfdmKicNOjxT6sXDBqn51o1wYXaBE7PhPRrpZv/
Nb0XMyCWdqzZmgX0iA0qw0y2d02L8U0zsm+/PrArXsCFgsU7HbruwNpHsP9eR3OU9FvnpTyAjTvG
PISHraBc1lzQKHufF7w+qUrMd147d6FgqFJ2K1o1iBqWlqTNMn9Dx8+rMiBiFwOmQIw2tqOqL1VJ
Ae0T65xEVX/DgV05cxe7tYR12XRF0aDHt/+1heOcHlvju3PHigHYpUE44yGqZ3q3zsH3uVq9CJ1x
Ko7n5WU5bMLie8ZEMZA2dV+ngvtUnbG2Y7nr2m29HvbmUlgS3eW54CkIPKt7v8viWmdMw0jWqDzs
0xh8BEn9uy5cjxuPzrXv6dhnb8N9b9nWXNh+lA9drPQjqrq3GpRXPIuL4KKH2egUmuaiZ2tYWvQN
uRNhVH/pBtBPLVLsT3aJ9PnXB3UlOBGOyeq4KwfEmPWlJKw6cwEKX9CmFee96bzqnCJ2cV2RlMWx
yqW5RANIFK3+gAEGv9fMRXH13CyTsmuFYnr/yY7N933pHn59MFc+sovh0nW70WEbm8tkZXlep25J
MSZS3Dj2a6s7VruZqoNsDu7nZheRVCx+pwnA9n5bd8wW0qcx5CuQX1HWvccrXcKyuBfDDb6mY7cE
5ULaQ1Dowiu0oWNSJ2SBi/fbuWO20JDr1sEiU0eXmz8pquOEdMEtnNWVqOQnEq2wGRBy8wZUwWES
rPyPOZ9OZGw/13G9ef4CJ7fdS6ZRsGbN5cDo1ViBk72p/vQ7HMdUMbFB56GPYUe1+QxiXJOumtya
DblyIV0kF+eAiMfFjAxoqPsEWGCb5PnsVTcVsYvkyttJlnSlzSXflzYdyPhp0tIvzHeBXHtX1qoG
K8Vl2csuReEmTmc+e2a2LpYLIGAj9hpvfctI9HGL0RGD3M8tbdx/OyZvxK8umivmxpSoVrQAAfRr
ZredfJAzA//iWpi7eQ6WBIDeOK1MBRp7XgQpNXX1SRhZPbVH4IVwwudxbDrULLDTAnB5G7IT1Fk/
75T5XVoX9rWyjtJJ4fzEsX6dhrt2k35vv4v52kIUnFsQEV5qOzzqrf7U6O3W0O2VtII5VjxaNc0r
HWtwz7dj+37opfxcRKY8dcaAmJTUJbigRDTxRJqSfrfLkvtl8swxchUFlk61bcGUzoCunkD0DB3N
H14viIsIG1gEWrI4wgsiqLxHvYPdz926+D19LiKsHWINjRrbXIKAPqxjbpI19g1zXUiYmIEJYQtB
DN2s0aeGduxEp3W9ES5eiYIixx2LYuScixKp8GDjB1HuxXMMAPqPScNnpH6H73hlxSZLlm7FLxj1
lJhFo8JnrOfZOxYMjW02shHJUc/Lf9pcXTYQL3pu3HHK64YeeDVODVrJaG/a/r5uhBc5uIh/ouPq
1CHGamkvYxH0ZyroXSiZZ5DlQsS29ehp1SKEG9WLdjctngdz+IWHroCgXFa9bQVMaeMjWG3AFFF/
GxZAHbwuiwsO69hejaxGAYViUjOdxBJ3SU1l4XlfXIQYF3s4taxvL5VgH0m1aZROYi8GZxG7GDGJ
IKgaKmQwRR82KaOBSXgx3GoqX7FVl5Kr1moZlpfAnGJ2/rE85uMhaFqa8oYGd36n75hqNFNe73rW
F8LKIZkhNUTCW1IY17bvWGpBAfJFJ7BBjX/UJpl4M56Hxprfq7Jfb2Bzr6SQLlqsJLkGDH9EqZ8c
/VkdzZYuJlwQS+MCbVJ+XYrBS5MEH5u+7lnwfYOWdQSwe1wQ+dteqvZRVcwzd3TxYyNYabVuUZdZ
dX/f1d/EaM9+39hxtOvRBKXYeA0SJr6cVxby+2DIP3st/hOAbNw41FSQVeez7FJBC3WyofWZ1hex
iyDDKME2tBZvQ05pmxI5m1MQLV/9dv5ypf7TjzXtrmOVH/XFMvFX2+8bWLtiL10z7Nxxs2SY56YV
M6psGCR/0Cyf3zFt/KpsLlZrBDyaGci5X/op35J1jr+X0eT5PR2jBYZKbVSS+rKoOX600Dg47aS0
fs+NS9pV61HKkQNmTLn9MNCtPkO5yrMd6mK15EiOURFkjSBfKt6VYmyfpzKePLfuBMo7FKv6iaBx
tk3d34ra9526JY/wcineSI1csNaydYLUUY1rPtBjRqs1Rif8CKHMBmnp6cF0obgRc/9bLnrjT7ng
reqwBwkEEFa71joRVZEnjSTqYZ3m5ZGPIDmfC/tP1MdTmzIdsKQlckowYz49tJAHeholFXeQkqL3
+VirNOSkfI7Ewk77QpbfYzBIgZYiDx9A4y/uupnUd/mCvCjlE6jIT3Q/tnOR59HdFvf6bOI1J0k1
zOxBLhuGtmewaJ/ZsX8uA9PejbXt2F1ou96maJ/nQ7LYDayAhe7pp6aiUIe1c9CuJyA8g4zmBzj9
IKhwJuRldqoC2d99O9c9cPLlIVWiSq4fK9GHBtpJg8i/siVsP0J3B22mEMXwL4pO+zMGhOmjVAh0
CJH9MyhfzQ1X9WJBbx290/IuD9HtbQNXC/KGC6XHyYzmRoh2xdO62LYNPC8iCEc0odZquhMY2oPU
nJZnHqzFo9dr6QLcaDSNtqlwR6k6MPExkD+6fr6FH7p2NC+/6z9PcSBZLfGlEHdLGaeHjbpzs7W9
z5CaiF0oWzuA0GJAqnlpwYabfCaMeo2qYGU3X1AHOFN21HunZo8e2m6HlBhup1824gLZoDCuOmig
osC2TiZVIIA8b2rqzn4f1HnPinGt+6jvAZOjnUmjhf82YejeL0lzqc14IGWNGjhCv6B4ELEpU9Rb
/CJ65SLZQqpROm07EATs011Ur08A8HiBrMGl7RgpWYFZ58AmX/Zih7BnQIrP8VqwT78+83/93M9v
gHKhawBuczSIUR2sWCHfR4iL/0EZLzpZYPGSY8/Jl6ad9nTuSXcf4TG8MxuJynQId/FYm81W+J/4
Xzcu2Nt+R7lwNxHm0cow4HtpgwA64VTtFPSl6BCehvmlx0wHaJR53Qj1E0Va1G4CGUB9UWX+1PHy
WVkSeq7txCxxpDf6oltw2YqjQTzUIoPsDPcyFOVSpBmUYghypBqjLpNNMFPHAPuxXr1B5VKklb1d
eCFlBa6diIDRvYBzaplXyKJc9FlVbtusJR6QLu7CNDcSjs5ut9Khq5fZySskJJ1iPQ5oMrB9+ljV
lt/vQPucARaeVDKi3va0Qz4pa20LlYBW62ejxinBuHA+pj3Xy2923KIb/ultF6hctNrGWlUcy0v6
FKv/TSUYRIveBKhi2umGG7liLS5kbUWbLIhLXoEmo91TgjFZoD0Kg6kZxdcmLbveD7+mXPxaYcPc
HjxGTVYcTyt+WlLp6MaveNvVYhrxlav99TN2bQ3HXcu+EyPUJ2HLYkO1aasRXDWLVz0IXECvNvh/
fEFTP14A34amjzjHA9/Psgk+/3rnb3NbCeXSqNWH2CxQk/UlnMItRYgIdo9yXcFvBCkbgLr19DDG
g66TQ7I9gZTimAUNCAZ//eevHZxTQaBQJ2iXvsJTwum3umju8XDdiOyvLe24cxPtahYCebhmy+9y
h/4g9PW8VIxxao6l62FAODngm5jJgv9snj/b7ma9+99SwRtO8Sf02rbuex4gEul2oqGbOOTi42Qx
sJXU6jBHshne/aVlM+VpvqHie6qiOu/T5iDzQ9gf7J7PefClWBvYyajzE80j+m4H3gvQ/Fkl0LIb
vo85JV5FCeXi4Tba0zFY9voi1uWTqg1oZ61mN1zylc/oouDaIuIlohm0+au0sphU45zeKideW/u1
6f+f3GO21ciILstG97OldAWxX3HDsq4t7rwJKhz7ZmCY1ORt+/eOPk6OqSM//+5C3xCm2EWBgO7C
gj5MhCp+mwn53cskXXDbsjEguTrEQHvdPuZ41VB8Lp791nbMndN4PGqrq0su+yKN5zCVw7Z53hTH
4CWo7G2xxNVlLaZvE63XJCqi9ey3c8fguQ5qIlRbYTCyq59YTr9PY7PecNVXrooLbwMrzCZBWlNd
wPh4p+ZOgwPG88hddJs8II7V70cB8rBIJjHbVRIcXgVD5YLbIgC3jjISJd6pJdV795ktgefSjmn2
AHjPugrLC7jPjtM8D/UTqqpe9BhCueA2NW1DIDVqJGVsoufZ8vm7bmTj57BdeBtAXHyC6QN8zMXH
QrXPXTx88LqGInodCzSNoUYwi6W16dM46tRpipTnmTvWqTDLj3K1CLK4bvvUtve9nWY/43SRbVHP
aQ3G0CBbMWmehkFeJazvd7/30EWylZI0FgEYdq7n8Injxf1UL+vsF0m4IDZwvUY5X22JQmdzLvtT
PHlxKAnlYtiaI4IrLsfywtRwP3Tbw8627143xcWwsXaIipVuJXisd3liYt4xYa6sX9DsUpF17XC0
JMTGmwMJDAuRSI0V86IKw7E4rpMdIwqaGp9zKTfytLGapIqK3C/mdFFs9Yjp+3qtg2xsq/weQrD7
aQH2xu/YHQMtpJIzVGvyrCn658As79dBeN5yF8NWHphWBJ8PbKgxiIM0plSCfvS85I73tMtBBYaL
y0sg6AMPu+Kht3H54HcqjvdUfYGosOqri9wPfa5JpVJu9lssnlfcp4tfi6MWqnIbVp+23/b425z/
8Nq1i1yDym5VjiFCz6iwD0Is2VDdmve9lna5yLV+lW0owgCus5nY7xws2UlD4+I0dI16v63iR9EY
kw15uV6CZVnTZR38+qrKhbXNiIpKoFzKi+3EAZrIYz0X1tQnv0NzbHcXJrT7JIoLx6FN5d4kzVL4
vTouVi0I8ZUHpsCEQqo+jYLjnY1I4blxx3KFKfRWBKy4qLE69WxJmZ9OuVAuXC1eNokqU4ilc1En
tTn+jMrBq/WpXLgaGUAnGjRYuxnFU1wNPzoDNgm/b+mY7bKJsgE3eHGhQ1Elhtj6YUME7xcmuYi0
emsD27ARq8/bmoSxOJt82f227gLSmkbogi6muLT1RJKyDkS6zJAp9ToYF5EG0WloWloczDG2XyAq
9jmeSy/mQ6FcPFrRxS3gfxohHsYWHlhuPpdMar+HOHKsU4Vm3Fqy4rbQCC3G4N0G3Jjfmby8zv9p
WXUIkGhPFNyqRfMhJwdNNrX4tX5U5FgnL8wgICpSXGSw87TfIgSR5chv2P7Lz3+j4OJC0SBX0oC/
Iw6yOgjzBC3DMRmUtqcD9EWeJ+/4V5AYxFsT0iCbIdMFZHgBjvjNsx7gItJU0MVi1rq4dCs36RFV
H6dw8AskXTgaXUL0rzWNsxKBzF6vDyqM/YzURaI1UdHXHdrvmQTlH4bp4uVhlhvzK0u5ULS2UuvW
lHucBbbXaTuG8jTk+2ev2+4i0eRcsQGNTnTZ1XTOK/t+lObGqbykuG9cRpemrKUNiMr6LciAKjB3
bOq2xzqP5sdVzPwrsvj6zu8nOAa7V5tUBzKxDPJfy7saynEPGAc8+y3u2KsqYtUGPeLgfG/JeR7A
c7eaILpxRP/ekLfOiL5+bJZDFpVeYE0o8NYnQkj3rtlrkW7N+s1uI14IQm0Ges0q2fLlWbLxN21I
ftrjF/n0uPhQbkLc271dU3ROAbnojo9dxHU6DJzcL7r8Qy+6+Mir4SGcx9+mGkwvhAOIyeVaPoVh
WwN8pb74nZXzNGx2L9BHOfKsxA+idoD6shg++a3tuHBBKVUqDFS2V3Q4lXn5DKzLLdbul5vyxldw
oW5HrU1llx3JDmuflAVDlln9JIwFJL9ff+LODBAUIVGc5b18mpl6AfD6Ga8rTTmboAxaUceZHqNt
SrQlQZ/2bGr9prCUC3aL460eSxrGGVhY53Rb4v+hI+/3HrtYtyhcxnCRq8pYQQpxmtdqq9LQBPJG
kH3FF7rUZOHI0Czc8Gw2TTGmOfhTHja+1OdwLg6/x8EFvdHS0mqcRZyNgmR6MIDCqtYzjndBbzuv
jn3VGMoAp4toE8wIgUHFxn3B/OoHrlZlHfegpMhtnB2zGEA7p82dCYzyqwW70DdJ80Uz0O1lxWI/
jAH5ujPut3EX6rYdK97Io4dF0f3UmjPpSz9X4tKUQQmlzYt1jMFFU5wCu+8g9vKcE1Aulus4QNkZ
9R2slbE7jkY3Bh3CW93faz17F8YFpIRp1rrGdVmX+mSrRd1N9JjSNrf9O9qVzQk/TH9DGZ3QRI8i
f9xkH5wHGev7WuNHrtASvmEXb8uRCOVymOUilIvoozyTPZne9aox7+INxbakOkhxbpVmA3KZYvwy
bmPepoCRR2vCN6ChTjQU1Ts0A6tTE8lhSTB5vr9ri2O+e+nvVgkpq+Y+bMAB7+VYXAyZBYFSVCwq
zggL3sfTch9y/cFvaSd2QOgA/JvEbRoO+tmMM2RX1tFvrl39hCFrcWiHnuIsWtiHpt8eW3xXv307
fnwVER1ZN8N0c/Wct/TbGlO/V8GFj4maTtEUYumJ7u/qXP0Iaum1tHTBY3YuOSiHIpVF3DQplzOI
7cCg5HMk0kWPldUwdatWKovF1pzyBZBaOzQ3zOXt8EO62DEW5a3tUHHNrAJKiDTtgYl5eeMSvu0G
pQsFQxEoXMpxUJmZI3PO6Rw9HcaKTxACk16xmXQRYC2DqoR4OfmqYH8VtP82DMJLwkZIVyQzr1uw
uI4t4r6yYynpRp6sVnjlstIFgE32ABhnalRWdPQzx0x4upD+T78bQ1+HfaAMm0Edq2QGZJQ4l/q4
x3jbdPJb3LHQGNqPEQGKNAuPfLnPQW6HkVf28deLv523SVcck63UWsAVFPJNsd5vbU0SJvPjpLcD
X6AO4xt57cs4xs9Rt3SBXWChxFgtWxRShQWlhA1SeyVY8sP+JARpHki8Ar1aQnni1z/ripW5KC8b
xMOxN73Mhp78Lzb1byIMvSqAaI28/tYKLEq0DEaZGTQcEy6W3w7ePPtt++Ur/accBaIsYEshOZON
3H7sp+IbNIW94ijpkpIJWc6iqCnsduryPxdRVp+hAuylaymkC/cSlMWHbbBxtefrCaRzfwxc+gFD
gdp/fSpHvdI+z7F4MxwqeYoZkGq/Pu+XtOytW+nY7RaxkpYQFc6GOmLvo5rV76q6Xu8jSH4mOhqq
uyZcgjtDiv6GvV27mI4x6ypWyD0Xme19wy99MIWpDqQfMk26CK/ohV26FKvMDikBRx5eyE1t4Odz
XYDX0QwLYFu1QOFL61Ox6Ok8rbdoNa+ciwvHqrtyHIXsRQYszJO2zb0Z879//ZGvLe0YLK/KtQEP
rsgiVcWno46fuxfFa7/FHYttlmk42CI4qgl4RJEVlh8BoSpu9EmudNzAD//66nNQldC56XBdYka6
xJR8+qOMeXSJ7fRnFw77uWuO+Yw7vCSDXef3CGz96Naki9daFJks+NZ4hgmi4jSbqLljVLMbcdAV
h+Aitpp8Lq3aBplVhqOgP1RJ1RY/pI0yiRbmier1k98Xcmx8WTta7IfkWbjnESI5wn47SBfdSimu
OFCXn0zTcoRErRRZPJZggNlFfQJHNTKWfCT29wOtIr8kQLpkZRiSPShH+pWJkE0fuJhsarnubzjo
K1biwrmqIiRtXTOR8TJW5xG8iZb4ZdryJzjXXIT7esw8W834ruijv4vl1izGtW07xq1JhclgjD9n
ZNqXM6d79DjxrT953R1XZ7KBbS2YGng5crukHWvZiUMZ2G9xx7bXIBJD0zKcyrY1CcqGwWPUysNz
9ZcD+08oUYymH9cQt0WGHaR9Gxveo7r9l9/WHY9crRWG5OsYr14A3eSOZuj6+c3uSFdtcokPXTQl
XtRJNCTpj+VubEvP59pFdI3DjKH17uBZMQXklOscAwZQkPa8Lk7dmg+22ythceZb9UOuYkv7AmM4
XmfuArq6HPMrWrS4i9rUU0pmIIpFzrjfaI90YV0alV88jhrnvu4fCIqDycyYZ3zoArt2s45d2Bie
VSTIH+ex//sA7/ENV/Jypd+I4lxcV3FwdJ6Axc/ieZ8e81V1d6D/uDWVeW11x0wlbaqZYnIdBZLw
f4SFT3aYbqSNL0u8tfGXP/kfG62nGXOs6qAZaxr6u7HEPPZjPj4Utqn9nnVXZRKxyDYQqDahL9cH
IISTCeTnRep3JR3XyjBSFfI2YFkUgvan4N0dr6NbVOPXzt2JlKPxUC3ZBixebXMCHtB3whx+eRZ3
DDWgKKYFvHy56wSqBRuK+VBU9at7SRfaBfxVHoIVm2elAmlRq1MgUv027qK7Fs5xZUTHM0ju/DPW
9Z8N5X6ZiQvuyssijEaNXUeN+u2w9f0a3tKiv/IpfwJvHXlp+rKiWaQ7frLb0CdDF/jhCKRLSabz
cpM162kGvbY/wyo4TYT98LrgLnaLWsP5UEFzZYmhzgENA5N0BTtOfqs7XnRd6QEEcMeyOTR/xFzj
lgPk5peYuPCtfsEA7Ir0NkM7wCZNXRRJBVidn+W7AC6u5h6MISvLwIDdJ5Df/X7Y9qvfsTjGeQyy
GKd4Y1nXyh90JD/UwD97Le2it8aqU3G1ijDrRyiSJqAQ1V8MU6tf4djFb41UiRGxC4WXIydhGpLq
svTDtUkXvtXNW0XywkQZz/XfDG0Rrf1u+U/gLXCFhgzy0hk52DPYft/HYewZzbnYLbpudV4MW5jN
DKQRctUoqBcq96vpuiKTZoireGdjmDVap2wHMWbtRzcgXexWB8RBE4UDlmb8n7goP7RgsfC7hY7b
NBTNOADoaSZA2g/SiuCffvGsTroUYmoc1yradpqF9UzObafu1rj0XdyxzKCNi3poiigrjfkcHS3I
Quv5D69DcRFbfQQ+nHXGIGU3WZ3YUTz3KBX7PVcuZmvvLHgXlKaZ7IT5HjWk/FiE5T9+O3dS0GPQ
cq+7hWZjsNuHaGt+72br2S5yIVt5Thgp1jDM9iHY76JpCE5q85sRkS5oi0V7NNQgvM/m3nxa5QAp
ntlLck1IV1pyJ2O3FgRrT0XHE9aR9008+4UqP9GF9VWLGsscZmvRjGkBpcnkCIH78PuejnkWR97W
c4+kVjfdD1tssM7Oj4xYuvRgIHlqxVFTklV1y+9l0M5ppDAN6bdzxz6LqaiKMuxJ1h7mNGv6FLD6
u9fSLmqqBDdNT40meGmPrOTqy9puXkMc0sVMbSMdBsvzI2ssNHFTTBGyz/Ni80+/3vmVJMvFTbUz
g775Rki2bHPZnmQ9dqiV5lHwv6IczI1qyxVeXOmCpwCUXbU5CpJFbcXzlEW9/qBJC2HJo9OpAvtx
YpkBOxkS75BC3QFalDbAE30Exf4X78vy7PdzX47hPzklpBLKaInzPevrwQ7pNIImNwlNqMAynCvj
RwEmXcBVbyMhJxIfmdmNBWHEJtLWOzJ2sVamz+d+mnAl2n37AVq2KmVNecPRXCnYulArs8bxLm14
ZDIG0p7VVP9ZLgU976Tl75axq7mfNbqQK4LzKCoqDxSy+P6nrPiYhqD5v9UaeMmD3ygeuJir/liH
StXVkcVRvJ4xY1L/Uw1K/BUAxfco5Fbis5NhPHfrEZ4EB8s0k2EAya6jjvwCGRebVdCxnMBzSLKD
/S3xWiYjqTzTfxedVYR27tBIIRmYw3jaQqo9qprxxsb/1dx94/BceNYWhLLH7PWR7RMpwDcGAgwL
fvinudy7U16r6p73mN3bbGvSnB1houPapE3YQUeriptETHmHLjydykSNQXQG0yzaneUKqSRW7vt9
3ZOoPeVmbP1yRRfxBexn3Ew7LCIIoVib1w8d/vG7qC6AK96Puazi7shWtv9v0JUGspH7FSxcxJVh
Qm1FaI4MEkzf1uejqf/69Tt3pabgknbNmEwY1THhiTDtAF5/gdplskAc0fPA6et3VJNDY/y3PDIG
hrr3auv7lI3LLYnja7t3iltLvpq+z/sjE2ymCWTOzHmn3a229rXVnTigmQfaDQNWh5x4nohyIMnK
Gy93DWjL64MhbdPHA2uPTEHN+l4F4s9hUbd4rd/eOfAOrxff1rajk25sZqNpOU8xEBYH2f2SUej9
vF69r3rxwp2B1U1RJsCIrHeSqc3rxkAh5vXqJBjbnFhtX0B6mCzedVKqwi9whIzF68U1Bdp+OtSW
bQ2asUaD5hQ6N547f/ka/4kZAgwZ7KUWezbMBf9UT+H+LKYp8HpewJn9evWOK9bSQO2ZKTt91jvm
UWM2+83Mgc/39epBrVlnwmHNRhZ+p+FYn7oq9OMiBQHs68WLpgY2crAYymjXOp02nd8D11Xc8EJv
o09APOiszo6ImnK2WSgaeWdzHelTXBH5pBtef+OSju+sLABZiOfZ8xe5OKxcRVsPtrglsyX8xzBi
1pvsXtUYEAy9/j0olFQDm4olAyhiecyjMLzjGBS+EdheeRpc3FXENi1ysIxmdAwhM1lJeR+iR+25
umO8Wx/uwImIKWsMe9DzR2DvvYBXIAZ4fSpTFNP56NiUTU3+N6l+VJAV8bMsF3XFWivXHJlZZvhx
BwW7MZk38sPHv2Kk8/W2g/XAKAudJ0Cl38vG9gnAV9WNfb+8tz9HX8JVf9zNWHOM6E1Z3I/jHe/3
+QxkSfQQQdz73f9zdibLcqPcFn6hqwghGompMvM0ltJN2S6Xa6Lwb5clJIRa1D39XadGNuV0RjCp
gSuCQyJgw+bba5mliL7E5XKvav3WvHHWsF4ILsUVfgg9EpLyVi7vtmmq//YbJmcNazn32zHTEQU/
9ngG376k8Dbzo6JAxP78EXbRlSjyascrXML/WYvwylEv7dVxF7iipiFTF7PhilKcP3mw/a1k4Hf+
EK781dwsciEGU95MU3etI9GfX7Ydv6Xq2kB2PKBFECzjVXYohONhmMpN+clVCBe4MnVlxw1VVVfs
ZXUWH0BJdNB7mZoL4SJVdGqCrZxXqNHVRw1FbotCiG1+5/dFnRULKq87JHzTr30zPwRhq1OY//h5
aiCf9/NMjJFHENMihutWx8HTVMv2cdeT5xp1ISoakLIQkRquxkTvAWmf2m378vtRuZGZgWHwzz3f
UEOFTzkMVxpN4qnY4qdhXRA6ulNBu7cB4ZdRxp9FuVav9FzWGTOAn/atvfdGcSPKu2DVXm1I+azb
cE2I3nuUtGj2OA1J9NVU1ZbDO68k6arp+kUNVe03FVzgCubUcPpLZH81ZJryrhv7izFs/PD7Ib2x
o7oKWhbj1iS4vVxDUNznJZg/9drvWidc4ipcbU0mPffXyfy5IXuSdpNZ74SdW/12InHc8WiQhnVX
WLCeRzKj3OVeUulW0y///sMJet+2HXoWDYZkTd4/EPzHb6idNT32cbLXekW7KIiAw3yTsoD5VcIK
l7Tq6RRILrb+im1ueIghhXqhhBUnv647cbfhXfHv4fxq44KkfdmmIwpYPRt3FnUDPT6rA9Jd11Nj
wjidduMZvFzOCqzCjPMJ7a5jFZpcDOOSR51fEa9wIas2GqYqUby9Too8H8v8sd389PiEi1hBTrut
i/gw11okf6NMp0yHVf3h9S1dwqoRbQEaZO+uLIk+LMGW1xxncL+2nVXZgWoNFd78rgETtU7bvi5z
CAkov63QFc6Sm2WhjoS+JpsdTkrX+2kLd8+w6OJVVdLthYmkuTJZfAlUcaR2nvzWvqucFdVRpaqE
asyViVwOGkznhqi3fqPurM6umBmKwl5GfQyfcEX5c6zo4++bfvlwvzjdu3CVokzVhO/6CsBb/NUl
AT/zA48QEzxz75R739huXcIK+j47LYoOOzkLPsDMAmq2MvC7r7mIVRDTqN7Eoa9sW5JzEI8lEFHj
JykoXMoqbIUlJSnNNTHLforb4dUB69w7S+nGyLucFZ8rsZmg66/QiZjezSxaz3GRDJkuUB7g9XFd
2OrFuRKFoqq7RgeW0zHN9UkMXXVRW3h4IYvCha76cjnWZK6xpkR3hYP2kz3EnYzLrXnjhNOqCw/c
kJv2ukWtusK7tbjUG93ujM2t1qOfDwF1M299sU39tYXScdMXMg34+qffuDvrNVEUGkJB116rsD2e
y5Uned9vxRkm4PdeXG7cyl0nxxUKI+HCi/ZKgj58H6yrVilt1ilTdQLeOKjFZa8icWeXuDFYLooV
jmUEzCvprlM86cs85scQ+SmvC5fDCjTshJG1Rwjvujht6+UVIYXnXcXlsGYVLoNcaXuduwpKDcHS
pOUQ+N3KXRQrgYkPMZBsuXLyfU8A7i1KeOZhXRSrGZd+ilbVX5u9QKZIRs3zZBd+p+cvibJf7Pou
ijVHMZ1UMOjrDFIlecUiXtUnAIgrrBBiXv6jee+nZSFcNGsET7bsvdHQkw0f43l53y9+Pmioff95
Ca9TEjW0W821aZsvSEz91QeQ6vFawi6a1a1gjfsO8bySlR5OWtT7h2YqUWlYQ2DS72Dsimq1VjcF
ITjubNO6nBJ9wC6uuKdgdGPNuowWgjoqSvZIXwll8kSEbS99Moo743Nj/3EhLaYCLtt5QmiUw5Ct
a2HgVtvBHgqv5vVyIlHcP+6tJneQjRvB0lXa4lMXrsewGLxMkg7mBGsEmg2Fh0Srf37/wW8N18tS
+eFSyEpONKrcEG2CJk0ieExEvPTTbRAuu9VNxQQTXzS+dozlLbGPg6jv6bncGpuXX/RDz806yW0O
eywDqK5cZDV8a9msXjVRpO987Ftj40TiVsawkplIe9XRepoKuASwrf3gN+7OIp7luqugnfR1EeU/
VdB/nILB72zi8ltT3U/jABnU6272N0L9bzr8igbEv6TCD0MOoSJRllvfXseD/ymD7h1t7pmq3FhY
Lrtl4f9zlPvaXge+zn8IIJyfBpSVlmnT8DHt1GDgG5r4ccrCxbmWdilGPFdi7nBFHsU2qLMsWOW3
v7k015KYQyDhjv2tnv5R0fREoBLtd35zGa5FbHV/7L1Gxroy562ib0Qzm4vXpCQvS+2H77sZjao5
+MZddRwlZyn6+NJAjeJO9L2xnFwcyyq4nUTS6ivf6tcUd5ZUjvMXv547S9VWjFQgZPS128RzN4kq
LWXpeR9yaSxljjDuir65rizJtnB91c7W7+bv8ld2tzXOU6S+mqGCXtrQbSmZZr+bhEtfBZFktonX
+gq/oPYElCg4leTwu4K6XBXScdtsD6Kuoyn+bHBPPPR8p+kbe4GLVQVzofoJ5YlXGJSHyEarvnhm
/Ti/WsOOvC2DgMCNWzefvaaOi1lJKNSYYrfq2iVWPsE3sjwhn1ncWa83opTLRFVTqQVvDnW1c9H9
ve7z+FBGZH81w3fSb7930She1HuptlldjSpQnjPVx0kPhPkFQReOmgudQNm2ROt8f166rbpsg5j8
LlguILVP69ZPrShRL7K86bl9KqbDz0lIuHpURGxzwTQtrzVwypMuBU0DeCj77fGhc9dtUDlrlngv
r6u0fzUVLETj6r3fhHTyxrHVNo6AFYLt5h+LaXzdUvOXT9Pc5aIKVvZzojSaXpMnq7tPkQ6++jXt
gBUwlS6WqRzKq7IT9HnYgXun8IOi+H+gKLoNfdEFQR7r6by20/NC+k9+/XYOwFGwhsihoemCRB+j
Q/RpHcBvza9xJ6AOiNWLqFV5DZCyu2ygnSG5oPywIu5KUeF92XYqkkHOQ/NWse1a2MTrJMBdHqo0
qIgotyjIE9XHb+a9i9+UtvAKetzFoSK7lu3cV+XVdnR5k1RsvQwyYV55V+7yUHsQr2TveAkeirxU
nyuI0Ibkzjnj16GJuzhUpbB+WoquK6uCKpUBG95w6DgbyP1H86PFi/aZyODedfzX77LcJaFA0y4J
sWuQN0Og+GkLOnXuSjF/T/QsHpBsMw97PwSng/HKa0uG6uPPZ0ASwBNPxSrI98N234MkmM+4BRVe
1YfcBaTItpBymyx+EOm/TFX5NoZynddac+wG/68qOt5ClxixRHyHvH53VhGP7gTBW9/BWceMTjiK
mKC8Gng1XVvR9w8HmZtXWuM1SFNp0xZl/a/wVuuXYAZ++PNnEIWVZp6nIDcbZnFSww+06f2KernL
TVVMLpi9SAiSrb9AovNtP5Z3zm6/PuRzF5sq5ExrcIgyt8v+sV3r10e9e51zUILy85BUy6oCg3qI
Kyv2OO3X/dNccM/J48TccN0hLWcQc1m4v6Kx+N7K0Q9n5C4gFUXbpARkrnJrpme9F20aERL6RRgX
kbIMQsu8XIu8adpnPbHPO2pjvRaUS0hNVUznpaRBDmbyG+nX/jEis59SCHcBKVgPtsN4bDKfw/Z7
RYCAj0gCeh3OuAtIMY25HRUjQkAPWYZEL3/HofV7C+b/4aNkP6hxNTLf6/0zjGbeLf36l9+I059n
OJtnVWwhL3J1QPv1oMuXfeTlna333zfZ/2a/geb+3LoeOBMlAkkOsR1z3Uk8PyxzYl+XtQ3tK4VL
xOOAkvkU7r3FY1zy4C22OPO8w/cSvnmjXf8ici7fRgQmRikEjdhp3maZpP3SzN8Yamw+xB1tvtbi
YGUaVY14Z2sTl6lpBfI4paT2uwIf+BcNGdimYGg0SMc1uugy0ac5Ce2XKumPB7yKoOB4bds3VUUC
m271vML1FQfhtA/kbNMKU+baCXbANDuKTqJMDPSUdLimrKrwOL+OcQbwov68JUEFzdVk4Q/RejR5
2Qb6MYDY6LNY1x5dWqUfNAfZwJ/HtmcVfCEohd90M6n0qCc85fu53nEXDtv5hNKLURY5h4lLt4ou
tRE2kd9PuV8/iXCX/OpjUzX2peM96um/j7jsPcPz9B8Vt+XrMurmp9//mRthwYW9pq0f+cBEkZMh
fCwS/X7Fkf7OT7jV9stZ7YeslRIa8jfLmORFiMeoQO8XzgY/0xjusl66TcQBZKLIhaW5KvhHCCH6
HVRdr8RiQX5GyynJNUmKlAbvA0Lu1fX9Ou3AXafEpIu7EItH5kWD8vqZ7uVjO1lyMtPh557MXcdE
0S6TbQdYrM9iMqlg+7WGua7nN3X2qvUAnNsEIsmRlHkmR01O3UJqv/DgCmxFCzjouDmSfObLfn6x
vjoNTTf4XZ1cy8SyU3NQQQw+H6bim+rIV7hg/vH7VXTj9uFiX/yYIVAVzkVeLaw9qzJaLjGFeXed
wLpHmuB4PqDMf+eP3VhWLgamkZbZoJZe5FtfR0jCmbe8jb1SwdzlwFBczsZKYdfZZzmdBrldyjX2
Qwa5C4ItnE2J4RM6XoT6oQ/71+VU+KntcddBEaUpEVye8XUXkzDIHCT1hYs2Of/+A98a85d//2Er
4+0moBqAU9E0ieIUkKFO5RH1fovKBcGmPobtY8xlznq8VcJgZEkPVn/067qzYsuaqBdvbZkLY+Hx
En5TrPDbKLkTXG21jc3eYlSgZvyUDE9dPPjdVlwMrC/hHhccROYwerqifhdiIXx85zUgLv8VB6Ox
bH3ptUD1dlg0pzgJ/EoAuAuAJQ05zFAfMu9galP1wZYyeBr4zROX/8K0K2lhmMy3Tr42rR3PVVgr
vynu8l9qpxM0Bco435R5NDVdTnVSeS59l/yakrrSjSpFrjaV0bZ4TjbPY79LfG2VEp3glcjpWo6p
IetjNMq//aaKc+7vSUWg/F6LvJn+nJl503SL3ybuKmy10NEO41qJXCusdhmJ55AZLzyTu/paLXYm
kuw9zBHnIA+Wv2lzvPcbD+c2vhWkNSF5GetAhDkJ6uBpG5Fu82rdpbp0C++ycW9Fjlweh+rAup2a
hNw56P77YP2LW5bLddlWb/DvAPoGVWQs993Y8LTVonyGRwyO71x+k0FcpXuy8SzkrfiCtdw+7RP2
nqoYqErLJlwvgs4cz4wBigtKBLQ3Wx9VBG/Uujjt9UD8NlYXEyuiCZeliMaY002GukWaRnHs5xrP
XUxs7Y3kFdlFjtTBVxG2ny1mtt8XdNJxBrbfgkSS57sJ17MKx/WB8uNesu9GEHYpsaaqu4mUJc+H
hb3nTV+noH78ciouFrZJAuMbgDK5auUJZ7WvcvPzjOcuFhZY2FHzgPFc4iIKSZcFmY8m8Qw4Lhgm
ZYlTzgT1CUjT/bMk0F5j1M83l7s82KEbiIQvoPwU6wOIzwwd6t7vEhM3iqu4S4TpiI6dXjBbXiik
dHkxdYgFLIBSglhxMmVC35ZFNH4IC5iPnopZjiqFAZV8NPu8nsg87H7T1oXHKFwDxCo1zzeSvsSQ
yeudn7uUmChtx2uNdkMhVsgGdWFq6jtZoxuL4T/aXtOwhIEsohcXutfB0eeorPISaeAuHaYU0gvj
blk+VTRv+y4nRenZtHOOTtRuhekTmocLAL0Ahs90ru8xgLeGxInWGGQVWkOjvFf2TIV+JMfidzON
nEP03PN+AtEZ5XhIvSheZdXG7zR9IyPwHyqMKTwoSIy06HoDm9T9O534cD6aSPtdfF06bIiU0TML
ohwH6eeDTK+8dwiXDuvqtQ4hkhXlc4sxEeG7Xku/qeKiYAQHAbktO8lpUtg0DlRGjtIvn+uCYCFX
fd8TsmNLHuqzrGycQjfE+L3UuShYQPsI5UhVmPdb9G0fB7yLqDsdvzFZXBAssjHbY3scuarknvXt
yySflzpdJPM8hbk0GNfbUdk+OvJODG0qi+JzX8t79+gbWU1Xm2scR6PKZDjwetYvHwwr63d6HarP
fFPlExvq0fNW4KJhB5KPTPJ9w2OAfI/6SgCus9/O66JhRdSCh1z5mieL3p+CsutOsY396kBgRPZz
piGUeMQgHVqXND7PyTQ8aBUyv5npsmFzvB9NuUwYFduuaTDLNwPSeXeO7zfmpkuHHdo244FLZK6w
2ZxaYvTTpJLycama6M5eeWOHd5Ew1O5bmRhUPpcdWBaohp3GLrp3u77Vfwc4CcJAR/0ernm8x3Dd
Jn2bQ1VFvVkK1vsdCFwirKiaASYc05rTahiepgAy1jUy2Wev07dLhEFcpoNENkaHAkdIdRR9prH1
Ox+7QNiguxpWX3pDpU0NUQMZpyNsm+7MnFuf1YmudWSHEf5AWx7ybnmgsNp5DFvULfsNi5OlakNJ
kr5Jllwk5jyq8c1qpjvb8a2OO4t1Gags+tYuuQn2t4muklNU2slrsjOXCUO6bppZH465noOzNV/h
C+P1qM5coayIcbHoY5tyJgncPk13WZfG7wGZuUjYMrB5i/ZgzFnQlSdWJu+CuvLz0WWuTNYQszap
w27KK/mxCVuLq1rjO94v+8IPOd5ALiGqLtC2Zd1nVU5/oLrVa2UyFwjTTd8MuqoncB2BSiHnOdBZ
ey0e5hJhVUuR/uLlhFsx6IgqCk+BGBKvgMFcImzfTFuOy0vHq+U49V3xSsw0uvgsTMy1nwd8azro
gsDVJ4eb2bUJ4y+7rN/7Ne0szGOAXOqGGsG8gLxLWtP5rZJ+8Z+57JcdLMJo0o65bcN/ikV8CPXq
hTwzl/FC5nhs1hlNF5N+XeyP4Tx5XXGZy3dZXlS9hAd1XhFbnnWvyAmeDfceq3+9DzIX8dJwbB56
+OPmE17BrtQQ8fCSwvfbCF0RLCTpOs3LoM93uX2IDLlWffPBa564NBcL4eOsu7LPxS6OB92G34Ij
9itmYS7NdRz90NQoXczncvtfBDDFzncPW7dG3AmZcSGlOXbV5Vu8XsXYn/Z180p6MxfnqnnVQNN/
M7mFxWEmhVyeQ9L6aXoy12WwB+9hGZilHEdbdULJ5JltcAT0+pwu0UW1UiRCoj43UEa+9KyzlzgZ
yFu/1pOf96ti1VAl36Ih33f5zHlOF3HniPLr92PmEl1mYVGNNwyTy6IJ5suwdCB7ptB2X2O4Fb8j
S5U8xas+er8V5UJecSNh6UlmjBMT4aWIrTw10/jFb5icOBrxFiLBItZ5PAZfBxO3aTIUrV/McCGv
AsWu5Ahkm5dj95HAdVpJ4nWYY66poCjDY1Bz1+ZBbOmTnfhZF4f0Ovkzl/Hiu5JRMc9tPnEwyXOA
yuYkRJbTb8idSIr9Mek7W7c5b8P+3C0jSkYh/e/ZuhNMl62vWgh2m/wo4y9tt+eFhVrg73v+r+z+
f59lmMs5gT9KJCpnTY7RsU+i6CuTDmbcz5a17Wsoe6kHPpDj7bjG9jrX035pSUeeuQlq7H3xDD8w
pdvzy2Yo05XpYjpBinHIitou5MJHUF/R0O4YbUhdnzTDcaCry+UKx1k/3B+ixD/vC6GFYdOgsHrp
Hn9bGHkc7O6Va2CuWlYVxfVO4N6WT0ORdj1cPLllfk8HzEWoWnZsA6mRR9JRAQeu4U3ReJrOM5eh
UjRZKPayPVu69knDB/d7tXbVt99PmhvBz4Wo5NGsiyX1kQVq+dZO8rxG0o/FYC49ZVkxIEvdHFkV
UshOkQmaVqhO8rOcZK5sVthtgKT39sigUD+cNlRGPk4x85NuYy5AJdYiSGQx71lstygrWFunUN2w
XlAGIoMzz9s5SfqW82yz5ngmtFYnrY7dL3a7DFUtCzwsl02cBXz5ECPxklayCPy2MJeZimFO1Fe8
FJAjoTxdcdpL65L7acPBNfHngZlbvHQOwu4ZmO/hYZ2q5mEt/LxVcTX/ufGRQwhtignNVh5/Lo16
YFPvV7TMXGiqDi22W97QrIOU6i4/mqLzi3euchZS9YkQJokyKrE+42qkJ6R+/S4zLi+10AmHAJj6
ZUFts8LC/jeMPcF95ipn1UYUBlfqKEN1636eZMzONfVLozGXmEqSWHbVMEXZMZDxtHXIAhQQrr0T
TG/siy41lRjUWpOl2LKOVfqvNkrW6ak6wir0ywa45NS2RPA0gPdU1pBSpdBvfKWTewjljb674FS5
wjzj0AF2rU716dpPT0O4fPSKFy43JZedUYgUR9lAK/ZgAhDpi8QN2K91Z4EmK20g5DZvWT3v0amJ
5ucimPyQWOaCU0Yd4rBlHGXipHfap6Ic/fBs5oJTraUxPwoZZeXGniDeBO/G9t5bwK2vSX/etOQ+
xEkzCJFpKz+sc/GA+rJ7KmK32nauvkvbx01p1jgjFX2L8tb3fI/9IpxLTvXU6LE2csvGoNTlaayj
F715vkOS32+uOCFUkJ2QMWZYQdCIxKvyp9rqT15Nu/RUtzXJlqhCZMAbX6NCY03rrv7Tr23nhBug
WBOqPZpmcYXC00Slbdh4TkOXdariLsBF/cB+K/oxJStkSl9Ubv067qxNuDNqsZt+y8J12dKumuLz
iNOj39d0RbFCbUqhCgQ5pGNgCTF3Am6WQvlddV3cCUqcQNbgPpfxCJegEs9Gb9W22Se/kXFWaN1H
lJoOp8QuGKc07pMHiDP/4de2s0JLDbX0YLJRZrclI/P6tB+H5wd1brrDwcUu9yXKICi6PQTM4gkz
WUPPRKZLPMl5AwRLMOb9DsCjK2j9IYlp4DfmLvA0HBIi3sJsmZ5j+pDgOH1p2k37bV4uxUQm1UIT
adizuSIsxTv7mpoQtVxe39RlmSCpWMMMVm1ZK9YaqEc0Phk8DvjljFyaaWbxrNeqo1kYVq/turza
l9i3504+So5hF+0iWDO+hPKVrPblSZCN+aXso5co9cOrUbvAFwZ+c2tWH7AAm5tKf4zZyM9+o+6s
UiJZj0ewmiJGJ2dRhBdYjnmVejAXaZrWWDE1tXtW92JIA+R1TrCc8bNVZy7VhBuRGKYdHZfjED3L
ZG8vBZQiPBeSE0bpwGVdMgx6yBv1TJQds6I97ukovkyMX6SkXKgpXtaKatwOsQmU8wMJY/pNS9G+
p7sd7/yAl/jzqz+R/DxrwnnUASTFSTbGJnlTJmo8azGKy9YmAWII9QNymQs6yQFm5cMakyzuqs8s
Ht4WBfU7VLuUkw6WYBoMI0DhmvANTahJy1kIv8SXCzotEcOVUb20vsbvQhm0qR3D/3ktKpdwGhXv
IXC1bhkcUZuPra7WN2tMoTP+++ZfvuGvvq2zZuPdhjH47TVrg35/3xOY2qQwM+0vuomC80Hb8a0a
S9Q/tFXV+h3QXNxpn2m3NyPDHseXP4Dlf4ml8gsrLu40iGrlvcHGb9bkZLvpf2V/eG7NLuxUw6h7
gJHRgiyBrk5LvyCdn/hZfTAXduKxDqGsPyxZ1Aj7DA+s5YIT5uB39nNpJ8JYbyHrsmTzCB2Il7ch
GN95ri2Xc6I6RlYACEymeUfThOA/5eY3VVzhKx4V/RYMBB0na3DeXuCSMW795JeYSzjVYQxAKyxt
1paQplmDJbXhur37/cq6cfNzAadxgxOGhltyhmt8/aTioEjtPiR3HuFu7Mku4rRNGnUnvV6zBTJn
H+YIAnCprvG0SuYK8nJz7ak+xFwFrGAO9gLFiWumjujzzOe0WJBq9hsj54A8AWBrjBFLtqiJpxAq
aYC2Dn/5Ne7E3b7jGiDuumBXLg08aeV1s5tXUo+6uNOCtdQ262AzGW/6AsORDhnJ+JtPx6lLPLW2
w9v+YtdsLNn0OPVbAlkLuLf4tR7/HM3hEbCKmA5rNpSlOIXH0qZhwkfP1l/m6w8nzK6ATzrexpbs
UINNmwly7K3s7qma//qwQ11vQDtZ2WmI1mfI17KHEDtyXrIuedpF0XhFEOrST8CVq3UpyylbA/oa
fP73lQg/a0Pq0k+GlLUYGkz3qK/nC7fhnqLw2O/lE04GPw/93Mq5mItizgK2d6+j3ixPzczjO4fA
X29n1OWfpKxCBKljzfax79Itku9rxd//fkq+TL3/HkLof/SwNtxdoeRps04T/rgHyJOrIHgIQb1/
GqpxfzuTAU+jv/9jN36IS0S9nA5EMddLtrLwuW7/Xkq/yhzqAlEJayLBw2jNunXvTvt8ROlBbefZ
b2fdQrSStmTFB6ChXi7hPqszQ72cV6qCulAUaZYoGCR2+TDa68zYCmL4MA7y7PvLev5hV1gtJfG0
NGgdkukP6pjG05BMXtdx6mJRspHNFoRqyYaEfITI5Ov4CP0mvQtFYT1Z09QY8y5qzaU2xVsTBvuD
30R01iszCspWIZ0zhSL6UxmO5jSYO23f2ChdLKrltgG1IW0Ga8Pt1PajftzmqTmrtfbLyVGXjeKM
Vaqc1ZzV+H8PExLdj0pzz1XqwlGmNOE2HMmcJeBa8iA4PpHFdHeQ4huj48pdHQvFlTYOtwwZ0aZ5
gsyffteEQ/08lZG490du7DMuJhXbzsCEl8xZVM9PhrBPe1x5HS0hJPbzcrJ7y/SLwUfWkZGm8xiM
aRPudxr/9Y0Qzyo/N64g3hzCDhr7o+Korx8XeVk3C9dW0MzvyRyZU9SX4WkoUH/otRBcTAoVWRHU
qJclG/sxOlkR6ktYHn5SAdQlpaKV7wRSIWNWqynfePKW1uZOOu3WPHJWsGK6j8IZaWNhIvYcrAPQ
dxv15wFCQneOI7f+hHNCDhNUrOkYbwJJFW3/dKGsL6vFqktHI++d2W6EX1caKoEcVhfNuDTLobZf
bV2FFzvR7lyrnTyXYqJPfA+116mcugiVDCGTmoz9krU0+VT2q0rHEqWyXjPJhZsqgKZBuPEJb6f8
H5Sjv0Jdz3e/pp3w29UMmbb5JcoAuelSahb9v2HqiZ/ZCnX5pkaoivQyXrNIR/pNWVQw5lw6r4IY
6gJOpu4Vt8U0ZcmWrodR30ZdhF/9BuZl//shtsfw+FhaK0dkkLpPbaTejV1yeH5PJztFoeYPMGDv
Mqv2KZ1K/jw00Z2k3Y19zoWbqvmlHnTgXVYWZD7RKotCo9Klb0ja8PWNiovjgWu/d2Dqwk6FEcj+
Qt8tA8imTpRUPBWJVn7nFBd2kqFsIfO828zSsvsbCZLwaSEQrfb6wi7sRHe5dMTgK0ww6n5T7E3x
SJatOv++9Zeg9YvDv0s7bSGzSyCJzWa20y7t1oSeYjjTlHheRbBp4yjwm00u+cT4lEAQMJyy5UUL
sIP5UxoVu7mTY7uxU7vokxBtsDTdMWah2Iv3ykDlX/eGPMwJVDru/A15Y6yc2Bx0gbFHUq6Z3DQ5
7TFqlvbIBNc1svW5kVX50CE5nCYriaDAiFus58g5axze7OHciIm84lvRXw7YWl+CzY8aoS4gNS5L
NGzHQl4FZUXT4uBAjj2LPagLSK2a4fWPo3FdaZNCga/jiV9EcPEoMVLRU4KmpYBWQjKbNp1Bd/1+
Vdw4Pbp0lNmPZeniaMnksSLaU2gpZ0MTb3fe025MVheO2pUSZcxAHuulskU6TF2VlyamWbsl9M5B
8sZPcCGpJoj6cGuRL9+E+o7nnJOaIZrx++H5N6H/i13DpaSqdoTtdjmNGdiRSmLgARrvL28JFQxB
Lyjk65+Kshmf171uT3PZtw/h0hYX2rXtP7/vwq2f5xzC40a3dsVXyngLIdMk+SKK4Ytf084yb6Jt
m80+LVlANnhE/VHHfsLK1MWo6uGAryGbcYppm7fQ4qCLHyxImROqVw5i0kg8YHAevEMu9Asr/Uzu
6H/kp0xVoOxpxFoI1XcRo1x4Spr/+Q21c742SwHb5f0YXgzQv0zbuyiYPZew6zKo9WrsnFTkVStb
HOi2C23lnQvsjbnn4lMFoZs2e4mtpwV5EPfria3mk9eIuNJTjZyOihVou7QKFNJkUKMg/LAP6vJT
gcUNTx9lk+1H983UQ30RId50/HrurEgUfNSUdKrJrDGfacszRUM/RpC69BS1YdAXsQxfVfb/OTuz
5Uhxbgs/ERFCEpK4BXL2WK7JdUO4awBJiEHMPP1Z7qu/83R1ReRlu8s4E4S0h7W/tb7EPPgkR/uH
QPQ3AdC1dEo3Yq7rISDngnXjMdgQlvC2VQ9uJFEGCtP28bbbc/WGokdXN5vMyRnUzCS3+QPo1p9u
uzT9Zw7Qo85v4OsVnvO4/ml6nY2wlv3DVv+7tX71hppgWSMxK3LGDMxPIuXX1ed/oij87tpXLaIg
b0VRF7glRd0+dI5GGTxxxe6mm3ItoMK7j3VI8cE71z5p1cH7M+5vwwexa/2Uhyew6fKInOPZPxZs
PI7rbRRqdi2eAh4udsri0mrRqWLRWyHInyaofnPDr6VTjedTy3uOj83Qh46b7wFysNsWyjUJyrJW
FVoxchbKfqyr9rNq6j+ES7/72O8//58cV88UBCiPj8228DTp+OD76Lbk6u9Rs/+5tIefltTd+x0p
3xq/nlUt/lA6+t2HvnopiavpVIW4H7SxOzWki9P721b21SvJchN0CKvfdxL7mdgtWdvbZsjYNf6J
riCGeo3b4U3xWFc20ay6LUm+VkoV61hGMABzl55MbaLcsmVb2f/JZOU3d/uaALVxKebRGgrryOJj
Gaxgvm3rjZnrtTKqLOnMiNf0HI/5q5niV2WX2477a2XUqLp5YdP7W9PlD/WsU1GT25b2tSzKNWXc
TzOWST4iWRwKDWJYLrOb1uC1LqqKC7sWGDq+eN3qI+j9LBsN+1Oi/buneXVWVpgyIIEL8cLH4+tU
+d3SjrdBk9i1/EmpTZvGbhZqQ6YS5vhf7bzcFhhe65+MpiIPChdCkhokwzQettndeOmrs7I2S67V
FJgLhR8SN8nSv970JK+lT5I2Ls4XXBhzNNhgm9SN6ra45Fr3FIGNCVf4cTtP0cQSI/yCSUnQR277
4Fcl4SWgNo/C2Fym0dyHpvreie42xRa7Fj4NfLNS56a+4AWCWotASssS4MGG257mtfQJPhfTbElf
XSZbbkdRMJeJ6dZ60bX2aSlsH0e9bS7GtN88a797Od8G9WfXyqcqyF3llno7w4pEJCudSEI1vy1m
uxY7bV0zUSPddnaszbjLPzFW/qlm8Zs95drsr1OOeEi760vA7Gu+Yey9d9GNOTK5ejtJr1TTNCM9
j8OyVGnkjQRu30y3GWLTa8FTPmlsVqGvLnkQfQvA2zDE3Bbh02u901IFxIeFrNFJzsF8bPtlz3T8
p1Hd6F9rpvQa8TT3pAfILG4ua9s2b7Pl5INvRv1STDE73LIR0GvQkwIjlKuN1ZdtXr9Vxt1TTW4S
moFG/M/I09OO5CFGmC9x4/Q9byU52agb/7Dc/9bP//8yGqxC/nl5OURmWeaqvoDs7TK5uG7PGr7u
i2oNUxrxKS26huRJqIfh0ybUdpixht/mYB6+oudQfKU43/MMZuz5wU6leFs86ici9GV9AKNySOGg
E+Y7SiKfFboX+62P6psiAHqtpmLlCCYg7vsZna0Mhn028YulNyUT9FpMtTK9RnwGO1WNW2Jce7DD
n0Yw/2Yp/9tNvwqfzcZhWBE2zUUH2IJTDfFTBjLjKI8GMpk2HeAOE6XEdKC/wfXrCH1t0KZBkC/p
FBd811uOkmM0mCCjlQpNgpGO/iOrQnLJi0kfymIimQXW5CAxpf517JR8wAA8htR1HPssD1c8mPA9
qqkZDz/PY17uAdb1956ivex0v5xAK2wuedf9qTny73sfvVZ4STiZjHXbNwgeOHnupmFJ6BDLm9qb
9FrSlffamq7HwxLuh5/jCxlvs6eh15IuPUzTEBe4MsxjHsT81d6omqbXjKsYviXIDzCdlIsiw7zp
qwqi25Tq9FrM1ViYSeZRYC/d4l/iMoevVv6HHeM3D/Iab2VlQCsMEZaX1sw2GZQ3B7j33DaIT6+l
XI4usm6rtrpsQcfuF9ksAKjc6LpCr9VckClFcV7G+iKMfBCEQGpS3RTD0v9nWEgW5irAuC4QYf6V
B/7TFvIbF/fVbtFOsH8NtNYX3PonGaCiKd1ymyUuilH/3P+d0Q2Hj5G+FMhJktWh99YW5qYCBL3W
cEH2HsrAzcGZm+CbHVDxwZzMjRv0tYarGFywFtsQnNmqv9CiufDqNmUbzAr+eVN0VXJbNEjlB9+b
+6XWp84x8XRTrHCt3eqDtRKlmkroi/sHUrspMX17W5+WXmu3xnyJuORtcalpuWRjW4PhXmw3pTv0
WqbF6oIX8C9DKzXU+Q4zkGvqXH1TrYBeq7RqBke6ANXYi6uCZdfQXCWYBnu57Z5fVcK2oVXbgrfo
jKrVcIrUtmXO09v61/TatW9t1FyNZajOw8a7e4euz5G4+Db5Gr0WZ7lyBWkaNmNnz5cpbUzEkrGc
gpsqefRajVU3PrQzAJHnPoxt2odbtnTlbbo+eq3GWgvZh1Ks6hw0jUoMl9+idhjSm57pNWyq92AF
wQVYnXXAyoc8YN8CMXS3rcZrMZYawqpTBKQGUZqXvGHzroq2P416/SYhuRZjqbLyQE/n4oyhSr6X
nJVnyLO6rGnZdONjvQrruzYM7FIScR6WMczCjq4f48XHn//71v89LvwvAew1doptW8dIWcmzlz2V
3zDJKV/mKiZJuenwPMD6JBUM0Lipy+0Trz3smfpwfVlLPj0PMJr9McAQotrzCHTPvKrYPjL9/EHS
nDxyBKt7mH6RT6GL7WESW5yOIESfMH8Ae+wN3rT//SV+E8hcy78A0IZwJhfRmc/51y5oXkJEp7dd
+urEDgM80/dg4xxU4XreVLekhYj/FEr/bvlcHdm1ikGS65boDGKJw1xmJ7aUCh9+CPVU33ZyXyu+
BhrB+moZI1QTivVVjWrdyar8U93s/Rz9l+VzrfhqCMwHaxg/nTU64h9sVywng92tSLsx7llKWg/S
kOD0NoAkvdZ9ReUU8qmz0Tlirn0Al47d940AGOS/H7f4zdd5//n/dHDQ/BynZuui8xyrOMMIy3oo
WWAzUGT0vkaY8v2//87fwoF/u2/vK+J//hAJNzuYGf0hWo3h9NJwZXza+jrMVOVd2oBCnqwsal4K
FxGewTGSYp4ubEYskN7DrSB+77xTH/GTsIZ/0dFSfLR2jZ+hK+ubhHcTw/voCGQh24z2Hxzo34Pa
Z0Wq8tEMQXEA3Wv+WIFhcxprX/YJKWpxQdng02Z4sWvKxh4cBmp8lSg2hYd4rddDx4L6U8Wa4K6p
xDAnkWQmaSrdfykoLDn/cHN+8xCudrwaHsOV7vLtXI81SIphveykZn8olv7uCbN/3njmJ4/ahRVn
g03jABCB2UeONztnffuh16v5Q4fqb2eJf3vCV4FKufamq+MWRwP4xOTUurmD4QfEGMkM26QdBFT1
F6AKuu8Yjoh2lpY/Q2p5Erq1SjQaIYe+XNUfZAm/2SD/n7ytLzrgb2V4xvOUv1qp8r0HMfmv/35e
/66+pdf6tnFcQeUaQ36Oqjj+LMmwnJkR7o4b2ez6omj2c6vWs+Rqvq1Idy1582RaxWQ7fjYoAZ45
blcGX7/8trD+WuwWlt1aboPj5y7m/qzrOky8DuOX/75bv3kW12q3tRGMrBFj53pb6jrxDU7FYlb0
039fnqnfFQKvDRVRdG0rjbLluSGiLHhaGjBKfdoQFnCaxIBtkA/bPIn+h0YtNa4Ts5kFo/XUzAGA
NlrRKPfJZrEntQks4Wojngo0uKYq9X04TiW8uYVC62hr+jW0aSBZxT8PDfCSPBkWtPJ+FWMXF0uC
Uva4PRhho+I7pvctyiNLAfOCMGk3Z+oHqudq59eYHgqQvINdTxpsWMs06qPDZKvalRhe/DrknT+g
lXxH7Wpgh1fDVHhq64ik3JVRBjwheHBhiTMmHjCGdewCFd1VYOc9h5rkPCObLudkzG25B7T3V6GD
7Uf+jnmpxsEkHYmHL7lc8oemqMSri5fxsStrsi8lyNzzljvza+1X3yTVIqr80QPh8NUpRYJDibHk
6lGOPZZH0uNYcljk2gSJZWH3GGvrs94Rk4AQgme82kllfowc8i3W3elQl3AD7trEiuqltRu/i/Ed
AC0uhyWt+jDPRGBNas3onqVfYBFIfSf3LR7nEwHmZHqIq3xp0jyqo0dwyvPHIJf6WI0uDJIRPOrU
bqDSHje70PYFemP4hJcu/hoYkNyULATNmKOfeKHJ95zTX2K1zbk12n+OYlU0CUZiiE6hYbIZJMpR
5tq+zzwfxr1RRQ8Zgg5yFDQluFl+6tvPbV9R+FBUJZw2fRnT8TiXGyWPcbBAZV5Oczcfjc8X9qlr
2k7ugqbG749rtLzXQnlt00kKd+y0CE94AA0+ZW2gHj+1cwE4STujAjEkGpZ25nNeqBn0q97Ga7kL
864xQxrUlarvQoVfTZhupnTzBXnSriA8rTDVs8+LxsHPdZz5GGRDPzfFabCVLh/rZfR7jfV+V61w
DhxZ28MaTrYyq3vNkgiBcZ3VlfPts7SqIvuo7yTZ1zFlYm+iJfZ51roNeWmCQm7TPtYyGNV91OVd
+bnuOkEeGxVug0hyBEckrcvadhafpKuCAwpYdKtTXaOdcRa8Hqs9XfvZ7zHEWbC3aZj09hTkNbxJ
NHTp7Vc6rXaGO1XD6NwlFFXzKbHtNNV3lJKK3S1ojujveitCfRfqHv/U4Z5Ez3BSIUGy4mFE+1JH
tdiz3sfqONe5V2lNcoickpbAySWd+jVW93kt4+JVQvzp95Bygw2jGvxCtrkmwBT+vPAhf4YPAZBS
UDOLeV92Ldc/AZrq0U9CgjAVjy3DQjyocZrEuWlaA6ex1mnkvG0xotM6wOR0erJqLHbGBzkai13R
TTLp43kWXyrGWPvarbBcfFbcRTg1icLrycewZcet5nL5ZWgZTJj4m3UHqPgSFCfmwB7IwtKY8jSI
sh1+stgbdq+IscOr9fGijhAF6uBT4XiLIKbp5aKgCjCMp0rObf4Zv1WPT20XbUQmMwtU/aAl6ccD
SIti3HHXk/pjJfky3ssQ6xrYWxfIXUfF2n4B42mMkO1UJdYxrBriQ2vHuLvfWDGUx9gY130lm6Lu
fuVtX4Tp5DsyFgmMopg4Sczc1z98bt4HJhqMTRxMCBjHsVrcWlxayP7CoyhjRI8QKi/VdlpiN81F
aqOo0dlAFv6+u45hMH2pN9EM+3bsWnZHsRut0a7RTW7OVmNm6MvEhQCFRtSxoEldzzkvEgg6IR2p
sFe404LvZJ49hmuaXR7nfXTC0GxUvdb52stzCXvGvfZlVB2qGf8eIOytyXeA3qnuOaewSaoSE1ra
HGU4rbPLonoi1RFDb3qp91usgPVeKzyYh0BwdKTgcjo6ccBBBGF8GGs9nOZmnOufEu6Y4kgbjOcl
GqSGIum98D5re1uFPzY/BePBhQComcR7Oa2JKKMgK/pQBy4lrunGt4bKhTzVVW1r2GdjWLcA6ygk
XYFSiUApo69iQ7ZkCxscUHHkdP4Xpknn4IPswnA810DRLAfuKqnuQhtO6rtpaBh+GoDVqfdGsCH/
ykI/03sneTd84AaL9NdEg0meSrQQO5K0AQ35XwByDP7INh6QS19PS51EkLR3P+U0TWuZsAnGlF8k
1X24b8A9XO7tQMRyN3cMAXpSTYWyb+Mw5vGDCqu+fF3wIkxlwuXc55/UqvNgb/KZij2V61LcaSjk
g7RjaxiVmaOcAf8WzMHB+rGLLjM6qfoN9QtadRjPmULTZ7mmMXJ9gsOEfIcbG9EZ/pCzNnt/Ofo1
zUGWXeeE1tQTuaMijOydprCe1ukGBMX0Y3Ndb99MHZnhbdh0IJEirGb9pBply4+sgVLh51hptjaZ
V4EYo73QDDWN3TC0oboDxcz5Z2oC0pdHByabmlPMMw7dcSy7hRXHNs71+tNBj43jQUeM5zvIj2On
E1WJNloSsTkdCYB/MfmKaIS2wXRHVafzpI5zLnHa5nkP3qPwg4/CHXrTQvVZyeqo4Qc5TsP42muQ
Y6LDDCo/KJwrh1rrmxmjblhTMU5o2Lo1x6RTota6mEQi6jBQE+Zc9HLIK9X09pBjJrAIMy1iFdRn
lIhH9kwnAOzmlC2x6N6Mq8e2TZgNS31uyneKUsp1WLktqdQsLYZzpnYTmZqGWpZpjI4bOZg6gJ8P
iGnMRCeADld7lEEdTr8i0gp5mKkO2kOJnFhl0Sb8nPbSGQRMi+7LSO/DRuZFhcbAJOqdMNO2Hiox
W/oa5GXd75ZR8V9mk3X4U7qJ2WO7wDRkoJym1aDrJxosEUmEDQ0/wFq0UJe4oGSBmViklvUYbSE7
K1CdV5zXs7P73AcT+VQzW2w7EQd5ZA4FXWxwt/bBFH5XjpIj5yE3BwV/V7MDYbqPpjSe4BR3r0sS
0vtmWQHHSVEpolC0dHP+VLiixuSym6YOCn+2noLR17tiHkGpbUdQ9ibMsR9ihFH+G5qUEE/hK7Ne
nbyN5y5OynqJ5U4xBfVNsgHNX59mRJbYNbTRYxKDwvisoAOquwRR1czrw2oHSj+Em1iKYM8k6Zaz
E402z0HYA6MGjDNFuIZXNwQnQrI6Lv8qAtb5o9LyHCrenEoKohJ22Lh5ndsYQIyu36zOjFypOkVh
7xX+X18HfRKg0KT/smuOAYNtKoPyjMhasK+Dx8n1CKGZox/ydiP2NA0KC1CgR47i+mCiwR3gh93h
kyjLt/GI57fY501E8Nzsnf6BxgcOQ5NvxwIWf7+k7MuxT+apntonBu70eCfbcjWPDHM30eO6oMD4
sjJIQY/QyjldJlNVRqCwVmxd97AF6JufcRgG0b4qBqJe+SjH+SUaITZ+yQvn8+8GnxXxjpVyK7/l
g4RtN0SrWykeNxebBrOBVTUQfDMi6qQklYbAv+cr3l/fT0uYomqo16QhXBYnhRrr3iwNVDcAFrX6
QO0ke+wVizWPuRiLABFlReC0iNa6jh1kC7tJKRj4RoLAZzAl2vngZWw63c47FMfzqD1WlakOsVQ4
qgeZq7hMfVwHDMHZFskfOZhjrEvF1M7kQUxzpE902aImocC5HjbHzYs0roA5sZXI4/aNabhWyUxG
4u658nVbJtYo1z3Q3FZNmIwCBrQ4nwNPezy4oDDbPaiZ5dikpl3XBD8PIPCponJ87nFAYPuDmDP3
S1L0us7Y6pf2R5SvwbPYOLJ3B9TbpUaYPmzY0ajfUDPiQfERqxYMTgm04nzqFYLoBLNSK3kIh06h
IZjHUVzcCRjScYQMU6PGHS5cHS2G6ZePpWzjebnv4rDtnuYmX2VWjVVFnhEoaIJZQbsOxT5wRMgP
Y4xoZV97MapnH7flfOhHmd9xNWAuNo6KA0KuwmL8gdjYHSADZuHjhjDQ7VqKddXsPIZo++40RU3U
doio32tMZTgF93o03fSrn80g/5ox7v95FlT9RHKKzWwfrw6w24nmy5i1wF3+WGETlGq0s/ZDD95J
nnqVF7xOsfmwad2ZGUMk3YGPqGZ2pwKmwt0OCX5sVcZH5uaPZVsW85ChKzh0RRbwTTGQ7kdPx6co
7mf6BEPV4FV3s4Jko0BmoFK21tqqz8iMwbQYbQsfO7ggwR9VpibwIgAmCeU9HmUlrwfQqoZ4uC8X
Rt56Jrqyhfl7YGie0akNQpk4AzX61y7kwZwFbKlHC6vuOZ/uu2U2MA0ZckSyI1oupKK7finy9pvS
rZp3Fm9E9EHhS4znuJNzVKVoOwyZ6dp1THivmipxgXi3T6tBZqVId9tqemtYFIaHVb27wqRyCXzw
GZusEx65a2DX3VbCmmNOYk8XHiVdC5bPQdgyKu/XxTN2nOGEOcLwG1iPMhkKh5J/v6H4Hr3AYcb6
Owc0I42BvRtxkuaEJdLbBscjagRnUb07Z3LAgHZqHqOsZgWjmbdkedWzCg6SUv5Yj2sQZMGC/0Z5
mf3sMDbc7gfTmXusFXHhysZohAxrkA5Ty06OrdNHs4jmZZSRXRIAvGKkayimDUmIjsWaECBrmvij
4HxBpb1ufzLTsxnlXcgeOr9syVLE4llNSLEQkoC7FiItPGjstJBDbRwzarN96pnHDr/kGzvrxvkL
3q4+TBvYuaDYGm8nC7xDKoZtQPQ9T8eIDAhQFg+z6VW5FEpefzDtVGRhtPXHnkX5QRb5fDYaG5QK
pyZtXRPdhyEKNmHZGgRsEGcpnntA7zeyk70PE0DobKoom1P47jWHaeLtaz/12LSA0spMLsMdeEgC
IUItE6bmL36ILdIyjsBpQMq9VT3ZlQZ7xkjlltoB7uCqgZ3mylDwgCH2Z1ZOA5YcxNfYKPJdgPoJ
xT0I8v1giUfG1AynNVi+wyBSIGoskLA5ic+jG7uk4dLnuP8FDfvU2aG7wBWeIgvg46+uE+GntsL2
wXUwvVZNP6cd9+IJFmLmk2EmP8HwLz8b1dXYT7o+YUEnUmfCYrdqBoJIKFyxg3IZYVMZd8ERo7Rj
tnYGIR0MH4Zv42pU0uaQ8BpoFT5icgkNFcGKvYJx7tG2CAIh/lo2nkaBy0GpQ9q8Qv9ygIJJXKB4
aNokwtZwKJpJwOOVsaHcLTlXDgilaPmLdx4BMJJb/tTZRiP9l0v7EwI+cux5sH7gmGw8NIWcLGT3
G25aoaOsMB3ZVaxrv9fTrC6jEP1LsbQUK59qFPTFHCUlFsO+iwqwn03Lj5Ep3A7AZix07+pjpf26
pWs8zHsXdLZMSJeXP4vK6UcTs+JrM1uR0ClwbsfKsPlc1fmy7q0zvThr0ti9doMYs5BX9UtUFO1z
y6voLQ9b/QueYgHsjQQCs1ipT1sTBOwefgXl4+Tr/DTTMg6SBWiFDJPXiAFWOzYHjUbE24B9sDuK
DWWuzJRFfjBRDtc93lakTDedr8c8Doty15AgmBNJrAmztmkiFLf6afUoHZmxziyOr12+5Wv42rsF
53Kiq5VcQi634TONBpD242gK9K5CHtPvkK1znvRbXD6wTRb3LBR2hIGorFBEcut3Qlb3KtDzvhcB
6GZ4dkgRkVZOqCfgnAx2g1T+BSQvQC39CCuPX7k2tk0JYqiHwtBFQNY4wM5a2q1/KkKEmMNmxvM6
UrhO1aHqigd0ZFr7sCH8LXZ24MUjp3EdZ1sBH1l8esQXqcJR/ybEIk/QmjV7KgL/Kx+I31DznPMz
9KWlTGrEqlGK1WGKtCJw0EophM+PTM54jebp3UxLhhGm3CsfzNGeLpH0iZdxDBJqL1uHWULDulMl
cfrtnGPdOxi71YggXfRc0q4X94Ef1A8idV2mAvZKyPFgpPtKWi6xitEBIDuIMhCmSDzVZlepdfiG
GK//Auux/GfTedjVhCooaCpmjtC4HOsJiuQFWWa6TvE04mXpyVfdzOMDNoXwzXfl/NOjNfQ0Kwyw
JYRYrMlg3ob7eY7FeS6L8ruohugvhGzyS02cRE5W1FNwWUHg/lXmiN8S2vLVZAXipIdp68st5QuL
L2HRU2zmQ08/2AHRW0Kw/stkm6riQhGBlGlnatrv86Xf6n3R86k5ibBx5y58L4FI/LE4wSXqAXGn
Q1Gj6soqZVDjyy9wiuZVVkQjxK4UQvcoHWf44D0MEbGAY8oWQ1FP/SKxsymO/e9p28Y8+LogqjtH
fhl2FoA1kW1kQcUV/B0b7yAyGF7ABQTJnfBFRbBayYv4eUO/74iKB3IzbIokR2FIVc1dNxDSpbJe
A6hDO+wXZdMJ+qUs2vhxo0vzsQlBtso2OeQ+5XC08dnQ5f024jhY+u6lEnz7PgyAgS1E9XwXrK7+
wGCF/S1onDw0Xg36MnYM4V/Ucdsf11nrz2LTbMoI8tnnGfTIn2azlT1C5rWNqV9Q2tsLh9FBiPIr
91pBkvuIAaD6oZWYHNnlUVP6HWoWYkpr5CDFuUBVfjziN+IzhcylPjAZCpNx4Rs8J6K7Il0U8e1O
COhc05LIEjkHdAdDNnjOnuN5xQPFtcsukWW9PRIH/WzS4LCAhwdbcGQ1oEPWl7kw85uO+t4n3Vqh
nyE6rg6E+wEFlHVFEM77GUrYSdtZojhblFkJV+Btp9lSNGe9VXhTLXrI9IT7VohdxAZz0jEkYnM9
hOREcevegnFG6b1CYHIfM6jj9zlp+/UkrW34qY65/OrHZrJPUmjYgI92q/FC4GQT3QnFg9LuvESB
7LgFyyRSPjp1yctlxXQD7ElQ1hbTFD4i9loHZAnTUKZqWohGCmemOcs79n7+0ryJ42MxFPYL16Rs
n+MhLINnuYZ0TRGgN8sh6Ftwwu0qw6dxqs2bHTYk0pFeUc4Es8SitxLy8HtVSkQgTEV9sQuHFkJg
4j0b7znh0YCcdiJLpjstH1sTTH/5YdSgRNkm3iHDQ2EF4yVtBaOjsnqLJsMyuY2GYqmvU5nVApGB
R2LW7FU8lwePkT+ZWB0F37dJyntUJJQ4rKxbT+/mieY7az35MPnCIRfyubtryei6J1kyckIJ8qms
ZvYYwhDxDDoZ7myzNpjv8zSXKDbWrmSHul8gm6z1WLy2cbWahIRsOjkxGJ5SvRSHjYKi/nUAFH9H
ut4jwG/mu5Ybjix9Xuoui5aoIIdAhu2Xru1pnCHq9Q30083YHrp1sjiSRyRmSWup2jUoVMaJa0KY
VEy8bO9pqMyQ9IgsXcKZGz6UNYgG2F1md2jCavtRsjHe0qoE0fShpZMfdnGMkdNz1GHrR5VXIbqI
dN2/Q3ECBGuEdiBqJEOkeZktYmumHRzOY3O0giiRojrK3B68ITdnNRE6TucCw+SinwV6HqtYm0Ro
VGySkMzYURmv44dIBUsacKW/L8zaCTmGJtPeEN9IOBMuiHnIWuz/j6Pz2I0c18LwEwlQosJWoYLt
ch532AjuRGWKytTT3893N0BPB1dJ5Dl/DNw+rhMrpo+DzYEguESWqpuvRz8YnfXKlFHStvToZZ1G
RkWM+NBcw8ULnsCtRVa3nnyMCp/nxK3Cj2B2wasi1tyEbIei+5DWTBBws8cto14d/792yq+bTEA3
fv0oCBGSLV6kTjbHm89e3x920k1em+9CdD+KpZxP7raw9JdTB8+yxuPrMirzU9iLwN3dQSCk28jI
nS9VxUngRnTcP5cknL+3x9EQMlUMzavV0ML0qCMqTVjWN5IsFNSEyUVh7aCjyGSHs6Lq10t58cI+
mQYCSxOoNPOqpDZLBqbPPeAu4H/JPNjDfLVlG37KuGz6f4c3bHXCeglaYA+KD6mnq/W+GL3aTfve
79GEFqV1POtAFs15VNaqmZDn+AG9+PxcLKSD5UFfRVFWIZyasz2MmyMdCy1fd9wFa2rw+b/DrI1/
Byc0FHfUTn0RrVOfuee5maTu7jpwMYw2bI1fzMJaPlUbzxRpbKYV96XeyunOVGEwQKiBM1wWGXd7
3tam/dSA3blURfV984P1B7Gk5o9hsbkDgOep88z+TjwRfrUWw0h0agrtPy2sNlderWrLjOfrNu1H
TDNsN23okc3jWdO7o/w5OAedaofrl0zbpJAD22Pvowu4h8Dq459mPxzYuJHpmwNj7P4Ow2h+j0fp
ytNmr857LWHHZKWdK8qF4H7ZnIKSy0FM5/0oKiZ0yJi/czDyFMhod5BweEMIMRxo9t6CtlARAPyt
OAreo217cgvhZ53wm/XCgKCS2jUlM4We/8Rqn9YbjZ+9m/eBPO4b6hOvkfbGh3nrxLm0IwpwgeVK
AeZLiVJGrex+VXzRAKRkuV67cOKCY5qrpqTb/RHYAbiUkkLE+mck3u6fUkOqJKsFOTNX9fpvxYNS
cdSvTaJkVXyYVu8hj9cUqkxa48rBs+n5Jqy9+tf5MUOwIOJckOfvw7KEstpuw9xrdVFz1LztVgnJ
iXHpv52rjct4OioAzN2HCNZRf1d0sfNqLI+cjtKy83VwVe7YcGU1ZwwHncdk6EVlmGPilnfHsPSn
zeOvd+y5PE2VAvOLGy6ZDpIn6cOoPAELDzLZwrXS2QKy9to0MZsYUY9Q76Nd3IZKMfKuzT5/rnWj
s2IUglvFartkiNzjVFRE2MFZySJVa+xetrBfP8J9Wdp0pp09wfUQ3rYuHC6eKXofbqcKntjA4Lsh
zdK+FSMgQCG9H1Nbrae5k/IF5UCUzUG4Zfsgtm+LNZnMhXJ+1aHVPnVUdqTAnOpShoX1wduOZNEm
ND4BDXPOSzHa+TYBIHAXynPrLQ1vUFWwlkT0oKVdV/FedkfPCGfwHARb+ek4GgugiBSrW7U8jh1C
tKhg7k0dqK2LO4EB2KOsbovXuwmQ6M7KOZMGuI/+mNCyRO5v7HuZ6fTriiokcz3sPGIPxaVTxX7x
HcjYvjfmgWXDnHbeiOdVWNWlDlpxbVsVnWarO84kX7QPcyvinCb33z12qpTfijFoGIsqWVRDKZdR
lclUvMfPTS3sj61SbgYxaT8B6raPQ9U5v3nYvezwS5V63loU2a5sWA7pykR5pZ0U/VHkRbPWn54E
M/Q6W16myimzUB4Tp7hlfSJ5KgA0q0/HBN2ZWtDotEZ79/Vc+H9C7G9LmR9kgcuspqj5pQyr+QQi
DS1a7HvmjeFyDmcTWklVrL/IkgOaqZfjqpX/h4H7r5Zb8IpVlJJerO2Pew1ntYHTv9vSDs/Qvm5W
WXt8jeLRepw2/RkMasgbXcKuyCKmwRJqjxWk5rasQ/8dZGE6A1o1dzY99SeEb5qL3NR/XX9WF3DI
4KUd5/cpbKuP1g5oY1uYAXDJTAX5Y01zT3pn9Oq0VZgdI3jEyQriLmnKMXYTpUyXmDm0s6J3fuOa
mvg8V5Ed8dihXylNEOY9ztExRcnSJ/Em1i0tUU+UXPbI5zPdIGvS+yyfd6v64dbEZH2WW+/tRGGG
dh/4uaTCLF3Ko+y88zYvXIRNYMHHPGtT2/KhWybXs04mwN4DKjXP8hC8AJ1Yv61HvPcXxjazvwGl
1gqyyox+/F85rf5v0RhVPtnlHupcOZEZ/1XGO+Ym2bdGDFk5ldq9HTGRvp9RpW11x8eNZVq4KAmg
ucehfHLJRvcejrFrMl+unfvNeM6h79zG6aAbvXkr9WuMrWnk2lsdbkm71c72X7yMpf4bWVugTdIP
lTOiWOUXmDZIdNwSEpCXMl38WoLpGif+ucwtM7QfRvIR+rNx8nHti/874urcDef5vdyWqku2KRqt
vFh1bVJA3ZDR0p+RL3MjUqKKjnFQbvlpdOPDeRWWH7SPlSz0BwvlwIzUctx0adUe5sMmn3p8iato
K08kNzl2Grd6uAGquMgZmqIZ/q1WMffvQy1M/+qQcD+mccXFv1N3sY11UvGy1g9qGnSXxg4Rkuyd
0Fh+wrXc90/9PB980vIArU0aA2CdtpszQjV4PpKZuzj2fPOA57CQ32dLmeiJacuuPswmjiE5Fjru
P6pe8zC5LtSTk3tmc39AvEbOcwPIIv+V5Nv9W0LExmSooaCtslXYEdusAmG4qnFxvBSk6bCeGX1m
mU9Rab3HG08JAa9+U2obYUIVNgXVzUJQ4GwtVU+r2FyBG89iJV04jcpo2d/mEnImqyZUT1YSKsSm
6DnVvHfQvnZhL/+cbUDBl8PnKV887G1JZc0UFEgfuPfnMaeb11q+N8Lqt78xkFLkkgw37rRFuwth
pXuqudbBlLmeKsi/aR/kN6+2YMTJqPAi69oN5RR1WT0gN7trXSRHDWQ86fq32IjOuaD3Gc11Gq2p
U1k4dVH7OO3jHp/Dso4GfaXCSDIWUSp7/PTXpZPpZns4NmW/wDRlXUfM638l0Jb3stMBMOhsn8Il
KAhsoAKcYFDnEI80V8QLpLWLQsP2+YTWRBQIBobEsuT+MDkkHXf37KRsu0nvkgb2RxghxHTy1qA6
kP+UCsjiHnOpVONpr1YwsMWWQXvT8GHtbwis/vg2cWCJf7Uz2xCTQdVulX2xsSL6HbNCiFYObqvh
Z89mt6siJz+coO/ZncrZmonoPBwLtOHc8WXK9sp5wgJH1Zpyj++2XMMh86Y5qppXyAKzqcfIdsPO
zkjA0MevwJHB/tmGS9nAcJug/bWDCCz6VHmeLE9DVO16SCdXHPomDwhsMo8DnK078EB3Pr7826/D
Qd8dBPw66xQ+VLIZkZdoY0yskeAnRAO6/8D7mzDn7WujNYtmM95QRrf9zRGsZurEXRpGNNsugv3E
eJwTfNJdO/ziZa79mz27lU705m3+yannkre/oZk1XZ0pIgNjjv/J0q4+V+affYbnKkU0pRRmxp08
D7482tcimLiuD5sqJQ6ToL5CbnXirYmqpXja7Hadb9aAOvWOsAQavIpp7DJ00yKn7Vwwm6w6+lPG
dRMnu1drXlHJWMHIqGfro+PMVjk/f7vkVdc7LR7uyMudwD6Wx8IH0PkU8giGnyi+3D/a248IaAEC
FVh7i/wHAUnNzgG14Z2LYERw5ai4fY2GKqbFag/sIMjW1nZHLO1++71EZLM8xawXJoUYDfWtVDRs
nozH+5sPMSRw4i37Mbippg5efGxq3rw8dux9Stgfjiej1HaoZMXDcKR1Df76bKF6EScoZppIas8I
w0Cy63vt6mVPi6Itygu5ZSWsZGkoiOHlwVGo3P1VS2vzv9lbYO+fNvXNTmYWFnLA0dV87K6zjgzH
5BL+WJ1YnecNxZong/AaezOwn0BbmrpNS6NN5Nq8SgAZNS96FYJgxzQ5pDH32JEphQogEUcZEuPO
A+C+F40AJRpaqyUFvW6fJz/SwdPEtMvQUs7LDltYd3dNU4XHNcBnfZ3UEfwW8W6XOYIN+7sbhOub
5JslW2/ThlDSLkANGtrj64hGIPwTgM3/Kgrelsve9Fuf4cUHGQxtRsFrCPvu3yFKWF/8yjeA/F0f
0S4k7PVxa6y6ua+bUjFteN3y6Q+xtz/aezz8hMvb/3RF2DVpPBSln6jF92H1JF4FC/VqusXFGqX1
WpcdFwfVIcCM/OfCJAzVxJclk+qw2tvQRkHey249iyjca/LON2AI++tFVm4MG2KG8We5zQe+H+h0
7op1kCFQqNt8uNOq/rYQhX+I+FXH2+EL/dNYSN9farp/ivtxbCxCdI21xqcChnzMEU4eQxb3U8dg
snll/ygMkVxpXwGinPAd1dZrgL4Dw9HRjL+g5L50xl9w/ZTsu1pA9PdygLJrpD0WMDGy9tKtWlDA
CePFis6qyGu4UIVdPAHg4jdK0Ls20z/KlKSTl0hZGLbseImbrBemc87WMFrud1sVSn/wVoXblwYf
gGvTlFg+xcDYY8IX14V/p3hoflWO0g7P0LGUJ4Imh+AeDRlXdTVhSAniRofpYTnuBYFSPeHvA1iY
JzW8rIGrATdHpArVs3SVL18BqoJXINhG/gkmdgp7qdfvivzAF2yOe586AecDrqBl4uy3ltZ6lZxd
L36xyzANw1VEebCXDbLTUFt+db+1g9d+a/yh57iUpSUuGwtYeIkjIKNTGACPnFB4VUsm7Q2JSmci
/CNCajQ+YVvb5k3zq/uY0Hnicy6Ffh+ZKScBn8gHT0rtvnc74O5+bt3u8LIG89iznEmyz31USTxX
R7d1aUlRKvDs5sYIVxKSz0P1VJqmLH62oq3FA4DQWkRpMBSRnwAiHTr3dBCKWyQZjZ8oYxqvnao8
HxJ61JxLSx1Pd3NktvdhOjSFt8KdyiTWHayDguI8d2aR17DjpL+sZpk2CgER8EFwcA7dD2ai5Bf5
qN28KW4lRO29b/jx5ABQ+V0ci/LzLR58/hnrto7ZdlT8FEFFxGewFP1bvG/hux0H8TdX8ySn9JfZ
1j+zDyX/Lfrirzt748/IXkN12mGw1qQshl3m7QF0nFqMZcFvl7PPKpMlJuniNdoCceRrV076w8dd
bp1a8jWKPz1jRvjtGMT6Mkq3vbcYdV6nIdJoUJqR76sthIFjWJYwsS2/ngCOQzPx1C9tr8tnX/et
/bQ66FAf2mK2HoYORQs3Z28eB7qUXdTZddM86rmEU0H5iemnK9s2F6FV4kVv50PAljvSe+/RzV2V
Mwfyue/GMt3YEpKBZXpNNhHEl7FH37n2lv5Ohc0UJ610y6fBIf7lWXAqltlRz+oHm4lEAKB9pi4F
iNPfmq4dKdmiVadFt9TUZWpH/s4h1rsx0STe7nJGReXxIzCOSpEtT8uXXN59bqfJli/dWo/qLaJU
sr6OZau/Zn9eleQwHvCSWT3xugdzhfbaReB3Lpn+uzkJC3OgfQGrfGMjiVWuR3d99N1e3ORQ6GvM
vIDQIrZc7xVFy+5nLFvT9HG0LvLKcAu69r0aCrvPK7mj2HHgYEAEt2KSjzYVSE+NY/cChqGZmpPc
ii669MMqqgdEfDUA8arn4h+UQj3/0HE7qPeCnmKRMEjNfANHN90KAFn/hAZ+joAe14VfnGalzyNC
+ZKLCI7pEqt53a4tyt7XenEb9zS4Q9FmUMNGPjtHAdVdWogxHzvIMEJOOofdPPGUa2+vh7Xw2A+N
nGdcEtx84gbBzQ/RVy5CxZq3Cre2mIKkL45Z3zwy4buL3xzlAcEyo+UEIz/Ok7K6U4vG56o3joqk
xm+xpgyq8+NE7/LdGBEL0yslX+JwUnfz6tLwGlsBaiDLoJ4a4VpELmjYvEn4r1QtFtWReiw87zsT
hQnS0PKVd/UPcfyrB96i9+1oq1u7u/rnhOVE0i1OpVfKur6Z2zzHAfoKro45hYhF+TcY26nvF9ih
Le+0NV03kvb4Z2oVPoviK47VWrzl0bRD9WuMg+Ec7rONP2n2dvuChF+Mp3g7QhLuDobktP9Cee7A
MgtwnKI8zj6lmuvfKBYiTP11c/p0qeb+igxhfNXK8kvmTeObOBOKqytFBraVz+tyoELgTZxZ1UL7
H9KJLu1m5TY5f7n2oRt04N172hri69Tpsc2apqPQrWjYwX/zVC8/5WHmHJ0XdgQ/KNSYD07Hbu+3
nbueXDkNDITW/iT0Gp1qWTcmXZeFWKrZ4bDKlLbnsz4m9YcJq8lX0WwPwne6E669JdsZ7x4WCa6p
8Bz83GJV80AODWE8x6Ayf5q7Z6cuhu7cVqZ5ghrpLqWzd0/aqrycs8yFc9zNehqZhZI6PuKLGGrz
zKc8LzkjYTugJgnsOWXDRV3qDfK0SPiCl4HLZuQLpG74zd7pqfHjYcmQVBAoussFsao/xii6VROO
wILHxn0xTT6ciBpvvjjkDzH4u/tfPTqz4583XETu93GsK1L16619cCdbvLllEH0rUL7JFI9RsSaR
BUkcYqCckrGr3b876qgjseN1u5VCbZfWaxDBdAcEbT9+wQbEg9+TEB5JPvvR++2pJlAnyFW8A9Db
bZeuPdnrV3mgn+gcVw4XuxCxx0jgkppkS/+Bb4wxYB8LhFWNo8nWtf3HgvZdXq/Bt+aTwJ3ztJdm
vvGHfEe2RbgGZvjjLWiRs6RNNDZOWpSLfTkEaqNcto2l0hG93EEyEHdFdEzyKjdrTwbWrwvy8elN
NaNXgCkFq3kNox6g4SAdTiXNGFrmEcEsunCGPuu/YPWgw7dx/brrD3V2XBHNZ4gus+c9V6L917aX
rxoClE5NCjCBxnDzvPbIZvZc8wQujFiNg0WLIbcOp9tIPHa4Kw6MPeq8271vZRp2tHyFXKK7Z7Fi
FosEck8zWNZ2bMV3RV0WI2Kflu0oRnEk7sN5gSE1XNAXjkGEWXM/FCyYm1qf2ef9z3iYAixH/lru
lBf78iNA3HZnh5Z+FiRK+bl/jMp5ZNxcisxRSOS/2VVjAQvaVpSH2860zEMbXTTPBHMbA3aZCtZH
aDGHzqoMU9diki4M1Ph89FtZAObtjgb5nmSBogNt7RuTyrrweyuJJaNV/TtRmaF1tw1sfPkUO/o/
31d7xoEi3ylIYLQl3K1i/K6OOKAmDEqqTNBpcxAAJ3KK25AAjyS0MXTByq8537HzabOY5OXiC3Hi
qkSrIJENwXk1TNLJuDUoTzaDwva2MrAGKbfpPj2Qtq7rk4MIxDw7i54cSBP6XU5f5zDFLtCSdpSI
FhVDipfEKXN51EHwvO34k5MhGPbgKe5EeDwh5Cu3K7qIr2h+m7fqVvOqdndrKCb/YuRQsfvZ++af
Y1U45V8XywGZdVYF1FFCuG6J3RTRj1hFfvBMrezk81JbpYvTSLUyC0qb2rRlL5ognTkU+nQcZmwm
iUb7pl/MzN3L0S9bRFgpiYF2n05cIJARSzGj5kyNh9j2IV70KBDRAmZb//H/rv519xnWF9uLHrpR
qeLmjF5b5Fu/yw9v6ctP7GHA3X4ptjAbRyOAb2Pfj5YP2Fi/v++2ENIHmBLZJnJWjS7b09NpsNmg
kxXLlAuuigYga1DHAxZN038upp3h1E1hZZ/7KFz/ynKIT2VwTMNl9tgXEppAzSlE9SlhZ5blUat5
6U7HaqLxtT+WxkL0UkmaEIpyGMt8jfvmtwWJPz32pYym3Pdjcw5CazPJptrSSuovlwHzcidPpqgq
zCO21afBHkR/0Jn5r7oYqodShTCgUemy2UZbhdjkOGZzGhkl9hSXjD28w9vy0VsytEHhiRyuE9mu
XnFZ1NAVj5512F9uz7n3EJTbqMVuPiF5/Q+1TdVT3/ehoRU3EO9ioG+THd2O6gdX4Jq8bRPkxF/Z
hPi8jr4M38YvGRcEHRzynQ+i3Z3cWhzQUdZ+3HiQHCbpZjsu0ySK5/ZAWvnWsbA/+1y6aAjw1WWF
mPbjwa2rJjxF0Nw/GbbIdXN7TtEqQed8fLNnEY94AUeU15HxVqD+pfKTxj0ED47SP6ZY99kI8/M3
kLZhVCFT7WKtW/mt3Kb+nbcZ4lIU7mWB5f2tK3G87bsIHtx+On6Zqm5P5PLUD6EdBlRGoGmAfUBg
WI31b7Ichj5tXWEwXYv9wUKYN6XLqHdYPzl+7zA0sJoOS/jY4QzlhuDudKy+w5nYAJGH7jz8iKvA
gk5rjw9EjPvTAft4pb8d72BXxFVeE6d+b+2qenTalc34KCzQr1ATz8Iq5oYozOVy0o67npGOzD/R
lVlPW1nBsKPEvMdYquMcQ1v/B2mUneKYAa2fNus9KrfxVZlh/yQZen9wMKs87+F+1/AgnZmV9Ju9
au4uOxyXM+JzeRet43hVlou62mqYMYmgsnNHrL/BJXDjTGX9gCoMF5i7O7STxOIHwuGBJJk9/roY
O0Q51J2q6yGFfXG33txCTmEEJ536piSiWotv5He5Vupf3waYWfbZet9RDb3iqd8emnVfrj4ikAfP
q8c/jfGsK2DfduWPYrNhrC5vUdDED3L9UvRNhdOiJHSweY7Mxe06jBknWQTw6PQSMsw2OZwpLCSC
bAE8tqO5iWu4SVz0uGDkEgyv5ALtKxKwyNIJq2f34roIHMVm9bk7V9v3bu2AXAG3yjgz61hepnKf
WYvJTU/HmqVv9fwqG8LO5Uq1EZ3SxDqRuyJAuFPZUkwO5DUuaABDLW+TpZEijIVqU7txPqcmtK6U
JBR3RbSHP3bL9wDlInGDA5l/mdpaEG3Y9cfmhLAuy+Y+QLBsV2s9lnuMMH1WxGOUS0IC74bFqjKr
pucbWpQw0Mjek5nJ98t96Jw9llfyMPcTBqnPEH3tZT7i9cIy631Gepjvp0OoF0BD0FdvYtYmPS21
hnBtoVtsnyOvss5oYxusCXZ82jFhEipZHL8PB6dZjRn8WzD34y+Jg+YFahzD8wZROVjteqaFbOaG
5DFCfTwuGQCWO6WmD48Pnl9EK1pF/xXwW03mrrb8Z5reyiEC2FnhrB8d3jnI26WwZ6ZSu79NphFO
KjzfeZOW0DvUvN3dGdkMLNL17t7Ywuy7AcKTy4ZIYETMsDYE/1O0Ds4uPkozzmmjF1kldGhhkY42
Jgj3mLLGXRABgaqYt9lahujkN6b9FgU+KCwQXM4+hFYuXKf6GU0YqA5AgXU1Q9xdlAcHSA8dxiHO
6D5h8m8yPHfL76APqu/4MyZIj3Aj7MpvboMsu9d4MoF66XxcBGU5dN+nnq7UJDYkhiTl7EcsOPii
cdS1KIrcuXkcGg8JF8Kycyvq+m7pCmBvqt53OMDd3FWDb9/j0B7PFtxLlzP7Nu87QyH6P1xumDGs
FoaRpi3hDt63TjU/+yjQ+I7nhYtwCWqS6QnqgJgMPDd1NsTVl9qMiHTLxYWBxrWdMVWsWQCmgHxo
6c5+bcSniyjvccJLkrlRz03L1xpwi2ysQCXcRMpU3KQ8ZfuHjchsSaDG8N8F1N5chb0jJtcTG3pp
9dVpQw2Brx2+IbzDD+m9qC0YX+RxmIt2umaFXS4XVE3a+UcNbHeHRd1Gz99Z6A5jnwUMUZaO/2qQ
VZmYL+tf6nhUorr+0txIYZnDe8jdWmDNZzW8IFE3qJvQFtUJw05fJBumtAujYHTT5VjkgMHIScbB
SzuC6n/ha4NIRgk25/ak5/8KPJjON6IM4pfdMQg1pK6Wtk4Cb8MDiBllOYXd7Fy7EakOls/lZFaJ
56vUXbGkqz2Hd7qVJMOpWPX7nUM2AaPZ7PTnedodElrt4XgWAUN7Ew/rmoVBe3wrgrJIu5Js0HND
JMxPqYLpL0OFuBhWqtMhWjvHPqPe3SNy3g9vdf4OCveKWKKCe+mA8tu8Vv4sx9Utkfe4/kPZ9XNO
IikyY/Ac0SQezj0AuI1I0riynDsUFxs45Gz9nGPMeADMYfOf3jr/2s2V9QnE4PcXgwP6HnMZQaVN
V103W483Ia0ekWes9ENjrTwblOQ8loafLRbMtrxRQFIkpZZ4mKYtTkC/9n9+UE05jgPBv8kW7xvp
71UC5Q0vh3r3jRyq4mYjXnmU3tCfgdsG/EjanGbgAz+x5DqUORFw6m1VmmWtboFiytpTj6bq1a++
svpnKw6siwj18a5Rf+H/BIw60jlehhqvSw1SGQTxyV2a9uU4Nu9E0bMAfFDx3wB/EgEGh/0lxqas
diZJh3rOOX72xqh6aAqzfXxJYh5dmP3/wtBfv7cl0wd+quPP6EyIxeeV3SFhgW3vgNBM6o3LdGeh
/3/5Mhlie7F4KFId2+ttnzrMNLN7/C5tz3sNkVpfCy/qnmv3WH55o7d5mDeCRnHaQzWg9AVlJeqr
gQRgqZuwQDgchH64FCd/L9ZHlHwE7RHt1depP9WA2YgjApRRMlL/RSue2ZybxjzJean7fKIw7y2w
uSYa/K2/9sVHWrTHENGPNl6s+rMqHHgmx6ASj8FO/tkoDXN/XNrjb0Xa1mma/SV6ilYHXdFstcvD
KPFd3NHeY39MEzBVXgpbIwGch7C+lhKNiQIUlnOTFVONBqeqiWc747yOujeiVmInn0ypbiiFrf/c
ARD6FPe+Lk8qhMFOG/SO8oSZSPwZyiJQZ6NxyiRlxP1NII/b2R+NEwTOeaR8zE1Ny5dAoMa6HmOA
6q/Hlb0vVnE3mXWPdTpwDZCdZoRTmJSFb9MPqOwMfXjxiJ0KOKleBZ6fcjHsoJikT/5ieTV4ADKb
/TTOs7haodHuzw5CPp3bwllfuQTD+X3bIlleD+Vu/gvpYceeNNrizWWZ8+5D8395+VSYJ6RfUfvQ
FVZLYBmDdD09iknXO4WziDFOJHUgCd/Hyo8ya9CrpU6eCHSGCN2lyGUM7WHgf5XKLHZmytDefiDO
/6IL2XQtLEeDiog1ISTmoSUDzvvo4ZPid7jZRnEyto35NpQgsNVtCCYPTUOvNye3O+LszHk6DPsu
tGwjbqSluFsKuqPRRsaI8tfXfW5Yg5oA8UtX2P6wp7Xwp/EGjRZFuE06MUp0ZCHqu0TIfjzuhyX2
+tdjRHn3ZAc24u8Uu+ExPnsRezsqZyHid7u3xznZV3/ZH0DbzKdQMWKQBJ/MclIlPGecjAVyNgbq
UAQr1UqYVwgtmMcMMYV6KRDgYBuiDO9nsEf4MwAIdy+FP6teO2aU7/CE+o6vcHqLRVMAI1g+Zo1Q
+L80fPdPiWnlbtE+Kn1nI8JB9R2oUgxj9ovXBWB8JKmGbXN8Kp25SmmzbhIRjUhQtjnATYGB70fv
zT17YtzeTDlE79wK8dkfZi6mquHudaPpfKBbZUcAA8/YmP0fQWt7A74GIr4SlAxOWo9fqhhgxy5t
IxatrAIzoT9A9aegRco+TXUrwE2L1s9QILnPTSvF/Tyu6g5lm3pFSv+LitsK2149/WBsrE+TG9T5
/zg7s+W4kWuL/oqj32EjMcNh90PNBRbnQRRfEGyJwjxnYvr6u0ruuNENW5ajOvqFQQosAsjpnL3X
niKGhm8V4lH3annnZ1n+NKo+vO8AB9hrVMT6tdO6+O/1ruvDx+xcPl87Wh/1m2bWWGnoW1Y7oSaA
B3MTZa+WHzbDyxAmbr33iTMeIZUw24MFayOWPUtYPSpNC/qDN6Bv3rBq9ARaVGMZ72ObmZgdedLW
OycdWVj7EL0iBAOPMvv3ymgxGIM40IX37nkeab6dR0/4N1XqmYA5JLL+TZZ7cfU1BvYR7hLILc4N
mqFiWpMQ0xbXbjkm6c6I56bZ2zSumRlGV7vOca+gzcK6+uaoGa9vUyXvnYEMbov0wrzTw2Zkf+lU
PCcae6b/GcwSXWkDgU29azLFUB59KD1HJ3RneaR3R91haMvufUBonxyxVuUaBreRQCCBn9YHd5Oi
VXSR1OVB6dTDezO4PXILpBIW9YjG01dmq+N6w3bcZoe+KJkWkFh0xt1MFo26c7wolfvWNib3yUXt
djLkVCfbaQIEcqB41NO871Qm10hbZLGN7MiYt/lkJMWDQVWBQzcCJwwUiDqq16wgBvzUlFjNN32c
KvbRdiXEqkAEyCGHvUB9IiOWLZOr0xTbZlQR1uNQjP1dqbt8yiyttXJTh9Vs72rX7mtkNFk3rzCQ
GRxuUuV8M/OCJYUlxn1RRt0d5Jhkbx7VGvtcpuuZtR3/qLO22OEK3a+jMKBmdnjt9lgrPje6j3tH
H2lcPHS2bqSnlkBFfTUpPEJrxBB9dzfFdPiTIhGPnYWBbYOLedpLLFQtAtXSO4fOommhuIXvbFuN
WuGujTEqDSTEVDx2FGk0j+gGF4tHH+m0glGPjektLpT6zSFxOtn1taXYCsHZG1cDgAc6Z1HLTNP1
hCiwGejnp3JOo7c06wamR7ekzogCyIGCI5Ia5znOnvEUp7n7Og2xZa8zcgWSowKjvk2NsdROVp1l
3V6eCSR7FJZ5vQImGI17QelT+wDO3afrLonasz7HT6MvOYNtIBemNybU5wI46Ltm+zXaVXA8ZfYw
+WHBUFIyAzegQiu2vvZJ2hTfZOHS4aewn+XHCXABW5RwBI4Tt3ncb3yjLRHfeV6Lo2OO8yS6muLu
HHEMwMtldXBLu37wSz224rXF8akPcmsY3D1OXtVhYKo6e28mg9sewA2UD3RS/IeW0O4nOdSjsW15
KMWG9XgsrjVZqOGKmkl6XxKq9mnunSlfE9I8JDvTKYZwlwOqOVS1VV8lZUb9lWM/DRcQFCIYee/W
cdZ4L4lscZxYbFi/JKQLh4FZsbv4nAIEcnBGQNZEpzdN7xN124acjqF7R+wNQq1XbDGv7NYP3T0F
ZzvcNkhVr6NMJO8jZqRHU5usT5K9Dw1y5C5MSnacWIECqjCt2lrpIJDY6XqPdA+G5jENqzViEMpN
Beto7flXIWyBrZcq3G0etoxxC2MNNT/yEvlQUb7dGXLWbyagBNc0Em2UIFokYQpCNIJ7RqnlGQFD
ikA1i8LdWVSF/itFusP5zE7WhbLVMQ2FrVbDYCAz0vPyLcrPxcu594Z3ytDpY6zG/GMc6XmuGWEo
5iSboA0TWHGgdBPuSLbMSvzVYf2iwJHtezd2rooQgITlG9qNH7HsqJra8z4Sw4C0VqMTV3DlG196
rrHPZ9nddHCpsGh2oXsaHVQzqW906TYO2V2uMz3LnnylidfSL0xIs4YSR06yKYf1KB23AwHa+oY6
vU3/CUk/S8Sspah2KLDtrdC0N74n6KfXhC+D4MCEsprrQmCGKqQW0p5tE8p4JIuvsg44Qdu4Ol2z
eTraGA+B4DTWvA85eqxg3/bvjVsPWO0z6Q9H5U/urmX7ubPbtLxFDwWIB5lLHlQpeSt0+IabvMjO
O4UwvimrNERQI81nt9BEFqR5gbdb0aO48WTj783U1zat7d9PuiUCCwYP7bkw8wPOwvVXScfk4KZj
59yVTeh31zQrnyOOL9vUNapNM42wpXwtZmaiYcawbuZ7PoV9Tdp0f6Rw3wE2HSSoMIQLoFiKAN+q
xf60tI8dBz15mwOZwbQGCjcCTeChAw6TuPjQIAZfVWOTBRjOhvXsECftZF30BemofPWSskX3h0kf
nEAHUsTxuL02QL6V6ClK02po8bSSyZOdeN/lPofmsc1z1XFewC96PhmcGziDarF7OqicN6Fl2nwC
HQUg3o1PUCrstWPWXwujFjeyBKzHDIPROO6LfenP9pNK9O4LKcgtHQ3pH9skMx8rtC0gfDlURgwF
gcbGc5FxeKLemxpFMQoz9OVJzmjYauB2dFZQDaYrsxsH9hzs3FaMMWFRLrQsiaCybEOKggXFpbrK
KL46c3yNltQLir4Z+RpE4rzGy1m+jI2otyH8llNcW957nQ3dbxWYotPknJk0zoQKikbyATufQPBF
eyToHNAgrmFFN9aQOw+srP2mEFRWQWHYj5xStJOTD+rUiDiXG4unXwYIAEXgWKTAMfhBilTYU88y
AOW/lOjrxXpkTU5OVp7X703bikMde9xWG03BNrJkeiiAlF5loRrOVm45HHrC3o70g9UmjKTxG9uD
6UkPDVrd3thULaWqqNlie3V2wzDhx0xT/2AQKYQfKszZcoGQ/tzZDZr9BvvQykZJvKdqynAMdbee
thaH1ejgVVnz5LVieCERIUKyVmoQ8GrUAqPBi4lMgQeIVKZe9V3P9qfDLDyzFXyAlGifPPFdJzEY
DXsujUmVdq1Rrwqplzds5SS6M5tCQDijJM/jtjlMeVde27EfbqUVyqsxpbGOujcMrEbTn8k/hpwy
6RrWherMglt1jf61bjjeDTleEOGI+IFFPbt1nLjZRIZTv+iZyg9IFJxrGqndbjJG5oCaOu8+baS/
oZaWBUxstGucOCHTFqlNv5XF7ECtZNcRoq47t4MYq7SfP+tisj8NndJ22mil15yaMEsLlW9dE/ll
VHk9sDYoSV8zLN+/zef5dnKN7Jazmpg2XlKM10JVeDHVLNMtoAiB96XinAZJC2bnAO8/gZhqHXMD
BNW088H0p0AWEvjcv6VpZdSnlEUtxo002E1HXgoS+3wFNIwd86rVXDu80WM2bVTPCX9RD4gsEytl
U1wX1D1TSDhQGM3Y9wq0ntDC0D6hCCruHM7pNhyXMJZMrIVTz90NZW/OFxxdZJHdsg7jbl5VTo7G
8pr2OgmVuxnESPQxFUCPd96M2u1BQ2JWffx3ZuqPkKwLGLOMBkQ4LpG37OZufCSVDX72yy69YBlj
KBFZlMQiQDb6tROtuwqR9m4vu/iCZaw135GrrRFYynnjVaUy+ROi+g8oydYCXmxqUYbFCE80jcQR
nRf4WF2HVeHOlrdudfytl/0FC7w6MhcnAd9pBJqWmWt8E/vSFf1PYN4/eqwLujoMjcIdptoIeDE/
N90YlK3+E4r0Dy69DO1OOku4eV6KAHsqdrx9l8sLU3mWmd2aQBmUcYQJRjlxbJ6dVacP9WVvzDKz
O9JC6k5tZgRRp245an5i2/ET4PWPbskCnT6FLCBIInmUg4ZRPnrUMsT2F70my8RuZ9DR6RhYVKoi
/M2S05vLNHPhtRcjlA4PGiPTVQEEoZx1UhwT7cLsCXMxQE0TS6xBxyGI8TNszMQwwf947YUPczFI
sS54qa2DoWA7j8Es2yE8uyw0wFyMy6KpgWIkdh1AZF5Vr2Y6/eRun6fU/0BFNxdjsmXzEnMergMH
3Yu2ztEgIl1CAJUA770wZ2WZ1m25NqaXquWXiOybWRe3+LA3F72Jy6zukcIM+6uyDnLfe8va6o4q
0rfLLr2IKooaU2aFmxEbDTxat7b4iy9L+1kmdY+NamnmJVOgA6L3xjt7yi4Dyxvnx/yHGAOAfwku
9WgKIjINN5Y4p6twsLvsBf+eWfKHq7u10Buj00aGvWfeolRpjqhd1YWPcjE44w5dd+epIXCG/qoT
0V6v0vvLHuViZPIk54ZVsg9KQ26Jb/rcufLCO74YmZ4JfFGKrg9CojC3iJzsrdtMxoV3fDE8YZFB
GkA4FYgpDW/akfICkQHJZavmMrU7A5zR2CY64e7s0a+V8xGG9mWffJnZnfpoSIYWWq8do7rwtYqD
WmFlP5m2frC4icXYbLWiDgtjlhA9XYkYnnpeGIvLHukyttvzuziDGFsQL+NilIhOrVW9X/QiLmO7
tajzsj5qmwAJC/aGHEt7I4CpXXb18936w/i0otEG/w01ngkcQIcWPadjOly2BH3P1fjDxUnSnA07
U3UQCnG2ArocJDIwVpd99MUI9QQyntmtqiAqZw9ISX9DQ6S6bFe7TO4u4U+lIuGjY8TJVlBZdgKD
8YUXXwxRlXdJoXoWt0TPnyDr0Acr1c/ie+3vC/F/WKB1/8/PFPucbk6pzY3Bn/xkaOm+stQLHVxo
dTU5izCBqrNY3D3W7hyMVbueunI+2Z5fzDtYHtELZtLsmNrk2bhh53PObKv1+ZBJi7z7ao+oi5DP
qTPtv10jM7gPWyoN8DFQ8mj4etsJPahC4WlPhh00E2j9of/ijmBpcY6uKMR4d0PpZ7e5jnIU1eB4
gxMmCVxAXqs41o65sh6T1r9NSahSQ/9pnOJxO84ZBUqO2HPJr63dUhuevLLMdtLRoy2SJn+Xtf65
o13fZ1h7tnmkBFrsuD8KxJk28hC49dPVOLrRbq5s1T0TvnAw83aoVljqtK/gl12qNnaP+gQScg+Q
BgGVua/RN5xwAVcUAFMgvnFy6zdheAuLdKtHXf85nQzcpdLZTITDbvFSXAmvfZ1plR8tld9qZU/j
J260J7etxvfRZ2fg6FdFmUHxCWv3IDRgSPhZAUJ4yZmyzAkKqMbYI37VunElzBLxDz7pEnOUtaK8
c0oihVi2uhJ1fqRgUD6OXhjubQ3wuIOF4AZsHLbCCXllD43RMu5627zrPXvYcQAvMOy6I046zPjr
MtTk1kwHtXZSP/+UJkjaEqntBfKcuwy4GPy7GxqF5aao0uc5L7w1u7Ny2s21doAV81Rr00BJCvsq
+82NTzdy2sC2vrNwQK0R5AKaasfpALOBGIEs9k4QMQcUHtNJw+eK79BeiygM1x5Pv9FM24Wb4Iz7
EKrrwTEFBo/S3aF9616o8CIF6enmk7dApdgtHB9SUI6CdG0APlsDldF3zqAZzhpXMz5Ax2ivPJN0
AEhCVgPdmp6pNDv7WDeTPIW+vKl4Gc9g4K3ng0jcey27LBhGg70u+umgpHMaovJ5kNNeZJ4qt1WP
sczynfyhQyVxmmz9OoUCuu0gNa9j18cuJsCW9jB+r3CWybVs9GeBGmenQyDnRUv9Ym17RRa4M41w
F0+D4+GytqI9YQX0fbtzT93jhtbqm59506Zw8cK7FP6OCjvaprEwp0aOV5AmMsNkVvrHbM33UhI7
dedHbgdCvmvhOonxBHVwgqVdMoSdG89AwUTTa7yeyFqDQzM1M95UenVYNWVvBhEZIa+WUjhQW09/
BAninOyhwsQBN7j4NEDa4SZYw5rAK396BBx0bVNTMp7DShEyUR0z09FPCTjd167p9J0y/LtGS+vD
PNCZc+MNCKmjY6Kp8Md+1537/FgLxbax25WyqB176N/2XhLBJoIVAauCd3p9tlXhPxrvMyhMu2JI
ApmZVzDkfnOj3rsRqQE5S7aM7Gmu59c5yXOQFEli74ldMNbVQL26b+Kg0E36jUU3gfcAL0zCh494
37HdZN41fWKebMNNo42hRn0HK/vaTnzD28B9RxQICW2LoiXUNuVUn3dWb3FMoAiEGcLdU6f6EGGp
0bTImpckQW4gurLdxnhtT/0cvuSJc/bmzX1xa1F22xlFFaB/YGwAPvbVuX5YWSg2MSysYBYxzYTW
AYfHO+ZU8eJrHOKwC5AIS+e62WhUl9FfIl3m616/tYGMbMdh0tBA1Gdhmdtq2tbDifQc41Tbel3r
bryshVPkRi3PIsbYOCV6eeqm/BZRU3hNZMatxhRel1RfTVNDGI9+iRyXAbwb04EA3/5ZOPWhzNoD
L5h2G2GX2oVuDHCa5o43opGr2gJlht1AMMNkyXAOm/lrXSJKyzoze0Q8Z6DkHKJXofnDY6pbzmtb
Ku1ar1Cdrgclff8NYYL6ogE+biEalc1T2KoPRIPaFdxBdKoTjxJ1sQoiDRzgxBPdNNKdH9hUzDtZ
xPW8QX6N/IIO5ZfeajlP9w55bBrmH73AfTVZ+RtNiYlI0z7DuFgbW39um03styW0/PZODpggM0mS
n2nJCI1PO/JkrMrxwbL7b5Rzo4Mum+QTcgxZBb1m9dNaon48pUPvu2vTl5/bDg2uCcQ96IsBKWPW
eRNNNEe+K7Qn69KXM5IYy37yzbOQR2L+DGnabEDL4OaDD43zBvyPANuy7kBqHfy+9vZzVkUnmlbg
tkUb4MGO8bU31h3ylmJj0uo9ar5Ou8eot6YNyHs9FdEdNV/CoWZLDQMYJTOmnT1+o3XuuFcaxPbm
zaW1ts7GNtrbtQtKzW+f+jgXn3QeKZrKAqcbKJDKqu36GW7WrDZe01bmxksN9zXvfbqcja57N00x
H2BhTwfLRnc1Er2xb9IZg7FmZe9RFjvFhiZGidjP/AbSxHuoWrrVMk++mjptUhSNonpVU6lf1YSq
v/ZndUKDt3qTMyHD+KhiN12xp8nXcaIklpsE5kiai/5WU3jZVVhABnOlZx4B6j/hjhPHCKUmFl83
fnaberrV0sLan1tMqLGtUWx9AwMg8D86fIAWb1PZz3eWPnPwMO2ACS0CV5lD/9/VXe6mJIggqFm7
9NCbdaHnLUtWZaKD9wUNp6IuuyuUnKDCCMVS9wOG06cq7buT5/blM0Y1tZW2Gb0gCa7ZIOBFkDsS
maYDyouxCjJBAhMUxNgm6aujRarikjkozavVUHN41mYL84wVaxtMA9skbMgxcCZzM1TW9QCkeIVd
nVltyJ+tLhyIiQjvG/TzAuNYm+8NVlL2dXCCTMVvyL77epLmOWQjtkbHV95NUcqTK1ztsshN/Rwz
94eNv6yQE4JpswJZWU22To3GxlXQoWD6yVHxB8VtfXGYw+YrATxMJrwYVNcrABXceQMUESB3A3j2
NAyXnez0RU00jWELxOxyAlYYdpGqwz5L+RW4yEWnGN3+860CfdgXaY3lrTONeboLnTFHCCXDsfAv
q+rqiyNeXmW+avG0B2VCNMpV6zMwgjqNjJfL/oJFESaDZWQiuTQD1z6LpRv/Kq8J+vjJq3S+D//p
MLM45fnsN8w06ucgUliQjqaGgDkOfXCGRm0k/WXHYH1RkkExrirbjnifPKt6cdpy/ITOtr297A4t
znuuaHldHX0K1NghQyRNcrjCAIfH75LrC39x4KvTGJ4RIs8gazUyQRTnq5gGX51d9AYJfzGc6fGa
Zo+dleoGEqcYiiFuuJwdxUVjQPiL0QzGb4isgb4DjWAX2ZYJ+l6bKnRXl92fxRiOAS+AJvXGQJ/B
sDVDIk9+H/k/mYvO4+jf31DhL0YwgrEWJST9QbOAdb8uGhe6c8KR8MJPvxi/5F6HgC3aMZAIaxPY
yFG1SWJ3qi68/mL8Rq4mZ4RKeiAgznNSwPeY8ZCLn+UL/+j+LEawRXZPiC54DnIdTX/hdUiKSOcc
LirUCn8xdDsQmbooqiFAqSrujCGrwg2STNe7cHAtB2+O70sZ8KDsPFTvJSAL4hht/eGiV9NbDF1v
6GpTdfEQYIZFZlclfG7PK+Rl3VnhLYauYZitXwzcHSIr/ApAktAfwH6OH5d9/MXIzRvTarEXjUFe
DPkGWQ/nHMXvlJe9m95i5Pa2I2urM4cgnL3oMe1NNW2zLLOLf837f/sy/j36qO7+NUy7X//B11+q
emrx3srFl78+VQX//+P8b/7/Z/78L37df1Q378VHt/yhP/0brvv77928y/c/fbEtkRFO9+qjnR4+
OpXL//7df31C/oDzhe6qpJRPQKwXl/iffuj73/HDC/3l4/tFn6b645+/fKlUKc+fL0qq8pffv3X8
+s9fLCa2v/3bhb7/Mf/tAvk7H1h95cqm81cU+qYLCgIX7vm/X/6CmT76/dtCN//q2qZp+cxA/KI/
3MQf/e3/0w/9/jy+5B/v7a//BwAA//8=</cx:binary>
              </cx:geoCache>
            </cx:geography>
          </cx:layoutPr>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496">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lumMod val="65000"/>
          <a:lumOff val="35000"/>
        </a:schemeClr>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lumMod val="65000"/>
            <a:lumOff val="35000"/>
          </a:schemeClr>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Spin" dx="26" fmlaLink="Pivot!B1" max="100" min="1" page="10"/>
</file>

<file path=xl/ctrlProps/ctrlProp9.xml><?xml version="1.0" encoding="utf-8"?>
<formControlPr xmlns="http://schemas.microsoft.com/office/spreadsheetml/2009/9/main" objectType="Spin" dx="26" fmlaLink="Pivot!J1" max="100" min="1" page="10"/>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Spin" dx="26" fmlaLink="Pivot!X1" max="3" min="1" page="10"/>
</file>

<file path=xl/ctrlProps/ctrlProp14.xml><?xml version="1.0" encoding="utf-8"?>
<formControlPr xmlns="http://schemas.microsoft.com/office/spreadsheetml/2009/9/main" objectType="Spin" dx="26" fmlaLink="Pivot!AH1" max="3" min="1" page="10"/>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chart" Target="../charts/chart12.xml"/><Relationship Id="rId18" Type="http://schemas.openxmlformats.org/officeDocument/2006/relationships/chart" Target="../charts/chart17.xml"/><Relationship Id="rId3" Type="http://schemas.openxmlformats.org/officeDocument/2006/relationships/image" Target="../media/image1.gif"/><Relationship Id="rId21" Type="http://schemas.openxmlformats.org/officeDocument/2006/relationships/chart" Target="../charts/chart20.xml"/><Relationship Id="rId7" Type="http://schemas.openxmlformats.org/officeDocument/2006/relationships/chart" Target="../charts/chart6.xml"/><Relationship Id="rId12" Type="http://schemas.openxmlformats.org/officeDocument/2006/relationships/chart" Target="../charts/chart11.xml"/><Relationship Id="rId17" Type="http://schemas.openxmlformats.org/officeDocument/2006/relationships/chart" Target="../charts/chart16.xml"/><Relationship Id="rId2" Type="http://schemas.openxmlformats.org/officeDocument/2006/relationships/chart" Target="../charts/chart2.xml"/><Relationship Id="rId16" Type="http://schemas.openxmlformats.org/officeDocument/2006/relationships/chart" Target="../charts/chart15.xml"/><Relationship Id="rId20" Type="http://schemas.openxmlformats.org/officeDocument/2006/relationships/chart" Target="../charts/chart19.xml"/><Relationship Id="rId1" Type="http://schemas.openxmlformats.org/officeDocument/2006/relationships/chart" Target="../charts/chart1.xml"/><Relationship Id="rId6" Type="http://schemas.openxmlformats.org/officeDocument/2006/relationships/chart" Target="../charts/chart5.xml"/><Relationship Id="rId11" Type="http://schemas.openxmlformats.org/officeDocument/2006/relationships/chart" Target="../charts/chart10.xml"/><Relationship Id="rId24" Type="http://schemas.openxmlformats.org/officeDocument/2006/relationships/image" Target="../media/image2.gif"/><Relationship Id="rId5" Type="http://schemas.openxmlformats.org/officeDocument/2006/relationships/chart" Target="../charts/chart4.xml"/><Relationship Id="rId15" Type="http://schemas.openxmlformats.org/officeDocument/2006/relationships/chart" Target="../charts/chart14.xml"/><Relationship Id="rId23" Type="http://schemas.microsoft.com/office/2014/relationships/chartEx" Target="../charts/chartEx1.xml"/><Relationship Id="rId10" Type="http://schemas.openxmlformats.org/officeDocument/2006/relationships/chart" Target="../charts/chart9.xml"/><Relationship Id="rId19" Type="http://schemas.openxmlformats.org/officeDocument/2006/relationships/chart" Target="../charts/chart18.xml"/><Relationship Id="rId4" Type="http://schemas.openxmlformats.org/officeDocument/2006/relationships/chart" Target="../charts/chart3.xml"/><Relationship Id="rId9" Type="http://schemas.openxmlformats.org/officeDocument/2006/relationships/chart" Target="../charts/chart8.xml"/><Relationship Id="rId14" Type="http://schemas.openxmlformats.org/officeDocument/2006/relationships/chart" Target="../charts/chart13.xml"/><Relationship Id="rId22" Type="http://schemas.openxmlformats.org/officeDocument/2006/relationships/chart" Target="../charts/chart21.xml"/></Relationships>
</file>

<file path=xl/drawings/drawing1.xml><?xml version="1.0" encoding="utf-8"?>
<xdr:wsDr xmlns:xdr="http://schemas.openxmlformats.org/drawingml/2006/spreadsheetDrawing" xmlns:a="http://schemas.openxmlformats.org/drawingml/2006/main">
  <xdr:twoCellAnchor>
    <xdr:from>
      <xdr:col>82</xdr:col>
      <xdr:colOff>48031</xdr:colOff>
      <xdr:row>0</xdr:row>
      <xdr:rowOff>54385</xdr:rowOff>
    </xdr:from>
    <xdr:to>
      <xdr:col>105</xdr:col>
      <xdr:colOff>70</xdr:colOff>
      <xdr:row>2</xdr:row>
      <xdr:rowOff>84865</xdr:rowOff>
    </xdr:to>
    <xdr:sp macro="[0]!Main1_Shape2_Click" textlink="">
      <xdr:nvSpPr>
        <xdr:cNvPr id="4" name="Main1_Shape2">
          <a:extLst>
            <a:ext uri="{FF2B5EF4-FFF2-40B4-BE49-F238E27FC236}">
              <a16:creationId xmlns:a16="http://schemas.microsoft.com/office/drawing/2014/main" id="{00000000-0008-0000-0700-000004000000}"/>
            </a:ext>
          </a:extLst>
        </xdr:cNvPr>
        <xdr:cNvSpPr/>
      </xdr:nvSpPr>
      <xdr:spPr>
        <a:xfrm>
          <a:off x="4421911" y="54385"/>
          <a:ext cx="1178859" cy="274320"/>
        </a:xfrm>
        <a:prstGeom prst="round2DiagRect">
          <a:avLst>
            <a:gd name="adj1" fmla="val 18063"/>
            <a:gd name="adj2" fmla="val 0"/>
          </a:avLst>
        </a:prstGeom>
        <a:solidFill>
          <a:srgbClr val="FFEFE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rgbClr val="FF0000"/>
              </a:solidFill>
            </a:rPr>
            <a:t>Risk</a:t>
          </a:r>
        </a:p>
      </xdr:txBody>
    </xdr:sp>
    <xdr:clientData fLocksWithSheet="0"/>
  </xdr:twoCellAnchor>
  <xdr:twoCellAnchor>
    <xdr:from>
      <xdr:col>105</xdr:col>
      <xdr:colOff>33357</xdr:colOff>
      <xdr:row>0</xdr:row>
      <xdr:rowOff>52093</xdr:rowOff>
    </xdr:from>
    <xdr:to>
      <xdr:col>222</xdr:col>
      <xdr:colOff>33448</xdr:colOff>
      <xdr:row>2</xdr:row>
      <xdr:rowOff>84366</xdr:rowOff>
    </xdr:to>
    <xdr:grpSp>
      <xdr:nvGrpSpPr>
        <xdr:cNvPr id="4113" name="Group 4112">
          <a:extLst>
            <a:ext uri="{FF2B5EF4-FFF2-40B4-BE49-F238E27FC236}">
              <a16:creationId xmlns:a16="http://schemas.microsoft.com/office/drawing/2014/main" id="{921A2F4A-2C28-A4F4-19D6-53009C7AD563}"/>
            </a:ext>
          </a:extLst>
        </xdr:cNvPr>
        <xdr:cNvGrpSpPr/>
      </xdr:nvGrpSpPr>
      <xdr:grpSpPr>
        <a:xfrm>
          <a:off x="5681122" y="52093"/>
          <a:ext cx="6293314" cy="274320"/>
          <a:chOff x="5672593" y="52093"/>
          <a:chExt cx="6292889" cy="274320"/>
        </a:xfrm>
      </xdr:grpSpPr>
      <xdr:sp macro="" textlink="">
        <xdr:nvSpPr>
          <xdr:cNvPr id="10" name="Rectangle: Diagonal Corners Rounded 9">
            <a:extLst>
              <a:ext uri="{FF2B5EF4-FFF2-40B4-BE49-F238E27FC236}">
                <a16:creationId xmlns:a16="http://schemas.microsoft.com/office/drawing/2014/main" id="{00000000-0008-0000-0700-00000A000000}"/>
              </a:ext>
            </a:extLst>
          </xdr:cNvPr>
          <xdr:cNvSpPr/>
        </xdr:nvSpPr>
        <xdr:spPr>
          <a:xfrm>
            <a:off x="6483656" y="54984"/>
            <a:ext cx="4362614" cy="182880"/>
          </a:xfrm>
          <a:prstGeom prst="round2DiagRect">
            <a:avLst>
              <a:gd name="adj1" fmla="val 25573"/>
              <a:gd name="adj2" fmla="val 0"/>
            </a:avLst>
          </a:prstGeom>
          <a:solidFill>
            <a:srgbClr val="FF151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Diagonal Corners Rounded 10">
            <a:extLst>
              <a:ext uri="{FF2B5EF4-FFF2-40B4-BE49-F238E27FC236}">
                <a16:creationId xmlns:a16="http://schemas.microsoft.com/office/drawing/2014/main" id="{00000000-0008-0000-0700-00000B000000}"/>
              </a:ext>
            </a:extLst>
          </xdr:cNvPr>
          <xdr:cNvSpPr/>
        </xdr:nvSpPr>
        <xdr:spPr>
          <a:xfrm>
            <a:off x="10891349" y="54002"/>
            <a:ext cx="1074133" cy="182880"/>
          </a:xfrm>
          <a:prstGeom prst="round2DiagRect">
            <a:avLst>
              <a:gd name="adj1" fmla="val 27594"/>
              <a:gd name="adj2" fmla="val 0"/>
            </a:avLst>
          </a:prstGeom>
          <a:solidFill>
            <a:srgbClr val="004EE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 name="Rectangle: Diagonal Corners Rounded 11">
            <a:extLst>
              <a:ext uri="{FF2B5EF4-FFF2-40B4-BE49-F238E27FC236}">
                <a16:creationId xmlns:a16="http://schemas.microsoft.com/office/drawing/2014/main" id="{00000000-0008-0000-0700-00000C000000}"/>
              </a:ext>
            </a:extLst>
          </xdr:cNvPr>
          <xdr:cNvSpPr/>
        </xdr:nvSpPr>
        <xdr:spPr>
          <a:xfrm>
            <a:off x="5672593" y="52093"/>
            <a:ext cx="1183342" cy="274320"/>
          </a:xfrm>
          <a:custGeom>
            <a:avLst/>
            <a:gdLst>
              <a:gd name="connsiteX0" fmla="*/ 59759 w 1370330"/>
              <a:gd name="connsiteY0" fmla="*/ 0 h 233680"/>
              <a:gd name="connsiteX1" fmla="*/ 1370330 w 1370330"/>
              <a:gd name="connsiteY1" fmla="*/ 0 h 233680"/>
              <a:gd name="connsiteX2" fmla="*/ 1370330 w 1370330"/>
              <a:gd name="connsiteY2" fmla="*/ 0 h 233680"/>
              <a:gd name="connsiteX3" fmla="*/ 1370330 w 1370330"/>
              <a:gd name="connsiteY3" fmla="*/ 173921 h 233680"/>
              <a:gd name="connsiteX4" fmla="*/ 1310571 w 1370330"/>
              <a:gd name="connsiteY4" fmla="*/ 233680 h 233680"/>
              <a:gd name="connsiteX5" fmla="*/ 0 w 1370330"/>
              <a:gd name="connsiteY5" fmla="*/ 233680 h 233680"/>
              <a:gd name="connsiteX6" fmla="*/ 0 w 1370330"/>
              <a:gd name="connsiteY6" fmla="*/ 233680 h 233680"/>
              <a:gd name="connsiteX7" fmla="*/ 0 w 1370330"/>
              <a:gd name="connsiteY7" fmla="*/ 59759 h 233680"/>
              <a:gd name="connsiteX8" fmla="*/ 59759 w 1370330"/>
              <a:gd name="connsiteY8" fmla="*/ 0 h 233680"/>
              <a:gd name="connsiteX0" fmla="*/ 59759 w 1370330"/>
              <a:gd name="connsiteY0" fmla="*/ 0 h 233680"/>
              <a:gd name="connsiteX1" fmla="*/ 1370330 w 1370330"/>
              <a:gd name="connsiteY1" fmla="*/ 0 h 233680"/>
              <a:gd name="connsiteX2" fmla="*/ 1370330 w 1370330"/>
              <a:gd name="connsiteY2" fmla="*/ 0 h 233680"/>
              <a:gd name="connsiteX3" fmla="*/ 1370330 w 1370330"/>
              <a:gd name="connsiteY3" fmla="*/ 173921 h 233680"/>
              <a:gd name="connsiteX4" fmla="*/ 1310571 w 1370330"/>
              <a:gd name="connsiteY4" fmla="*/ 233680 h 233680"/>
              <a:gd name="connsiteX5" fmla="*/ 1063716 w 1370330"/>
              <a:gd name="connsiteY5" fmla="*/ 230126 h 233680"/>
              <a:gd name="connsiteX6" fmla="*/ 0 w 1370330"/>
              <a:gd name="connsiteY6" fmla="*/ 233680 h 233680"/>
              <a:gd name="connsiteX7" fmla="*/ 0 w 1370330"/>
              <a:gd name="connsiteY7" fmla="*/ 233680 h 233680"/>
              <a:gd name="connsiteX8" fmla="*/ 0 w 1370330"/>
              <a:gd name="connsiteY8" fmla="*/ 59759 h 233680"/>
              <a:gd name="connsiteX9" fmla="*/ 59759 w 1370330"/>
              <a:gd name="connsiteY9" fmla="*/ 0 h 233680"/>
              <a:gd name="connsiteX0" fmla="*/ 59759 w 1370330"/>
              <a:gd name="connsiteY0" fmla="*/ 0 h 233680"/>
              <a:gd name="connsiteX1" fmla="*/ 1370330 w 1370330"/>
              <a:gd name="connsiteY1" fmla="*/ 0 h 233680"/>
              <a:gd name="connsiteX2" fmla="*/ 1370330 w 1370330"/>
              <a:gd name="connsiteY2" fmla="*/ 0 h 233680"/>
              <a:gd name="connsiteX3" fmla="*/ 1310571 w 1370330"/>
              <a:gd name="connsiteY3" fmla="*/ 233680 h 233680"/>
              <a:gd name="connsiteX4" fmla="*/ 1063716 w 1370330"/>
              <a:gd name="connsiteY4" fmla="*/ 230126 h 233680"/>
              <a:gd name="connsiteX5" fmla="*/ 0 w 1370330"/>
              <a:gd name="connsiteY5" fmla="*/ 233680 h 233680"/>
              <a:gd name="connsiteX6" fmla="*/ 0 w 1370330"/>
              <a:gd name="connsiteY6" fmla="*/ 233680 h 233680"/>
              <a:gd name="connsiteX7" fmla="*/ 0 w 1370330"/>
              <a:gd name="connsiteY7" fmla="*/ 59759 h 233680"/>
              <a:gd name="connsiteX8" fmla="*/ 59759 w 1370330"/>
              <a:gd name="connsiteY8" fmla="*/ 0 h 233680"/>
              <a:gd name="connsiteX0" fmla="*/ 59759 w 1370330"/>
              <a:gd name="connsiteY0" fmla="*/ 0 h 233680"/>
              <a:gd name="connsiteX1" fmla="*/ 1370330 w 1370330"/>
              <a:gd name="connsiteY1" fmla="*/ 0 h 233680"/>
              <a:gd name="connsiteX2" fmla="*/ 1370330 w 1370330"/>
              <a:gd name="connsiteY2" fmla="*/ 0 h 233680"/>
              <a:gd name="connsiteX3" fmla="*/ 1063716 w 1370330"/>
              <a:gd name="connsiteY3" fmla="*/ 230126 h 233680"/>
              <a:gd name="connsiteX4" fmla="*/ 0 w 1370330"/>
              <a:gd name="connsiteY4" fmla="*/ 233680 h 233680"/>
              <a:gd name="connsiteX5" fmla="*/ 0 w 1370330"/>
              <a:gd name="connsiteY5" fmla="*/ 233680 h 233680"/>
              <a:gd name="connsiteX6" fmla="*/ 0 w 1370330"/>
              <a:gd name="connsiteY6" fmla="*/ 59759 h 233680"/>
              <a:gd name="connsiteX7" fmla="*/ 59759 w 1370330"/>
              <a:gd name="connsiteY7" fmla="*/ 0 h 23368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370330" h="233680">
                <a:moveTo>
                  <a:pt x="59759" y="0"/>
                </a:moveTo>
                <a:lnTo>
                  <a:pt x="1370330" y="0"/>
                </a:lnTo>
                <a:lnTo>
                  <a:pt x="1370330" y="0"/>
                </a:lnTo>
                <a:lnTo>
                  <a:pt x="1063716" y="230126"/>
                </a:lnTo>
                <a:lnTo>
                  <a:pt x="0" y="233680"/>
                </a:lnTo>
                <a:lnTo>
                  <a:pt x="0" y="233680"/>
                </a:lnTo>
                <a:lnTo>
                  <a:pt x="0" y="59759"/>
                </a:lnTo>
                <a:cubicBezTo>
                  <a:pt x="0" y="26755"/>
                  <a:pt x="26755" y="0"/>
                  <a:pt x="59759" y="0"/>
                </a:cubicBezTo>
                <a:close/>
              </a:path>
            </a:pathLst>
          </a:custGeom>
          <a:solidFill>
            <a:srgbClr val="FF151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mc:AlternateContent xmlns:mc="http://schemas.openxmlformats.org/markup-compatibility/2006">
    <mc:Choice xmlns:a14="http://schemas.microsoft.com/office/drawing/2010/main" Requires="a14">
      <xdr:twoCellAnchor editAs="absolute">
        <xdr:from>
          <xdr:col>203</xdr:col>
          <xdr:colOff>897</xdr:colOff>
          <xdr:row>3</xdr:row>
          <xdr:rowOff>152402</xdr:rowOff>
        </xdr:from>
        <xdr:to>
          <xdr:col>222</xdr:col>
          <xdr:colOff>8965</xdr:colOff>
          <xdr:row>4</xdr:row>
          <xdr:rowOff>179294</xdr:rowOff>
        </xdr:to>
        <xdr:sp macro="" textlink="">
          <xdr:nvSpPr>
            <xdr:cNvPr id="4101" name="Main1_Button1" hidden="1">
              <a:extLst>
                <a:ext uri="{63B3BB69-23CF-44E3-9099-C40C66FF867C}">
                  <a14:compatExt spid="_x0000_s4101"/>
                </a:ext>
                <a:ext uri="{FF2B5EF4-FFF2-40B4-BE49-F238E27FC236}">
                  <a16:creationId xmlns:a16="http://schemas.microsoft.com/office/drawing/2014/main" id="{00000000-0008-0000-0700-00000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66CC"/>
                  </a:solidFill>
                  <a:latin typeface="Calibri"/>
                  <a:ea typeface="Calibri"/>
                  <a:cs typeface="Calibri"/>
                </a:rPr>
                <a:t>Refresh</a:t>
              </a:r>
            </a:p>
          </xdr:txBody>
        </xdr:sp>
        <xdr:clientData fPrintsWithSheet="0"/>
      </xdr:twoCellAnchor>
    </mc:Choice>
    <mc:Fallback/>
  </mc:AlternateContent>
  <xdr:twoCellAnchor>
    <xdr:from>
      <xdr:col>42</xdr:col>
      <xdr:colOff>33246</xdr:colOff>
      <xdr:row>7</xdr:row>
      <xdr:rowOff>1</xdr:rowOff>
    </xdr:from>
    <xdr:to>
      <xdr:col>129</xdr:col>
      <xdr:colOff>35859</xdr:colOff>
      <xdr:row>38</xdr:row>
      <xdr:rowOff>53788</xdr:rowOff>
    </xdr:to>
    <xdr:graphicFrame macro="">
      <xdr:nvGraphicFramePr>
        <xdr:cNvPr id="13" name="Page1_Chart 1">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50553</xdr:colOff>
      <xdr:row>16</xdr:row>
      <xdr:rowOff>174725</xdr:rowOff>
    </xdr:from>
    <xdr:to>
      <xdr:col>40</xdr:col>
      <xdr:colOff>1068</xdr:colOff>
      <xdr:row>21</xdr:row>
      <xdr:rowOff>89647</xdr:rowOff>
    </xdr:to>
    <mc:AlternateContent xmlns:mc="http://schemas.openxmlformats.org/markup-compatibility/2006" xmlns:a14="http://schemas.microsoft.com/office/drawing/2010/main">
      <mc:Choice Requires="a14">
        <xdr:graphicFrame macro="">
          <xdr:nvGraphicFramePr>
            <xdr:cNvPr id="14" name="Page1_Slicer1">
              <a:extLst>
                <a:ext uri="{FF2B5EF4-FFF2-40B4-BE49-F238E27FC236}">
                  <a16:creationId xmlns:a16="http://schemas.microsoft.com/office/drawing/2014/main" id="{00000000-0008-0000-0700-00000E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Page1_Slicer1"/>
            </a:graphicData>
          </a:graphic>
        </xdr:graphicFrame>
      </mc:Choice>
      <mc:Fallback xmlns="">
        <xdr:sp macro="" textlink="">
          <xdr:nvSpPr>
            <xdr:cNvPr id="0" name=""/>
            <xdr:cNvSpPr>
              <a:spLocks noTextEdit="1"/>
            </xdr:cNvSpPr>
          </xdr:nvSpPr>
          <xdr:spPr>
            <a:xfrm>
              <a:off x="104341" y="2532443"/>
              <a:ext cx="2048256" cy="81139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2</xdr:col>
          <xdr:colOff>7620</xdr:colOff>
          <xdr:row>8</xdr:row>
          <xdr:rowOff>15240</xdr:rowOff>
        </xdr:from>
        <xdr:to>
          <xdr:col>39</xdr:col>
          <xdr:colOff>45720</xdr:colOff>
          <xdr:row>9</xdr:row>
          <xdr:rowOff>91440</xdr:rowOff>
        </xdr:to>
        <xdr:sp macro="" textlink="">
          <xdr:nvSpPr>
            <xdr:cNvPr id="4102" name="Page1_Button1" hidden="1">
              <a:extLst>
                <a:ext uri="{63B3BB69-23CF-44E3-9099-C40C66FF867C}">
                  <a14:compatExt spid="_x0000_s4102"/>
                </a:ext>
                <a:ext uri="{FF2B5EF4-FFF2-40B4-BE49-F238E27FC236}">
                  <a16:creationId xmlns:a16="http://schemas.microsoft.com/office/drawing/2014/main" id="{00000000-0008-0000-0700-000006100000}"/>
                </a:ext>
              </a:extLst>
            </xdr:cNvPr>
            <xdr:cNvSpPr/>
          </xdr:nvSpPr>
          <xdr:spPr bwMode="auto">
            <a:xfrm>
              <a:off x="0" y="0"/>
              <a:ext cx="0" cy="0"/>
            </a:xfrm>
            <a:prstGeom prst="rect">
              <a:avLst/>
            </a:prstGeom>
            <a:noFill/>
            <a:ln w="9525">
              <a:miter lim="800000"/>
              <a:headEnd/>
              <a:tailEnd/>
            </a:ln>
          </xdr:spPr>
          <xdr:txBody>
            <a:bodyPr vertOverflow="clip" wrap="square" lIns="27432" tIns="22860" rIns="0" bIns="22860" anchor="ctr" upright="1"/>
            <a:lstStyle/>
            <a:p>
              <a:pPr algn="l" rtl="0">
                <a:defRPr sz="1000"/>
              </a:pPr>
              <a:r>
                <a:rPr lang="en-US" sz="1000" b="1" i="0" u="none" strike="noStrike" baseline="0">
                  <a:solidFill>
                    <a:srgbClr val="FF0000"/>
                  </a:solidFill>
                  <a:latin typeface="Calibri"/>
                  <a:ea typeface="Calibri"/>
                  <a:cs typeface="Calibri"/>
                </a:rPr>
                <a:t>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xdr:colOff>
          <xdr:row>10</xdr:row>
          <xdr:rowOff>7620</xdr:rowOff>
        </xdr:from>
        <xdr:to>
          <xdr:col>39</xdr:col>
          <xdr:colOff>45720</xdr:colOff>
          <xdr:row>11</xdr:row>
          <xdr:rowOff>83820</xdr:rowOff>
        </xdr:to>
        <xdr:sp macro="" textlink="">
          <xdr:nvSpPr>
            <xdr:cNvPr id="4103" name="Page1_Button2" hidden="1">
              <a:extLst>
                <a:ext uri="{63B3BB69-23CF-44E3-9099-C40C66FF867C}">
                  <a14:compatExt spid="_x0000_s4103"/>
                </a:ext>
                <a:ext uri="{FF2B5EF4-FFF2-40B4-BE49-F238E27FC236}">
                  <a16:creationId xmlns:a16="http://schemas.microsoft.com/office/drawing/2014/main" id="{00000000-0008-0000-07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0" bIns="22860" anchor="ctr" upright="1"/>
            <a:lstStyle/>
            <a:p>
              <a:pPr algn="l" rtl="0">
                <a:defRPr sz="1000"/>
              </a:pPr>
              <a:r>
                <a:rPr lang="en-US" sz="1000" b="1" i="0" u="none" strike="noStrike" baseline="0">
                  <a:solidFill>
                    <a:srgbClr val="FF0000"/>
                  </a:solidFill>
                  <a:latin typeface="Calibri"/>
                  <a:ea typeface="Calibri"/>
                  <a:cs typeface="Calibri"/>
                </a:rPr>
                <a:t> Country</a:t>
              </a:r>
            </a:p>
          </xdr:txBody>
        </xdr:sp>
        <xdr:clientData fPrintsWithSheet="0"/>
      </xdr:twoCellAnchor>
    </mc:Choice>
    <mc:Fallback/>
  </mc:AlternateContent>
  <xdr:twoCellAnchor>
    <xdr:from>
      <xdr:col>131</xdr:col>
      <xdr:colOff>44823</xdr:colOff>
      <xdr:row>7</xdr:row>
      <xdr:rowOff>53786</xdr:rowOff>
    </xdr:from>
    <xdr:to>
      <xdr:col>212</xdr:col>
      <xdr:colOff>8965</xdr:colOff>
      <xdr:row>39</xdr:row>
      <xdr:rowOff>35857</xdr:rowOff>
    </xdr:to>
    <xdr:graphicFrame macro="">
      <xdr:nvGraphicFramePr>
        <xdr:cNvPr id="2" name="Page1_Chart 2">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203</xdr:col>
          <xdr:colOff>15240</xdr:colOff>
          <xdr:row>39</xdr:row>
          <xdr:rowOff>68580</xdr:rowOff>
        </xdr:from>
        <xdr:to>
          <xdr:col>208</xdr:col>
          <xdr:colOff>15240</xdr:colOff>
          <xdr:row>40</xdr:row>
          <xdr:rowOff>167640</xdr:rowOff>
        </xdr:to>
        <xdr:sp macro="" textlink="">
          <xdr:nvSpPr>
            <xdr:cNvPr id="4105" name="Page1_Button3" hidden="1">
              <a:extLst>
                <a:ext uri="{63B3BB69-23CF-44E3-9099-C40C66FF867C}">
                  <a14:compatExt spid="_x0000_s4105"/>
                </a:ext>
                <a:ext uri="{FF2B5EF4-FFF2-40B4-BE49-F238E27FC236}">
                  <a16:creationId xmlns:a16="http://schemas.microsoft.com/office/drawing/2014/main" id="{00000000-0008-0000-0700-000009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66CC"/>
                  </a:solidFill>
                  <a:latin typeface="Calibri"/>
                  <a:ea typeface="Calibri"/>
                  <a:cs typeface="Calibri"/>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209</xdr:col>
          <xdr:colOff>30480</xdr:colOff>
          <xdr:row>39</xdr:row>
          <xdr:rowOff>68580</xdr:rowOff>
        </xdr:from>
        <xdr:to>
          <xdr:col>214</xdr:col>
          <xdr:colOff>38100</xdr:colOff>
          <xdr:row>40</xdr:row>
          <xdr:rowOff>167640</xdr:rowOff>
        </xdr:to>
        <xdr:sp macro="" textlink="">
          <xdr:nvSpPr>
            <xdr:cNvPr id="4106" name="Page1_Button4" hidden="1">
              <a:extLst>
                <a:ext uri="{63B3BB69-23CF-44E3-9099-C40C66FF867C}">
                  <a14:compatExt spid="_x0000_s4106"/>
                </a:ext>
                <a:ext uri="{FF2B5EF4-FFF2-40B4-BE49-F238E27FC236}">
                  <a16:creationId xmlns:a16="http://schemas.microsoft.com/office/drawing/2014/main" id="{00000000-0008-0000-0700-00000A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66CC"/>
                  </a:solidFill>
                  <a:latin typeface="Calibri"/>
                  <a:ea typeface="Calibri"/>
                  <a:cs typeface="Calibri"/>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215</xdr:col>
          <xdr:colOff>38100</xdr:colOff>
          <xdr:row>39</xdr:row>
          <xdr:rowOff>68580</xdr:rowOff>
        </xdr:from>
        <xdr:to>
          <xdr:col>220</xdr:col>
          <xdr:colOff>45720</xdr:colOff>
          <xdr:row>40</xdr:row>
          <xdr:rowOff>167640</xdr:rowOff>
        </xdr:to>
        <xdr:sp macro="" textlink="">
          <xdr:nvSpPr>
            <xdr:cNvPr id="4107" name="Page1_Button5" hidden="1">
              <a:extLst>
                <a:ext uri="{63B3BB69-23CF-44E3-9099-C40C66FF867C}">
                  <a14:compatExt spid="_x0000_s4107"/>
                </a:ext>
                <a:ext uri="{FF2B5EF4-FFF2-40B4-BE49-F238E27FC236}">
                  <a16:creationId xmlns:a16="http://schemas.microsoft.com/office/drawing/2014/main" id="{00000000-0008-0000-0700-00000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66CC"/>
                  </a:solidFill>
                  <a:latin typeface="Calibri"/>
                  <a:ea typeface="Calibri"/>
                  <a:cs typeface="Calibri"/>
                </a:rPr>
                <a:t>3</a:t>
              </a:r>
            </a:p>
          </xdr:txBody>
        </xdr:sp>
        <xdr:clientData fPrintsWithSheet="0"/>
      </xdr:twoCellAnchor>
    </mc:Choice>
    <mc:Fallback/>
  </mc:AlternateContent>
  <xdr:twoCellAnchor editAs="oneCell">
    <xdr:from>
      <xdr:col>2</xdr:col>
      <xdr:colOff>0</xdr:colOff>
      <xdr:row>13</xdr:row>
      <xdr:rowOff>71717</xdr:rowOff>
    </xdr:from>
    <xdr:to>
      <xdr:col>40</xdr:col>
      <xdr:colOff>4303</xdr:colOff>
      <xdr:row>16</xdr:row>
      <xdr:rowOff>116541</xdr:rowOff>
    </xdr:to>
    <mc:AlternateContent xmlns:mc="http://schemas.openxmlformats.org/markup-compatibility/2006" xmlns:a14="http://schemas.microsoft.com/office/drawing/2010/main">
      <mc:Choice Requires="a14">
        <xdr:graphicFrame macro="">
          <xdr:nvGraphicFramePr>
            <xdr:cNvPr id="7" name="Page1_Slicer2">
              <a:extLst>
                <a:ext uri="{FF2B5EF4-FFF2-40B4-BE49-F238E27FC236}">
                  <a16:creationId xmlns:a16="http://schemas.microsoft.com/office/drawing/2014/main" id="{00000000-0008-0000-0700-000007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Page1_Slicer2"/>
            </a:graphicData>
          </a:graphic>
        </xdr:graphicFrame>
      </mc:Choice>
      <mc:Fallback xmlns="">
        <xdr:sp macro="" textlink="">
          <xdr:nvSpPr>
            <xdr:cNvPr id="0" name=""/>
            <xdr:cNvSpPr>
              <a:spLocks noTextEdit="1"/>
            </xdr:cNvSpPr>
          </xdr:nvSpPr>
          <xdr:spPr>
            <a:xfrm>
              <a:off x="107576" y="1891552"/>
              <a:ext cx="2048256" cy="58270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xdr:col>
      <xdr:colOff>0</xdr:colOff>
      <xdr:row>1</xdr:row>
      <xdr:rowOff>0</xdr:rowOff>
    </xdr:from>
    <xdr:to>
      <xdr:col>59</xdr:col>
      <xdr:colOff>26893</xdr:colOff>
      <xdr:row>3</xdr:row>
      <xdr:rowOff>0</xdr:rowOff>
    </xdr:to>
    <xdr:pic>
      <xdr:nvPicPr>
        <xdr:cNvPr id="8" name="Picture 7" descr="[animate output image]">
          <a:extLst>
            <a:ext uri="{FF2B5EF4-FFF2-40B4-BE49-F238E27FC236}">
              <a16:creationId xmlns:a16="http://schemas.microsoft.com/office/drawing/2014/main" id="{00000000-0008-0000-0700-000008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3788" y="62753"/>
          <a:ext cx="3146611" cy="3585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43</xdr:col>
      <xdr:colOff>0</xdr:colOff>
      <xdr:row>7</xdr:row>
      <xdr:rowOff>53788</xdr:rowOff>
    </xdr:from>
    <xdr:to>
      <xdr:col>130</xdr:col>
      <xdr:colOff>2151</xdr:colOff>
      <xdr:row>39</xdr:row>
      <xdr:rowOff>35859</xdr:rowOff>
    </xdr:to>
    <xdr:graphicFrame macro="">
      <xdr:nvGraphicFramePr>
        <xdr:cNvPr id="15" name="Page1_Chart 3" hidden="1">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131</xdr:col>
      <xdr:colOff>16585</xdr:colOff>
      <xdr:row>7</xdr:row>
      <xdr:rowOff>46840</xdr:rowOff>
    </xdr:from>
    <xdr:to>
      <xdr:col>218</xdr:col>
      <xdr:colOff>46169</xdr:colOff>
      <xdr:row>39</xdr:row>
      <xdr:rowOff>28911</xdr:rowOff>
    </xdr:to>
    <xdr:graphicFrame macro="">
      <xdr:nvGraphicFramePr>
        <xdr:cNvPr id="16" name="Page1_Chart 4" hidden="1">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86</xdr:col>
      <xdr:colOff>0</xdr:colOff>
      <xdr:row>7</xdr:row>
      <xdr:rowOff>53788</xdr:rowOff>
    </xdr:from>
    <xdr:to>
      <xdr:col>152</xdr:col>
      <xdr:colOff>44822</xdr:colOff>
      <xdr:row>38</xdr:row>
      <xdr:rowOff>170329</xdr:rowOff>
    </xdr:to>
    <xdr:graphicFrame macro="">
      <xdr:nvGraphicFramePr>
        <xdr:cNvPr id="17" name="Page1_Chart 5" hidden="1">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42</xdr:col>
      <xdr:colOff>44824</xdr:colOff>
      <xdr:row>7</xdr:row>
      <xdr:rowOff>53788</xdr:rowOff>
    </xdr:from>
    <xdr:to>
      <xdr:col>84</xdr:col>
      <xdr:colOff>449</xdr:colOff>
      <xdr:row>41</xdr:row>
      <xdr:rowOff>8964</xdr:rowOff>
    </xdr:to>
    <mc:AlternateContent xmlns:mc="http://schemas.openxmlformats.org/markup-compatibility/2006" xmlns:a14="http://schemas.microsoft.com/office/drawing/2010/main">
      <mc:Choice Requires="a14">
        <xdr:graphicFrame macro="">
          <xdr:nvGraphicFramePr>
            <xdr:cNvPr id="18" name="Page1_Slicer3" hidden="1">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microsoft.com/office/drawing/2010/slicer">
              <sle:slicer xmlns:sle="http://schemas.microsoft.com/office/drawing/2010/slicer" name="Page1_Slicer3"/>
            </a:graphicData>
          </a:graphic>
        </xdr:graphicFrame>
      </mc:Choice>
      <mc:Fallback xmlns="">
        <xdr:sp macro="" textlink="">
          <xdr:nvSpPr>
            <xdr:cNvPr id="0" name=""/>
            <xdr:cNvSpPr>
              <a:spLocks noTextEdit="1"/>
            </xdr:cNvSpPr>
          </xdr:nvSpPr>
          <xdr:spPr>
            <a:xfrm>
              <a:off x="2303930" y="1030941"/>
              <a:ext cx="2214731" cy="581809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xdr:col>
      <xdr:colOff>44824</xdr:colOff>
      <xdr:row>21</xdr:row>
      <xdr:rowOff>152401</xdr:rowOff>
    </xdr:from>
    <xdr:to>
      <xdr:col>39</xdr:col>
      <xdr:colOff>49127</xdr:colOff>
      <xdr:row>29</xdr:row>
      <xdr:rowOff>107577</xdr:rowOff>
    </xdr:to>
    <mc:AlternateContent xmlns:mc="http://schemas.openxmlformats.org/markup-compatibility/2006" xmlns:a14="http://schemas.microsoft.com/office/drawing/2010/main">
      <mc:Choice Requires="a14">
        <xdr:graphicFrame macro="">
          <xdr:nvGraphicFramePr>
            <xdr:cNvPr id="19" name="Page1_Slicer4">
              <a:extLst>
                <a:ext uri="{FF2B5EF4-FFF2-40B4-BE49-F238E27FC236}">
                  <a16:creationId xmlns:a16="http://schemas.microsoft.com/office/drawing/2014/main" id="{00000000-0008-0000-0700-000013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Page1_Slicer4"/>
            </a:graphicData>
          </a:graphic>
        </xdr:graphicFrame>
      </mc:Choice>
      <mc:Fallback xmlns="">
        <xdr:sp macro="" textlink="">
          <xdr:nvSpPr>
            <xdr:cNvPr id="0" name=""/>
            <xdr:cNvSpPr>
              <a:spLocks noTextEdit="1"/>
            </xdr:cNvSpPr>
          </xdr:nvSpPr>
          <xdr:spPr>
            <a:xfrm>
              <a:off x="98612" y="3406589"/>
              <a:ext cx="2048256" cy="13895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xdr:col>
      <xdr:colOff>49755</xdr:colOff>
      <xdr:row>29</xdr:row>
      <xdr:rowOff>170328</xdr:rowOff>
    </xdr:from>
    <xdr:to>
      <xdr:col>40</xdr:col>
      <xdr:colOff>270</xdr:colOff>
      <xdr:row>40</xdr:row>
      <xdr:rowOff>178284</xdr:rowOff>
    </xdr:to>
    <mc:AlternateContent xmlns:mc="http://schemas.openxmlformats.org/markup-compatibility/2006" xmlns:a14="http://schemas.microsoft.com/office/drawing/2010/main">
      <mc:Choice Requires="a14">
        <xdr:graphicFrame macro="">
          <xdr:nvGraphicFramePr>
            <xdr:cNvPr id="20" name="Page1_Slicer5">
              <a:extLst>
                <a:ext uri="{FF2B5EF4-FFF2-40B4-BE49-F238E27FC236}">
                  <a16:creationId xmlns:a16="http://schemas.microsoft.com/office/drawing/2014/main" id="{00000000-0008-0000-0700-000014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Page1_Slicer5"/>
            </a:graphicData>
          </a:graphic>
        </xdr:graphicFrame>
      </mc:Choice>
      <mc:Fallback xmlns="">
        <xdr:sp macro="" textlink="">
          <xdr:nvSpPr>
            <xdr:cNvPr id="0" name=""/>
            <xdr:cNvSpPr>
              <a:spLocks noTextEdit="1"/>
            </xdr:cNvSpPr>
          </xdr:nvSpPr>
          <xdr:spPr>
            <a:xfrm>
              <a:off x="103543" y="4858869"/>
              <a:ext cx="2048256" cy="198019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153</xdr:col>
      <xdr:colOff>26894</xdr:colOff>
      <xdr:row>7</xdr:row>
      <xdr:rowOff>44823</xdr:rowOff>
    </xdr:from>
    <xdr:to>
      <xdr:col>221</xdr:col>
      <xdr:colOff>26894</xdr:colOff>
      <xdr:row>38</xdr:row>
      <xdr:rowOff>125506</xdr:rowOff>
    </xdr:to>
    <xdr:graphicFrame macro="">
      <xdr:nvGraphicFramePr>
        <xdr:cNvPr id="24" name="Page1_Chart 6" hidden="1">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absolute">
        <xdr:from>
          <xdr:col>203</xdr:col>
          <xdr:colOff>9862</xdr:colOff>
          <xdr:row>2</xdr:row>
          <xdr:rowOff>62754</xdr:rowOff>
        </xdr:from>
        <xdr:to>
          <xdr:col>222</xdr:col>
          <xdr:colOff>2242</xdr:colOff>
          <xdr:row>3</xdr:row>
          <xdr:rowOff>93772</xdr:rowOff>
        </xdr:to>
        <xdr:sp macro="" textlink="">
          <xdr:nvSpPr>
            <xdr:cNvPr id="4108" name="Button 12" hidden="1">
              <a:extLst>
                <a:ext uri="{63B3BB69-23CF-44E3-9099-C40C66FF867C}">
                  <a14:compatExt spid="_x0000_s4108"/>
                </a:ext>
                <a:ext uri="{FF2B5EF4-FFF2-40B4-BE49-F238E27FC236}">
                  <a16:creationId xmlns:a16="http://schemas.microsoft.com/office/drawing/2014/main" id="{00000000-0008-0000-0700-00000C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66CC"/>
                  </a:solidFill>
                  <a:latin typeface="Calibri"/>
                  <a:ea typeface="Calibri"/>
                  <a:cs typeface="Calibri"/>
                </a:rPr>
                <a:t>About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215</xdr:col>
          <xdr:colOff>30480</xdr:colOff>
          <xdr:row>9</xdr:row>
          <xdr:rowOff>129540</xdr:rowOff>
        </xdr:from>
        <xdr:to>
          <xdr:col>220</xdr:col>
          <xdr:colOff>38100</xdr:colOff>
          <xdr:row>39</xdr:row>
          <xdr:rowOff>30480</xdr:rowOff>
        </xdr:to>
        <xdr:sp macro="" textlink="">
          <xdr:nvSpPr>
            <xdr:cNvPr id="4110" name="Page1_Spinner1" hidden="1">
              <a:extLst>
                <a:ext uri="{63B3BB69-23CF-44E3-9099-C40C66FF867C}">
                  <a14:compatExt spid="_x0000_s4110"/>
                </a:ext>
                <a:ext uri="{FF2B5EF4-FFF2-40B4-BE49-F238E27FC236}">
                  <a16:creationId xmlns:a16="http://schemas.microsoft.com/office/drawing/2014/main" id="{00000000-0008-0000-0700-00000E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215</xdr:col>
          <xdr:colOff>30480</xdr:colOff>
          <xdr:row>9</xdr:row>
          <xdr:rowOff>144780</xdr:rowOff>
        </xdr:from>
        <xdr:to>
          <xdr:col>220</xdr:col>
          <xdr:colOff>38100</xdr:colOff>
          <xdr:row>39</xdr:row>
          <xdr:rowOff>22860</xdr:rowOff>
        </xdr:to>
        <xdr:sp macro="" textlink="">
          <xdr:nvSpPr>
            <xdr:cNvPr id="4111" name="Page1_Spinner2" hidden="1">
              <a:extLst>
                <a:ext uri="{63B3BB69-23CF-44E3-9099-C40C66FF867C}">
                  <a14:compatExt spid="_x0000_s4111"/>
                </a:ext>
                <a:ext uri="{FF2B5EF4-FFF2-40B4-BE49-F238E27FC236}">
                  <a16:creationId xmlns:a16="http://schemas.microsoft.com/office/drawing/2014/main" id="{00000000-0008-0000-0700-00000F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203</xdr:col>
      <xdr:colOff>15241</xdr:colOff>
      <xdr:row>8</xdr:row>
      <xdr:rowOff>896</xdr:rowOff>
    </xdr:from>
    <xdr:to>
      <xdr:col>220</xdr:col>
      <xdr:colOff>29583</xdr:colOff>
      <xdr:row>9</xdr:row>
      <xdr:rowOff>72613</xdr:rowOff>
    </xdr:to>
    <xdr:sp macro="" textlink="Pivot!B4">
      <xdr:nvSpPr>
        <xdr:cNvPr id="25" name="Page1_Shape1">
          <a:extLst>
            <a:ext uri="{FF2B5EF4-FFF2-40B4-BE49-F238E27FC236}">
              <a16:creationId xmlns:a16="http://schemas.microsoft.com/office/drawing/2014/main" id="{00000000-0008-0000-0700-000019000000}"/>
            </a:ext>
          </a:extLst>
        </xdr:cNvPr>
        <xdr:cNvSpPr/>
      </xdr:nvSpPr>
      <xdr:spPr>
        <a:xfrm>
          <a:off x="10843261" y="1044836"/>
          <a:ext cx="921122" cy="254597"/>
        </a:xfrm>
        <a:prstGeom prst="roundRect">
          <a:avLst>
            <a:gd name="adj" fmla="val 10931"/>
          </a:avLst>
        </a:prstGeom>
        <a:noFill/>
        <a:ln>
          <a:solidFill>
            <a:srgbClr val="FF0000"/>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fld id="{3F990C43-DB11-4D13-92E1-D78D9F74D8F1}" type="TxLink">
            <a:rPr lang="en-US" sz="1100" b="0" i="0" u="none" strike="noStrike">
              <a:solidFill>
                <a:srgbClr val="FF0000"/>
              </a:solidFill>
              <a:latin typeface="Calibri"/>
              <a:ea typeface="Calibri"/>
              <a:cs typeface="Calibri"/>
            </a:rPr>
            <a:pPr algn="ctr"/>
            <a:t>Page 1 / 2</a:t>
          </a:fld>
          <a:endParaRPr lang="en-US" sz="1100">
            <a:solidFill>
              <a:srgbClr val="FF0000"/>
            </a:solidFill>
          </a:endParaRPr>
        </a:p>
      </xdr:txBody>
    </xdr:sp>
    <xdr:clientData/>
  </xdr:twoCellAnchor>
  <xdr:twoCellAnchor>
    <xdr:from>
      <xdr:col>203</xdr:col>
      <xdr:colOff>17929</xdr:colOff>
      <xdr:row>8</xdr:row>
      <xdr:rowOff>0</xdr:rowOff>
    </xdr:from>
    <xdr:to>
      <xdr:col>220</xdr:col>
      <xdr:colOff>32271</xdr:colOff>
      <xdr:row>9</xdr:row>
      <xdr:rowOff>71717</xdr:rowOff>
    </xdr:to>
    <xdr:sp macro="" textlink="Pivot!J4">
      <xdr:nvSpPr>
        <xdr:cNvPr id="26" name="Page1_Shape2" hidden="1">
          <a:extLst>
            <a:ext uri="{FF2B5EF4-FFF2-40B4-BE49-F238E27FC236}">
              <a16:creationId xmlns:a16="http://schemas.microsoft.com/office/drawing/2014/main" id="{00000000-0008-0000-0700-00001A000000}"/>
            </a:ext>
          </a:extLst>
        </xdr:cNvPr>
        <xdr:cNvSpPr/>
      </xdr:nvSpPr>
      <xdr:spPr>
        <a:xfrm>
          <a:off x="10845949" y="1043940"/>
          <a:ext cx="921122" cy="254597"/>
        </a:xfrm>
        <a:prstGeom prst="roundRect">
          <a:avLst>
            <a:gd name="adj" fmla="val 10931"/>
          </a:avLst>
        </a:prstGeom>
        <a:noFill/>
        <a:ln>
          <a:solidFill>
            <a:srgbClr val="FF0000"/>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fld id="{CD767851-508C-487A-90FD-92AD3DC57D4E}" type="TxLink">
            <a:rPr lang="en-US" sz="1100" b="0" i="0" u="none" strike="noStrike">
              <a:solidFill>
                <a:srgbClr val="FF0000"/>
              </a:solidFill>
              <a:latin typeface="Calibri"/>
              <a:ea typeface="Calibri"/>
              <a:cs typeface="Calibri"/>
            </a:rPr>
            <a:pPr algn="ctr"/>
            <a:t>Page 1 / 2</a:t>
          </a:fld>
          <a:endParaRPr lang="en-US" sz="1100">
            <a:solidFill>
              <a:srgbClr val="FF0000"/>
            </a:solidFill>
          </a:endParaRPr>
        </a:p>
      </xdr:txBody>
    </xdr:sp>
    <xdr:clientData/>
  </xdr:twoCellAnchor>
  <xdr:twoCellAnchor>
    <xdr:from>
      <xdr:col>60</xdr:col>
      <xdr:colOff>12172</xdr:colOff>
      <xdr:row>1</xdr:row>
      <xdr:rowOff>596</xdr:rowOff>
    </xdr:from>
    <xdr:to>
      <xdr:col>82</xdr:col>
      <xdr:colOff>18000</xdr:colOff>
      <xdr:row>4</xdr:row>
      <xdr:rowOff>596</xdr:rowOff>
    </xdr:to>
    <xdr:sp macro="[0]!Main1_Shape1_Click" textlink="">
      <xdr:nvSpPr>
        <xdr:cNvPr id="36" name="Main1_Shape1">
          <a:extLst>
            <a:ext uri="{FF2B5EF4-FFF2-40B4-BE49-F238E27FC236}">
              <a16:creationId xmlns:a16="http://schemas.microsoft.com/office/drawing/2014/main" id="{00000000-0008-0000-0700-000024000000}"/>
            </a:ext>
          </a:extLst>
        </xdr:cNvPr>
        <xdr:cNvSpPr/>
      </xdr:nvSpPr>
      <xdr:spPr>
        <a:xfrm>
          <a:off x="3212572" y="61556"/>
          <a:ext cx="1179308" cy="548640"/>
        </a:xfrm>
        <a:prstGeom prst="round2DiagRect">
          <a:avLst>
            <a:gd name="adj1" fmla="val 18063"/>
            <a:gd name="adj2" fmla="val 0"/>
          </a:avLst>
        </a:prstGeom>
        <a:solidFill>
          <a:srgbClr val="FFE5E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rgbClr val="FF0000"/>
              </a:solidFill>
            </a:rPr>
            <a:t>Trade</a:t>
          </a:r>
        </a:p>
      </xdr:txBody>
    </xdr:sp>
    <xdr:clientData fLocksWithSheet="0"/>
  </xdr:twoCellAnchor>
  <xdr:twoCellAnchor>
    <xdr:from>
      <xdr:col>42</xdr:col>
      <xdr:colOff>8965</xdr:colOff>
      <xdr:row>7</xdr:row>
      <xdr:rowOff>17928</xdr:rowOff>
    </xdr:from>
    <xdr:to>
      <xdr:col>129</xdr:col>
      <xdr:colOff>11117</xdr:colOff>
      <xdr:row>38</xdr:row>
      <xdr:rowOff>177459</xdr:rowOff>
    </xdr:to>
    <xdr:graphicFrame macro="">
      <xdr:nvGraphicFramePr>
        <xdr:cNvPr id="37" name="Page2_Chart1" hidden="1">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128</xdr:col>
      <xdr:colOff>17930</xdr:colOff>
      <xdr:row>7</xdr:row>
      <xdr:rowOff>17928</xdr:rowOff>
    </xdr:from>
    <xdr:to>
      <xdr:col>213</xdr:col>
      <xdr:colOff>17930</xdr:colOff>
      <xdr:row>38</xdr:row>
      <xdr:rowOff>161365</xdr:rowOff>
    </xdr:to>
    <xdr:graphicFrame macro="">
      <xdr:nvGraphicFramePr>
        <xdr:cNvPr id="38" name="Page2_Chart2" hidden="1">
          <a:extLst>
            <a:ext uri="{FF2B5EF4-FFF2-40B4-BE49-F238E27FC236}">
              <a16:creationId xmlns:a16="http://schemas.microsoft.com/office/drawing/2014/main" id="{00000000-0008-0000-07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xdr:from>
          <xdr:col>203</xdr:col>
          <xdr:colOff>22860</xdr:colOff>
          <xdr:row>39</xdr:row>
          <xdr:rowOff>76200</xdr:rowOff>
        </xdr:from>
        <xdr:to>
          <xdr:col>208</xdr:col>
          <xdr:colOff>22860</xdr:colOff>
          <xdr:row>40</xdr:row>
          <xdr:rowOff>175260</xdr:rowOff>
        </xdr:to>
        <xdr:sp macro="" textlink="">
          <xdr:nvSpPr>
            <xdr:cNvPr id="4115" name="Page2_Button1" hidden="1">
              <a:extLst>
                <a:ext uri="{63B3BB69-23CF-44E3-9099-C40C66FF867C}">
                  <a14:compatExt spid="_x0000_s4115"/>
                </a:ext>
                <a:ext uri="{FF2B5EF4-FFF2-40B4-BE49-F238E27FC236}">
                  <a16:creationId xmlns:a16="http://schemas.microsoft.com/office/drawing/2014/main" id="{00000000-0008-0000-0700-00001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66CC"/>
                  </a:solidFill>
                  <a:latin typeface="Calibri"/>
                  <a:ea typeface="Calibri"/>
                  <a:cs typeface="Calibri"/>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209</xdr:col>
          <xdr:colOff>30480</xdr:colOff>
          <xdr:row>39</xdr:row>
          <xdr:rowOff>76200</xdr:rowOff>
        </xdr:from>
        <xdr:to>
          <xdr:col>214</xdr:col>
          <xdr:colOff>38100</xdr:colOff>
          <xdr:row>40</xdr:row>
          <xdr:rowOff>175260</xdr:rowOff>
        </xdr:to>
        <xdr:sp macro="" textlink="">
          <xdr:nvSpPr>
            <xdr:cNvPr id="4116" name="Page2_Button2" hidden="1">
              <a:extLst>
                <a:ext uri="{63B3BB69-23CF-44E3-9099-C40C66FF867C}">
                  <a14:compatExt spid="_x0000_s4116"/>
                </a:ext>
                <a:ext uri="{FF2B5EF4-FFF2-40B4-BE49-F238E27FC236}">
                  <a16:creationId xmlns:a16="http://schemas.microsoft.com/office/drawing/2014/main" id="{00000000-0008-0000-0700-00001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66CC"/>
                  </a:solidFill>
                  <a:latin typeface="Calibri"/>
                  <a:ea typeface="Calibri"/>
                  <a:cs typeface="Calibri"/>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215</xdr:col>
          <xdr:colOff>38100</xdr:colOff>
          <xdr:row>39</xdr:row>
          <xdr:rowOff>76200</xdr:rowOff>
        </xdr:from>
        <xdr:to>
          <xdr:col>220</xdr:col>
          <xdr:colOff>45720</xdr:colOff>
          <xdr:row>40</xdr:row>
          <xdr:rowOff>175260</xdr:rowOff>
        </xdr:to>
        <xdr:sp macro="" textlink="">
          <xdr:nvSpPr>
            <xdr:cNvPr id="4117" name="Page2_Button3" hidden="1">
              <a:extLst>
                <a:ext uri="{63B3BB69-23CF-44E3-9099-C40C66FF867C}">
                  <a14:compatExt spid="_x0000_s4117"/>
                </a:ext>
                <a:ext uri="{FF2B5EF4-FFF2-40B4-BE49-F238E27FC236}">
                  <a16:creationId xmlns:a16="http://schemas.microsoft.com/office/drawing/2014/main" id="{00000000-0008-0000-07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66CC"/>
                  </a:solidFill>
                  <a:latin typeface="Calibri"/>
                  <a:ea typeface="Calibri"/>
                  <a:cs typeface="Calibri"/>
                </a:rPr>
                <a:t>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215</xdr:col>
          <xdr:colOff>38100</xdr:colOff>
          <xdr:row>9</xdr:row>
          <xdr:rowOff>137160</xdr:rowOff>
        </xdr:from>
        <xdr:to>
          <xdr:col>220</xdr:col>
          <xdr:colOff>38100</xdr:colOff>
          <xdr:row>39</xdr:row>
          <xdr:rowOff>38100</xdr:rowOff>
        </xdr:to>
        <xdr:sp macro="" textlink="">
          <xdr:nvSpPr>
            <xdr:cNvPr id="4118" name="Page2_Spinner1" hidden="1">
              <a:extLst>
                <a:ext uri="{63B3BB69-23CF-44E3-9099-C40C66FF867C}">
                  <a14:compatExt spid="_x0000_s4118"/>
                </a:ext>
                <a:ext uri="{FF2B5EF4-FFF2-40B4-BE49-F238E27FC236}">
                  <a16:creationId xmlns:a16="http://schemas.microsoft.com/office/drawing/2014/main" id="{00000000-0008-0000-0700-000016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203</xdr:col>
      <xdr:colOff>17931</xdr:colOff>
      <xdr:row>8</xdr:row>
      <xdr:rowOff>8964</xdr:rowOff>
    </xdr:from>
    <xdr:to>
      <xdr:col>220</xdr:col>
      <xdr:colOff>32273</xdr:colOff>
      <xdr:row>9</xdr:row>
      <xdr:rowOff>80681</xdr:rowOff>
    </xdr:to>
    <xdr:sp macro="" textlink="Pivot!X4">
      <xdr:nvSpPr>
        <xdr:cNvPr id="39" name="Page2_Shape1" hidden="1">
          <a:extLst>
            <a:ext uri="{FF2B5EF4-FFF2-40B4-BE49-F238E27FC236}">
              <a16:creationId xmlns:a16="http://schemas.microsoft.com/office/drawing/2014/main" id="{00000000-0008-0000-0700-000027000000}"/>
            </a:ext>
          </a:extLst>
        </xdr:cNvPr>
        <xdr:cNvSpPr/>
      </xdr:nvSpPr>
      <xdr:spPr>
        <a:xfrm>
          <a:off x="10936943" y="1048870"/>
          <a:ext cx="928742" cy="251011"/>
        </a:xfrm>
        <a:prstGeom prst="roundRect">
          <a:avLst>
            <a:gd name="adj" fmla="val 10931"/>
          </a:avLst>
        </a:prstGeom>
        <a:noFill/>
        <a:ln>
          <a:solidFill>
            <a:srgbClr val="FF0000"/>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fld id="{BD1C275E-58F2-411C-928F-34DA6AB40E13}" type="TxLink">
            <a:rPr lang="en-US" sz="1100" b="0" i="0" u="none" strike="noStrike">
              <a:solidFill>
                <a:srgbClr val="FF0000"/>
              </a:solidFill>
              <a:latin typeface="Calibri"/>
              <a:ea typeface="Calibri"/>
              <a:cs typeface="Calibri"/>
            </a:rPr>
            <a:pPr algn="ctr"/>
            <a:t>Page 1 / 3</a:t>
          </a:fld>
          <a:endParaRPr lang="en-US" sz="1100">
            <a:solidFill>
              <a:srgbClr val="FF0000"/>
            </a:solidFill>
          </a:endParaRPr>
        </a:p>
      </xdr:txBody>
    </xdr:sp>
    <xdr:clientData/>
  </xdr:twoCellAnchor>
  <xdr:twoCellAnchor editAs="oneCell">
    <xdr:from>
      <xdr:col>1</xdr:col>
      <xdr:colOff>53787</xdr:colOff>
      <xdr:row>21</xdr:row>
      <xdr:rowOff>161366</xdr:rowOff>
    </xdr:from>
    <xdr:to>
      <xdr:col>40</xdr:col>
      <xdr:colOff>4302</xdr:colOff>
      <xdr:row>29</xdr:row>
      <xdr:rowOff>116901</xdr:rowOff>
    </xdr:to>
    <mc:AlternateContent xmlns:mc="http://schemas.openxmlformats.org/markup-compatibility/2006" xmlns:a14="http://schemas.microsoft.com/office/drawing/2010/main">
      <mc:Choice Requires="a14">
        <xdr:graphicFrame macro="">
          <xdr:nvGraphicFramePr>
            <xdr:cNvPr id="40" name="Page2_Slicer3" hidden="1">
              <a:extLst>
                <a:ext uri="{FF2B5EF4-FFF2-40B4-BE49-F238E27FC236}">
                  <a16:creationId xmlns:a16="http://schemas.microsoft.com/office/drawing/2014/main" id="{00000000-0008-0000-0700-000028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age2_Slicer3"/>
            </a:graphicData>
          </a:graphic>
        </xdr:graphicFrame>
      </mc:Choice>
      <mc:Fallback xmlns="">
        <xdr:sp macro="" textlink="">
          <xdr:nvSpPr>
            <xdr:cNvPr id="0" name=""/>
            <xdr:cNvSpPr>
              <a:spLocks noTextEdit="1"/>
            </xdr:cNvSpPr>
          </xdr:nvSpPr>
          <xdr:spPr>
            <a:xfrm>
              <a:off x="107575" y="3415554"/>
              <a:ext cx="2048256" cy="138988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xdr:col>
      <xdr:colOff>49755</xdr:colOff>
      <xdr:row>29</xdr:row>
      <xdr:rowOff>175261</xdr:rowOff>
    </xdr:from>
    <xdr:to>
      <xdr:col>40</xdr:col>
      <xdr:colOff>270</xdr:colOff>
      <xdr:row>41</xdr:row>
      <xdr:rowOff>7980</xdr:rowOff>
    </xdr:to>
    <mc:AlternateContent xmlns:mc="http://schemas.openxmlformats.org/markup-compatibility/2006" xmlns:a14="http://schemas.microsoft.com/office/drawing/2010/main">
      <mc:Choice Requires="a14">
        <xdr:graphicFrame macro="">
          <xdr:nvGraphicFramePr>
            <xdr:cNvPr id="41" name="Page2_Slicer4" hidden="1">
              <a:extLst>
                <a:ext uri="{FF2B5EF4-FFF2-40B4-BE49-F238E27FC236}">
                  <a16:creationId xmlns:a16="http://schemas.microsoft.com/office/drawing/2014/main" id="{00000000-0008-0000-0700-000029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age2_Slicer4"/>
            </a:graphicData>
          </a:graphic>
        </xdr:graphicFrame>
      </mc:Choice>
      <mc:Fallback xmlns="">
        <xdr:sp macro="" textlink="">
          <xdr:nvSpPr>
            <xdr:cNvPr id="0" name=""/>
            <xdr:cNvSpPr>
              <a:spLocks noTextEdit="1"/>
            </xdr:cNvSpPr>
          </xdr:nvSpPr>
          <xdr:spPr>
            <a:xfrm>
              <a:off x="103543" y="4863802"/>
              <a:ext cx="2048256" cy="198424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xdr:col>
      <xdr:colOff>45720</xdr:colOff>
      <xdr:row>13</xdr:row>
      <xdr:rowOff>81579</xdr:rowOff>
    </xdr:from>
    <xdr:to>
      <xdr:col>39</xdr:col>
      <xdr:colOff>50023</xdr:colOff>
      <xdr:row>16</xdr:row>
      <xdr:rowOff>128913</xdr:rowOff>
    </xdr:to>
    <mc:AlternateContent xmlns:mc="http://schemas.openxmlformats.org/markup-compatibility/2006" xmlns:a14="http://schemas.microsoft.com/office/drawing/2010/main">
      <mc:Choice Requires="a14">
        <xdr:graphicFrame macro="">
          <xdr:nvGraphicFramePr>
            <xdr:cNvPr id="42" name="Page2_Slicer1" hidden="1">
              <a:extLst>
                <a:ext uri="{FF2B5EF4-FFF2-40B4-BE49-F238E27FC236}">
                  <a16:creationId xmlns:a16="http://schemas.microsoft.com/office/drawing/2014/main" id="{00000000-0008-0000-0700-00002A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age2_Slicer1"/>
            </a:graphicData>
          </a:graphic>
        </xdr:graphicFrame>
      </mc:Choice>
      <mc:Fallback xmlns="">
        <xdr:sp macro="" textlink="">
          <xdr:nvSpPr>
            <xdr:cNvPr id="0" name=""/>
            <xdr:cNvSpPr>
              <a:spLocks noTextEdit="1"/>
            </xdr:cNvSpPr>
          </xdr:nvSpPr>
          <xdr:spPr>
            <a:xfrm>
              <a:off x="99508" y="1901414"/>
              <a:ext cx="2048256" cy="5852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xdr:col>
      <xdr:colOff>50650</xdr:colOff>
      <xdr:row>17</xdr:row>
      <xdr:rowOff>5828</xdr:rowOff>
    </xdr:from>
    <xdr:to>
      <xdr:col>40</xdr:col>
      <xdr:colOff>1165</xdr:colOff>
      <xdr:row>21</xdr:row>
      <xdr:rowOff>102468</xdr:rowOff>
    </xdr:to>
    <mc:AlternateContent xmlns:mc="http://schemas.openxmlformats.org/markup-compatibility/2006" xmlns:a14="http://schemas.microsoft.com/office/drawing/2010/main">
      <mc:Choice Requires="a14">
        <xdr:graphicFrame macro="">
          <xdr:nvGraphicFramePr>
            <xdr:cNvPr id="43" name="Page2_Slicer2" hidden="1">
              <a:extLst>
                <a:ext uri="{FF2B5EF4-FFF2-40B4-BE49-F238E27FC236}">
                  <a16:creationId xmlns:a16="http://schemas.microsoft.com/office/drawing/2014/main" id="{00000000-0008-0000-0700-00002B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age2_Slicer2"/>
            </a:graphicData>
          </a:graphic>
        </xdr:graphicFrame>
      </mc:Choice>
      <mc:Fallback xmlns="">
        <xdr:sp macro="" textlink="">
          <xdr:nvSpPr>
            <xdr:cNvPr id="0" name=""/>
            <xdr:cNvSpPr>
              <a:spLocks noTextEdit="1"/>
            </xdr:cNvSpPr>
          </xdr:nvSpPr>
          <xdr:spPr>
            <a:xfrm>
              <a:off x="104438" y="2542840"/>
              <a:ext cx="2048256" cy="8138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42</xdr:col>
      <xdr:colOff>17930</xdr:colOff>
      <xdr:row>7</xdr:row>
      <xdr:rowOff>35858</xdr:rowOff>
    </xdr:from>
    <xdr:to>
      <xdr:col>127</xdr:col>
      <xdr:colOff>17930</xdr:colOff>
      <xdr:row>38</xdr:row>
      <xdr:rowOff>80682</xdr:rowOff>
    </xdr:to>
    <xdr:graphicFrame macro="">
      <xdr:nvGraphicFramePr>
        <xdr:cNvPr id="44" name="Page2_Chart3" hidden="1">
          <a:extLst>
            <a:ext uri="{FF2B5EF4-FFF2-40B4-BE49-F238E27FC236}">
              <a16:creationId xmlns:a16="http://schemas.microsoft.com/office/drawing/2014/main" id="{00000000-0008-0000-07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127</xdr:col>
      <xdr:colOff>17929</xdr:colOff>
      <xdr:row>7</xdr:row>
      <xdr:rowOff>38548</xdr:rowOff>
    </xdr:from>
    <xdr:to>
      <xdr:col>212</xdr:col>
      <xdr:colOff>17929</xdr:colOff>
      <xdr:row>38</xdr:row>
      <xdr:rowOff>122139</xdr:rowOff>
    </xdr:to>
    <xdr:graphicFrame macro="">
      <xdr:nvGraphicFramePr>
        <xdr:cNvPr id="45" name="Page2_Chart4" hidden="1">
          <a:extLst>
            <a:ext uri="{FF2B5EF4-FFF2-40B4-BE49-F238E27FC236}">
              <a16:creationId xmlns:a16="http://schemas.microsoft.com/office/drawing/2014/main" id="{00000000-0008-0000-07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203</xdr:col>
      <xdr:colOff>17931</xdr:colOff>
      <xdr:row>8</xdr:row>
      <xdr:rowOff>8964</xdr:rowOff>
    </xdr:from>
    <xdr:to>
      <xdr:col>220</xdr:col>
      <xdr:colOff>32273</xdr:colOff>
      <xdr:row>9</xdr:row>
      <xdr:rowOff>80681</xdr:rowOff>
    </xdr:to>
    <xdr:sp macro="" textlink="Pivot!AH4">
      <xdr:nvSpPr>
        <xdr:cNvPr id="46" name="Page2_Shape2" hidden="1">
          <a:extLst>
            <a:ext uri="{FF2B5EF4-FFF2-40B4-BE49-F238E27FC236}">
              <a16:creationId xmlns:a16="http://schemas.microsoft.com/office/drawing/2014/main" id="{00000000-0008-0000-0700-00002E000000}"/>
            </a:ext>
          </a:extLst>
        </xdr:cNvPr>
        <xdr:cNvSpPr/>
      </xdr:nvSpPr>
      <xdr:spPr>
        <a:xfrm>
          <a:off x="10936943" y="1048870"/>
          <a:ext cx="928742" cy="251011"/>
        </a:xfrm>
        <a:prstGeom prst="roundRect">
          <a:avLst>
            <a:gd name="adj" fmla="val 10931"/>
          </a:avLst>
        </a:prstGeom>
        <a:noFill/>
        <a:ln>
          <a:solidFill>
            <a:srgbClr val="FF0000"/>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fld id="{51B8127C-BD46-4FDB-9077-96A1C95BED20}" type="TxLink">
            <a:rPr lang="en-US" sz="1100" b="0" i="0" u="none" strike="noStrike">
              <a:solidFill>
                <a:srgbClr val="FF0000"/>
              </a:solidFill>
              <a:latin typeface="Calibri"/>
              <a:ea typeface="Calibri"/>
              <a:cs typeface="Calibri"/>
            </a:rPr>
            <a:pPr algn="ctr"/>
            <a:t>Page 1 / 3</a:t>
          </a:fld>
          <a:endParaRPr lang="en-US" sz="1100">
            <a:solidFill>
              <a:srgbClr val="FF0000"/>
            </a:solidFill>
          </a:endParaRPr>
        </a:p>
      </xdr:txBody>
    </xdr:sp>
    <xdr:clientData/>
  </xdr:twoCellAnchor>
  <mc:AlternateContent xmlns:mc="http://schemas.openxmlformats.org/markup-compatibility/2006">
    <mc:Choice xmlns:a14="http://schemas.microsoft.com/office/drawing/2010/main" Requires="a14">
      <xdr:twoCellAnchor>
        <xdr:from>
          <xdr:col>215</xdr:col>
          <xdr:colOff>38100</xdr:colOff>
          <xdr:row>9</xdr:row>
          <xdr:rowOff>137160</xdr:rowOff>
        </xdr:from>
        <xdr:to>
          <xdr:col>220</xdr:col>
          <xdr:colOff>38100</xdr:colOff>
          <xdr:row>39</xdr:row>
          <xdr:rowOff>38100</xdr:rowOff>
        </xdr:to>
        <xdr:sp macro="" textlink="">
          <xdr:nvSpPr>
            <xdr:cNvPr id="4119" name="Page2_Spinner2" hidden="1">
              <a:extLst>
                <a:ext uri="{63B3BB69-23CF-44E3-9099-C40C66FF867C}">
                  <a14:compatExt spid="_x0000_s4119"/>
                </a:ext>
                <a:ext uri="{FF2B5EF4-FFF2-40B4-BE49-F238E27FC236}">
                  <a16:creationId xmlns:a16="http://schemas.microsoft.com/office/drawing/2014/main" id="{00000000-0008-0000-0700-000017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43</xdr:col>
      <xdr:colOff>5380</xdr:colOff>
      <xdr:row>8</xdr:row>
      <xdr:rowOff>0</xdr:rowOff>
    </xdr:from>
    <xdr:to>
      <xdr:col>77</xdr:col>
      <xdr:colOff>5380</xdr:colOff>
      <xdr:row>41</xdr:row>
      <xdr:rowOff>17930</xdr:rowOff>
    </xdr:to>
    <mc:AlternateContent xmlns:mc="http://schemas.openxmlformats.org/markup-compatibility/2006" xmlns:a14="http://schemas.microsoft.com/office/drawing/2010/main">
      <mc:Choice Requires="a14">
        <xdr:graphicFrame macro="">
          <xdr:nvGraphicFramePr>
            <xdr:cNvPr id="47" name="Page2_Slicer5" hidden="1">
              <a:extLst>
                <a:ext uri="{FF2B5EF4-FFF2-40B4-BE49-F238E27FC236}">
                  <a16:creationId xmlns:a16="http://schemas.microsoft.com/office/drawing/2014/main" id="{00000000-0008-0000-0700-00002F000000}"/>
                </a:ext>
              </a:extLst>
            </xdr:cNvPr>
            <xdr:cNvGraphicFramePr/>
          </xdr:nvGraphicFramePr>
          <xdr:xfrm>
            <a:off x="0" y="0"/>
            <a:ext cx="0" cy="0"/>
          </xdr:xfrm>
          <a:graphic>
            <a:graphicData uri="http://schemas.microsoft.com/office/drawing/2010/slicer">
              <sle:slicer xmlns:sle="http://schemas.microsoft.com/office/drawing/2010/slicer" name="Page2_Slicer5"/>
            </a:graphicData>
          </a:graphic>
        </xdr:graphicFrame>
      </mc:Choice>
      <mc:Fallback xmlns="">
        <xdr:sp macro="" textlink="">
          <xdr:nvSpPr>
            <xdr:cNvPr id="0" name=""/>
            <xdr:cNvSpPr>
              <a:spLocks noTextEdit="1"/>
            </xdr:cNvSpPr>
          </xdr:nvSpPr>
          <xdr:spPr>
            <a:xfrm>
              <a:off x="2318274" y="1039906"/>
              <a:ext cx="1828800" cy="58180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77</xdr:col>
      <xdr:colOff>44823</xdr:colOff>
      <xdr:row>8</xdr:row>
      <xdr:rowOff>8963</xdr:rowOff>
    </xdr:from>
    <xdr:to>
      <xdr:col>149</xdr:col>
      <xdr:colOff>12550</xdr:colOff>
      <xdr:row>38</xdr:row>
      <xdr:rowOff>161364</xdr:rowOff>
    </xdr:to>
    <xdr:graphicFrame macro="">
      <xdr:nvGraphicFramePr>
        <xdr:cNvPr id="48" name="Page2_Chart5" hidden="1">
          <a:extLst>
            <a:ext uri="{FF2B5EF4-FFF2-40B4-BE49-F238E27FC236}">
              <a16:creationId xmlns:a16="http://schemas.microsoft.com/office/drawing/2014/main" id="{00000000-0008-0000-0700-00003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149</xdr:col>
      <xdr:colOff>35855</xdr:colOff>
      <xdr:row>8</xdr:row>
      <xdr:rowOff>5825</xdr:rowOff>
    </xdr:from>
    <xdr:to>
      <xdr:col>221</xdr:col>
      <xdr:colOff>3582</xdr:colOff>
      <xdr:row>38</xdr:row>
      <xdr:rowOff>158226</xdr:rowOff>
    </xdr:to>
    <xdr:graphicFrame macro="">
      <xdr:nvGraphicFramePr>
        <xdr:cNvPr id="49" name="Page2_Chart6" hidden="1">
          <a:extLst>
            <a:ext uri="{FF2B5EF4-FFF2-40B4-BE49-F238E27FC236}">
              <a16:creationId xmlns:a16="http://schemas.microsoft.com/office/drawing/2014/main" id="{00000000-0008-0000-07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mc:AlternateContent xmlns:mc="http://schemas.openxmlformats.org/markup-compatibility/2006">
    <mc:Choice xmlns:a14="http://schemas.microsoft.com/office/drawing/2010/main" Requires="a14">
      <xdr:twoCellAnchor>
        <xdr:from>
          <xdr:col>2</xdr:col>
          <xdr:colOff>15240</xdr:colOff>
          <xdr:row>8</xdr:row>
          <xdr:rowOff>7620</xdr:rowOff>
        </xdr:from>
        <xdr:to>
          <xdr:col>39</xdr:col>
          <xdr:colOff>38100</xdr:colOff>
          <xdr:row>9</xdr:row>
          <xdr:rowOff>91440</xdr:rowOff>
        </xdr:to>
        <xdr:sp macro="" textlink="">
          <xdr:nvSpPr>
            <xdr:cNvPr id="4120" name="Page3_Button1" hidden="1">
              <a:extLst>
                <a:ext uri="{63B3BB69-23CF-44E3-9099-C40C66FF867C}">
                  <a14:compatExt spid="_x0000_s4120"/>
                </a:ext>
                <a:ext uri="{FF2B5EF4-FFF2-40B4-BE49-F238E27FC236}">
                  <a16:creationId xmlns:a16="http://schemas.microsoft.com/office/drawing/2014/main" id="{00000000-0008-0000-0700-000018100000}"/>
                </a:ext>
              </a:extLst>
            </xdr:cNvPr>
            <xdr:cNvSpPr/>
          </xdr:nvSpPr>
          <xdr:spPr bwMode="auto">
            <a:xfrm>
              <a:off x="0" y="0"/>
              <a:ext cx="0" cy="0"/>
            </a:xfrm>
            <a:prstGeom prst="rect">
              <a:avLst/>
            </a:prstGeom>
            <a:noFill/>
            <a:ln w="9525">
              <a:miter lim="800000"/>
              <a:headEnd/>
              <a:tailEnd/>
            </a:ln>
          </xdr:spPr>
          <xdr:txBody>
            <a:bodyPr vertOverflow="clip" wrap="square" lIns="27432" tIns="22860" rIns="0" bIns="22860" anchor="ctr" upright="1"/>
            <a:lstStyle/>
            <a:p>
              <a:pPr algn="l" rtl="0">
                <a:defRPr sz="1000"/>
              </a:pPr>
              <a:r>
                <a:rPr lang="en-US" sz="1000" b="1" i="0" u="none" strike="noStrike" baseline="0">
                  <a:solidFill>
                    <a:srgbClr val="FF0000"/>
                  </a:solidFill>
                  <a:latin typeface="Calibri"/>
                  <a:ea typeface="Calibri"/>
                  <a:cs typeface="Calibri"/>
                </a:rPr>
                <a:t> Product Risk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xdr:colOff>
          <xdr:row>9</xdr:row>
          <xdr:rowOff>175260</xdr:rowOff>
        </xdr:from>
        <xdr:to>
          <xdr:col>39</xdr:col>
          <xdr:colOff>38100</xdr:colOff>
          <xdr:row>11</xdr:row>
          <xdr:rowOff>76200</xdr:rowOff>
        </xdr:to>
        <xdr:sp macro="" textlink="">
          <xdr:nvSpPr>
            <xdr:cNvPr id="4121" name="Page3_Button2" hidden="1">
              <a:extLst>
                <a:ext uri="{63B3BB69-23CF-44E3-9099-C40C66FF867C}">
                  <a14:compatExt spid="_x0000_s4121"/>
                </a:ext>
                <a:ext uri="{FF2B5EF4-FFF2-40B4-BE49-F238E27FC236}">
                  <a16:creationId xmlns:a16="http://schemas.microsoft.com/office/drawing/2014/main" id="{00000000-0008-0000-0700-000019100000}"/>
                </a:ext>
              </a:extLst>
            </xdr:cNvPr>
            <xdr:cNvSpPr/>
          </xdr:nvSpPr>
          <xdr:spPr bwMode="auto">
            <a:xfrm>
              <a:off x="0" y="0"/>
              <a:ext cx="0" cy="0"/>
            </a:xfrm>
            <a:prstGeom prst="rect">
              <a:avLst/>
            </a:prstGeom>
            <a:noFill/>
            <a:ln w="9525">
              <a:miter lim="800000"/>
              <a:headEnd/>
              <a:tailEnd/>
            </a:ln>
          </xdr:spPr>
          <xdr:txBody>
            <a:bodyPr vertOverflow="clip" wrap="square" lIns="27432" tIns="22860" rIns="0" bIns="22860" anchor="ctr" upright="1"/>
            <a:lstStyle/>
            <a:p>
              <a:pPr algn="l" rtl="0">
                <a:defRPr sz="1000"/>
              </a:pPr>
              <a:r>
                <a:rPr lang="en-US" sz="1000" b="1" i="0" u="none" strike="noStrike" baseline="0">
                  <a:solidFill>
                    <a:srgbClr val="FF0000"/>
                  </a:solidFill>
                  <a:latin typeface="Calibri"/>
                  <a:ea typeface="Calibri"/>
                  <a:cs typeface="Calibri"/>
                </a:rPr>
                <a:t> Heat Map</a:t>
              </a:r>
            </a:p>
          </xdr:txBody>
        </xdr:sp>
        <xdr:clientData fPrintsWithSheet="0"/>
      </xdr:twoCellAnchor>
    </mc:Choice>
    <mc:Fallback/>
  </mc:AlternateContent>
  <xdr:twoCellAnchor>
    <xdr:from>
      <xdr:col>42</xdr:col>
      <xdr:colOff>23306</xdr:colOff>
      <xdr:row>7</xdr:row>
      <xdr:rowOff>18377</xdr:rowOff>
    </xdr:from>
    <xdr:to>
      <xdr:col>113</xdr:col>
      <xdr:colOff>44821</xdr:colOff>
      <xdr:row>23</xdr:row>
      <xdr:rowOff>125954</xdr:rowOff>
    </xdr:to>
    <xdr:graphicFrame macro="">
      <xdr:nvGraphicFramePr>
        <xdr:cNvPr id="5" name="Page3_Chart1" hidden="1">
          <a:extLst>
            <a:ext uri="{FF2B5EF4-FFF2-40B4-BE49-F238E27FC236}">
              <a16:creationId xmlns:a16="http://schemas.microsoft.com/office/drawing/2014/main" id="{C6CB2C5C-EA7F-4B35-82B0-317C4690CA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114</xdr:col>
      <xdr:colOff>20171</xdr:colOff>
      <xdr:row>7</xdr:row>
      <xdr:rowOff>26893</xdr:rowOff>
    </xdr:from>
    <xdr:to>
      <xdr:col>185</xdr:col>
      <xdr:colOff>41686</xdr:colOff>
      <xdr:row>23</xdr:row>
      <xdr:rowOff>134470</xdr:rowOff>
    </xdr:to>
    <xdr:graphicFrame macro="">
      <xdr:nvGraphicFramePr>
        <xdr:cNvPr id="21" name="Page3_Chart2" hidden="1">
          <a:extLst>
            <a:ext uri="{FF2B5EF4-FFF2-40B4-BE49-F238E27FC236}">
              <a16:creationId xmlns:a16="http://schemas.microsoft.com/office/drawing/2014/main" id="{21C5A588-1368-4A9C-A61C-F32B2FDDFF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184</xdr:col>
      <xdr:colOff>41236</xdr:colOff>
      <xdr:row>18</xdr:row>
      <xdr:rowOff>116536</xdr:rowOff>
    </xdr:from>
    <xdr:to>
      <xdr:col>222</xdr:col>
      <xdr:colOff>8963</xdr:colOff>
      <xdr:row>28</xdr:row>
      <xdr:rowOff>152395</xdr:rowOff>
    </xdr:to>
    <xdr:graphicFrame macro="">
      <xdr:nvGraphicFramePr>
        <xdr:cNvPr id="28" name="Page3_Chart6" hidden="1">
          <a:extLst>
            <a:ext uri="{FF2B5EF4-FFF2-40B4-BE49-F238E27FC236}">
              <a16:creationId xmlns:a16="http://schemas.microsoft.com/office/drawing/2014/main" id="{3813430C-5720-4D97-9170-167FC1B318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185</xdr:col>
      <xdr:colOff>14342</xdr:colOff>
      <xdr:row>28</xdr:row>
      <xdr:rowOff>121019</xdr:rowOff>
    </xdr:from>
    <xdr:to>
      <xdr:col>222</xdr:col>
      <xdr:colOff>35858</xdr:colOff>
      <xdr:row>38</xdr:row>
      <xdr:rowOff>156878</xdr:rowOff>
    </xdr:to>
    <xdr:graphicFrame macro="">
      <xdr:nvGraphicFramePr>
        <xdr:cNvPr id="29" name="Page3_Chart7" hidden="1">
          <a:extLst>
            <a:ext uri="{FF2B5EF4-FFF2-40B4-BE49-F238E27FC236}">
              <a16:creationId xmlns:a16="http://schemas.microsoft.com/office/drawing/2014/main" id="{32CC2DB8-84EA-4B7B-B1CF-F83DD20374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42</xdr:col>
      <xdr:colOff>17927</xdr:colOff>
      <xdr:row>24</xdr:row>
      <xdr:rowOff>1</xdr:rowOff>
    </xdr:from>
    <xdr:to>
      <xdr:col>113</xdr:col>
      <xdr:colOff>39442</xdr:colOff>
      <xdr:row>39</xdr:row>
      <xdr:rowOff>53790</xdr:rowOff>
    </xdr:to>
    <xdr:graphicFrame macro="">
      <xdr:nvGraphicFramePr>
        <xdr:cNvPr id="30" name="Page3_Chart3" hidden="1">
          <a:extLst>
            <a:ext uri="{FF2B5EF4-FFF2-40B4-BE49-F238E27FC236}">
              <a16:creationId xmlns:a16="http://schemas.microsoft.com/office/drawing/2014/main" id="{CC156320-9A2D-455F-A8DC-A37EB6671D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114</xdr:col>
      <xdr:colOff>2689</xdr:colOff>
      <xdr:row>24</xdr:row>
      <xdr:rowOff>12103</xdr:rowOff>
    </xdr:from>
    <xdr:to>
      <xdr:col>185</xdr:col>
      <xdr:colOff>24204</xdr:colOff>
      <xdr:row>39</xdr:row>
      <xdr:rowOff>65892</xdr:rowOff>
    </xdr:to>
    <xdr:graphicFrame macro="">
      <xdr:nvGraphicFramePr>
        <xdr:cNvPr id="31" name="Page3_Chart4" hidden="1">
          <a:extLst>
            <a:ext uri="{FF2B5EF4-FFF2-40B4-BE49-F238E27FC236}">
              <a16:creationId xmlns:a16="http://schemas.microsoft.com/office/drawing/2014/main" id="{5156D9A5-C12E-4240-8C79-123C4F4B93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184</xdr:col>
      <xdr:colOff>35859</xdr:colOff>
      <xdr:row>7</xdr:row>
      <xdr:rowOff>0</xdr:rowOff>
    </xdr:from>
    <xdr:to>
      <xdr:col>222</xdr:col>
      <xdr:colOff>3586</xdr:colOff>
      <xdr:row>18</xdr:row>
      <xdr:rowOff>89647</xdr:rowOff>
    </xdr:to>
    <xdr:graphicFrame macro="">
      <xdr:nvGraphicFramePr>
        <xdr:cNvPr id="33" name="Page3_Chart5" hidden="1">
          <a:extLst>
            <a:ext uri="{FF2B5EF4-FFF2-40B4-BE49-F238E27FC236}">
              <a16:creationId xmlns:a16="http://schemas.microsoft.com/office/drawing/2014/main" id="{3D1985A9-F6E5-4F9A-8227-EDF8B6DAEB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oneCell">
    <xdr:from>
      <xdr:col>43</xdr:col>
      <xdr:colOff>17477</xdr:colOff>
      <xdr:row>8</xdr:row>
      <xdr:rowOff>5154</xdr:rowOff>
    </xdr:from>
    <xdr:to>
      <xdr:col>80</xdr:col>
      <xdr:colOff>38992</xdr:colOff>
      <xdr:row>40</xdr:row>
      <xdr:rowOff>143436</xdr:rowOff>
    </xdr:to>
    <mc:AlternateContent xmlns:mc="http://schemas.openxmlformats.org/markup-compatibility/2006">
      <mc:Choice xmlns:a14="http://schemas.microsoft.com/office/drawing/2010/main" Requires="a14">
        <xdr:graphicFrame macro="">
          <xdr:nvGraphicFramePr>
            <xdr:cNvPr id="34" name="Page4_Slicer2" hidden="1">
              <a:extLst>
                <a:ext uri="{FF2B5EF4-FFF2-40B4-BE49-F238E27FC236}">
                  <a16:creationId xmlns:a16="http://schemas.microsoft.com/office/drawing/2014/main" id="{BFB01FF7-6D33-4B6A-817A-4EE2F9FF062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age4_Slicer2"/>
            </a:graphicData>
          </a:graphic>
        </xdr:graphicFrame>
      </mc:Choice>
      <mc:Fallback>
        <xdr:sp macro="" textlink="">
          <xdr:nvSpPr>
            <xdr:cNvPr id="0" name=""/>
            <xdr:cNvSpPr>
              <a:spLocks noTextEdit="1"/>
            </xdr:cNvSpPr>
          </xdr:nvSpPr>
          <xdr:spPr>
            <a:xfrm>
              <a:off x="2330371" y="1233319"/>
              <a:ext cx="2011680" cy="575915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121</xdr:col>
      <xdr:colOff>17932</xdr:colOff>
      <xdr:row>7</xdr:row>
      <xdr:rowOff>53789</xdr:rowOff>
    </xdr:from>
    <xdr:to>
      <xdr:col>172</xdr:col>
      <xdr:colOff>17932</xdr:colOff>
      <xdr:row>39</xdr:row>
      <xdr:rowOff>125507</xdr:rowOff>
    </xdr:to>
    <xdr:graphicFrame macro="">
      <xdr:nvGraphicFramePr>
        <xdr:cNvPr id="35" name="Page4_Chart1" hidden="1">
          <a:extLst>
            <a:ext uri="{FF2B5EF4-FFF2-40B4-BE49-F238E27FC236}">
              <a16:creationId xmlns:a16="http://schemas.microsoft.com/office/drawing/2014/main" id="{E92847D5-7599-49D1-A91D-EC978B6A36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170</xdr:col>
      <xdr:colOff>39000</xdr:colOff>
      <xdr:row>7</xdr:row>
      <xdr:rowOff>53789</xdr:rowOff>
    </xdr:from>
    <xdr:to>
      <xdr:col>221</xdr:col>
      <xdr:colOff>39000</xdr:colOff>
      <xdr:row>39</xdr:row>
      <xdr:rowOff>125508</xdr:rowOff>
    </xdr:to>
    <xdr:graphicFrame macro="">
      <xdr:nvGraphicFramePr>
        <xdr:cNvPr id="50" name="Page4_Chart2" hidden="1">
          <a:extLst>
            <a:ext uri="{FF2B5EF4-FFF2-40B4-BE49-F238E27FC236}">
              <a16:creationId xmlns:a16="http://schemas.microsoft.com/office/drawing/2014/main" id="{B0481881-6458-4EEB-A10D-2D9783246F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editAs="oneCell">
    <xdr:from>
      <xdr:col>2</xdr:col>
      <xdr:colOff>17930</xdr:colOff>
      <xdr:row>13</xdr:row>
      <xdr:rowOff>75303</xdr:rowOff>
    </xdr:from>
    <xdr:to>
      <xdr:col>39</xdr:col>
      <xdr:colOff>39445</xdr:colOff>
      <xdr:row>18</xdr:row>
      <xdr:rowOff>1792</xdr:rowOff>
    </xdr:to>
    <mc:AlternateContent xmlns:mc="http://schemas.openxmlformats.org/markup-compatibility/2006">
      <mc:Choice xmlns:a14="http://schemas.microsoft.com/office/drawing/2010/main" Requires="a14">
        <xdr:graphicFrame macro="">
          <xdr:nvGraphicFramePr>
            <xdr:cNvPr id="53" name="Page4_Slicer1" hidden="1">
              <a:extLst>
                <a:ext uri="{FF2B5EF4-FFF2-40B4-BE49-F238E27FC236}">
                  <a16:creationId xmlns:a16="http://schemas.microsoft.com/office/drawing/2014/main" id="{2F02D9E1-E9BC-44B2-9DD4-81FA7C7C772A}"/>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age4_Slicer1"/>
            </a:graphicData>
          </a:graphic>
        </xdr:graphicFrame>
      </mc:Choice>
      <mc:Fallback>
        <xdr:sp macro="" textlink="">
          <xdr:nvSpPr>
            <xdr:cNvPr id="0" name=""/>
            <xdr:cNvSpPr>
              <a:spLocks noTextEdit="1"/>
            </xdr:cNvSpPr>
          </xdr:nvSpPr>
          <xdr:spPr>
            <a:xfrm>
              <a:off x="125506" y="2083397"/>
              <a:ext cx="2011680" cy="8229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81</xdr:col>
      <xdr:colOff>51936</xdr:colOff>
      <xdr:row>8</xdr:row>
      <xdr:rowOff>11783</xdr:rowOff>
    </xdr:from>
    <xdr:to>
      <xdr:col>119</xdr:col>
      <xdr:colOff>42447</xdr:colOff>
      <xdr:row>40</xdr:row>
      <xdr:rowOff>143437</xdr:rowOff>
    </xdr:to>
    <xdr:grpSp>
      <xdr:nvGrpSpPr>
        <xdr:cNvPr id="4099" name="Page4_Shape1" hidden="1">
          <a:extLst>
            <a:ext uri="{FF2B5EF4-FFF2-40B4-BE49-F238E27FC236}">
              <a16:creationId xmlns:a16="http://schemas.microsoft.com/office/drawing/2014/main" id="{E994C45F-251C-62AF-5341-6E5F17660D1E}"/>
            </a:ext>
          </a:extLst>
        </xdr:cNvPr>
        <xdr:cNvGrpSpPr/>
      </xdr:nvGrpSpPr>
      <xdr:grpSpPr>
        <a:xfrm>
          <a:off x="4408783" y="1239948"/>
          <a:ext cx="2034464" cy="5752524"/>
          <a:chOff x="4458854" y="1078897"/>
          <a:chExt cx="2061047" cy="5933426"/>
        </a:xfrm>
      </xdr:grpSpPr>
      <mc:AlternateContent xmlns:mc="http://schemas.openxmlformats.org/markup-compatibility/2006">
        <mc:Choice xmlns:cx4="http://schemas.microsoft.com/office/drawing/2016/5/10/chartex" Requires="cx4">
          <xdr:graphicFrame macro="">
            <xdr:nvGraphicFramePr>
              <xdr:cNvPr id="62" name="Chart 61" hidden="1">
                <a:extLst>
                  <a:ext uri="{FF2B5EF4-FFF2-40B4-BE49-F238E27FC236}">
                    <a16:creationId xmlns:a16="http://schemas.microsoft.com/office/drawing/2014/main" id="{AF81FEDE-D8F6-48AE-B6FF-B312EBCCF4F9}"/>
                  </a:ext>
                </a:extLst>
              </xdr:cNvPr>
              <xdr:cNvGraphicFramePr/>
            </xdr:nvGraphicFramePr>
            <xdr:xfrm>
              <a:off x="4471582" y="1114824"/>
              <a:ext cx="2041282" cy="3077278"/>
            </xdr:xfrm>
            <a:graphic>
              <a:graphicData uri="http://schemas.microsoft.com/office/drawing/2014/chartex">
                <cx:chart xmlns:cx="http://schemas.microsoft.com/office/drawing/2014/chartex" xmlns:r="http://schemas.openxmlformats.org/officeDocument/2006/relationships" r:id="rId23"/>
              </a:graphicData>
            </a:graphic>
          </xdr:graphicFrame>
        </mc:Choice>
        <mc:Fallback>
          <xdr:sp macro="" textlink="">
            <xdr:nvSpPr>
              <xdr:cNvPr id="0" name=""/>
              <xdr:cNvSpPr>
                <a:spLocks noTextEdit="1"/>
              </xdr:cNvSpPr>
            </xdr:nvSpPr>
            <xdr:spPr>
              <a:xfrm>
                <a:off x="4471582" y="1114824"/>
                <a:ext cx="2041282" cy="307727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sp macro="" textlink="Pivot!CG7">
        <xdr:nvSpPr>
          <xdr:cNvPr id="57" name="Rectangle: Rounded Corners 56" hidden="1">
            <a:extLst>
              <a:ext uri="{FF2B5EF4-FFF2-40B4-BE49-F238E27FC236}">
                <a16:creationId xmlns:a16="http://schemas.microsoft.com/office/drawing/2014/main" id="{1823070A-9FF4-84CB-14FD-724D5589FA99}"/>
              </a:ext>
            </a:extLst>
          </xdr:cNvPr>
          <xdr:cNvSpPr/>
        </xdr:nvSpPr>
        <xdr:spPr>
          <a:xfrm>
            <a:off x="4462499" y="1078897"/>
            <a:ext cx="2057400" cy="2785532"/>
          </a:xfrm>
          <a:prstGeom prst="roundRect">
            <a:avLst>
              <a:gd name="adj" fmla="val 3450"/>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B75473A9-CF3E-4DE3-A15C-53F507891A29}" type="TxLink">
              <a:rPr lang="en-US" sz="1100" b="0" i="0" u="none" strike="noStrike">
                <a:solidFill>
                  <a:srgbClr val="FF0000"/>
                </a:solidFill>
                <a:latin typeface="Calibri"/>
                <a:ea typeface="Calibri"/>
                <a:cs typeface="Calibri"/>
              </a:rPr>
              <a:t>China</a:t>
            </a:fld>
            <a:endParaRPr lang="en-US" sz="1200">
              <a:solidFill>
                <a:srgbClr val="FF0000"/>
              </a:solidFill>
            </a:endParaRPr>
          </a:p>
        </xdr:txBody>
      </xdr:sp>
      <xdr:sp macro="" textlink="Pivot!CN7">
        <xdr:nvSpPr>
          <xdr:cNvPr id="58" name="Rectangle: Rounded Corners 57" hidden="1">
            <a:extLst>
              <a:ext uri="{FF2B5EF4-FFF2-40B4-BE49-F238E27FC236}">
                <a16:creationId xmlns:a16="http://schemas.microsoft.com/office/drawing/2014/main" id="{34DD0146-A1FE-3DF3-2416-B6B29DDF4D6E}"/>
              </a:ext>
            </a:extLst>
          </xdr:cNvPr>
          <xdr:cNvSpPr/>
        </xdr:nvSpPr>
        <xdr:spPr>
          <a:xfrm>
            <a:off x="4462501" y="4996543"/>
            <a:ext cx="2057400" cy="2015780"/>
          </a:xfrm>
          <a:prstGeom prst="roundRect">
            <a:avLst>
              <a:gd name="adj" fmla="val 3418"/>
            </a:avLst>
          </a:prstGeom>
          <a:solidFill>
            <a:schemeClr val="bg1"/>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CE7FEA4C-688C-4AB1-9703-ACF8ADED52C7}" type="TxLink">
              <a:rPr lang="en-US" sz="1200" b="0" i="0" u="none" strike="noStrike">
                <a:solidFill>
                  <a:schemeClr val="bg1">
                    <a:lumMod val="65000"/>
                  </a:schemeClr>
                </a:solidFill>
                <a:latin typeface="Calibri"/>
                <a:ea typeface="Calibri"/>
                <a:cs typeface="Calibri"/>
              </a:rPr>
              <a:t>Describtion: Major global manufacturing and export hub; port congestion or trade restrictions can disrupt global supply chains</a:t>
            </a:fld>
            <a:endParaRPr lang="en-US" sz="1200">
              <a:solidFill>
                <a:schemeClr val="bg1">
                  <a:lumMod val="65000"/>
                </a:schemeClr>
              </a:solidFill>
            </a:endParaRPr>
          </a:p>
        </xdr:txBody>
      </xdr:sp>
      <xdr:sp macro="" textlink="Heat_Map!C5">
        <xdr:nvSpPr>
          <xdr:cNvPr id="61" name="Rectangle: Rounded Corners 60" hidden="1">
            <a:extLst>
              <a:ext uri="{FF2B5EF4-FFF2-40B4-BE49-F238E27FC236}">
                <a16:creationId xmlns:a16="http://schemas.microsoft.com/office/drawing/2014/main" id="{E5811301-7259-AB83-E382-D854C6C77137}"/>
              </a:ext>
            </a:extLst>
          </xdr:cNvPr>
          <xdr:cNvSpPr/>
        </xdr:nvSpPr>
        <xdr:spPr>
          <a:xfrm>
            <a:off x="5750778" y="1133305"/>
            <a:ext cx="725789" cy="282859"/>
          </a:xfrm>
          <a:prstGeom prst="roundRect">
            <a:avLst>
              <a:gd name="adj" fmla="val 17079"/>
            </a:avLst>
          </a:prstGeom>
          <a:solidFill>
            <a:schemeClr val="bg1"/>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879CD849-0FEC-4AED-B2C8-965B2C187A06}" type="TxLink">
              <a:rPr lang="en-US" sz="1100" b="0" i="0" u="none" strike="noStrike">
                <a:solidFill>
                  <a:srgbClr val="FF0000"/>
                </a:solidFill>
                <a:latin typeface="Calibri"/>
                <a:ea typeface="Calibri"/>
                <a:cs typeface="Calibri"/>
              </a:rPr>
              <a:t>Feb-26</a:t>
            </a:fld>
            <a:endParaRPr lang="en-US" sz="1200">
              <a:solidFill>
                <a:srgbClr val="FF0000"/>
              </a:solidFill>
            </a:endParaRPr>
          </a:p>
        </xdr:txBody>
      </xdr:sp>
      <xdr:sp macro="" textlink="Pivot!CN4">
        <xdr:nvSpPr>
          <xdr:cNvPr id="4096" name="Rectangle: Rounded Corners 4095" hidden="1">
            <a:extLst>
              <a:ext uri="{FF2B5EF4-FFF2-40B4-BE49-F238E27FC236}">
                <a16:creationId xmlns:a16="http://schemas.microsoft.com/office/drawing/2014/main" id="{1913066A-4EC6-9CF9-9D53-FEE4AF6D8657}"/>
              </a:ext>
            </a:extLst>
          </xdr:cNvPr>
          <xdr:cNvSpPr/>
        </xdr:nvSpPr>
        <xdr:spPr>
          <a:xfrm>
            <a:off x="4458855" y="3930261"/>
            <a:ext cx="2057400" cy="282859"/>
          </a:xfrm>
          <a:prstGeom prst="roundRect">
            <a:avLst>
              <a:gd name="adj" fmla="val 16507"/>
            </a:avLst>
          </a:prstGeom>
          <a:solidFill>
            <a:schemeClr val="bg1"/>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1EE38F12-427A-4DE8-B272-F54730BCBDC2}" type="TxLink">
              <a:rPr lang="en-US" sz="1100" b="0" i="0" u="none" strike="noStrike">
                <a:solidFill>
                  <a:schemeClr val="bg1">
                    <a:lumMod val="65000"/>
                  </a:schemeClr>
                </a:solidFill>
                <a:latin typeface="Calibri"/>
                <a:ea typeface="Calibri"/>
                <a:cs typeface="Calibri"/>
              </a:rPr>
              <a:t>Crisis: Logistics</a:t>
            </a:fld>
            <a:endParaRPr lang="en-US" sz="1200">
              <a:solidFill>
                <a:schemeClr val="bg1">
                  <a:lumMod val="65000"/>
                </a:schemeClr>
              </a:solidFill>
            </a:endParaRPr>
          </a:p>
        </xdr:txBody>
      </xdr:sp>
      <xdr:sp macro="" textlink="Pivot!CN5">
        <xdr:nvSpPr>
          <xdr:cNvPr id="4097" name="Rectangle: Rounded Corners 4096" hidden="1">
            <a:extLst>
              <a:ext uri="{FF2B5EF4-FFF2-40B4-BE49-F238E27FC236}">
                <a16:creationId xmlns:a16="http://schemas.microsoft.com/office/drawing/2014/main" id="{1076BDDE-A95B-6819-05EE-CEF1BE069210}"/>
              </a:ext>
            </a:extLst>
          </xdr:cNvPr>
          <xdr:cNvSpPr/>
        </xdr:nvSpPr>
        <xdr:spPr>
          <a:xfrm>
            <a:off x="4458855" y="4281523"/>
            <a:ext cx="2057400" cy="282859"/>
          </a:xfrm>
          <a:prstGeom prst="roundRect">
            <a:avLst>
              <a:gd name="adj" fmla="val 16507"/>
            </a:avLst>
          </a:prstGeom>
          <a:solidFill>
            <a:schemeClr val="bg1"/>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CBE3F1D5-2AEC-4431-8DAF-FA3D9BF80A53}" type="TxLink">
              <a:rPr lang="en-US" sz="1100" b="0" i="0" u="none" strike="noStrike">
                <a:solidFill>
                  <a:schemeClr val="bg1">
                    <a:lumMod val="65000"/>
                  </a:schemeClr>
                </a:solidFill>
                <a:latin typeface="Calibri"/>
                <a:ea typeface="Calibri"/>
                <a:cs typeface="Calibri"/>
              </a:rPr>
              <a:t>Shock Factor: 0.5</a:t>
            </a:fld>
            <a:endParaRPr lang="en-US" sz="1200">
              <a:solidFill>
                <a:schemeClr val="bg1">
                  <a:lumMod val="65000"/>
                </a:schemeClr>
              </a:solidFill>
            </a:endParaRPr>
          </a:p>
        </xdr:txBody>
      </xdr:sp>
      <xdr:sp macro="" textlink="Pivot!CN6">
        <xdr:nvSpPr>
          <xdr:cNvPr id="4098" name="Rectangle: Rounded Corners 4097" hidden="1">
            <a:extLst>
              <a:ext uri="{FF2B5EF4-FFF2-40B4-BE49-F238E27FC236}">
                <a16:creationId xmlns:a16="http://schemas.microsoft.com/office/drawing/2014/main" id="{54A394C1-282C-61EB-6278-C2FDF308CF57}"/>
              </a:ext>
            </a:extLst>
          </xdr:cNvPr>
          <xdr:cNvSpPr/>
        </xdr:nvSpPr>
        <xdr:spPr>
          <a:xfrm>
            <a:off x="4458854" y="4640751"/>
            <a:ext cx="2057400" cy="282859"/>
          </a:xfrm>
          <a:prstGeom prst="roundRect">
            <a:avLst>
              <a:gd name="adj" fmla="val 16507"/>
            </a:avLst>
          </a:prstGeom>
          <a:solidFill>
            <a:schemeClr val="bg1"/>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74E1F351-F7E2-4497-9330-A0E2AB23444A}" type="TxLink">
              <a:rPr lang="en-US" sz="1100" b="0" i="0" u="none" strike="noStrike">
                <a:solidFill>
                  <a:schemeClr val="bg1">
                    <a:lumMod val="65000"/>
                  </a:schemeClr>
                </a:solidFill>
                <a:latin typeface="Calibri"/>
                <a:ea typeface="Calibri"/>
                <a:cs typeface="Calibri"/>
              </a:rPr>
              <a:t>Risk Level: 2</a:t>
            </a:fld>
            <a:endParaRPr lang="en-US" sz="1200">
              <a:solidFill>
                <a:schemeClr val="bg1">
                  <a:lumMod val="65000"/>
                </a:schemeClr>
              </a:solidFill>
            </a:endParaRPr>
          </a:p>
        </xdr:txBody>
      </xdr:sp>
    </xdr:grpSp>
    <xdr:clientData/>
  </xdr:twoCellAnchor>
  <xdr:twoCellAnchor editAs="oneCell">
    <xdr:from>
      <xdr:col>2</xdr:col>
      <xdr:colOff>17930</xdr:colOff>
      <xdr:row>18</xdr:row>
      <xdr:rowOff>80681</xdr:rowOff>
    </xdr:from>
    <xdr:to>
      <xdr:col>39</xdr:col>
      <xdr:colOff>39445</xdr:colOff>
      <xdr:row>40</xdr:row>
      <xdr:rowOff>159571</xdr:rowOff>
    </xdr:to>
    <mc:AlternateContent xmlns:mc="http://schemas.openxmlformats.org/markup-compatibility/2006">
      <mc:Choice xmlns:a14="http://schemas.microsoft.com/office/drawing/2010/main" Requires="a14">
        <xdr:graphicFrame macro="">
          <xdr:nvGraphicFramePr>
            <xdr:cNvPr id="4100" name="Page4_Slicer3" hidden="1">
              <a:extLst>
                <a:ext uri="{FF2B5EF4-FFF2-40B4-BE49-F238E27FC236}">
                  <a16:creationId xmlns:a16="http://schemas.microsoft.com/office/drawing/2014/main" id="{15BD865E-CCE2-4383-9AD8-8C0D391DC62B}"/>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age4_Slicer3"/>
            </a:graphicData>
          </a:graphic>
        </xdr:graphicFrame>
      </mc:Choice>
      <mc:Fallback>
        <xdr:sp macro="" textlink="">
          <xdr:nvSpPr>
            <xdr:cNvPr id="0" name=""/>
            <xdr:cNvSpPr>
              <a:spLocks noTextEdit="1"/>
            </xdr:cNvSpPr>
          </xdr:nvSpPr>
          <xdr:spPr>
            <a:xfrm>
              <a:off x="125506" y="2985246"/>
              <a:ext cx="2011680" cy="40233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17930</xdr:colOff>
      <xdr:row>18</xdr:row>
      <xdr:rowOff>71722</xdr:rowOff>
    </xdr:from>
    <xdr:to>
      <xdr:col>39</xdr:col>
      <xdr:colOff>39445</xdr:colOff>
      <xdr:row>40</xdr:row>
      <xdr:rowOff>150612</xdr:rowOff>
    </xdr:to>
    <mc:AlternateContent xmlns:mc="http://schemas.openxmlformats.org/markup-compatibility/2006">
      <mc:Choice xmlns:a14="http://schemas.microsoft.com/office/drawing/2010/main" Requires="a14">
        <xdr:graphicFrame macro="">
          <xdr:nvGraphicFramePr>
            <xdr:cNvPr id="4104" name="Page3_Slicer2" hidden="1">
              <a:extLst>
                <a:ext uri="{FF2B5EF4-FFF2-40B4-BE49-F238E27FC236}">
                  <a16:creationId xmlns:a16="http://schemas.microsoft.com/office/drawing/2014/main" id="{5BE5EBD7-B25A-4861-B4AA-F8FB173BD9A9}"/>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age3_Slicer2"/>
            </a:graphicData>
          </a:graphic>
        </xdr:graphicFrame>
      </mc:Choice>
      <mc:Fallback>
        <xdr:sp macro="" textlink="">
          <xdr:nvSpPr>
            <xdr:cNvPr id="0" name=""/>
            <xdr:cNvSpPr>
              <a:spLocks noTextEdit="1"/>
            </xdr:cNvSpPr>
          </xdr:nvSpPr>
          <xdr:spPr>
            <a:xfrm>
              <a:off x="125506" y="2976287"/>
              <a:ext cx="2011680" cy="40233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22860</xdr:colOff>
      <xdr:row>13</xdr:row>
      <xdr:rowOff>76647</xdr:rowOff>
    </xdr:from>
    <xdr:to>
      <xdr:col>39</xdr:col>
      <xdr:colOff>44375</xdr:colOff>
      <xdr:row>18</xdr:row>
      <xdr:rowOff>3136</xdr:rowOff>
    </xdr:to>
    <mc:AlternateContent xmlns:mc="http://schemas.openxmlformats.org/markup-compatibility/2006">
      <mc:Choice xmlns:a14="http://schemas.microsoft.com/office/drawing/2010/main" Requires="a14">
        <xdr:graphicFrame macro="">
          <xdr:nvGraphicFramePr>
            <xdr:cNvPr id="4109" name="Page3_Slicer1" hidden="1">
              <a:extLst>
                <a:ext uri="{FF2B5EF4-FFF2-40B4-BE49-F238E27FC236}">
                  <a16:creationId xmlns:a16="http://schemas.microsoft.com/office/drawing/2014/main" id="{62FEAB9E-DF49-4537-BFA4-4A6665518D48}"/>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age3_Slicer1"/>
            </a:graphicData>
          </a:graphic>
        </xdr:graphicFrame>
      </mc:Choice>
      <mc:Fallback>
        <xdr:sp macro="" textlink="">
          <xdr:nvSpPr>
            <xdr:cNvPr id="0" name=""/>
            <xdr:cNvSpPr>
              <a:spLocks noTextEdit="1"/>
            </xdr:cNvSpPr>
          </xdr:nvSpPr>
          <xdr:spPr>
            <a:xfrm>
              <a:off x="130436" y="2084741"/>
              <a:ext cx="2011680" cy="8229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111</xdr:col>
      <xdr:colOff>26894</xdr:colOff>
      <xdr:row>19</xdr:row>
      <xdr:rowOff>80681</xdr:rowOff>
    </xdr:from>
    <xdr:to>
      <xdr:col>153</xdr:col>
      <xdr:colOff>23308</xdr:colOff>
      <xdr:row>30</xdr:row>
      <xdr:rowOff>51546</xdr:rowOff>
    </xdr:to>
    <xdr:pic>
      <xdr:nvPicPr>
        <xdr:cNvPr id="4112" name="Shape_1-1" descr="[animate output image]" hidden="1">
          <a:extLst>
            <a:ext uri="{FF2B5EF4-FFF2-40B4-BE49-F238E27FC236}">
              <a16:creationId xmlns:a16="http://schemas.microsoft.com/office/drawing/2014/main" id="{CFE42652-C019-4698-8971-C5DEF1416FF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5997388" y="2976281"/>
          <a:ext cx="2255520" cy="1943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183</xdr:col>
          <xdr:colOff>27339</xdr:colOff>
          <xdr:row>3</xdr:row>
          <xdr:rowOff>156434</xdr:rowOff>
        </xdr:from>
        <xdr:to>
          <xdr:col>202</xdr:col>
          <xdr:colOff>3582</xdr:colOff>
          <xdr:row>4</xdr:row>
          <xdr:rowOff>175260</xdr:rowOff>
        </xdr:to>
        <xdr:sp macro="" textlink="">
          <xdr:nvSpPr>
            <xdr:cNvPr id="4269" name="Button 173" hidden="1">
              <a:extLst>
                <a:ext uri="{63B3BB69-23CF-44E3-9099-C40C66FF867C}">
                  <a14:compatExt spid="_x0000_s4269"/>
                </a:ext>
                <a:ext uri="{FF2B5EF4-FFF2-40B4-BE49-F238E27FC236}">
                  <a16:creationId xmlns:a16="http://schemas.microsoft.com/office/drawing/2014/main" id="{00000000-0008-0000-0700-0000AD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Calibri"/>
                  <a:ea typeface="Calibri"/>
                  <a:cs typeface="Calibri"/>
                </a:rPr>
                <a:t>Search</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ohamed Sherif" refreshedDate="46089.135195023147" createdVersion="8" refreshedVersion="8" minRefreshableVersion="3" recordCount="539" xr:uid="{8055F67B-AC2B-471E-AFCE-5C9178C41555}">
  <cacheSource type="worksheet">
    <worksheetSource name="HS_DB"/>
  </cacheSource>
  <cacheFields count="62">
    <cacheField name="HS Code" numFmtId="0">
      <sharedItems containsSemiMixedTypes="0" containsString="0" containsNumber="1" containsInteger="1" minValue="110100" maxValue="391390" count="44">
        <n v="391390"/>
        <n v="291814"/>
        <n v="291619"/>
        <n v="350510"/>
        <n v="290719"/>
        <n v="291631"/>
        <n v="391231"/>
        <n v="130232"/>
        <n v="130239"/>
        <n v="291811"/>
        <n v="280920"/>
        <n v="291815"/>
        <n v="291550"/>
        <n v="283410"/>
        <n v="283210"/>
        <n v="292320"/>
        <n v="291570"/>
        <n v="290544"/>
        <n v="170230"/>
        <n v="170260"/>
        <n v="292429"/>
        <n v="293499"/>
        <n v="170290"/>
        <n v="320419"/>
        <n v="130219"/>
        <n v="120750"/>
        <n v="110630"/>
        <n v="200290"/>
        <n v="170199"/>
        <n v="170113"/>
        <n v="110100"/>
        <n v="110812"/>
        <n v="110813"/>
        <n v="151190"/>
        <n v="150710"/>
        <n v="150790"/>
        <n v="151211"/>
        <n v="151620"/>
        <n v="170211"/>
        <n v="250100"/>
        <n v="283630"/>
        <n v="283526"/>
        <n v="292242"/>
        <n v="290532"/>
      </sharedItems>
    </cacheField>
    <cacheField name="Index" numFmtId="0">
      <sharedItems containsSemiMixedTypes="0" containsString="0" containsNumber="1" containsInteger="1" minValue="1" maxValue="45" count="44">
        <n v="1"/>
        <n v="6"/>
        <n v="10"/>
        <n v="15"/>
        <n v="24"/>
        <n v="11"/>
        <n v="2"/>
        <n v="3"/>
        <n v="4"/>
        <n v="7"/>
        <n v="8"/>
        <n v="9"/>
        <n v="12"/>
        <n v="13"/>
        <n v="14"/>
        <n v="16"/>
        <n v="17"/>
        <n v="18"/>
        <n v="19"/>
        <n v="20"/>
        <n v="21"/>
        <n v="22"/>
        <n v="25"/>
        <n v="26"/>
        <n v="27"/>
        <n v="28"/>
        <n v="29"/>
        <n v="23"/>
        <n v="30"/>
        <n v="31"/>
        <n v="32"/>
        <n v="33"/>
        <n v="34"/>
        <n v="35"/>
        <n v="36"/>
        <n v="37"/>
        <n v="38"/>
        <n v="39"/>
        <n v="40"/>
        <n v="41"/>
        <n v="42"/>
        <n v="43"/>
        <n v="44"/>
        <n v="45"/>
      </sharedItems>
    </cacheField>
    <cacheField name="HS Code Description" numFmtId="0">
      <sharedItems/>
    </cacheField>
    <cacheField name="Products" numFmtId="0">
      <sharedItems count="45">
        <s v="Xanthan Gum"/>
        <s v="Citric Acid"/>
        <s v="Potassium Sorbate"/>
        <s v="Modified Starch (Cold/Hot)"/>
        <s v="BHT / BHA"/>
        <s v="Sodium Benzoate"/>
        <s v="CMC (Carboxymethyl Cellulose)"/>
        <s v="Guar Gum"/>
        <s v="Carrageenan"/>
        <s v="Lactic Acid"/>
        <s v="Phosphoric Acid"/>
        <s v="Sodium Citrate"/>
        <s v="Calcium Propionate"/>
        <s v="Sodium Nitrite"/>
        <s v="Sodium Metabisulfite"/>
        <s v="Lecithin"/>
        <s v="Mono &amp; Diglycerides"/>
        <s v="Sorbitol"/>
        <s v="Glucose Syrup"/>
        <s v="Fructose"/>
        <s v="Aspartame"/>
        <s v="Acesulfame-K"/>
        <s v="Caramel Color"/>
        <s v="Beta Carotene"/>
        <s v="Natural Extract Colors"/>
        <s v="Mustard Seeds"/>
        <s v="Mustard Flour"/>
        <s v="Tomato Paste / Concentrate"/>
        <s v="Sugar (White Crystal)"/>
        <s v="Raw Sugar"/>
        <s v="Wheat Flour"/>
        <s v="Corn Starch"/>
        <s v="Potato Starch"/>
        <s v="Refined Palm Oil"/>
        <s v="Crude Soybean Oil"/>
        <s v="Refined Soybean Oil"/>
        <s v="Sunflower Oil"/>
        <s v="Shortening / Hydrogenated Oils"/>
        <s v="Lactose"/>
        <s v="Salt"/>
        <s v="Sodium Bicarbonate"/>
        <s v="Phosphates"/>
        <s v="MSG"/>
        <s v="Propylene Glycol"/>
        <s v="" u="1"/>
      </sharedItems>
    </cacheField>
    <cacheField name="Category" numFmtId="0">
      <sharedItems count="9">
        <s v="FUNCTIONAL INGREDIENTS"/>
        <s v="ACIDULANTS &amp; REGULATORS"/>
        <s v="PRESERVATIVES"/>
        <s v="Food Ingredients"/>
        <s v="SWEETENERS"/>
        <s v="Agricultural Raw Materials"/>
        <s v="Agricultural Processed Inputs"/>
        <s v="Dairy Ingredients"/>
        <s v="" u="1"/>
      </sharedItems>
    </cacheField>
    <cacheField name="Sub Category" numFmtId="0">
      <sharedItems count="27">
        <s v="Hydrocolloids"/>
        <s v="Organic Acids"/>
        <s v="Organic Preservatives"/>
        <s v="Modified Starches"/>
        <s v="Antioxidants"/>
        <s v="Inorganic Acids"/>
        <s v="Salts &amp; Buffers"/>
        <s v="Nitrites &amp; Nitrates"/>
        <s v="Sulfites"/>
        <s v="Emulsifiers"/>
        <s v="Sugar Alcohols"/>
        <s v="Bulk Sweeteners"/>
        <s v="High Intensity Sweeteners"/>
        <s v="Colors"/>
        <s v="Spices"/>
        <s v="Tomato Derivatives"/>
        <s v="Cereals &amp; Flours"/>
        <s v="Native Starches"/>
        <s v="Edible Oils"/>
        <s v="Fats &amp; Shortening"/>
        <s v="Milk Sugars"/>
        <s v="Mineral Salts"/>
        <s v="Leavening Agents"/>
        <s v="Salts &amp; Stabilizers"/>
        <s v="Flavor Enhancers"/>
        <s v="Solvents &amp; Humectants"/>
        <s v="" u="1"/>
      </sharedItems>
    </cacheField>
    <cacheField name="Micro Category" numFmtId="0">
      <sharedItems/>
    </cacheField>
    <cacheField name="Support Sector" numFmtId="0">
      <sharedItems/>
    </cacheField>
    <cacheField name="Country Index" numFmtId="0">
      <sharedItems containsMixedTypes="1" containsNumber="1" containsInteger="1" minValue="9" maxValue="182" count="60">
        <n v="9"/>
        <n v="17"/>
        <n v="32"/>
        <n v="36"/>
        <n v="37"/>
        <n v="45"/>
        <n v="59"/>
        <n v="63"/>
        <n v="79"/>
        <n v="81"/>
        <n v="123"/>
        <n v="100"/>
        <n v="118"/>
        <n v="134"/>
        <n v="146"/>
        <n v="75"/>
        <n v="151"/>
        <n v="175"/>
        <n v="182"/>
        <n v="112"/>
        <n v="159"/>
        <n v="181"/>
        <n v="156"/>
        <n v="164"/>
        <n v="24"/>
        <n v="44"/>
        <n v="73"/>
        <n v="76"/>
        <n v="92"/>
        <n v="127"/>
        <n v="163"/>
        <n v="169"/>
        <n v="179"/>
        <n v="65"/>
        <n v="54"/>
        <n v="26"/>
        <n v="58"/>
        <n v="83"/>
        <n v="35"/>
        <n v="132"/>
        <n v="133"/>
        <n v="10"/>
        <n v="84"/>
        <n v="153"/>
        <n v="13"/>
        <n v="152"/>
        <n v="103"/>
        <n v="148"/>
        <n v="160"/>
        <n v="88"/>
        <n v="178"/>
        <n v="106"/>
        <n v="41"/>
        <n v="19"/>
        <n v="80"/>
        <n v="137"/>
        <n v="96"/>
        <n v="135"/>
        <n v="174"/>
        <s v=""/>
      </sharedItems>
    </cacheField>
    <cacheField name="Country Top10" numFmtId="0">
      <sharedItems count="2">
        <s v="No"/>
        <s v="Yes"/>
      </sharedItems>
    </cacheField>
    <cacheField name="Period" numFmtId="0">
      <sharedItems containsSemiMixedTypes="0" containsString="0" containsNumber="1" containsInteger="1" minValue="2024" maxValue="2024" count="1">
        <n v="2024"/>
      </sharedItems>
    </cacheField>
    <cacheField name="Trade Flow" numFmtId="0">
      <sharedItems/>
    </cacheField>
    <cacheField name="Reporter" numFmtId="0">
      <sharedItems count="76">
        <s v="Australia"/>
        <s v="Belgium"/>
        <s v="Canada"/>
        <s v="China"/>
        <s v="Colombia"/>
        <s v="Denmark"/>
        <s v="France"/>
        <s v="Germany"/>
        <s v="Ireland"/>
        <s v="Italy"/>
        <s v="North Korea"/>
        <s v="Malaysia"/>
        <s v="Netherlands"/>
        <s v="Poland"/>
        <s v="Saudi Arabia"/>
        <s v="India"/>
        <s v="Singapore"/>
        <s v="Türkiye"/>
        <s v="USA"/>
        <s v="Morocco"/>
        <s v="Spain"/>
        <s v="United Kingdom"/>
        <s v="South Africa"/>
        <s v="Switzerland"/>
        <s v="Brazil"/>
        <s v="Czechia"/>
        <s v="Hungary"/>
        <s v="Indonesia"/>
        <s v="Lebanon"/>
        <s v="Pakistan"/>
        <s v="Sweden"/>
        <s v="Thailand"/>
        <s v="Ukraine"/>
        <s v="Greece"/>
        <s v="Estonia"/>
        <s v="Bulgaria"/>
        <s v="Finland"/>
        <s v="Japan"/>
        <s v="Chile"/>
        <s v="Peru"/>
        <s v="Philippines"/>
        <s v="Austria"/>
        <s v="Jordan"/>
        <s v="Slovenia"/>
        <s v="Bahrain"/>
        <s v="Slovakia"/>
        <s v="Malta"/>
        <s v="Serbia"/>
        <s v="Sri Lanka"/>
        <s v="Kuwait"/>
        <s v="Uganda"/>
        <s v="Mauritius"/>
        <s v="Croatia"/>
        <s v="Benin"/>
        <s v="Israel"/>
        <s v="Romania"/>
        <s v="Lithuania"/>
        <s v="Portugal"/>
        <s v="Tunisia"/>
        <s v="Rep. of Korea"/>
        <s v="Other Asia, nes" u="1"/>
        <s v="Rep. of Moldova" u="1"/>
        <s v="Albania" u="1"/>
        <s v="Angola" u="1"/>
        <s v="Azerbaijan" u="1"/>
        <s v="Argentina" u="1"/>
        <s v="Armenia" u="1"/>
        <s v="Bolivia (Plurinational State of)" u="1"/>
        <s v="Bosnia Herzegovina" u="1"/>
        <s v="Brunei Darussalam" u="1"/>
        <s v="Myanmar" u="1"/>
        <s v="Cambodia" u="1"/>
        <s v="Central African Rep." u="1"/>
        <s v="Costa Rica" u="1"/>
        <s v="Cyprus" u="1"/>
        <s v="China, Hong Kong SAR" u="1"/>
      </sharedItems>
    </cacheField>
    <cacheField name="Partner" numFmtId="0">
      <sharedItems/>
    </cacheField>
    <cacheField name="2nd Partner" numFmtId="0">
      <sharedItems/>
    </cacheField>
    <cacheField name="Customs Desc" numFmtId="0">
      <sharedItems/>
    </cacheField>
    <cacheField name="Transport Mode" numFmtId="0">
      <sharedItems/>
    </cacheField>
    <cacheField name="Commodity Code" numFmtId="0">
      <sharedItems containsSemiMixedTypes="0" containsString="0" containsNumber="1" containsInteger="1" minValue="110100" maxValue="391390"/>
    </cacheField>
    <cacheField name="Trade Value - USD" numFmtId="3">
      <sharedItems containsSemiMixedTypes="0" containsString="0" containsNumber="1" containsInteger="1" minValue="0" maxValue="732148285"/>
    </cacheField>
    <cacheField name="Net Weight -KG" numFmtId="3">
      <sharedItems containsSemiMixedTypes="0" containsString="0" containsNumber="1" minValue="0" maxValue="792174000"/>
    </cacheField>
    <cacheField name="Gross Weight" numFmtId="3">
      <sharedItems containsSemiMixedTypes="0" containsString="0" containsNumber="1" containsInteger="1" minValue="0" maxValue="131255"/>
    </cacheField>
    <cacheField name="Qty" numFmtId="3">
      <sharedItems containsSemiMixedTypes="0" containsString="0" containsNumber="1" containsInteger="1" minValue="0" maxValue="792174000"/>
    </cacheField>
    <cacheField name="Qty Unit" numFmtId="3">
      <sharedItems/>
    </cacheField>
    <cacheField name="Alternate Quantity" numFmtId="3">
      <sharedItems containsSemiMixedTypes="0" containsString="0" containsNumber="1" containsInteger="1" minValue="0" maxValue="792174000"/>
    </cacheField>
    <cacheField name="Alt Qty Unit" numFmtId="0">
      <sharedItems/>
    </cacheField>
    <cacheField name="Origin Share%" numFmtId="9">
      <sharedItems containsSemiMixedTypes="0" containsString="0" containsNumber="1" minValue="1.2732039388690099E-7" maxValue="0.39900464236999494"/>
    </cacheField>
    <cacheField name="Origin Rank" numFmtId="3">
      <sharedItems containsSemiMixedTypes="0" containsString="0" containsNumber="1" containsInteger="1" minValue="1" maxValue="38"/>
    </cacheField>
    <cacheField name="Origin Crisis" numFmtId="3">
      <sharedItems count="2">
        <s v="No"/>
        <s v="Yes"/>
      </sharedItems>
    </cacheField>
    <cacheField name="Crisis Impact%" numFmtId="9">
      <sharedItems containsSemiMixedTypes="0" containsString="0" containsNumber="1" minValue="0" maxValue="0.44999999999999996"/>
    </cacheField>
    <cacheField name="Crisis Spend Impact USD" numFmtId="3">
      <sharedItems containsSemiMixedTypes="0" containsString="0" containsNumber="1" minValue="0" maxValue="153751139.84999999"/>
    </cacheField>
    <cacheField name="Crisis Volume Impact KG" numFmtId="3">
      <sharedItems containsSemiMixedTypes="0" containsString="0" containsNumber="1" minValue="0" maxValue="166356540"/>
    </cacheField>
    <cacheField name="Product Share%" numFmtId="9">
      <sharedItems containsSemiMixedTypes="0" containsString="0" containsNumber="1" minValue="1.8661986733972514E-5" maxValue="0.60345218393960753"/>
    </cacheField>
    <cacheField name="Product Rank" numFmtId="3">
      <sharedItems containsSemiMixedTypes="0" containsString="0" containsNumber="1" containsInteger="1" minValue="1" maxValue="539"/>
    </cacheField>
    <cacheField name="Weighted Price - USD" numFmtId="4">
      <sharedItems containsSemiMixedTypes="0" containsString="0" containsNumber="1" minValue="0" maxValue="28755"/>
    </cacheField>
    <cacheField name="HS Code Risk Score" numFmtId="0">
      <sharedItems containsSemiMixedTypes="0" containsString="0" containsNumber="1" containsInteger="1" minValue="17" maxValue="47"/>
    </cacheField>
    <cacheField name="HS Code Risk Status" numFmtId="0">
      <sharedItems count="3">
        <s v="Medium"/>
        <s v="High"/>
        <s v="Low"/>
      </sharedItems>
    </cacheField>
    <cacheField name="Product Top10 Risk" numFmtId="0">
      <sharedItems/>
    </cacheField>
    <cacheField name="Annual Volume" numFmtId="3">
      <sharedItems containsSemiMixedTypes="0" containsString="0" containsNumber="1" minValue="42000" maxValue="1231357279"/>
    </cacheField>
    <cacheField name="Annual Spend - USD" numFmtId="3">
      <sharedItems containsSemiMixedTypes="0" containsString="0" containsNumber="1" containsInteger="1" minValue="35178" maxValue="1137512379"/>
    </cacheField>
    <cacheField name="Max Origin Share %" numFmtId="9">
      <sharedItems containsSemiMixedTypes="0" containsString="0" containsNumber="1" minValue="1.4561232389604124E-2" maxValue="0.39900464236999494"/>
    </cacheField>
    <cacheField name="Origin Count" numFmtId="3">
      <sharedItems containsSemiMixedTypes="0" containsString="0" containsNumber="1" containsInteger="1" minValue="1" maxValue="23"/>
    </cacheField>
    <cacheField name="Single Structure" numFmtId="0">
      <sharedItems count="2">
        <s v="Multiple Sources"/>
        <s v="Single Source"/>
      </sharedItems>
    </cacheField>
    <cacheField name="Risk Exposure - USD" numFmtId="3">
      <sharedItems containsSemiMixedTypes="0" containsString="0" containsNumber="1" minValue="11960.52" maxValue="386754208.86000001"/>
    </cacheField>
    <cacheField name="Risk Exposure Rank" numFmtId="3">
      <sharedItems containsSemiMixedTypes="0" containsString="0" containsNumber="1" containsInteger="1" minValue="1" maxValue="539"/>
    </cacheField>
    <cacheField name="Risk Exposure Status" numFmtId="3">
      <sharedItems count="3">
        <s v="Low"/>
        <s v="High"/>
        <s v="Medium"/>
      </sharedItems>
    </cacheField>
    <cacheField name="Procurement Priority" numFmtId="3">
      <sharedItems count="3">
        <s v="Routine Control"/>
        <s v="Immediate Action"/>
        <s v="Monitor Closely"/>
      </sharedItems>
    </cacheField>
    <cacheField name="Total Market Size - USD" numFmtId="3">
      <sharedItems containsSemiMixedTypes="0" containsString="0" containsNumber="1" containsInteger="1" minValue="35178" maxValue="1137512379"/>
    </cacheField>
    <cacheField name="Market Share %" numFmtId="9">
      <sharedItems containsSemiMixedTypes="0" containsString="0" containsNumber="1" containsInteger="1" minValue="1" maxValue="1"/>
    </cacheField>
    <cacheField name="Competition Intensity" numFmtId="9">
      <sharedItems containsSemiMixedTypes="0" containsString="0" containsNumber="1" containsInteger="1" minValue="1" maxValue="1"/>
    </cacheField>
    <cacheField name="Market Concentration Level" numFmtId="3">
      <sharedItems/>
    </cacheField>
    <cacheField name="Commercial Opportunity Score" numFmtId="3">
      <sharedItems containsSemiMixedTypes="0" containsString="0" containsNumber="1" containsInteger="1" minValue="35178" maxValue="1137512379"/>
    </cacheField>
    <cacheField name="Commercial Priority" numFmtId="3">
      <sharedItems/>
    </cacheField>
    <cacheField name="Product Top10" numFmtId="3">
      <sharedItems count="2">
        <s v="No"/>
        <s v="Yes"/>
      </sharedItems>
    </cacheField>
    <cacheField name="Origin Top10" numFmtId="3">
      <sharedItems/>
    </cacheField>
    <cacheField name="Field1" numFmtId="0" formula="#NAME?/1000000" databaseField="0"/>
    <cacheField name="Field2" numFmtId="0" formula="'Trade Value - USD'/10^6" databaseField="0"/>
    <cacheField name="Spend_USDM" numFmtId="0" formula="'Trade Value - USD'/10^6" databaseField="0"/>
    <cacheField name="Volume_Ton" numFmtId="0" formula="'Net Weight -KG'/1000" databaseField="0"/>
    <cacheField name="Field3" numFmtId="0" formula="'Market Share %'/100" databaseField="0"/>
    <cacheField name="Risk%" numFmtId="0" formula="Products/Products" databaseField="0"/>
    <cacheField name="Crisis V Impact Ton" numFmtId="0" formula="'Crisis Volume Impact KG' /1000" databaseField="0"/>
    <cacheField name="Crisis Spend Impact" numFmtId="0" formula="'Crisis Spend Impact USD'/10^6" databaseField="0"/>
  </cacheFields>
  <extLst>
    <ext xmlns:x14="http://schemas.microsoft.com/office/spreadsheetml/2009/9/main" uri="{725AE2AE-9491-48be-B2B4-4EB974FC3084}">
      <x14:pivotCacheDefinition pivotCacheId="1368051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39">
  <r>
    <x v="0"/>
    <x v="0"/>
    <s v="Other polymers of natural origin"/>
    <x v="0"/>
    <x v="0"/>
    <x v="0"/>
    <s v="Xanthan Gum"/>
    <s v="Sauces / Dairy / Beverages"/>
    <x v="0"/>
    <x v="0"/>
    <x v="0"/>
    <s v="X"/>
    <x v="0"/>
    <s v="Egypt"/>
    <s v="World"/>
    <s v="TOTAL CPC"/>
    <s v="TOTAL MOT"/>
    <n v="391390"/>
    <n v="65031"/>
    <n v="12822.7"/>
    <n v="12"/>
    <n v="12823"/>
    <s v="kg"/>
    <n v="12823"/>
    <s v="kg"/>
    <n v="3.4499052228579408E-5"/>
    <n v="1"/>
    <x v="0"/>
    <n v="0"/>
    <n v="0"/>
    <n v="0"/>
    <n v="6.1305607849135918E-3"/>
    <n v="310"/>
    <n v="5.071552793093498"/>
    <n v="34"/>
    <x v="0"/>
    <s v="No"/>
    <n v="2298360.2000000002"/>
    <n v="11556158"/>
    <n v="0.25769345655074266"/>
    <n v="19"/>
    <x v="0"/>
    <n v="3929093.72"/>
    <n v="261"/>
    <x v="0"/>
    <x v="0"/>
    <n v="11556158"/>
    <n v="1"/>
    <n v="1"/>
    <s v="Highly Concentrated"/>
    <n v="11556158"/>
    <s v="Routine Market"/>
    <x v="0"/>
    <s v="Yes"/>
  </r>
  <r>
    <x v="0"/>
    <x v="0"/>
    <s v="Other polymers of natural origin"/>
    <x v="0"/>
    <x v="0"/>
    <x v="0"/>
    <s v="Xanthan Gum"/>
    <s v="Sauces / Dairy / Beverages"/>
    <x v="1"/>
    <x v="0"/>
    <x v="0"/>
    <s v="X"/>
    <x v="1"/>
    <s v="Egypt"/>
    <s v="World"/>
    <s v="TOTAL CPC"/>
    <s v="TOTAL MOT"/>
    <n v="391390"/>
    <n v="60669"/>
    <n v="443.6"/>
    <n v="0"/>
    <n v="444"/>
    <s v="kg"/>
    <n v="444"/>
    <s v="kg"/>
    <n v="5.3992075088500962E-3"/>
    <n v="13"/>
    <x v="0"/>
    <n v="0"/>
    <n v="0"/>
    <n v="0"/>
    <n v="6.1305607849135918E-3"/>
    <n v="316"/>
    <n v="136.76510369702433"/>
    <n v="34"/>
    <x v="0"/>
    <s v="No"/>
    <n v="2298360.2000000002"/>
    <n v="11556158"/>
    <n v="0.25769345655074266"/>
    <n v="19"/>
    <x v="0"/>
    <n v="3929093.72"/>
    <n v="261"/>
    <x v="0"/>
    <x v="0"/>
    <n v="11556158"/>
    <n v="1"/>
    <n v="1"/>
    <s v="Highly Concentrated"/>
    <n v="11556158"/>
    <s v="Routine Market"/>
    <x v="0"/>
    <s v="No"/>
  </r>
  <r>
    <x v="0"/>
    <x v="0"/>
    <s v="Other polymers of natural origin"/>
    <x v="0"/>
    <x v="0"/>
    <x v="0"/>
    <s v="Xanthan Gum"/>
    <s v="Sauces / Dairy / Beverages"/>
    <x v="2"/>
    <x v="0"/>
    <x v="0"/>
    <s v="X"/>
    <x v="2"/>
    <s v="Egypt"/>
    <s v="World"/>
    <s v="TOTAL CPC"/>
    <s v="TOTAL MOT"/>
    <n v="391390"/>
    <n v="192"/>
    <n v="28"/>
    <n v="0"/>
    <n v="28"/>
    <s v="kg"/>
    <n v="28"/>
    <s v="kg"/>
    <n v="1.2732039388690099E-7"/>
    <n v="1"/>
    <x v="0"/>
    <n v="0"/>
    <n v="0"/>
    <n v="0"/>
    <n v="6.1305607849135918E-3"/>
    <n v="509"/>
    <n v="6.8571428571428568"/>
    <n v="34"/>
    <x v="0"/>
    <s v="No"/>
    <n v="2298360.2000000002"/>
    <n v="11556158"/>
    <n v="0.25769345655074266"/>
    <n v="19"/>
    <x v="0"/>
    <n v="3929093.72"/>
    <n v="261"/>
    <x v="0"/>
    <x v="0"/>
    <n v="11556158"/>
    <n v="1"/>
    <n v="1"/>
    <s v="Highly Concentrated"/>
    <n v="11556158"/>
    <s v="Routine Market"/>
    <x v="0"/>
    <s v="Yes"/>
  </r>
  <r>
    <x v="0"/>
    <x v="0"/>
    <s v="Other polymers of natural origin"/>
    <x v="0"/>
    <x v="0"/>
    <x v="0"/>
    <s v="Xanthan Gum"/>
    <s v="Sauces / Dairy / Beverages"/>
    <x v="3"/>
    <x v="1"/>
    <x v="0"/>
    <s v="X"/>
    <x v="3"/>
    <s v="Egypt"/>
    <s v="World"/>
    <s v="TOTAL CPC"/>
    <s v="TOTAL MOT"/>
    <n v="391390"/>
    <n v="10080261"/>
    <n v="2124212"/>
    <n v="0"/>
    <n v="2124212"/>
    <s v="kg"/>
    <n v="2124212"/>
    <s v="kg"/>
    <n v="6.321329281187793E-2"/>
    <n v="4"/>
    <x v="1"/>
    <n v="0.14000000000000001"/>
    <n v="1411236.54"/>
    <n v="297389.68000000005"/>
    <n v="6.1305607849135918E-3"/>
    <n v="18"/>
    <n v="4.7454119457003348"/>
    <n v="34"/>
    <x v="0"/>
    <s v="No"/>
    <n v="2298360.2000000002"/>
    <n v="11556158"/>
    <n v="0.25769345655074266"/>
    <n v="19"/>
    <x v="0"/>
    <n v="3929093.72"/>
    <n v="261"/>
    <x v="0"/>
    <x v="0"/>
    <n v="11556158"/>
    <n v="1"/>
    <n v="1"/>
    <s v="Highly Concentrated"/>
    <n v="11556158"/>
    <s v="Routine Market"/>
    <x v="0"/>
    <s v="Yes"/>
  </r>
  <r>
    <x v="0"/>
    <x v="0"/>
    <s v="Other polymers of natural origin"/>
    <x v="0"/>
    <x v="0"/>
    <x v="0"/>
    <s v="Xanthan Gum"/>
    <s v="Sauces / Dairy / Beverages"/>
    <x v="4"/>
    <x v="0"/>
    <x v="0"/>
    <s v="X"/>
    <x v="4"/>
    <s v="Egypt"/>
    <s v="World"/>
    <s v="TOTAL CPC"/>
    <s v="TOTAL MOT"/>
    <n v="391390"/>
    <n v="109664"/>
    <n v="20000.2"/>
    <n v="0"/>
    <n v="20000"/>
    <s v="kg"/>
    <n v="20000"/>
    <s v="kg"/>
    <n v="1.0324304639960562E-4"/>
    <n v="1"/>
    <x v="0"/>
    <n v="0"/>
    <n v="0"/>
    <n v="0"/>
    <n v="6.1305607849135918E-3"/>
    <n v="268"/>
    <n v="5.4831451685483144"/>
    <n v="34"/>
    <x v="0"/>
    <s v="No"/>
    <n v="2298360.2000000002"/>
    <n v="11556158"/>
    <n v="0.25769345655074266"/>
    <n v="19"/>
    <x v="0"/>
    <n v="3929093.72"/>
    <n v="261"/>
    <x v="0"/>
    <x v="0"/>
    <n v="11556158"/>
    <n v="1"/>
    <n v="1"/>
    <s v="Highly Concentrated"/>
    <n v="11556158"/>
    <s v="Routine Market"/>
    <x v="0"/>
    <s v="Yes"/>
  </r>
  <r>
    <x v="0"/>
    <x v="0"/>
    <s v="Other polymers of natural origin"/>
    <x v="0"/>
    <x v="0"/>
    <x v="0"/>
    <s v="Xanthan Gum"/>
    <s v="Sauces / Dairy / Beverages"/>
    <x v="5"/>
    <x v="1"/>
    <x v="0"/>
    <s v="X"/>
    <x v="5"/>
    <s v="Egypt"/>
    <s v="World"/>
    <s v="TOTAL CPC"/>
    <s v="TOTAL MOT"/>
    <n v="391390"/>
    <n v="16370"/>
    <n v="360"/>
    <n v="0"/>
    <n v="360"/>
    <s v="kg"/>
    <n v="360"/>
    <s v="kg"/>
    <n v="4.8573207719329804E-4"/>
    <n v="5"/>
    <x v="0"/>
    <n v="0"/>
    <n v="0"/>
    <n v="0"/>
    <n v="6.1305607849135918E-3"/>
    <n v="389"/>
    <n v="45.472222222222221"/>
    <n v="34"/>
    <x v="0"/>
    <s v="No"/>
    <n v="2298360.2000000002"/>
    <n v="11556158"/>
    <n v="0.25769345655074266"/>
    <n v="19"/>
    <x v="0"/>
    <n v="3929093.72"/>
    <n v="261"/>
    <x v="0"/>
    <x v="0"/>
    <n v="11556158"/>
    <n v="1"/>
    <n v="1"/>
    <s v="Highly Concentrated"/>
    <n v="11556158"/>
    <s v="Routine Market"/>
    <x v="0"/>
    <s v="Yes"/>
  </r>
  <r>
    <x v="0"/>
    <x v="0"/>
    <s v="Other polymers of natural origin"/>
    <x v="0"/>
    <x v="0"/>
    <x v="0"/>
    <s v="Xanthan Gum"/>
    <s v="Sauces / Dairy / Beverages"/>
    <x v="6"/>
    <x v="0"/>
    <x v="0"/>
    <s v="X"/>
    <x v="6"/>
    <s v="Egypt"/>
    <s v="World"/>
    <s v="TOTAL CPC"/>
    <s v="TOTAL MOT"/>
    <n v="391390"/>
    <n v="139396"/>
    <n v="889.7"/>
    <n v="0"/>
    <n v="890"/>
    <s v="kg"/>
    <n v="0"/>
    <s v="N/A"/>
    <n v="1.6951290293147386E-2"/>
    <n v="21"/>
    <x v="0"/>
    <n v="0"/>
    <n v="0"/>
    <n v="0"/>
    <n v="6.1305607849135918E-3"/>
    <n v="252"/>
    <n v="156.67753175227605"/>
    <n v="34"/>
    <x v="0"/>
    <s v="No"/>
    <n v="2298360.2000000002"/>
    <n v="11556158"/>
    <n v="0.25769345655074266"/>
    <n v="19"/>
    <x v="0"/>
    <n v="3929093.72"/>
    <n v="261"/>
    <x v="0"/>
    <x v="0"/>
    <n v="11556158"/>
    <n v="1"/>
    <n v="1"/>
    <s v="Highly Concentrated"/>
    <n v="11556158"/>
    <s v="Routine Market"/>
    <x v="0"/>
    <s v="No"/>
  </r>
  <r>
    <x v="0"/>
    <x v="0"/>
    <s v="Other polymers of natural origin"/>
    <x v="0"/>
    <x v="0"/>
    <x v="0"/>
    <s v="Xanthan Gum"/>
    <s v="Sauces / Dairy / Beverages"/>
    <x v="7"/>
    <x v="0"/>
    <x v="0"/>
    <s v="X"/>
    <x v="7"/>
    <s v="Egypt"/>
    <s v="World"/>
    <s v="TOTAL CPC"/>
    <s v="TOTAL MOT"/>
    <n v="391390"/>
    <n v="108654"/>
    <n v="1961"/>
    <n v="0"/>
    <n v="1961"/>
    <s v="kg"/>
    <n v="0"/>
    <s v="N/A"/>
    <n v="1.1674623358397021E-2"/>
    <n v="20"/>
    <x v="0"/>
    <n v="0"/>
    <n v="0"/>
    <n v="0"/>
    <n v="6.1305607849135918E-3"/>
    <n v="269"/>
    <n v="55.407445181030084"/>
    <n v="34"/>
    <x v="0"/>
    <s v="No"/>
    <n v="2298360.2000000002"/>
    <n v="11556158"/>
    <n v="0.25769345655074266"/>
    <n v="19"/>
    <x v="0"/>
    <n v="3929093.72"/>
    <n v="261"/>
    <x v="0"/>
    <x v="0"/>
    <n v="11556158"/>
    <n v="1"/>
    <n v="1"/>
    <s v="Highly Concentrated"/>
    <n v="11556158"/>
    <s v="Routine Market"/>
    <x v="0"/>
    <s v="No"/>
  </r>
  <r>
    <x v="0"/>
    <x v="0"/>
    <s v="Other polymers of natural origin"/>
    <x v="0"/>
    <x v="0"/>
    <x v="0"/>
    <s v="Xanthan Gum"/>
    <s v="Sauces / Dairy / Beverages"/>
    <x v="8"/>
    <x v="0"/>
    <x v="0"/>
    <s v="X"/>
    <x v="8"/>
    <s v="Egypt"/>
    <s v="World"/>
    <s v="TOTAL CPC"/>
    <s v="TOTAL MOT"/>
    <n v="391390"/>
    <n v="179415"/>
    <n v="328"/>
    <n v="0"/>
    <n v="328"/>
    <s v="kg"/>
    <n v="328"/>
    <s v="kg"/>
    <n v="4.9588465845200368E-3"/>
    <n v="12"/>
    <x v="0"/>
    <n v="0"/>
    <n v="0"/>
    <n v="0"/>
    <n v="6.1305607849135918E-3"/>
    <n v="228"/>
    <n v="546.9969512195122"/>
    <n v="34"/>
    <x v="0"/>
    <s v="No"/>
    <n v="2298360.2000000002"/>
    <n v="11556158"/>
    <n v="0.25769345655074266"/>
    <n v="19"/>
    <x v="0"/>
    <n v="3929093.72"/>
    <n v="261"/>
    <x v="0"/>
    <x v="0"/>
    <n v="11556158"/>
    <n v="1"/>
    <n v="1"/>
    <s v="Highly Concentrated"/>
    <n v="11556158"/>
    <s v="Routine Market"/>
    <x v="0"/>
    <s v="No"/>
  </r>
  <r>
    <x v="0"/>
    <x v="0"/>
    <s v="Other polymers of natural origin"/>
    <x v="0"/>
    <x v="0"/>
    <x v="0"/>
    <s v="Xanthan Gum"/>
    <s v="Sauces / Dairy / Beverages"/>
    <x v="9"/>
    <x v="0"/>
    <x v="0"/>
    <s v="X"/>
    <x v="9"/>
    <s v="Egypt"/>
    <s v="World"/>
    <s v="TOTAL CPC"/>
    <s v="TOTAL MOT"/>
    <n v="391390"/>
    <n v="52649"/>
    <n v="143"/>
    <n v="0"/>
    <n v="143"/>
    <s v="kg"/>
    <n v="143"/>
    <s v="kg"/>
    <n v="1.1178535358665947E-2"/>
    <n v="15"/>
    <x v="0"/>
    <n v="0"/>
    <n v="0"/>
    <n v="0"/>
    <n v="6.1305607849135918E-3"/>
    <n v="321"/>
    <n v="368.17482517482517"/>
    <n v="34"/>
    <x v="0"/>
    <s v="No"/>
    <n v="2298360.2000000002"/>
    <n v="11556158"/>
    <n v="0.25769345655074266"/>
    <n v="19"/>
    <x v="0"/>
    <n v="3929093.72"/>
    <n v="261"/>
    <x v="0"/>
    <x v="0"/>
    <n v="11556158"/>
    <n v="1"/>
    <n v="1"/>
    <s v="Highly Concentrated"/>
    <n v="11556158"/>
    <s v="Routine Market"/>
    <x v="0"/>
    <s v="No"/>
  </r>
  <r>
    <x v="0"/>
    <x v="0"/>
    <s v="Other polymers of natural origin"/>
    <x v="0"/>
    <x v="0"/>
    <x v="0"/>
    <s v="Xanthan Gum"/>
    <s v="Sauces / Dairy / Beverages"/>
    <x v="10"/>
    <x v="1"/>
    <x v="0"/>
    <s v="X"/>
    <x v="10"/>
    <s v="Egypt"/>
    <s v="World"/>
    <s v="TOTAL CPC"/>
    <s v="TOTAL MOT"/>
    <n v="391390"/>
    <n v="2310"/>
    <n v="26"/>
    <n v="0"/>
    <n v="26"/>
    <s v="kg"/>
    <n v="26"/>
    <s v="kg"/>
    <n v="1.389484063100993E-2"/>
    <n v="8"/>
    <x v="0"/>
    <n v="0"/>
    <n v="0"/>
    <n v="0"/>
    <n v="6.1305607849135918E-3"/>
    <n v="466"/>
    <n v="88.84615384615384"/>
    <n v="34"/>
    <x v="0"/>
    <s v="No"/>
    <n v="2298360.2000000002"/>
    <n v="11556158"/>
    <n v="0.25769345655074266"/>
    <n v="19"/>
    <x v="0"/>
    <n v="3929093.72"/>
    <n v="261"/>
    <x v="0"/>
    <x v="0"/>
    <n v="11556158"/>
    <n v="1"/>
    <n v="1"/>
    <s v="Highly Concentrated"/>
    <n v="11556158"/>
    <s v="Routine Market"/>
    <x v="0"/>
    <s v="Yes"/>
  </r>
  <r>
    <x v="0"/>
    <x v="0"/>
    <s v="Other polymers of natural origin"/>
    <x v="0"/>
    <x v="0"/>
    <x v="0"/>
    <s v="Xanthan Gum"/>
    <s v="Sauces / Dairy / Beverages"/>
    <x v="11"/>
    <x v="1"/>
    <x v="0"/>
    <s v="X"/>
    <x v="11"/>
    <s v="Egypt"/>
    <s v="World"/>
    <s v="TOTAL CPC"/>
    <s v="TOTAL MOT"/>
    <n v="391390"/>
    <n v="90"/>
    <n v="4"/>
    <n v="0"/>
    <n v="4"/>
    <s v="kg"/>
    <n v="4"/>
    <s v="kg"/>
    <n v="0.25769345655074266"/>
    <n v="5"/>
    <x v="0"/>
    <n v="0"/>
    <n v="0"/>
    <n v="0"/>
    <n v="6.1305607849135918E-3"/>
    <n v="519"/>
    <n v="22.5"/>
    <n v="34"/>
    <x v="0"/>
    <s v="No"/>
    <n v="2298360.2000000002"/>
    <n v="11556158"/>
    <n v="0.25769345655074266"/>
    <n v="19"/>
    <x v="0"/>
    <n v="3929093.72"/>
    <n v="261"/>
    <x v="0"/>
    <x v="0"/>
    <n v="11556158"/>
    <n v="1"/>
    <n v="1"/>
    <s v="Highly Concentrated"/>
    <n v="11556158"/>
    <s v="Routine Market"/>
    <x v="0"/>
    <s v="Yes"/>
  </r>
  <r>
    <x v="0"/>
    <x v="0"/>
    <s v="Other polymers of natural origin"/>
    <x v="0"/>
    <x v="0"/>
    <x v="0"/>
    <s v="Xanthan Gum"/>
    <s v="Sauces / Dairy / Beverages"/>
    <x v="12"/>
    <x v="0"/>
    <x v="0"/>
    <s v="X"/>
    <x v="12"/>
    <s v="Egypt"/>
    <s v="World"/>
    <s v="TOTAL CPC"/>
    <s v="TOTAL MOT"/>
    <n v="391390"/>
    <n v="90798"/>
    <n v="3876"/>
    <n v="0"/>
    <n v="3876"/>
    <s v="kg"/>
    <n v="3876"/>
    <s v="kg"/>
    <n v="1.4561232389604124E-2"/>
    <n v="15"/>
    <x v="0"/>
    <n v="0"/>
    <n v="0"/>
    <n v="0"/>
    <n v="6.1305607849135918E-3"/>
    <n v="282"/>
    <n v="23.425696594427244"/>
    <n v="34"/>
    <x v="0"/>
    <s v="No"/>
    <n v="2298360.2000000002"/>
    <n v="11556158"/>
    <n v="0.25769345655074266"/>
    <n v="19"/>
    <x v="0"/>
    <n v="3929093.72"/>
    <n v="261"/>
    <x v="0"/>
    <x v="0"/>
    <n v="11556158"/>
    <n v="1"/>
    <n v="1"/>
    <s v="Highly Concentrated"/>
    <n v="11556158"/>
    <s v="Routine Market"/>
    <x v="0"/>
    <s v="No"/>
  </r>
  <r>
    <x v="0"/>
    <x v="0"/>
    <s v="Other polymers of natural origin"/>
    <x v="0"/>
    <x v="0"/>
    <x v="0"/>
    <s v="Xanthan Gum"/>
    <s v="Sauces / Dairy / Beverages"/>
    <x v="13"/>
    <x v="1"/>
    <x v="0"/>
    <s v="X"/>
    <x v="13"/>
    <s v="Egypt"/>
    <s v="World"/>
    <s v="TOTAL CPC"/>
    <s v="TOTAL MOT"/>
    <n v="391390"/>
    <n v="212138"/>
    <n v="425"/>
    <n v="0"/>
    <n v="425"/>
    <s v="kg"/>
    <n v="425"/>
    <s v="kg"/>
    <n v="6.3855771678493602E-3"/>
    <n v="3"/>
    <x v="1"/>
    <n v="0.06"/>
    <n v="12728.279999999999"/>
    <n v="25.5"/>
    <n v="6.1305607849135918E-3"/>
    <n v="215"/>
    <n v="499.14823529411763"/>
    <n v="34"/>
    <x v="0"/>
    <s v="No"/>
    <n v="2298360.2000000002"/>
    <n v="11556158"/>
    <n v="0.25769345655074266"/>
    <n v="19"/>
    <x v="0"/>
    <n v="3929093.72"/>
    <n v="261"/>
    <x v="0"/>
    <x v="0"/>
    <n v="11556158"/>
    <n v="1"/>
    <n v="1"/>
    <s v="Highly Concentrated"/>
    <n v="11556158"/>
    <s v="Routine Market"/>
    <x v="0"/>
    <s v="Yes"/>
  </r>
  <r>
    <x v="0"/>
    <x v="0"/>
    <s v="Other polymers of natural origin"/>
    <x v="0"/>
    <x v="0"/>
    <x v="0"/>
    <s v="Xanthan Gum"/>
    <s v="Sauces / Dairy / Beverages"/>
    <x v="14"/>
    <x v="1"/>
    <x v="0"/>
    <s v="X"/>
    <x v="14"/>
    <s v="Egypt"/>
    <s v="World"/>
    <s v="TOTAL CPC"/>
    <s v="TOTAL MOT"/>
    <n v="391390"/>
    <n v="205184"/>
    <n v="82800"/>
    <n v="0"/>
    <n v="82800"/>
    <s v="kg"/>
    <n v="82800"/>
    <s v="kg"/>
    <n v="9.709938116315122E-3"/>
    <n v="6"/>
    <x v="0"/>
    <n v="0"/>
    <n v="0"/>
    <n v="0"/>
    <n v="6.1305607849135918E-3"/>
    <n v="217"/>
    <n v="2.4780676328502413"/>
    <n v="34"/>
    <x v="0"/>
    <s v="No"/>
    <n v="2298360.2000000002"/>
    <n v="11556158"/>
    <n v="0.25769345655074266"/>
    <n v="19"/>
    <x v="0"/>
    <n v="3929093.72"/>
    <n v="261"/>
    <x v="0"/>
    <x v="0"/>
    <n v="11556158"/>
    <n v="1"/>
    <n v="1"/>
    <s v="Highly Concentrated"/>
    <n v="11556158"/>
    <s v="Routine Market"/>
    <x v="0"/>
    <s v="Yes"/>
  </r>
  <r>
    <x v="0"/>
    <x v="0"/>
    <s v="Other polymers of natural origin"/>
    <x v="0"/>
    <x v="0"/>
    <x v="0"/>
    <s v="Xanthan Gum"/>
    <s v="Sauces / Dairy / Beverages"/>
    <x v="15"/>
    <x v="0"/>
    <x v="0"/>
    <s v="X"/>
    <x v="15"/>
    <s v="Egypt"/>
    <s v="World"/>
    <s v="TOTAL CPC"/>
    <s v="TOTAL MOT"/>
    <n v="391390"/>
    <n v="37251"/>
    <n v="4901"/>
    <n v="0"/>
    <n v="4901"/>
    <s v="kg"/>
    <n v="4901"/>
    <s v="kg"/>
    <n v="2.2441761060335613E-2"/>
    <n v="28"/>
    <x v="0"/>
    <n v="0"/>
    <n v="0"/>
    <n v="0"/>
    <n v="6.1305607849135918E-3"/>
    <n v="336"/>
    <n v="7.6006937359722508"/>
    <n v="34"/>
    <x v="0"/>
    <s v="No"/>
    <n v="2298360.2000000002"/>
    <n v="11556158"/>
    <n v="0.25769345655074266"/>
    <n v="19"/>
    <x v="0"/>
    <n v="3929093.72"/>
    <n v="261"/>
    <x v="0"/>
    <x v="0"/>
    <n v="11556158"/>
    <n v="1"/>
    <n v="1"/>
    <s v="Highly Concentrated"/>
    <n v="11556158"/>
    <s v="Routine Market"/>
    <x v="0"/>
    <s v="No"/>
  </r>
  <r>
    <x v="0"/>
    <x v="0"/>
    <s v="Other polymers of natural origin"/>
    <x v="0"/>
    <x v="0"/>
    <x v="0"/>
    <s v="Xanthan Gum"/>
    <s v="Sauces / Dairy / Beverages"/>
    <x v="16"/>
    <x v="1"/>
    <x v="0"/>
    <s v="X"/>
    <x v="16"/>
    <s v="Egypt"/>
    <s v="World"/>
    <s v="TOTAL CPC"/>
    <s v="TOTAL MOT"/>
    <n v="391390"/>
    <n v="115343"/>
    <n v="39340"/>
    <n v="0"/>
    <n v="39340"/>
    <s v="kg"/>
    <n v="39"/>
    <s v="1000 KG"/>
    <n v="8.2796770445636432E-4"/>
    <n v="2"/>
    <x v="1"/>
    <n v="0.06"/>
    <n v="6920.58"/>
    <n v="2360.4"/>
    <n v="6.1305607849135918E-3"/>
    <n v="266"/>
    <n v="2.9319522114895782"/>
    <n v="34"/>
    <x v="0"/>
    <s v="No"/>
    <n v="2298360.2000000002"/>
    <n v="11556158"/>
    <n v="0.25769345655074266"/>
    <n v="19"/>
    <x v="0"/>
    <n v="3929093.72"/>
    <n v="261"/>
    <x v="0"/>
    <x v="0"/>
    <n v="11556158"/>
    <n v="1"/>
    <n v="1"/>
    <s v="Highly Concentrated"/>
    <n v="11556158"/>
    <s v="Routine Market"/>
    <x v="0"/>
    <s v="Yes"/>
  </r>
  <r>
    <x v="0"/>
    <x v="0"/>
    <s v="Other polymers of natural origin"/>
    <x v="0"/>
    <x v="0"/>
    <x v="0"/>
    <s v="Xanthan Gum"/>
    <s v="Sauces / Dairy / Beverages"/>
    <x v="17"/>
    <x v="0"/>
    <x v="0"/>
    <s v="X"/>
    <x v="17"/>
    <s v="Egypt"/>
    <s v="World"/>
    <s v="TOTAL CPC"/>
    <s v="TOTAL MOT"/>
    <n v="391390"/>
    <n v="13030"/>
    <n v="5000"/>
    <n v="0"/>
    <n v="5000"/>
    <s v="kg"/>
    <n v="5000"/>
    <s v="kg"/>
    <n v="4.7522902002533667E-2"/>
    <n v="29"/>
    <x v="1"/>
    <n v="0.1"/>
    <n v="1303"/>
    <n v="500"/>
    <n v="6.1305607849135918E-3"/>
    <n v="400"/>
    <n v="2.6059999999999999"/>
    <n v="34"/>
    <x v="0"/>
    <s v="No"/>
    <n v="2298360.2000000002"/>
    <n v="11556158"/>
    <n v="0.25769345655074266"/>
    <n v="19"/>
    <x v="0"/>
    <n v="3929093.72"/>
    <n v="261"/>
    <x v="0"/>
    <x v="0"/>
    <n v="11556158"/>
    <n v="1"/>
    <n v="1"/>
    <s v="Highly Concentrated"/>
    <n v="11556158"/>
    <s v="Routine Market"/>
    <x v="0"/>
    <s v="No"/>
  </r>
  <r>
    <x v="0"/>
    <x v="0"/>
    <s v="Other polymers of natural origin"/>
    <x v="0"/>
    <x v="0"/>
    <x v="0"/>
    <s v="Xanthan Gum"/>
    <s v="Sauces / Dairy / Beverages"/>
    <x v="18"/>
    <x v="0"/>
    <x v="0"/>
    <s v="X"/>
    <x v="18"/>
    <s v="Egypt"/>
    <s v="World"/>
    <s v="TOTAL CPC"/>
    <s v="TOTAL MOT"/>
    <n v="391390"/>
    <n v="67713"/>
    <n v="800"/>
    <n v="0"/>
    <n v="800"/>
    <s v="kg"/>
    <n v="800"/>
    <s v="kg"/>
    <n v="9.425427433633813E-3"/>
    <n v="15"/>
    <x v="1"/>
    <n v="4.0000000000000008E-2"/>
    <n v="2708.5200000000004"/>
    <n v="32.000000000000007"/>
    <n v="6.1305607849135918E-3"/>
    <n v="306"/>
    <n v="84.641249999999999"/>
    <n v="34"/>
    <x v="0"/>
    <s v="No"/>
    <n v="2298360.2000000002"/>
    <n v="11556158"/>
    <n v="0.25769345655074266"/>
    <n v="19"/>
    <x v="0"/>
    <n v="3929093.72"/>
    <n v="261"/>
    <x v="0"/>
    <x v="0"/>
    <n v="11556158"/>
    <n v="1"/>
    <n v="1"/>
    <s v="Highly Concentrated"/>
    <n v="11556158"/>
    <s v="Routine Market"/>
    <x v="0"/>
    <s v="No"/>
  </r>
  <r>
    <x v="1"/>
    <x v="1"/>
    <s v="Citric acid and salts"/>
    <x v="1"/>
    <x v="1"/>
    <x v="1"/>
    <s v="Citric Acid"/>
    <s v="Beverages / Confectionery / Sauces"/>
    <x v="1"/>
    <x v="0"/>
    <x v="0"/>
    <s v="X"/>
    <x v="1"/>
    <s v="Egypt"/>
    <s v="World"/>
    <s v="TOTAL CPC"/>
    <s v="TOTAL MOT"/>
    <n v="291814"/>
    <n v="49716"/>
    <n v="22125"/>
    <n v="0"/>
    <n v="22125"/>
    <s v="kg"/>
    <n v="22125"/>
    <s v="kg"/>
    <n v="5.3992075088500962E-3"/>
    <n v="14"/>
    <x v="0"/>
    <n v="0"/>
    <n v="0"/>
    <n v="0"/>
    <n v="9.2816848309420653E-3"/>
    <n v="325"/>
    <n v="2.247050847457627"/>
    <n v="34"/>
    <x v="0"/>
    <s v="No"/>
    <n v="22769049.100000001"/>
    <n v="17496053"/>
    <n v="0.25769345655074266"/>
    <n v="14"/>
    <x v="0"/>
    <n v="5948658.0200000005"/>
    <n v="118"/>
    <x v="0"/>
    <x v="0"/>
    <n v="17496053"/>
    <n v="1"/>
    <n v="1"/>
    <s v="Highly Concentrated"/>
    <n v="17496053"/>
    <s v="Medium Opportunity"/>
    <x v="0"/>
    <s v="No"/>
  </r>
  <r>
    <x v="1"/>
    <x v="1"/>
    <s v="Citric acid and salts"/>
    <x v="1"/>
    <x v="1"/>
    <x v="1"/>
    <s v="Citric Acid"/>
    <s v="Beverages / Confectionery / Sauces"/>
    <x v="3"/>
    <x v="1"/>
    <x v="0"/>
    <s v="X"/>
    <x v="3"/>
    <s v="Egypt"/>
    <s v="World"/>
    <s v="TOTAL CPC"/>
    <s v="TOTAL MOT"/>
    <n v="291814"/>
    <n v="13659865"/>
    <n v="20667580"/>
    <n v="0"/>
    <n v="20667580"/>
    <s v="kg"/>
    <n v="20667580"/>
    <s v="kg"/>
    <n v="6.321329281187793E-2"/>
    <n v="3"/>
    <x v="1"/>
    <n v="0.14000000000000001"/>
    <n v="1912381.1"/>
    <n v="2893461.2"/>
    <n v="9.2816848309420653E-3"/>
    <n v="11"/>
    <n v="0.66093200074706371"/>
    <n v="34"/>
    <x v="0"/>
    <s v="No"/>
    <n v="22769049.100000001"/>
    <n v="17496053"/>
    <n v="0.25769345655074266"/>
    <n v="14"/>
    <x v="0"/>
    <n v="5948658.0200000005"/>
    <n v="118"/>
    <x v="0"/>
    <x v="0"/>
    <n v="17496053"/>
    <n v="1"/>
    <n v="1"/>
    <s v="Highly Concentrated"/>
    <n v="17496053"/>
    <s v="Medium Opportunity"/>
    <x v="0"/>
    <s v="Yes"/>
  </r>
  <r>
    <x v="1"/>
    <x v="1"/>
    <s v="Citric acid and salts"/>
    <x v="1"/>
    <x v="1"/>
    <x v="1"/>
    <s v="Citric Acid"/>
    <s v="Beverages / Confectionery / Sauces"/>
    <x v="5"/>
    <x v="1"/>
    <x v="0"/>
    <s v="X"/>
    <x v="5"/>
    <s v="Egypt"/>
    <s v="World"/>
    <s v="TOTAL CPC"/>
    <s v="TOTAL MOT"/>
    <n v="291814"/>
    <n v="11984"/>
    <n v="9900"/>
    <n v="0"/>
    <n v="9900"/>
    <s v="kg"/>
    <n v="9900"/>
    <s v="kg"/>
    <n v="4.8573207719329804E-4"/>
    <n v="6"/>
    <x v="0"/>
    <n v="0"/>
    <n v="0"/>
    <n v="0"/>
    <n v="9.2816848309420653E-3"/>
    <n v="402"/>
    <n v="1.2105050505050505"/>
    <n v="34"/>
    <x v="0"/>
    <s v="No"/>
    <n v="22769049.100000001"/>
    <n v="17496053"/>
    <n v="0.25769345655074266"/>
    <n v="14"/>
    <x v="0"/>
    <n v="5948658.0200000005"/>
    <n v="118"/>
    <x v="0"/>
    <x v="0"/>
    <n v="17496053"/>
    <n v="1"/>
    <n v="1"/>
    <s v="Highly Concentrated"/>
    <n v="17496053"/>
    <s v="Medium Opportunity"/>
    <x v="0"/>
    <s v="Yes"/>
  </r>
  <r>
    <x v="1"/>
    <x v="1"/>
    <s v="Citric acid and salts"/>
    <x v="1"/>
    <x v="1"/>
    <x v="1"/>
    <s v="Citric Acid"/>
    <s v="Beverages / Confectionery / Sauces"/>
    <x v="7"/>
    <x v="0"/>
    <x v="0"/>
    <s v="X"/>
    <x v="7"/>
    <s v="Egypt"/>
    <s v="World"/>
    <s v="TOTAL CPC"/>
    <s v="TOTAL MOT"/>
    <n v="291814"/>
    <n v="514290"/>
    <n v="142830.1"/>
    <n v="0"/>
    <n v="142830"/>
    <s v="kg"/>
    <n v="0"/>
    <s v="N/A"/>
    <n v="1.1674623358397021E-2"/>
    <n v="12"/>
    <x v="0"/>
    <n v="0"/>
    <n v="0"/>
    <n v="0"/>
    <n v="9.2816848309420653E-3"/>
    <n v="146"/>
    <n v="3.6007116147086644"/>
    <n v="34"/>
    <x v="0"/>
    <s v="No"/>
    <n v="22769049.100000001"/>
    <n v="17496053"/>
    <n v="0.25769345655074266"/>
    <n v="14"/>
    <x v="0"/>
    <n v="5948658.0200000005"/>
    <n v="118"/>
    <x v="0"/>
    <x v="0"/>
    <n v="17496053"/>
    <n v="1"/>
    <n v="1"/>
    <s v="Highly Concentrated"/>
    <n v="17496053"/>
    <s v="Medium Opportunity"/>
    <x v="0"/>
    <s v="No"/>
  </r>
  <r>
    <x v="1"/>
    <x v="1"/>
    <s v="Citric acid and salts"/>
    <x v="1"/>
    <x v="1"/>
    <x v="1"/>
    <s v="Citric Acid"/>
    <s v="Beverages / Confectionery / Sauces"/>
    <x v="8"/>
    <x v="0"/>
    <x v="0"/>
    <s v="X"/>
    <x v="8"/>
    <s v="Egypt"/>
    <s v="World"/>
    <s v="TOTAL CPC"/>
    <s v="TOTAL MOT"/>
    <n v="291814"/>
    <n v="2548038"/>
    <n v="1534060"/>
    <n v="0"/>
    <n v="1534060"/>
    <s v="kg"/>
    <n v="1534060"/>
    <s v="kg"/>
    <n v="4.9588465845200368E-3"/>
    <n v="1"/>
    <x v="0"/>
    <n v="0"/>
    <n v="0"/>
    <n v="0"/>
    <n v="9.2816848309420653E-3"/>
    <n v="53"/>
    <n v="1.660976754494609"/>
    <n v="34"/>
    <x v="0"/>
    <s v="No"/>
    <n v="22769049.100000001"/>
    <n v="17496053"/>
    <n v="0.25769345655074266"/>
    <n v="14"/>
    <x v="0"/>
    <n v="5948658.0200000005"/>
    <n v="118"/>
    <x v="0"/>
    <x v="0"/>
    <n v="17496053"/>
    <n v="1"/>
    <n v="1"/>
    <s v="Highly Concentrated"/>
    <n v="17496053"/>
    <s v="Medium Opportunity"/>
    <x v="0"/>
    <s v="Yes"/>
  </r>
  <r>
    <x v="1"/>
    <x v="1"/>
    <s v="Citric acid and salts"/>
    <x v="1"/>
    <x v="1"/>
    <x v="1"/>
    <s v="Citric Acid"/>
    <s v="Beverages / Confectionery / Sauces"/>
    <x v="9"/>
    <x v="0"/>
    <x v="0"/>
    <s v="X"/>
    <x v="9"/>
    <s v="Egypt"/>
    <s v="World"/>
    <s v="TOTAL CPC"/>
    <s v="TOTAL MOT"/>
    <n v="291814"/>
    <n v="35996"/>
    <n v="2756"/>
    <n v="0"/>
    <n v="2756"/>
    <s v="kg"/>
    <n v="2756"/>
    <s v="kg"/>
    <n v="1.1178535358665947E-2"/>
    <n v="18"/>
    <x v="0"/>
    <n v="0"/>
    <n v="0"/>
    <n v="0"/>
    <n v="9.2816848309420653E-3"/>
    <n v="341"/>
    <n v="13.060957910014514"/>
    <n v="34"/>
    <x v="0"/>
    <s v="No"/>
    <n v="22769049.100000001"/>
    <n v="17496053"/>
    <n v="0.25769345655074266"/>
    <n v="14"/>
    <x v="0"/>
    <n v="5948658.0200000005"/>
    <n v="118"/>
    <x v="0"/>
    <x v="0"/>
    <n v="17496053"/>
    <n v="1"/>
    <n v="1"/>
    <s v="Highly Concentrated"/>
    <n v="17496053"/>
    <s v="Medium Opportunity"/>
    <x v="0"/>
    <s v="No"/>
  </r>
  <r>
    <x v="1"/>
    <x v="1"/>
    <s v="Citric acid and salts"/>
    <x v="1"/>
    <x v="1"/>
    <x v="1"/>
    <s v="Citric Acid"/>
    <s v="Beverages / Confectionery / Sauces"/>
    <x v="11"/>
    <x v="1"/>
    <x v="0"/>
    <s v="X"/>
    <x v="11"/>
    <s v="Egypt"/>
    <s v="World"/>
    <s v="TOTAL CPC"/>
    <s v="TOTAL MOT"/>
    <n v="291814"/>
    <n v="26"/>
    <n v="2"/>
    <n v="0"/>
    <n v="2"/>
    <s v="kg"/>
    <n v="2"/>
    <s v="kg"/>
    <n v="0.25769345655074266"/>
    <n v="6"/>
    <x v="0"/>
    <n v="0"/>
    <n v="0"/>
    <n v="0"/>
    <n v="9.2816848309420653E-3"/>
    <n v="529"/>
    <n v="13"/>
    <n v="34"/>
    <x v="0"/>
    <s v="No"/>
    <n v="22769049.100000001"/>
    <n v="17496053"/>
    <n v="0.25769345655074266"/>
    <n v="14"/>
    <x v="0"/>
    <n v="5948658.0200000005"/>
    <n v="118"/>
    <x v="0"/>
    <x v="0"/>
    <n v="17496053"/>
    <n v="1"/>
    <n v="1"/>
    <s v="Highly Concentrated"/>
    <n v="17496053"/>
    <s v="Medium Opportunity"/>
    <x v="0"/>
    <s v="Yes"/>
  </r>
  <r>
    <x v="1"/>
    <x v="1"/>
    <s v="Citric acid and salts"/>
    <x v="1"/>
    <x v="1"/>
    <x v="1"/>
    <s v="Citric Acid"/>
    <s v="Beverages / Confectionery / Sauces"/>
    <x v="19"/>
    <x v="1"/>
    <x v="0"/>
    <s v="X"/>
    <x v="19"/>
    <s v="Egypt"/>
    <s v="World"/>
    <s v="TOTAL CPC"/>
    <s v="TOTAL MOT"/>
    <n v="291814"/>
    <n v="230"/>
    <n v="25"/>
    <n v="0"/>
    <n v="25"/>
    <s v="kg"/>
    <n v="25"/>
    <s v="kg"/>
    <n v="1.4429559760252854E-3"/>
    <n v="6"/>
    <x v="0"/>
    <n v="0"/>
    <n v="0"/>
    <n v="0"/>
    <n v="9.2816848309420653E-3"/>
    <n v="507"/>
    <n v="9.1999999999999993"/>
    <n v="34"/>
    <x v="0"/>
    <s v="No"/>
    <n v="22769049.100000001"/>
    <n v="17496053"/>
    <n v="0.25769345655074266"/>
    <n v="14"/>
    <x v="0"/>
    <n v="5948658.0200000005"/>
    <n v="118"/>
    <x v="0"/>
    <x v="0"/>
    <n v="17496053"/>
    <n v="1"/>
    <n v="1"/>
    <s v="Highly Concentrated"/>
    <n v="17496053"/>
    <s v="Medium Opportunity"/>
    <x v="0"/>
    <s v="Yes"/>
  </r>
  <r>
    <x v="1"/>
    <x v="1"/>
    <s v="Citric acid and salts"/>
    <x v="1"/>
    <x v="1"/>
    <x v="1"/>
    <s v="Citric Acid"/>
    <s v="Beverages / Confectionery / Sauces"/>
    <x v="12"/>
    <x v="0"/>
    <x v="0"/>
    <s v="X"/>
    <x v="12"/>
    <s v="Egypt"/>
    <s v="World"/>
    <s v="TOTAL CPC"/>
    <s v="TOTAL MOT"/>
    <n v="291814"/>
    <n v="25497"/>
    <n v="15843"/>
    <n v="0"/>
    <n v="15843"/>
    <s v="kg"/>
    <n v="15843"/>
    <s v="kg"/>
    <n v="1.4561232389604124E-2"/>
    <n v="25"/>
    <x v="0"/>
    <n v="0"/>
    <n v="0"/>
    <n v="0"/>
    <n v="9.2816848309420653E-3"/>
    <n v="367"/>
    <n v="1.6093542889604242"/>
    <n v="34"/>
    <x v="0"/>
    <s v="No"/>
    <n v="22769049.100000001"/>
    <n v="17496053"/>
    <n v="0.25769345655074266"/>
    <n v="14"/>
    <x v="0"/>
    <n v="5948658.0200000005"/>
    <n v="118"/>
    <x v="0"/>
    <x v="0"/>
    <n v="17496053"/>
    <n v="1"/>
    <n v="1"/>
    <s v="Highly Concentrated"/>
    <n v="17496053"/>
    <s v="Medium Opportunity"/>
    <x v="0"/>
    <s v="No"/>
  </r>
  <r>
    <x v="1"/>
    <x v="1"/>
    <s v="Citric acid and salts"/>
    <x v="1"/>
    <x v="1"/>
    <x v="1"/>
    <s v="Citric Acid"/>
    <s v="Beverages / Confectionery / Sauces"/>
    <x v="15"/>
    <x v="0"/>
    <x v="0"/>
    <s v="X"/>
    <x v="15"/>
    <s v="Egypt"/>
    <s v="World"/>
    <s v="TOTAL CPC"/>
    <s v="TOTAL MOT"/>
    <n v="291814"/>
    <n v="3595"/>
    <n v="1083"/>
    <n v="0"/>
    <n v="1083"/>
    <s v="kg"/>
    <n v="1083"/>
    <s v="kg"/>
    <n v="2.2441761060335613E-2"/>
    <n v="35"/>
    <x v="0"/>
    <n v="0"/>
    <n v="0"/>
    <n v="0"/>
    <n v="9.2816848309420653E-3"/>
    <n v="452"/>
    <n v="3.319482917820868"/>
    <n v="34"/>
    <x v="0"/>
    <s v="No"/>
    <n v="22769049.100000001"/>
    <n v="17496053"/>
    <n v="0.25769345655074266"/>
    <n v="14"/>
    <x v="0"/>
    <n v="5948658.0200000005"/>
    <n v="118"/>
    <x v="0"/>
    <x v="0"/>
    <n v="17496053"/>
    <n v="1"/>
    <n v="1"/>
    <s v="Highly Concentrated"/>
    <n v="17496053"/>
    <s v="Medium Opportunity"/>
    <x v="0"/>
    <s v="No"/>
  </r>
  <r>
    <x v="1"/>
    <x v="1"/>
    <s v="Citric acid and salts"/>
    <x v="1"/>
    <x v="1"/>
    <x v="1"/>
    <s v="Citric Acid"/>
    <s v="Beverages / Confectionery / Sauces"/>
    <x v="20"/>
    <x v="0"/>
    <x v="0"/>
    <s v="X"/>
    <x v="20"/>
    <s v="Egypt"/>
    <s v="World"/>
    <s v="TOTAL CPC"/>
    <s v="TOTAL MOT"/>
    <n v="291814"/>
    <n v="20708"/>
    <n v="7650"/>
    <n v="0"/>
    <n v="7650"/>
    <s v="kg"/>
    <n v="7650"/>
    <s v="kg"/>
    <n v="6.110186869383482E-3"/>
    <n v="17"/>
    <x v="0"/>
    <n v="0"/>
    <n v="0"/>
    <n v="0"/>
    <n v="9.2816848309420653E-3"/>
    <n v="377"/>
    <n v="2.7069281045751632"/>
    <n v="34"/>
    <x v="0"/>
    <s v="No"/>
    <n v="22769049.100000001"/>
    <n v="17496053"/>
    <n v="0.25769345655074266"/>
    <n v="14"/>
    <x v="0"/>
    <n v="5948658.0200000005"/>
    <n v="118"/>
    <x v="0"/>
    <x v="0"/>
    <n v="17496053"/>
    <n v="1"/>
    <n v="1"/>
    <s v="Highly Concentrated"/>
    <n v="17496053"/>
    <s v="Medium Opportunity"/>
    <x v="0"/>
    <s v="No"/>
  </r>
  <r>
    <x v="1"/>
    <x v="1"/>
    <s v="Citric acid and salts"/>
    <x v="1"/>
    <x v="1"/>
    <x v="1"/>
    <s v="Citric Acid"/>
    <s v="Beverages / Confectionery / Sauces"/>
    <x v="17"/>
    <x v="0"/>
    <x v="0"/>
    <s v="X"/>
    <x v="17"/>
    <s v="Egypt"/>
    <s v="World"/>
    <s v="TOTAL CPC"/>
    <s v="TOTAL MOT"/>
    <n v="291814"/>
    <n v="456496"/>
    <n v="313920"/>
    <n v="0"/>
    <n v="313920"/>
    <s v="kg"/>
    <n v="313920"/>
    <s v="kg"/>
    <n v="4.7522902002533667E-2"/>
    <n v="17"/>
    <x v="1"/>
    <n v="0.1"/>
    <n v="45649.600000000006"/>
    <n v="31392"/>
    <n v="9.2816848309420653E-3"/>
    <n v="153"/>
    <n v="1.4541794087665647"/>
    <n v="34"/>
    <x v="0"/>
    <s v="No"/>
    <n v="22769049.100000001"/>
    <n v="17496053"/>
    <n v="0.25769345655074266"/>
    <n v="14"/>
    <x v="0"/>
    <n v="5948658.0200000005"/>
    <n v="118"/>
    <x v="0"/>
    <x v="0"/>
    <n v="17496053"/>
    <n v="1"/>
    <n v="1"/>
    <s v="Highly Concentrated"/>
    <n v="17496053"/>
    <s v="Medium Opportunity"/>
    <x v="0"/>
    <s v="No"/>
  </r>
  <r>
    <x v="1"/>
    <x v="1"/>
    <s v="Citric acid and salts"/>
    <x v="1"/>
    <x v="1"/>
    <x v="1"/>
    <s v="Citric Acid"/>
    <s v="Beverages / Confectionery / Sauces"/>
    <x v="21"/>
    <x v="0"/>
    <x v="0"/>
    <s v="X"/>
    <x v="21"/>
    <s v="Egypt"/>
    <s v="World"/>
    <s v="TOTAL CPC"/>
    <s v="TOTAL MOT"/>
    <n v="291814"/>
    <n v="1407"/>
    <n v="390"/>
    <n v="0"/>
    <n v="390"/>
    <s v="kg"/>
    <n v="390"/>
    <s v="kg"/>
    <n v="1.3104801671892474E-3"/>
    <n v="20"/>
    <x v="0"/>
    <n v="0"/>
    <n v="0"/>
    <n v="0"/>
    <n v="9.2816848309420653E-3"/>
    <n v="477"/>
    <n v="3.6076923076923078"/>
    <n v="34"/>
    <x v="0"/>
    <s v="No"/>
    <n v="22769049.100000001"/>
    <n v="17496053"/>
    <n v="0.25769345655074266"/>
    <n v="14"/>
    <x v="0"/>
    <n v="5948658.0200000005"/>
    <n v="118"/>
    <x v="0"/>
    <x v="0"/>
    <n v="17496053"/>
    <n v="1"/>
    <n v="1"/>
    <s v="Highly Concentrated"/>
    <n v="17496053"/>
    <s v="Medium Opportunity"/>
    <x v="0"/>
    <s v="No"/>
  </r>
  <r>
    <x v="1"/>
    <x v="1"/>
    <s v="Citric acid and salts"/>
    <x v="1"/>
    <x v="1"/>
    <x v="1"/>
    <s v="Citric Acid"/>
    <s v="Beverages / Confectionery / Sauces"/>
    <x v="18"/>
    <x v="1"/>
    <x v="0"/>
    <s v="X"/>
    <x v="18"/>
    <s v="Egypt"/>
    <s v="World"/>
    <s v="TOTAL CPC"/>
    <s v="TOTAL MOT"/>
    <n v="291814"/>
    <n v="168205"/>
    <n v="50885"/>
    <n v="0"/>
    <n v="50885"/>
    <s v="kg"/>
    <n v="50885"/>
    <s v="kg"/>
    <n v="9.425427433633813E-3"/>
    <n v="10"/>
    <x v="1"/>
    <n v="4.0000000000000008E-2"/>
    <n v="6728.2000000000016"/>
    <n v="2035.4000000000003"/>
    <n v="9.2816848309420653E-3"/>
    <n v="232"/>
    <n v="3.305591038616488"/>
    <n v="34"/>
    <x v="0"/>
    <s v="No"/>
    <n v="22769049.100000001"/>
    <n v="17496053"/>
    <n v="0.25769345655074266"/>
    <n v="14"/>
    <x v="0"/>
    <n v="5948658.0200000005"/>
    <n v="118"/>
    <x v="0"/>
    <x v="0"/>
    <n v="17496053"/>
    <n v="1"/>
    <n v="1"/>
    <s v="Highly Concentrated"/>
    <n v="17496053"/>
    <s v="Medium Opportunity"/>
    <x v="0"/>
    <s v="Yes"/>
  </r>
  <r>
    <x v="2"/>
    <x v="2"/>
    <s v="Unsaturated acyclic acids"/>
    <x v="2"/>
    <x v="2"/>
    <x v="2"/>
    <s v="Potassium Sorbate"/>
    <s v="Sauces / Bakery / Dairy"/>
    <x v="1"/>
    <x v="0"/>
    <x v="0"/>
    <s v="X"/>
    <x v="1"/>
    <s v="Egypt"/>
    <s v="World"/>
    <s v="TOTAL CPC"/>
    <s v="TOTAL MOT"/>
    <n v="291619"/>
    <n v="17"/>
    <n v="0.1"/>
    <n v="0"/>
    <n v="0"/>
    <s v="kg"/>
    <n v="0"/>
    <s v="kg"/>
    <n v="5.3992075088500962E-3"/>
    <n v="29"/>
    <x v="0"/>
    <n v="0"/>
    <n v="0"/>
    <n v="0"/>
    <n v="4.7607572716976661E-3"/>
    <n v="533"/>
    <n v="170"/>
    <n v="34"/>
    <x v="0"/>
    <s v="No"/>
    <n v="2033373.9000000001"/>
    <n v="8974067"/>
    <n v="6.321329281187793E-2"/>
    <n v="14"/>
    <x v="0"/>
    <n v="3051182.7800000003"/>
    <n v="315"/>
    <x v="0"/>
    <x v="0"/>
    <n v="8974067"/>
    <n v="1"/>
    <n v="1"/>
    <s v="Highly Concentrated"/>
    <n v="8974067"/>
    <s v="Routine Market"/>
    <x v="0"/>
    <s v="No"/>
  </r>
  <r>
    <x v="2"/>
    <x v="2"/>
    <s v="Unsaturated acyclic acids"/>
    <x v="2"/>
    <x v="2"/>
    <x v="2"/>
    <s v="Potassium Sorbate"/>
    <s v="Sauces / Bakery / Dairy"/>
    <x v="3"/>
    <x v="0"/>
    <x v="0"/>
    <s v="X"/>
    <x v="3"/>
    <s v="Egypt"/>
    <s v="World"/>
    <s v="TOTAL CPC"/>
    <s v="TOTAL MOT"/>
    <n v="291619"/>
    <n v="2950450"/>
    <n v="1313551"/>
    <n v="0"/>
    <n v="1313551"/>
    <s v="kg"/>
    <n v="1313551"/>
    <s v="kg"/>
    <n v="6.321329281187793E-2"/>
    <n v="12"/>
    <x v="1"/>
    <n v="0.14000000000000001"/>
    <n v="413063.00000000006"/>
    <n v="183897.14"/>
    <n v="4.7607572716976661E-3"/>
    <n v="45"/>
    <n v="2.2461632627891874"/>
    <n v="34"/>
    <x v="0"/>
    <s v="No"/>
    <n v="2033373.9000000001"/>
    <n v="8974067"/>
    <n v="6.321329281187793E-2"/>
    <n v="14"/>
    <x v="0"/>
    <n v="3051182.7800000003"/>
    <n v="315"/>
    <x v="0"/>
    <x v="0"/>
    <n v="8974067"/>
    <n v="1"/>
    <n v="1"/>
    <s v="Highly Concentrated"/>
    <n v="8974067"/>
    <s v="Routine Market"/>
    <x v="0"/>
    <s v="No"/>
  </r>
  <r>
    <x v="2"/>
    <x v="2"/>
    <s v="Unsaturated acyclic acids"/>
    <x v="2"/>
    <x v="2"/>
    <x v="2"/>
    <s v="Potassium Sorbate"/>
    <s v="Sauces / Bakery / Dairy"/>
    <x v="6"/>
    <x v="0"/>
    <x v="0"/>
    <s v="X"/>
    <x v="6"/>
    <s v="Egypt"/>
    <s v="World"/>
    <s v="TOTAL CPC"/>
    <s v="TOTAL MOT"/>
    <n v="291619"/>
    <n v="2895"/>
    <n v="241.5"/>
    <n v="0"/>
    <n v="241"/>
    <s v="kg"/>
    <n v="0"/>
    <s v="N/A"/>
    <n v="1.6951290293147386E-2"/>
    <n v="32"/>
    <x v="0"/>
    <n v="0"/>
    <n v="0"/>
    <n v="0"/>
    <n v="4.7607572716976661E-3"/>
    <n v="461"/>
    <n v="11.987577639751553"/>
    <n v="34"/>
    <x v="0"/>
    <s v="No"/>
    <n v="2033373.9000000001"/>
    <n v="8974067"/>
    <n v="6.321329281187793E-2"/>
    <n v="14"/>
    <x v="0"/>
    <n v="3051182.7800000003"/>
    <n v="315"/>
    <x v="0"/>
    <x v="0"/>
    <n v="8974067"/>
    <n v="1"/>
    <n v="1"/>
    <s v="Highly Concentrated"/>
    <n v="8974067"/>
    <s v="Routine Market"/>
    <x v="0"/>
    <s v="No"/>
  </r>
  <r>
    <x v="2"/>
    <x v="2"/>
    <s v="Unsaturated acyclic acids"/>
    <x v="2"/>
    <x v="2"/>
    <x v="2"/>
    <s v="Potassium Sorbate"/>
    <s v="Sauces / Bakery / Dairy"/>
    <x v="7"/>
    <x v="1"/>
    <x v="0"/>
    <s v="X"/>
    <x v="7"/>
    <s v="Egypt"/>
    <s v="World"/>
    <s v="TOTAL CPC"/>
    <s v="TOTAL MOT"/>
    <n v="291619"/>
    <n v="2372645"/>
    <n v="353185"/>
    <n v="0"/>
    <n v="353185"/>
    <s v="kg"/>
    <n v="0"/>
    <s v="N/A"/>
    <n v="1.1674623358397021E-2"/>
    <n v="4"/>
    <x v="0"/>
    <n v="0"/>
    <n v="0"/>
    <n v="0"/>
    <n v="4.7607572716976661E-3"/>
    <n v="57"/>
    <n v="6.7178532497133228"/>
    <n v="34"/>
    <x v="0"/>
    <s v="No"/>
    <n v="2033373.9000000001"/>
    <n v="8974067"/>
    <n v="6.321329281187793E-2"/>
    <n v="14"/>
    <x v="0"/>
    <n v="3051182.7800000003"/>
    <n v="315"/>
    <x v="0"/>
    <x v="0"/>
    <n v="8974067"/>
    <n v="1"/>
    <n v="1"/>
    <s v="Highly Concentrated"/>
    <n v="8974067"/>
    <s v="Routine Market"/>
    <x v="0"/>
    <s v="Yes"/>
  </r>
  <r>
    <x v="2"/>
    <x v="2"/>
    <s v="Unsaturated acyclic acids"/>
    <x v="2"/>
    <x v="2"/>
    <x v="2"/>
    <s v="Potassium Sorbate"/>
    <s v="Sauces / Bakery / Dairy"/>
    <x v="8"/>
    <x v="1"/>
    <x v="0"/>
    <s v="X"/>
    <x v="8"/>
    <s v="Egypt"/>
    <s v="World"/>
    <s v="TOTAL CPC"/>
    <s v="TOTAL MOT"/>
    <n v="291619"/>
    <n v="906643"/>
    <n v="137688"/>
    <n v="0"/>
    <n v="137688"/>
    <s v="kg"/>
    <n v="137688"/>
    <s v="kg"/>
    <n v="4.9588465845200368E-3"/>
    <n v="4"/>
    <x v="0"/>
    <n v="0"/>
    <n v="0"/>
    <n v="0"/>
    <n v="4.7607572716976661E-3"/>
    <n v="109"/>
    <n v="6.5847641043518683"/>
    <n v="34"/>
    <x v="0"/>
    <s v="No"/>
    <n v="2033373.9000000001"/>
    <n v="8974067"/>
    <n v="6.321329281187793E-2"/>
    <n v="14"/>
    <x v="0"/>
    <n v="3051182.7800000003"/>
    <n v="315"/>
    <x v="0"/>
    <x v="0"/>
    <n v="8974067"/>
    <n v="1"/>
    <n v="1"/>
    <s v="Highly Concentrated"/>
    <n v="8974067"/>
    <s v="Routine Market"/>
    <x v="0"/>
    <s v="Yes"/>
  </r>
  <r>
    <x v="2"/>
    <x v="2"/>
    <s v="Unsaturated acyclic acids"/>
    <x v="2"/>
    <x v="2"/>
    <x v="2"/>
    <s v="Potassium Sorbate"/>
    <s v="Sauces / Bakery / Dairy"/>
    <x v="10"/>
    <x v="1"/>
    <x v="0"/>
    <s v="X"/>
    <x v="10"/>
    <s v="Egypt"/>
    <s v="World"/>
    <s v="TOTAL CPC"/>
    <s v="TOTAL MOT"/>
    <n v="291619"/>
    <n v="1389782"/>
    <n v="11476.3"/>
    <n v="0"/>
    <n v="11476"/>
    <s v="kg"/>
    <n v="11476"/>
    <s v="kg"/>
    <n v="1.389484063100993E-2"/>
    <n v="2"/>
    <x v="0"/>
    <n v="0"/>
    <n v="0"/>
    <n v="0"/>
    <n v="4.7607572716976661E-3"/>
    <n v="81"/>
    <n v="121.1001803717226"/>
    <n v="34"/>
    <x v="0"/>
    <s v="No"/>
    <n v="2033373.9000000001"/>
    <n v="8974067"/>
    <n v="6.321329281187793E-2"/>
    <n v="14"/>
    <x v="0"/>
    <n v="3051182.7800000003"/>
    <n v="315"/>
    <x v="0"/>
    <x v="0"/>
    <n v="8974067"/>
    <n v="1"/>
    <n v="1"/>
    <s v="Highly Concentrated"/>
    <n v="8974067"/>
    <s v="Routine Market"/>
    <x v="0"/>
    <s v="Yes"/>
  </r>
  <r>
    <x v="2"/>
    <x v="2"/>
    <s v="Unsaturated acyclic acids"/>
    <x v="2"/>
    <x v="2"/>
    <x v="2"/>
    <s v="Potassium Sorbate"/>
    <s v="Sauces / Bakery / Dairy"/>
    <x v="12"/>
    <x v="0"/>
    <x v="0"/>
    <s v="X"/>
    <x v="12"/>
    <s v="Egypt"/>
    <s v="World"/>
    <s v="TOTAL CPC"/>
    <s v="TOTAL MOT"/>
    <n v="291619"/>
    <n v="36534"/>
    <n v="6925"/>
    <n v="0"/>
    <n v="6925"/>
    <s v="kg"/>
    <n v="6925"/>
    <s v="kg"/>
    <n v="1.4561232389604124E-2"/>
    <n v="22"/>
    <x v="0"/>
    <n v="0"/>
    <n v="0"/>
    <n v="0"/>
    <n v="4.7607572716976661E-3"/>
    <n v="338"/>
    <n v="5.2756678700361013"/>
    <n v="34"/>
    <x v="0"/>
    <s v="No"/>
    <n v="2033373.9000000001"/>
    <n v="8974067"/>
    <n v="6.321329281187793E-2"/>
    <n v="14"/>
    <x v="0"/>
    <n v="3051182.7800000003"/>
    <n v="315"/>
    <x v="0"/>
    <x v="0"/>
    <n v="8974067"/>
    <n v="1"/>
    <n v="1"/>
    <s v="Highly Concentrated"/>
    <n v="8974067"/>
    <s v="Routine Market"/>
    <x v="0"/>
    <s v="No"/>
  </r>
  <r>
    <x v="2"/>
    <x v="2"/>
    <s v="Unsaturated acyclic acids"/>
    <x v="2"/>
    <x v="2"/>
    <x v="2"/>
    <s v="Potassium Sorbate"/>
    <s v="Sauces / Bakery / Dairy"/>
    <x v="15"/>
    <x v="0"/>
    <x v="0"/>
    <s v="X"/>
    <x v="15"/>
    <s v="Egypt"/>
    <s v="World"/>
    <s v="TOTAL CPC"/>
    <s v="TOTAL MOT"/>
    <n v="291619"/>
    <n v="710534"/>
    <n v="136852"/>
    <n v="0"/>
    <n v="136852"/>
    <s v="kg"/>
    <n v="136852"/>
    <s v="kg"/>
    <n v="2.2441761060335613E-2"/>
    <n v="13"/>
    <x v="0"/>
    <n v="0"/>
    <n v="0"/>
    <n v="0"/>
    <n v="4.7607572716976661E-3"/>
    <n v="125"/>
    <n v="5.1919884254523136"/>
    <n v="34"/>
    <x v="0"/>
    <s v="No"/>
    <n v="2033373.9000000001"/>
    <n v="8974067"/>
    <n v="6.321329281187793E-2"/>
    <n v="14"/>
    <x v="0"/>
    <n v="3051182.7800000003"/>
    <n v="315"/>
    <x v="0"/>
    <x v="0"/>
    <n v="8974067"/>
    <n v="1"/>
    <n v="1"/>
    <s v="Highly Concentrated"/>
    <n v="8974067"/>
    <s v="Routine Market"/>
    <x v="0"/>
    <s v="No"/>
  </r>
  <r>
    <x v="2"/>
    <x v="2"/>
    <s v="Unsaturated acyclic acids"/>
    <x v="2"/>
    <x v="2"/>
    <x v="2"/>
    <s v="Potassium Sorbate"/>
    <s v="Sauces / Bakery / Dairy"/>
    <x v="22"/>
    <x v="1"/>
    <x v="0"/>
    <s v="X"/>
    <x v="22"/>
    <s v="Egypt"/>
    <s v="World"/>
    <s v="TOTAL CPC"/>
    <s v="TOTAL MOT"/>
    <n v="291619"/>
    <n v="8051"/>
    <n v="6504"/>
    <n v="0"/>
    <n v="6504"/>
    <s v="kg"/>
    <n v="6504"/>
    <s v="kg"/>
    <n v="1.3832724193842358E-4"/>
    <n v="4"/>
    <x v="0"/>
    <n v="0"/>
    <n v="0"/>
    <n v="0"/>
    <n v="4.7607572716976661E-3"/>
    <n v="421"/>
    <n v="1.2378536285362853"/>
    <n v="34"/>
    <x v="0"/>
    <s v="No"/>
    <n v="2033373.9000000001"/>
    <n v="8974067"/>
    <n v="6.321329281187793E-2"/>
    <n v="14"/>
    <x v="0"/>
    <n v="3051182.7800000003"/>
    <n v="315"/>
    <x v="0"/>
    <x v="0"/>
    <n v="8974067"/>
    <n v="1"/>
    <n v="1"/>
    <s v="Highly Concentrated"/>
    <n v="8974067"/>
    <s v="Routine Market"/>
    <x v="0"/>
    <s v="Yes"/>
  </r>
  <r>
    <x v="2"/>
    <x v="2"/>
    <s v="Unsaturated acyclic acids"/>
    <x v="2"/>
    <x v="2"/>
    <x v="2"/>
    <s v="Potassium Sorbate"/>
    <s v="Sauces / Bakery / Dairy"/>
    <x v="20"/>
    <x v="0"/>
    <x v="0"/>
    <s v="X"/>
    <x v="20"/>
    <s v="Egypt"/>
    <s v="World"/>
    <s v="TOTAL CPC"/>
    <s v="TOTAL MOT"/>
    <n v="291619"/>
    <n v="11516"/>
    <n v="88"/>
    <n v="0"/>
    <n v="88"/>
    <s v="kg"/>
    <n v="88"/>
    <s v="kg"/>
    <n v="6.110186869383482E-3"/>
    <n v="19"/>
    <x v="0"/>
    <n v="0"/>
    <n v="0"/>
    <n v="0"/>
    <n v="4.7607572716976661E-3"/>
    <n v="406"/>
    <n v="130.86363636363637"/>
    <n v="34"/>
    <x v="0"/>
    <s v="No"/>
    <n v="2033373.9000000001"/>
    <n v="8974067"/>
    <n v="6.321329281187793E-2"/>
    <n v="14"/>
    <x v="0"/>
    <n v="3051182.7800000003"/>
    <n v="315"/>
    <x v="0"/>
    <x v="0"/>
    <n v="8974067"/>
    <n v="1"/>
    <n v="1"/>
    <s v="Highly Concentrated"/>
    <n v="8974067"/>
    <s v="Routine Market"/>
    <x v="0"/>
    <s v="No"/>
  </r>
  <r>
    <x v="2"/>
    <x v="2"/>
    <s v="Unsaturated acyclic acids"/>
    <x v="2"/>
    <x v="2"/>
    <x v="2"/>
    <s v="Potassium Sorbate"/>
    <s v="Sauces / Bakery / Dairy"/>
    <x v="23"/>
    <x v="1"/>
    <x v="0"/>
    <s v="X"/>
    <x v="23"/>
    <s v="Egypt"/>
    <s v="World"/>
    <s v="TOTAL CPC"/>
    <s v="TOTAL MOT"/>
    <n v="291619"/>
    <n v="1577"/>
    <n v="10"/>
    <n v="0"/>
    <n v="10"/>
    <s v="kg"/>
    <n v="10"/>
    <s v="kg"/>
    <n v="1.1630298885271862E-3"/>
    <n v="8"/>
    <x v="0"/>
    <n v="0"/>
    <n v="0"/>
    <n v="0"/>
    <n v="4.7607572716976661E-3"/>
    <n v="474"/>
    <n v="157.69999999999999"/>
    <n v="34"/>
    <x v="0"/>
    <s v="No"/>
    <n v="2033373.9000000001"/>
    <n v="8974067"/>
    <n v="6.321329281187793E-2"/>
    <n v="14"/>
    <x v="0"/>
    <n v="3051182.7800000003"/>
    <n v="315"/>
    <x v="0"/>
    <x v="0"/>
    <n v="8974067"/>
    <n v="1"/>
    <n v="1"/>
    <s v="Highly Concentrated"/>
    <n v="8974067"/>
    <s v="Routine Market"/>
    <x v="0"/>
    <s v="Yes"/>
  </r>
  <r>
    <x v="2"/>
    <x v="2"/>
    <s v="Unsaturated acyclic acids"/>
    <x v="2"/>
    <x v="2"/>
    <x v="2"/>
    <s v="Potassium Sorbate"/>
    <s v="Sauces / Bakery / Dairy"/>
    <x v="17"/>
    <x v="0"/>
    <x v="0"/>
    <s v="X"/>
    <x v="17"/>
    <s v="Egypt"/>
    <s v="World"/>
    <s v="TOTAL CPC"/>
    <s v="TOTAL MOT"/>
    <n v="291619"/>
    <n v="105750"/>
    <n v="13000"/>
    <n v="0"/>
    <n v="13000"/>
    <s v="kg"/>
    <n v="13000"/>
    <s v="kg"/>
    <n v="4.7522902002533667E-2"/>
    <n v="25"/>
    <x v="1"/>
    <n v="0.1"/>
    <n v="10575"/>
    <n v="1300"/>
    <n v="4.7607572716976661E-3"/>
    <n v="272"/>
    <n v="8.134615384615385"/>
    <n v="34"/>
    <x v="0"/>
    <s v="No"/>
    <n v="2033373.9000000001"/>
    <n v="8974067"/>
    <n v="6.321329281187793E-2"/>
    <n v="14"/>
    <x v="0"/>
    <n v="3051182.7800000003"/>
    <n v="315"/>
    <x v="0"/>
    <x v="0"/>
    <n v="8974067"/>
    <n v="1"/>
    <n v="1"/>
    <s v="Highly Concentrated"/>
    <n v="8974067"/>
    <s v="Routine Market"/>
    <x v="0"/>
    <s v="No"/>
  </r>
  <r>
    <x v="2"/>
    <x v="2"/>
    <s v="Unsaturated acyclic acids"/>
    <x v="2"/>
    <x v="2"/>
    <x v="2"/>
    <s v="Potassium Sorbate"/>
    <s v="Sauces / Bakery / Dairy"/>
    <x v="21"/>
    <x v="1"/>
    <x v="0"/>
    <s v="X"/>
    <x v="21"/>
    <s v="Egypt"/>
    <s v="World"/>
    <s v="TOTAL CPC"/>
    <s v="TOTAL MOT"/>
    <n v="291619"/>
    <n v="445057"/>
    <n v="53765"/>
    <n v="0"/>
    <n v="53765"/>
    <s v="kg"/>
    <n v="53765"/>
    <s v="kg"/>
    <n v="1.3104801671892474E-3"/>
    <n v="3"/>
    <x v="0"/>
    <n v="0"/>
    <n v="0"/>
    <n v="0"/>
    <n v="4.7607572716976661E-3"/>
    <n v="155"/>
    <n v="8.2778201432158465"/>
    <n v="34"/>
    <x v="0"/>
    <s v="No"/>
    <n v="2033373.9000000001"/>
    <n v="8974067"/>
    <n v="6.321329281187793E-2"/>
    <n v="14"/>
    <x v="0"/>
    <n v="3051182.7800000003"/>
    <n v="315"/>
    <x v="0"/>
    <x v="0"/>
    <n v="8974067"/>
    <n v="1"/>
    <n v="1"/>
    <s v="Highly Concentrated"/>
    <n v="8974067"/>
    <s v="Routine Market"/>
    <x v="0"/>
    <s v="Yes"/>
  </r>
  <r>
    <x v="2"/>
    <x v="2"/>
    <s v="Unsaturated acyclic acids"/>
    <x v="2"/>
    <x v="2"/>
    <x v="2"/>
    <s v="Potassium Sorbate"/>
    <s v="Sauces / Bakery / Dairy"/>
    <x v="18"/>
    <x v="0"/>
    <x v="0"/>
    <s v="X"/>
    <x v="18"/>
    <s v="Egypt"/>
    <s v="World"/>
    <s v="TOTAL CPC"/>
    <s v="TOTAL MOT"/>
    <n v="291619"/>
    <n v="32616"/>
    <n v="88"/>
    <n v="0"/>
    <n v="88"/>
    <s v="kg"/>
    <n v="88"/>
    <s v="kg"/>
    <n v="9.425427433633813E-3"/>
    <n v="18"/>
    <x v="1"/>
    <n v="4.0000000000000008E-2"/>
    <n v="1304.6400000000003"/>
    <n v="3.5200000000000005"/>
    <n v="4.7607572716976661E-3"/>
    <n v="350"/>
    <n v="370.63636363636363"/>
    <n v="34"/>
    <x v="0"/>
    <s v="No"/>
    <n v="2033373.9000000001"/>
    <n v="8974067"/>
    <n v="6.321329281187793E-2"/>
    <n v="14"/>
    <x v="0"/>
    <n v="3051182.7800000003"/>
    <n v="315"/>
    <x v="0"/>
    <x v="0"/>
    <n v="8974067"/>
    <n v="1"/>
    <n v="1"/>
    <s v="Highly Concentrated"/>
    <n v="8974067"/>
    <s v="Routine Market"/>
    <x v="0"/>
    <s v="No"/>
  </r>
  <r>
    <x v="3"/>
    <x v="3"/>
    <s v="Dextrins and modified starches"/>
    <x v="3"/>
    <x v="0"/>
    <x v="3"/>
    <s v="Modified Starch"/>
    <s v="Sauces / Mayo / Ketchup"/>
    <x v="1"/>
    <x v="1"/>
    <x v="0"/>
    <s v="X"/>
    <x v="1"/>
    <s v="Egypt"/>
    <s v="World"/>
    <s v="TOTAL CPC"/>
    <s v="TOTAL MOT"/>
    <n v="350510"/>
    <n v="877849"/>
    <n v="523065.2"/>
    <n v="0"/>
    <n v="523065"/>
    <s v="kg"/>
    <n v="523065"/>
    <s v="kg"/>
    <n v="5.3992075088500962E-3"/>
    <n v="4"/>
    <x v="0"/>
    <n v="0"/>
    <n v="0"/>
    <n v="0"/>
    <n v="1.2966653739508774E-2"/>
    <n v="111"/>
    <n v="1.6782783484735746"/>
    <n v="34"/>
    <x v="0"/>
    <s v="No"/>
    <n v="17243671.100000001"/>
    <n v="24442250"/>
    <n v="0.39900464236999494"/>
    <n v="23"/>
    <x v="0"/>
    <n v="8310365.0000000009"/>
    <n v="73"/>
    <x v="0"/>
    <x v="0"/>
    <n v="24442250"/>
    <n v="1"/>
    <n v="1"/>
    <s v="Highly Concentrated"/>
    <n v="24442250"/>
    <s v="Medium Opportunity"/>
    <x v="0"/>
    <s v="Yes"/>
  </r>
  <r>
    <x v="3"/>
    <x v="3"/>
    <s v="Dextrins and modified starches"/>
    <x v="3"/>
    <x v="0"/>
    <x v="3"/>
    <s v="Modified Starch"/>
    <s v="Sauces / Mayo / Ketchup"/>
    <x v="24"/>
    <x v="1"/>
    <x v="0"/>
    <s v="X"/>
    <x v="24"/>
    <s v="Egypt"/>
    <s v="World"/>
    <s v="TOTAL CPC"/>
    <s v="TOTAL MOT"/>
    <n v="350510"/>
    <n v="150685"/>
    <n v="128750"/>
    <n v="0"/>
    <n v="128750"/>
    <s v="kg"/>
    <n v="128750"/>
    <s v="kg"/>
    <n v="1.3771095818184687E-3"/>
    <n v="2"/>
    <x v="0"/>
    <n v="0"/>
    <n v="0"/>
    <n v="0"/>
    <n v="1.2966653739508774E-2"/>
    <n v="247"/>
    <n v="1.1703689320388349"/>
    <n v="34"/>
    <x v="0"/>
    <s v="No"/>
    <n v="17243671.100000001"/>
    <n v="24442250"/>
    <n v="0.39900464236999494"/>
    <n v="23"/>
    <x v="0"/>
    <n v="8310365.0000000009"/>
    <n v="73"/>
    <x v="0"/>
    <x v="0"/>
    <n v="24442250"/>
    <n v="1"/>
    <n v="1"/>
    <s v="Highly Concentrated"/>
    <n v="24442250"/>
    <s v="Medium Opportunity"/>
    <x v="0"/>
    <s v="Yes"/>
  </r>
  <r>
    <x v="3"/>
    <x v="3"/>
    <s v="Dextrins and modified starches"/>
    <x v="3"/>
    <x v="0"/>
    <x v="3"/>
    <s v="Modified Starch"/>
    <s v="Sauces / Mayo / Ketchup"/>
    <x v="2"/>
    <x v="1"/>
    <x v="0"/>
    <s v="X"/>
    <x v="2"/>
    <s v="Egypt"/>
    <s v="World"/>
    <s v="TOTAL CPC"/>
    <s v="TOTAL MOT"/>
    <n v="350510"/>
    <n v="31"/>
    <n v="49"/>
    <n v="0"/>
    <n v="49"/>
    <s v="kg"/>
    <n v="49"/>
    <s v="kg"/>
    <n v="1.2732039388690099E-7"/>
    <n v="2"/>
    <x v="0"/>
    <n v="0"/>
    <n v="0"/>
    <n v="0"/>
    <n v="1.2966653739508774E-2"/>
    <n v="527"/>
    <n v="0.63265306122448983"/>
    <n v="34"/>
    <x v="0"/>
    <s v="No"/>
    <n v="17243671.100000001"/>
    <n v="24442250"/>
    <n v="0.39900464236999494"/>
    <n v="23"/>
    <x v="0"/>
    <n v="8310365.0000000009"/>
    <n v="73"/>
    <x v="0"/>
    <x v="0"/>
    <n v="24442250"/>
    <n v="1"/>
    <n v="1"/>
    <s v="Highly Concentrated"/>
    <n v="24442250"/>
    <s v="Medium Opportunity"/>
    <x v="0"/>
    <s v="Yes"/>
  </r>
  <r>
    <x v="3"/>
    <x v="3"/>
    <s v="Dextrins and modified starches"/>
    <x v="3"/>
    <x v="0"/>
    <x v="3"/>
    <s v="Modified Starch"/>
    <s v="Sauces / Mayo / Ketchup"/>
    <x v="3"/>
    <x v="0"/>
    <x v="0"/>
    <s v="X"/>
    <x v="3"/>
    <s v="Egypt"/>
    <s v="World"/>
    <s v="TOTAL CPC"/>
    <s v="TOTAL MOT"/>
    <n v="350510"/>
    <n v="1567776"/>
    <n v="822976"/>
    <n v="0"/>
    <n v="822976"/>
    <s v="kg"/>
    <n v="822976"/>
    <s v="kg"/>
    <n v="6.321329281187793E-2"/>
    <n v="17"/>
    <x v="1"/>
    <n v="0.14000000000000001"/>
    <n v="219488.64000000001"/>
    <n v="115216.64000000001"/>
    <n v="1.2966653739508774E-2"/>
    <n v="74"/>
    <n v="1.9050081654872073"/>
    <n v="34"/>
    <x v="0"/>
    <s v="No"/>
    <n v="17243671.100000001"/>
    <n v="24442250"/>
    <n v="0.39900464236999494"/>
    <n v="23"/>
    <x v="0"/>
    <n v="8310365.0000000009"/>
    <n v="73"/>
    <x v="0"/>
    <x v="0"/>
    <n v="24442250"/>
    <n v="1"/>
    <n v="1"/>
    <s v="Highly Concentrated"/>
    <n v="24442250"/>
    <s v="Medium Opportunity"/>
    <x v="0"/>
    <s v="No"/>
  </r>
  <r>
    <x v="3"/>
    <x v="3"/>
    <s v="Dextrins and modified starches"/>
    <x v="3"/>
    <x v="0"/>
    <x v="3"/>
    <s v="Modified Starch"/>
    <s v="Sauces / Mayo / Ketchup"/>
    <x v="25"/>
    <x v="1"/>
    <x v="0"/>
    <s v="X"/>
    <x v="25"/>
    <s v="Egypt"/>
    <s v="World"/>
    <s v="TOTAL CPC"/>
    <s v="TOTAL MOT"/>
    <n v="350510"/>
    <n v="302860"/>
    <n v="163100"/>
    <n v="0"/>
    <n v="163100"/>
    <s v="kg"/>
    <n v="163100"/>
    <s v="kg"/>
    <n v="4.2641562768795568E-4"/>
    <n v="2"/>
    <x v="0"/>
    <n v="0"/>
    <n v="0"/>
    <n v="0"/>
    <n v="1.2966653739508774E-2"/>
    <n v="187"/>
    <n v="1.8568976088289393"/>
    <n v="34"/>
    <x v="0"/>
    <s v="No"/>
    <n v="17243671.100000001"/>
    <n v="24442250"/>
    <n v="0.39900464236999494"/>
    <n v="23"/>
    <x v="0"/>
    <n v="8310365.0000000009"/>
    <n v="73"/>
    <x v="0"/>
    <x v="0"/>
    <n v="24442250"/>
    <n v="1"/>
    <n v="1"/>
    <s v="Highly Concentrated"/>
    <n v="24442250"/>
    <s v="Medium Opportunity"/>
    <x v="0"/>
    <s v="Yes"/>
  </r>
  <r>
    <x v="3"/>
    <x v="3"/>
    <s v="Dextrins and modified starches"/>
    <x v="3"/>
    <x v="0"/>
    <x v="3"/>
    <s v="Modified Starch"/>
    <s v="Sauces / Mayo / Ketchup"/>
    <x v="5"/>
    <x v="1"/>
    <x v="0"/>
    <s v="X"/>
    <x v="5"/>
    <s v="Egypt"/>
    <s v="World"/>
    <s v="TOTAL CPC"/>
    <s v="TOTAL MOT"/>
    <n v="350510"/>
    <n v="34922"/>
    <n v="17600"/>
    <n v="0"/>
    <n v="17600"/>
    <s v="kg"/>
    <n v="17600"/>
    <s v="kg"/>
    <n v="4.8573207719329804E-4"/>
    <n v="4"/>
    <x v="0"/>
    <n v="0"/>
    <n v="0"/>
    <n v="0"/>
    <n v="1.2966653739508774E-2"/>
    <n v="344"/>
    <n v="1.9842045454545454"/>
    <n v="34"/>
    <x v="0"/>
    <s v="No"/>
    <n v="17243671.100000001"/>
    <n v="24442250"/>
    <n v="0.39900464236999494"/>
    <n v="23"/>
    <x v="0"/>
    <n v="8310365.0000000009"/>
    <n v="73"/>
    <x v="0"/>
    <x v="0"/>
    <n v="24442250"/>
    <n v="1"/>
    <n v="1"/>
    <s v="Highly Concentrated"/>
    <n v="24442250"/>
    <s v="Medium Opportunity"/>
    <x v="0"/>
    <s v="Yes"/>
  </r>
  <r>
    <x v="3"/>
    <x v="3"/>
    <s v="Dextrins and modified starches"/>
    <x v="3"/>
    <x v="0"/>
    <x v="3"/>
    <s v="Modified Starch"/>
    <s v="Sauces / Mayo / Ketchup"/>
    <x v="6"/>
    <x v="0"/>
    <x v="0"/>
    <s v="X"/>
    <x v="6"/>
    <s v="Egypt"/>
    <s v="World"/>
    <s v="TOTAL CPC"/>
    <s v="TOTAL MOT"/>
    <n v="350510"/>
    <n v="368731"/>
    <n v="199010"/>
    <n v="0"/>
    <n v="199010"/>
    <s v="kg"/>
    <n v="199010"/>
    <s v="kg"/>
    <n v="1.6951290293147386E-2"/>
    <n v="11"/>
    <x v="0"/>
    <n v="0"/>
    <n v="0"/>
    <n v="0"/>
    <n v="1.2966653739508774E-2"/>
    <n v="169"/>
    <n v="1.852826491131099"/>
    <n v="34"/>
    <x v="0"/>
    <s v="No"/>
    <n v="17243671.100000001"/>
    <n v="24442250"/>
    <n v="0.39900464236999494"/>
    <n v="23"/>
    <x v="0"/>
    <n v="8310365.0000000009"/>
    <n v="73"/>
    <x v="0"/>
    <x v="0"/>
    <n v="24442250"/>
    <n v="1"/>
    <n v="1"/>
    <s v="Highly Concentrated"/>
    <n v="24442250"/>
    <s v="Medium Opportunity"/>
    <x v="0"/>
    <s v="No"/>
  </r>
  <r>
    <x v="3"/>
    <x v="3"/>
    <s v="Dextrins and modified starches"/>
    <x v="3"/>
    <x v="0"/>
    <x v="3"/>
    <s v="Modified Starch"/>
    <s v="Sauces / Mayo / Ketchup"/>
    <x v="7"/>
    <x v="1"/>
    <x v="0"/>
    <s v="X"/>
    <x v="7"/>
    <s v="Egypt"/>
    <s v="World"/>
    <s v="TOTAL CPC"/>
    <s v="TOTAL MOT"/>
    <n v="350510"/>
    <n v="3374059"/>
    <n v="1649011"/>
    <n v="0"/>
    <n v="1649011"/>
    <s v="kg"/>
    <n v="1649011"/>
    <s v="kg"/>
    <n v="1.1674623358397021E-2"/>
    <n v="2"/>
    <x v="0"/>
    <n v="0"/>
    <n v="0"/>
    <n v="0"/>
    <n v="1.2966653739508774E-2"/>
    <n v="43"/>
    <n v="2.0461106687584256"/>
    <n v="34"/>
    <x v="0"/>
    <s v="No"/>
    <n v="17243671.100000001"/>
    <n v="24442250"/>
    <n v="0.39900464236999494"/>
    <n v="23"/>
    <x v="0"/>
    <n v="8310365.0000000009"/>
    <n v="73"/>
    <x v="0"/>
    <x v="0"/>
    <n v="24442250"/>
    <n v="1"/>
    <n v="1"/>
    <s v="Highly Concentrated"/>
    <n v="24442250"/>
    <s v="Medium Opportunity"/>
    <x v="0"/>
    <s v="Yes"/>
  </r>
  <r>
    <x v="3"/>
    <x v="3"/>
    <s v="Dextrins and modified starches"/>
    <x v="3"/>
    <x v="0"/>
    <x v="3"/>
    <s v="Modified Starch"/>
    <s v="Sauces / Mayo / Ketchup"/>
    <x v="26"/>
    <x v="1"/>
    <x v="0"/>
    <s v="X"/>
    <x v="26"/>
    <s v="Egypt"/>
    <s v="World"/>
    <s v="TOTAL CPC"/>
    <s v="TOTAL MOT"/>
    <n v="350510"/>
    <n v="4957"/>
    <n v="1610"/>
    <n v="0"/>
    <n v="1610"/>
    <s v="kg"/>
    <n v="1610"/>
    <s v="kg"/>
    <n v="2.621940701411424E-4"/>
    <n v="2"/>
    <x v="0"/>
    <n v="0"/>
    <n v="0"/>
    <n v="0"/>
    <n v="1.2966653739508774E-2"/>
    <n v="442"/>
    <n v="3.0788819875776396"/>
    <n v="34"/>
    <x v="0"/>
    <s v="No"/>
    <n v="17243671.100000001"/>
    <n v="24442250"/>
    <n v="0.39900464236999494"/>
    <n v="23"/>
    <x v="0"/>
    <n v="8310365.0000000009"/>
    <n v="73"/>
    <x v="0"/>
    <x v="0"/>
    <n v="24442250"/>
    <n v="1"/>
    <n v="1"/>
    <s v="Highly Concentrated"/>
    <n v="24442250"/>
    <s v="Medium Opportunity"/>
    <x v="0"/>
    <s v="Yes"/>
  </r>
  <r>
    <x v="3"/>
    <x v="3"/>
    <s v="Dextrins and modified starches"/>
    <x v="3"/>
    <x v="0"/>
    <x v="3"/>
    <s v="Modified Starch"/>
    <s v="Sauces / Mayo / Ketchup"/>
    <x v="27"/>
    <x v="1"/>
    <x v="0"/>
    <s v="X"/>
    <x v="27"/>
    <s v="Egypt"/>
    <s v="World"/>
    <s v="TOTAL CPC"/>
    <s v="TOTAL MOT"/>
    <n v="350510"/>
    <n v="71000"/>
    <n v="25000"/>
    <n v="0"/>
    <n v="25000"/>
    <s v="kg"/>
    <n v="25000"/>
    <s v="kg"/>
    <n v="0.39900464236999494"/>
    <n v="6"/>
    <x v="1"/>
    <n v="0.21"/>
    <n v="14910"/>
    <n v="5250"/>
    <n v="1.2966653739508774E-2"/>
    <n v="302"/>
    <n v="2.84"/>
    <n v="34"/>
    <x v="0"/>
    <s v="No"/>
    <n v="17243671.100000001"/>
    <n v="24442250"/>
    <n v="0.39900464236999494"/>
    <n v="23"/>
    <x v="0"/>
    <n v="8310365.0000000009"/>
    <n v="73"/>
    <x v="0"/>
    <x v="0"/>
    <n v="24442250"/>
    <n v="1"/>
    <n v="1"/>
    <s v="Highly Concentrated"/>
    <n v="24442250"/>
    <s v="Medium Opportunity"/>
    <x v="0"/>
    <s v="Yes"/>
  </r>
  <r>
    <x v="3"/>
    <x v="3"/>
    <s v="Dextrins and modified starches"/>
    <x v="3"/>
    <x v="0"/>
    <x v="3"/>
    <s v="Modified Starch"/>
    <s v="Sauces / Mayo / Ketchup"/>
    <x v="8"/>
    <x v="0"/>
    <x v="0"/>
    <s v="X"/>
    <x v="8"/>
    <s v="Egypt"/>
    <s v="World"/>
    <s v="TOTAL CPC"/>
    <s v="TOTAL MOT"/>
    <n v="350510"/>
    <n v="2"/>
    <n v="2"/>
    <n v="0"/>
    <n v="2"/>
    <s v="kg"/>
    <n v="2"/>
    <s v="kg"/>
    <n v="4.9588465845200368E-3"/>
    <n v="14"/>
    <x v="0"/>
    <n v="0"/>
    <n v="0"/>
    <n v="0"/>
    <n v="1.2966653739508774E-2"/>
    <n v="537"/>
    <n v="1"/>
    <n v="34"/>
    <x v="0"/>
    <s v="No"/>
    <n v="17243671.100000001"/>
    <n v="24442250"/>
    <n v="0.39900464236999494"/>
    <n v="23"/>
    <x v="0"/>
    <n v="8310365.0000000009"/>
    <n v="73"/>
    <x v="0"/>
    <x v="0"/>
    <n v="24442250"/>
    <n v="1"/>
    <n v="1"/>
    <s v="Highly Concentrated"/>
    <n v="24442250"/>
    <s v="Medium Opportunity"/>
    <x v="0"/>
    <s v="No"/>
  </r>
  <r>
    <x v="3"/>
    <x v="3"/>
    <s v="Dextrins and modified starches"/>
    <x v="3"/>
    <x v="0"/>
    <x v="3"/>
    <s v="Modified Starch"/>
    <s v="Sauces / Mayo / Ketchup"/>
    <x v="9"/>
    <x v="1"/>
    <x v="0"/>
    <s v="X"/>
    <x v="9"/>
    <s v="Egypt"/>
    <s v="World"/>
    <s v="TOTAL CPC"/>
    <s v="TOTAL MOT"/>
    <n v="350510"/>
    <n v="1022126"/>
    <n v="702350"/>
    <n v="0"/>
    <n v="702350"/>
    <s v="kg"/>
    <n v="702350"/>
    <s v="kg"/>
    <n v="1.1178535358665947E-2"/>
    <n v="3"/>
    <x v="0"/>
    <n v="0"/>
    <n v="0"/>
    <n v="0"/>
    <n v="1.2966653739508774E-2"/>
    <n v="106"/>
    <n v="1.4552943689043925"/>
    <n v="34"/>
    <x v="0"/>
    <s v="No"/>
    <n v="17243671.100000001"/>
    <n v="24442250"/>
    <n v="0.39900464236999494"/>
    <n v="23"/>
    <x v="0"/>
    <n v="8310365.0000000009"/>
    <n v="73"/>
    <x v="0"/>
    <x v="0"/>
    <n v="24442250"/>
    <n v="1"/>
    <n v="1"/>
    <s v="Highly Concentrated"/>
    <n v="24442250"/>
    <s v="Medium Opportunity"/>
    <x v="0"/>
    <s v="Yes"/>
  </r>
  <r>
    <x v="3"/>
    <x v="3"/>
    <s v="Dextrins and modified starches"/>
    <x v="3"/>
    <x v="0"/>
    <x v="3"/>
    <s v="Modified Starch"/>
    <s v="Sauces / Mayo / Ketchup"/>
    <x v="28"/>
    <x v="1"/>
    <x v="0"/>
    <s v="X"/>
    <x v="28"/>
    <s v="Egypt"/>
    <s v="World"/>
    <s v="TOTAL CPC"/>
    <s v="TOTAL MOT"/>
    <n v="350510"/>
    <n v="11429"/>
    <n v="6991.9"/>
    <n v="0"/>
    <n v="6992"/>
    <s v="kg"/>
    <n v="0"/>
    <s v="N/A"/>
    <n v="1.4545824499937243E-5"/>
    <n v="2"/>
    <x v="0"/>
    <n v="0"/>
    <n v="0"/>
    <n v="0"/>
    <n v="1.2966653739508774E-2"/>
    <n v="407"/>
    <n v="1.6346057580915059"/>
    <n v="34"/>
    <x v="0"/>
    <s v="No"/>
    <n v="17243671.100000001"/>
    <n v="24442250"/>
    <n v="0.39900464236999494"/>
    <n v="23"/>
    <x v="0"/>
    <n v="8310365.0000000009"/>
    <n v="73"/>
    <x v="0"/>
    <x v="0"/>
    <n v="24442250"/>
    <n v="1"/>
    <n v="1"/>
    <s v="Highly Concentrated"/>
    <n v="24442250"/>
    <s v="Medium Opportunity"/>
    <x v="0"/>
    <s v="Yes"/>
  </r>
  <r>
    <x v="3"/>
    <x v="3"/>
    <s v="Dextrins and modified starches"/>
    <x v="3"/>
    <x v="0"/>
    <x v="3"/>
    <s v="Modified Starch"/>
    <s v="Sauces / Mayo / Ketchup"/>
    <x v="12"/>
    <x v="0"/>
    <x v="0"/>
    <s v="X"/>
    <x v="12"/>
    <s v="Egypt"/>
    <s v="World"/>
    <s v="TOTAL CPC"/>
    <s v="TOTAL MOT"/>
    <n v="350510"/>
    <n v="9885316"/>
    <n v="5294894"/>
    <n v="0"/>
    <n v="5294894"/>
    <s v="kg"/>
    <n v="5294894"/>
    <s v="kg"/>
    <n v="1.4561232389604124E-2"/>
    <n v="1"/>
    <x v="0"/>
    <n v="0"/>
    <n v="0"/>
    <n v="0"/>
    <n v="1.2966653739508774E-2"/>
    <n v="19"/>
    <n v="1.8669525773320486"/>
    <n v="34"/>
    <x v="0"/>
    <s v="No"/>
    <n v="17243671.100000001"/>
    <n v="24442250"/>
    <n v="0.39900464236999494"/>
    <n v="23"/>
    <x v="0"/>
    <n v="8310365.0000000009"/>
    <n v="73"/>
    <x v="0"/>
    <x v="0"/>
    <n v="24442250"/>
    <n v="1"/>
    <n v="1"/>
    <s v="Highly Concentrated"/>
    <n v="24442250"/>
    <s v="Medium Opportunity"/>
    <x v="0"/>
    <s v="Yes"/>
  </r>
  <r>
    <x v="3"/>
    <x v="3"/>
    <s v="Dextrins and modified starches"/>
    <x v="3"/>
    <x v="0"/>
    <x v="3"/>
    <s v="Modified Starch"/>
    <s v="Sauces / Mayo / Ketchup"/>
    <x v="29"/>
    <x v="0"/>
    <x v="0"/>
    <s v="X"/>
    <x v="29"/>
    <s v="Egypt"/>
    <s v="World"/>
    <s v="TOTAL CPC"/>
    <s v="TOTAL MOT"/>
    <n v="350510"/>
    <n v="396897"/>
    <n v="405600"/>
    <n v="0"/>
    <n v="405600"/>
    <s v="kg"/>
    <n v="405600"/>
    <s v="kg"/>
    <n v="3.82286909668397E-4"/>
    <n v="1"/>
    <x v="0"/>
    <n v="0"/>
    <n v="0"/>
    <n v="0"/>
    <n v="1.2966653739508774E-2"/>
    <n v="161"/>
    <n v="0.97854289940828398"/>
    <n v="34"/>
    <x v="0"/>
    <s v="No"/>
    <n v="17243671.100000001"/>
    <n v="24442250"/>
    <n v="0.39900464236999494"/>
    <n v="23"/>
    <x v="0"/>
    <n v="8310365.0000000009"/>
    <n v="73"/>
    <x v="0"/>
    <x v="0"/>
    <n v="24442250"/>
    <n v="1"/>
    <n v="1"/>
    <s v="Highly Concentrated"/>
    <n v="24442250"/>
    <s v="Medium Opportunity"/>
    <x v="0"/>
    <s v="Yes"/>
  </r>
  <r>
    <x v="3"/>
    <x v="3"/>
    <s v="Dextrins and modified starches"/>
    <x v="3"/>
    <x v="0"/>
    <x v="3"/>
    <s v="Modified Starch"/>
    <s v="Sauces / Mayo / Ketchup"/>
    <x v="15"/>
    <x v="0"/>
    <x v="0"/>
    <s v="X"/>
    <x v="15"/>
    <s v="Egypt"/>
    <s v="World"/>
    <s v="TOTAL CPC"/>
    <s v="TOTAL MOT"/>
    <n v="350510"/>
    <n v="404214"/>
    <n v="339088"/>
    <n v="0"/>
    <n v="339088"/>
    <s v="kg"/>
    <n v="339088"/>
    <s v="kg"/>
    <n v="2.2441761060335613E-2"/>
    <n v="17"/>
    <x v="0"/>
    <n v="0"/>
    <n v="0"/>
    <n v="0"/>
    <n v="1.2966653739508774E-2"/>
    <n v="160"/>
    <n v="1.1920622375312604"/>
    <n v="34"/>
    <x v="0"/>
    <s v="No"/>
    <n v="17243671.100000001"/>
    <n v="24442250"/>
    <n v="0.39900464236999494"/>
    <n v="23"/>
    <x v="0"/>
    <n v="8310365.0000000009"/>
    <n v="73"/>
    <x v="0"/>
    <x v="0"/>
    <n v="24442250"/>
    <n v="1"/>
    <n v="1"/>
    <s v="Highly Concentrated"/>
    <n v="24442250"/>
    <s v="Medium Opportunity"/>
    <x v="0"/>
    <s v="No"/>
  </r>
  <r>
    <x v="3"/>
    <x v="3"/>
    <s v="Dextrins and modified starches"/>
    <x v="3"/>
    <x v="0"/>
    <x v="3"/>
    <s v="Modified Starch"/>
    <s v="Sauces / Mayo / Ketchup"/>
    <x v="22"/>
    <x v="1"/>
    <x v="0"/>
    <s v="X"/>
    <x v="22"/>
    <s v="Egypt"/>
    <s v="World"/>
    <s v="TOTAL CPC"/>
    <s v="TOTAL MOT"/>
    <n v="350510"/>
    <n v="17084"/>
    <n v="5000"/>
    <n v="0"/>
    <n v="5000"/>
    <s v="kg"/>
    <n v="5000"/>
    <s v="kg"/>
    <n v="1.3832724193842358E-4"/>
    <n v="2"/>
    <x v="0"/>
    <n v="0"/>
    <n v="0"/>
    <n v="0"/>
    <n v="1.2966653739508774E-2"/>
    <n v="387"/>
    <n v="3.4167999999999998"/>
    <n v="34"/>
    <x v="0"/>
    <s v="No"/>
    <n v="17243671.100000001"/>
    <n v="24442250"/>
    <n v="0.39900464236999494"/>
    <n v="23"/>
    <x v="0"/>
    <n v="8310365.0000000009"/>
    <n v="73"/>
    <x v="0"/>
    <x v="0"/>
    <n v="24442250"/>
    <n v="1"/>
    <n v="1"/>
    <s v="Highly Concentrated"/>
    <n v="24442250"/>
    <s v="Medium Opportunity"/>
    <x v="0"/>
    <s v="Yes"/>
  </r>
  <r>
    <x v="3"/>
    <x v="3"/>
    <s v="Dextrins and modified starches"/>
    <x v="3"/>
    <x v="0"/>
    <x v="3"/>
    <s v="Modified Starch"/>
    <s v="Sauces / Mayo / Ketchup"/>
    <x v="30"/>
    <x v="1"/>
    <x v="0"/>
    <s v="X"/>
    <x v="30"/>
    <s v="Egypt"/>
    <s v="World"/>
    <s v="TOTAL CPC"/>
    <s v="TOTAL MOT"/>
    <n v="350510"/>
    <n v="18831"/>
    <n v="11000"/>
    <n v="0"/>
    <n v="11000"/>
    <s v="kg"/>
    <n v="11000"/>
    <s v="kg"/>
    <n v="1.1596288425054823E-4"/>
    <n v="4"/>
    <x v="0"/>
    <n v="0"/>
    <n v="0"/>
    <n v="0"/>
    <n v="1.2966653739508774E-2"/>
    <n v="382"/>
    <n v="1.7119090909090908"/>
    <n v="34"/>
    <x v="0"/>
    <s v="No"/>
    <n v="17243671.100000001"/>
    <n v="24442250"/>
    <n v="0.39900464236999494"/>
    <n v="23"/>
    <x v="0"/>
    <n v="8310365.0000000009"/>
    <n v="73"/>
    <x v="0"/>
    <x v="0"/>
    <n v="24442250"/>
    <n v="1"/>
    <n v="1"/>
    <s v="Highly Concentrated"/>
    <n v="24442250"/>
    <s v="Medium Opportunity"/>
    <x v="0"/>
    <s v="Yes"/>
  </r>
  <r>
    <x v="3"/>
    <x v="3"/>
    <s v="Dextrins and modified starches"/>
    <x v="3"/>
    <x v="0"/>
    <x v="3"/>
    <s v="Modified Starch"/>
    <s v="Sauces / Mayo / Ketchup"/>
    <x v="31"/>
    <x v="0"/>
    <x v="0"/>
    <s v="X"/>
    <x v="31"/>
    <s v="Egypt"/>
    <s v="World"/>
    <s v="TOTAL CPC"/>
    <s v="TOTAL MOT"/>
    <n v="350510"/>
    <n v="829700"/>
    <n v="678100"/>
    <n v="0"/>
    <n v="678100"/>
    <s v="kg"/>
    <n v="678100"/>
    <s v="kg"/>
    <n v="8.0337630087875059E-4"/>
    <n v="1"/>
    <x v="0"/>
    <n v="0"/>
    <n v="0"/>
    <n v="0"/>
    <n v="1.2966653739508774E-2"/>
    <n v="113"/>
    <n v="1.2235658457454652"/>
    <n v="34"/>
    <x v="0"/>
    <s v="No"/>
    <n v="17243671.100000001"/>
    <n v="24442250"/>
    <n v="0.39900464236999494"/>
    <n v="23"/>
    <x v="0"/>
    <n v="8310365.0000000009"/>
    <n v="73"/>
    <x v="0"/>
    <x v="0"/>
    <n v="24442250"/>
    <n v="1"/>
    <n v="1"/>
    <s v="Highly Concentrated"/>
    <n v="24442250"/>
    <s v="Medium Opportunity"/>
    <x v="0"/>
    <s v="Yes"/>
  </r>
  <r>
    <x v="3"/>
    <x v="3"/>
    <s v="Dextrins and modified starches"/>
    <x v="3"/>
    <x v="0"/>
    <x v="3"/>
    <s v="Modified Starch"/>
    <s v="Sauces / Mayo / Ketchup"/>
    <x v="17"/>
    <x v="1"/>
    <x v="0"/>
    <s v="X"/>
    <x v="17"/>
    <s v="Egypt"/>
    <s v="World"/>
    <s v="TOTAL CPC"/>
    <s v="TOTAL MOT"/>
    <n v="350510"/>
    <n v="3438996"/>
    <n v="5252345"/>
    <n v="0"/>
    <n v="5252345"/>
    <s v="kg"/>
    <n v="5252345"/>
    <s v="kg"/>
    <n v="4.7522902002533667E-2"/>
    <n v="7"/>
    <x v="1"/>
    <n v="0.1"/>
    <n v="343899.60000000003"/>
    <n v="525234.5"/>
    <n v="1.2966653739508774E-2"/>
    <n v="40"/>
    <n v="0.65475440017744457"/>
    <n v="34"/>
    <x v="0"/>
    <s v="No"/>
    <n v="17243671.100000001"/>
    <n v="24442250"/>
    <n v="0.39900464236999494"/>
    <n v="23"/>
    <x v="0"/>
    <n v="8310365.0000000009"/>
    <n v="73"/>
    <x v="0"/>
    <x v="0"/>
    <n v="24442250"/>
    <n v="1"/>
    <n v="1"/>
    <s v="Highly Concentrated"/>
    <n v="24442250"/>
    <s v="Medium Opportunity"/>
    <x v="0"/>
    <s v="Yes"/>
  </r>
  <r>
    <x v="3"/>
    <x v="3"/>
    <s v="Dextrins and modified starches"/>
    <x v="3"/>
    <x v="0"/>
    <x v="3"/>
    <s v="Modified Starch"/>
    <s v="Sauces / Mayo / Ketchup"/>
    <x v="32"/>
    <x v="1"/>
    <x v="0"/>
    <s v="X"/>
    <x v="32"/>
    <s v="Egypt"/>
    <s v="World"/>
    <s v="TOTAL CPC"/>
    <s v="TOTAL MOT"/>
    <n v="350510"/>
    <n v="427212"/>
    <n v="299750"/>
    <n v="0"/>
    <n v="299750"/>
    <s v="kg"/>
    <n v="299750"/>
    <s v="kg"/>
    <n v="7.6648679233989533E-2"/>
    <n v="4"/>
    <x v="1"/>
    <n v="0.44999999999999996"/>
    <n v="192245.4"/>
    <n v="134887.5"/>
    <n v="1.2966653739508774E-2"/>
    <n v="156"/>
    <n v="1.4252276897414513"/>
    <n v="34"/>
    <x v="0"/>
    <s v="No"/>
    <n v="17243671.100000001"/>
    <n v="24442250"/>
    <n v="0.39900464236999494"/>
    <n v="23"/>
    <x v="0"/>
    <n v="8310365.0000000009"/>
    <n v="73"/>
    <x v="0"/>
    <x v="0"/>
    <n v="24442250"/>
    <n v="1"/>
    <n v="1"/>
    <s v="Highly Concentrated"/>
    <n v="24442250"/>
    <s v="Medium Opportunity"/>
    <x v="0"/>
    <s v="Yes"/>
  </r>
  <r>
    <x v="3"/>
    <x v="3"/>
    <s v="Dextrins and modified starches"/>
    <x v="3"/>
    <x v="0"/>
    <x v="3"/>
    <s v="Modified Starch"/>
    <s v="Sauces / Mayo / Ketchup"/>
    <x v="21"/>
    <x v="1"/>
    <x v="0"/>
    <s v="X"/>
    <x v="21"/>
    <s v="Egypt"/>
    <s v="World"/>
    <s v="TOTAL CPC"/>
    <s v="TOTAL MOT"/>
    <n v="350510"/>
    <n v="39238"/>
    <n v="9414"/>
    <n v="0"/>
    <n v="9414"/>
    <s v="kg"/>
    <n v="9414"/>
    <s v="kg"/>
    <n v="1.3104801671892474E-3"/>
    <n v="9"/>
    <x v="0"/>
    <n v="0"/>
    <n v="0"/>
    <n v="0"/>
    <n v="1.2966653739508774E-2"/>
    <n v="333"/>
    <n v="4.168047588697684"/>
    <n v="34"/>
    <x v="0"/>
    <s v="No"/>
    <n v="17243671.100000001"/>
    <n v="24442250"/>
    <n v="0.39900464236999494"/>
    <n v="23"/>
    <x v="0"/>
    <n v="8310365.0000000009"/>
    <n v="73"/>
    <x v="0"/>
    <x v="0"/>
    <n v="24442250"/>
    <n v="1"/>
    <n v="1"/>
    <s v="Highly Concentrated"/>
    <n v="24442250"/>
    <s v="Medium Opportunity"/>
    <x v="0"/>
    <s v="Yes"/>
  </r>
  <r>
    <x v="3"/>
    <x v="3"/>
    <s v="Dextrins and modified starches"/>
    <x v="3"/>
    <x v="0"/>
    <x v="3"/>
    <s v="Modified Starch"/>
    <s v="Sauces / Mayo / Ketchup"/>
    <x v="18"/>
    <x v="1"/>
    <x v="0"/>
    <s v="X"/>
    <x v="18"/>
    <s v="Egypt"/>
    <s v="World"/>
    <s v="TOTAL CPC"/>
    <s v="TOTAL MOT"/>
    <n v="350510"/>
    <n v="1198335"/>
    <n v="708965"/>
    <n v="0"/>
    <n v="708965"/>
    <s v="kg"/>
    <n v="708965"/>
    <s v="kg"/>
    <n v="9.425427433633813E-3"/>
    <n v="5"/>
    <x v="1"/>
    <n v="4.0000000000000008E-2"/>
    <n v="47933.400000000009"/>
    <n v="28358.600000000006"/>
    <n v="1.2966653739508774E-2"/>
    <n v="93"/>
    <n v="1.690259744839308"/>
    <n v="34"/>
    <x v="0"/>
    <s v="No"/>
    <n v="17243671.100000001"/>
    <n v="24442250"/>
    <n v="0.39900464236999494"/>
    <n v="23"/>
    <x v="0"/>
    <n v="8310365.0000000009"/>
    <n v="73"/>
    <x v="0"/>
    <x v="0"/>
    <n v="24442250"/>
    <n v="1"/>
    <n v="1"/>
    <s v="Highly Concentrated"/>
    <n v="24442250"/>
    <s v="Medium Opportunity"/>
    <x v="0"/>
    <s v="Yes"/>
  </r>
  <r>
    <x v="4"/>
    <x v="4"/>
    <s v="Other phenols"/>
    <x v="4"/>
    <x v="3"/>
    <x v="4"/>
    <s v="Synthetic Antioxidants"/>
    <s v="Oils / Snacks / Fats"/>
    <x v="1"/>
    <x v="1"/>
    <x v="0"/>
    <s v="X"/>
    <x v="1"/>
    <s v="Egypt"/>
    <s v="World"/>
    <s v="TOTAL CPC"/>
    <s v="TOTAL MOT"/>
    <n v="290719"/>
    <n v="122998"/>
    <n v="21000"/>
    <n v="0"/>
    <n v="21000"/>
    <s v="kg"/>
    <n v="21000"/>
    <s v="kg"/>
    <n v="5.3992075088500962E-3"/>
    <n v="9"/>
    <x v="0"/>
    <n v="0"/>
    <n v="0"/>
    <n v="0"/>
    <n v="6.5341993246368225E-4"/>
    <n v="260"/>
    <n v="5.8570476190476191"/>
    <n v="34"/>
    <x v="0"/>
    <s v="No"/>
    <n v="219375.2"/>
    <n v="1231702"/>
    <n v="6.321329281187793E-2"/>
    <n v="12"/>
    <x v="0"/>
    <n v="418778.68000000005"/>
    <n v="507"/>
    <x v="0"/>
    <x v="0"/>
    <n v="1231702"/>
    <n v="1"/>
    <n v="1"/>
    <s v="Highly Concentrated"/>
    <n v="1231702"/>
    <s v="Routine Market"/>
    <x v="0"/>
    <s v="Yes"/>
  </r>
  <r>
    <x v="4"/>
    <x v="4"/>
    <s v="Other phenols"/>
    <x v="4"/>
    <x v="3"/>
    <x v="4"/>
    <s v="Synthetic Antioxidants"/>
    <s v="Oils / Snacks / Fats"/>
    <x v="3"/>
    <x v="0"/>
    <x v="0"/>
    <s v="X"/>
    <x v="3"/>
    <s v="Egypt"/>
    <s v="World"/>
    <s v="TOTAL CPC"/>
    <s v="TOTAL MOT"/>
    <n v="290719"/>
    <n v="363168"/>
    <n v="102210"/>
    <n v="0"/>
    <n v="102210"/>
    <s v="kg"/>
    <n v="102210"/>
    <s v="kg"/>
    <n v="6.321329281187793E-2"/>
    <n v="23"/>
    <x v="1"/>
    <n v="0.14000000000000001"/>
    <n v="50843.520000000004"/>
    <n v="14309.400000000001"/>
    <n v="6.5341993246368225E-4"/>
    <n v="172"/>
    <n v="3.5531552685647196"/>
    <n v="34"/>
    <x v="0"/>
    <s v="No"/>
    <n v="219375.2"/>
    <n v="1231702"/>
    <n v="6.321329281187793E-2"/>
    <n v="12"/>
    <x v="0"/>
    <n v="418778.68000000005"/>
    <n v="507"/>
    <x v="0"/>
    <x v="0"/>
    <n v="1231702"/>
    <n v="1"/>
    <n v="1"/>
    <s v="Highly Concentrated"/>
    <n v="1231702"/>
    <s v="Routine Market"/>
    <x v="0"/>
    <s v="No"/>
  </r>
  <r>
    <x v="4"/>
    <x v="4"/>
    <s v="Other phenols"/>
    <x v="4"/>
    <x v="3"/>
    <x v="4"/>
    <s v="Synthetic Antioxidants"/>
    <s v="Oils / Snacks / Fats"/>
    <x v="6"/>
    <x v="0"/>
    <x v="0"/>
    <s v="X"/>
    <x v="6"/>
    <s v="Egypt"/>
    <s v="World"/>
    <s v="TOTAL CPC"/>
    <s v="TOTAL MOT"/>
    <n v="290719"/>
    <n v="30206"/>
    <n v="625"/>
    <n v="0"/>
    <n v="625"/>
    <s v="kg"/>
    <n v="625"/>
    <s v="kg"/>
    <n v="1.6951290293147386E-2"/>
    <n v="23"/>
    <x v="0"/>
    <n v="0"/>
    <n v="0"/>
    <n v="0"/>
    <n v="6.5341993246368225E-4"/>
    <n v="355"/>
    <n v="48.329599999999999"/>
    <n v="34"/>
    <x v="0"/>
    <s v="No"/>
    <n v="219375.2"/>
    <n v="1231702"/>
    <n v="6.321329281187793E-2"/>
    <n v="12"/>
    <x v="0"/>
    <n v="418778.68000000005"/>
    <n v="507"/>
    <x v="0"/>
    <x v="0"/>
    <n v="1231702"/>
    <n v="1"/>
    <n v="1"/>
    <s v="Highly Concentrated"/>
    <n v="1231702"/>
    <s v="Routine Market"/>
    <x v="0"/>
    <s v="No"/>
  </r>
  <r>
    <x v="4"/>
    <x v="4"/>
    <s v="Other phenols"/>
    <x v="4"/>
    <x v="3"/>
    <x v="4"/>
    <s v="Synthetic Antioxidants"/>
    <s v="Oils / Snacks / Fats"/>
    <x v="7"/>
    <x v="0"/>
    <x v="0"/>
    <s v="X"/>
    <x v="7"/>
    <s v="Egypt"/>
    <s v="World"/>
    <s v="TOTAL CPC"/>
    <s v="TOTAL MOT"/>
    <n v="290719"/>
    <n v="84854"/>
    <n v="15533.2"/>
    <n v="0"/>
    <n v="15533"/>
    <s v="kg"/>
    <n v="0"/>
    <s v="N/A"/>
    <n v="1.1674623358397021E-2"/>
    <n v="22"/>
    <x v="0"/>
    <n v="0"/>
    <n v="0"/>
    <n v="0"/>
    <n v="6.5341993246368225E-4"/>
    <n v="288"/>
    <n v="5.4627507532253494"/>
    <n v="34"/>
    <x v="0"/>
    <s v="No"/>
    <n v="219375.2"/>
    <n v="1231702"/>
    <n v="6.321329281187793E-2"/>
    <n v="12"/>
    <x v="0"/>
    <n v="418778.68000000005"/>
    <n v="507"/>
    <x v="0"/>
    <x v="0"/>
    <n v="1231702"/>
    <n v="1"/>
    <n v="1"/>
    <s v="Highly Concentrated"/>
    <n v="1231702"/>
    <s v="Routine Market"/>
    <x v="0"/>
    <s v="No"/>
  </r>
  <r>
    <x v="4"/>
    <x v="4"/>
    <s v="Other phenols"/>
    <x v="4"/>
    <x v="3"/>
    <x v="4"/>
    <s v="Synthetic Antioxidants"/>
    <s v="Oils / Snacks / Fats"/>
    <x v="33"/>
    <x v="1"/>
    <x v="0"/>
    <s v="X"/>
    <x v="33"/>
    <s v="Egypt"/>
    <s v="World"/>
    <s v="TOTAL CPC"/>
    <s v="TOTAL MOT"/>
    <n v="290719"/>
    <n v="1515"/>
    <n v="1"/>
    <n v="0"/>
    <n v="1"/>
    <s v="kg"/>
    <n v="1"/>
    <s v="kg"/>
    <n v="7.8962835084717131E-4"/>
    <n v="7"/>
    <x v="0"/>
    <n v="0"/>
    <n v="0"/>
    <n v="0"/>
    <n v="6.5341993246368225E-4"/>
    <n v="475"/>
    <n v="1515"/>
    <n v="34"/>
    <x v="0"/>
    <s v="No"/>
    <n v="219375.2"/>
    <n v="1231702"/>
    <n v="6.321329281187793E-2"/>
    <n v="12"/>
    <x v="0"/>
    <n v="418778.68000000005"/>
    <n v="507"/>
    <x v="0"/>
    <x v="0"/>
    <n v="1231702"/>
    <n v="1"/>
    <n v="1"/>
    <s v="Highly Concentrated"/>
    <n v="1231702"/>
    <s v="Routine Market"/>
    <x v="0"/>
    <s v="Yes"/>
  </r>
  <r>
    <x v="4"/>
    <x v="4"/>
    <s v="Other phenols"/>
    <x v="4"/>
    <x v="3"/>
    <x v="4"/>
    <s v="Synthetic Antioxidants"/>
    <s v="Oils / Snacks / Fats"/>
    <x v="9"/>
    <x v="0"/>
    <x v="0"/>
    <s v="X"/>
    <x v="9"/>
    <s v="Egypt"/>
    <s v="World"/>
    <s v="TOTAL CPC"/>
    <s v="TOTAL MOT"/>
    <n v="290719"/>
    <n v="38649"/>
    <n v="4500"/>
    <n v="0"/>
    <n v="4500"/>
    <s v="kg"/>
    <n v="4500"/>
    <s v="kg"/>
    <n v="1.1178535358665947E-2"/>
    <n v="17"/>
    <x v="0"/>
    <n v="0"/>
    <n v="0"/>
    <n v="0"/>
    <n v="6.5341993246368225E-4"/>
    <n v="334"/>
    <n v="8.5886666666666667"/>
    <n v="34"/>
    <x v="0"/>
    <s v="No"/>
    <n v="219375.2"/>
    <n v="1231702"/>
    <n v="6.321329281187793E-2"/>
    <n v="12"/>
    <x v="0"/>
    <n v="418778.68000000005"/>
    <n v="507"/>
    <x v="0"/>
    <x v="0"/>
    <n v="1231702"/>
    <n v="1"/>
    <n v="1"/>
    <s v="Highly Concentrated"/>
    <n v="1231702"/>
    <s v="Routine Market"/>
    <x v="0"/>
    <s v="No"/>
  </r>
  <r>
    <x v="4"/>
    <x v="4"/>
    <s v="Other phenols"/>
    <x v="4"/>
    <x v="3"/>
    <x v="4"/>
    <s v="Synthetic Antioxidants"/>
    <s v="Oils / Snacks / Fats"/>
    <x v="12"/>
    <x v="0"/>
    <x v="0"/>
    <s v="X"/>
    <x v="12"/>
    <s v="Egypt"/>
    <s v="World"/>
    <s v="TOTAL CPC"/>
    <s v="TOTAL MOT"/>
    <n v="290719"/>
    <n v="3217"/>
    <n v="307"/>
    <n v="0"/>
    <n v="307"/>
    <s v="kg"/>
    <n v="307"/>
    <s v="kg"/>
    <n v="1.4561232389604124E-2"/>
    <n v="29"/>
    <x v="0"/>
    <n v="0"/>
    <n v="0"/>
    <n v="0"/>
    <n v="6.5341993246368225E-4"/>
    <n v="456"/>
    <n v="10.478827361563518"/>
    <n v="34"/>
    <x v="0"/>
    <s v="No"/>
    <n v="219375.2"/>
    <n v="1231702"/>
    <n v="6.321329281187793E-2"/>
    <n v="12"/>
    <x v="0"/>
    <n v="418778.68000000005"/>
    <n v="507"/>
    <x v="0"/>
    <x v="0"/>
    <n v="1231702"/>
    <n v="1"/>
    <n v="1"/>
    <s v="Highly Concentrated"/>
    <n v="1231702"/>
    <s v="Routine Market"/>
    <x v="0"/>
    <s v="No"/>
  </r>
  <r>
    <x v="4"/>
    <x v="4"/>
    <s v="Other phenols"/>
    <x v="4"/>
    <x v="3"/>
    <x v="4"/>
    <s v="Synthetic Antioxidants"/>
    <s v="Oils / Snacks / Fats"/>
    <x v="15"/>
    <x v="0"/>
    <x v="0"/>
    <s v="X"/>
    <x v="15"/>
    <s v="Egypt"/>
    <s v="World"/>
    <s v="TOTAL CPC"/>
    <s v="TOTAL MOT"/>
    <n v="290719"/>
    <n v="297132"/>
    <n v="53679"/>
    <n v="0"/>
    <n v="53679"/>
    <s v="kg"/>
    <n v="53679"/>
    <s v="kg"/>
    <n v="2.2441761060335613E-2"/>
    <n v="19"/>
    <x v="0"/>
    <n v="0"/>
    <n v="0"/>
    <n v="0"/>
    <n v="6.5341993246368225E-4"/>
    <n v="189"/>
    <n v="5.5353490191695078"/>
    <n v="34"/>
    <x v="0"/>
    <s v="No"/>
    <n v="219375.2"/>
    <n v="1231702"/>
    <n v="6.321329281187793E-2"/>
    <n v="12"/>
    <x v="0"/>
    <n v="418778.68000000005"/>
    <n v="507"/>
    <x v="0"/>
    <x v="0"/>
    <n v="1231702"/>
    <n v="1"/>
    <n v="1"/>
    <s v="Highly Concentrated"/>
    <n v="1231702"/>
    <s v="Routine Market"/>
    <x v="0"/>
    <s v="No"/>
  </r>
  <r>
    <x v="4"/>
    <x v="4"/>
    <s v="Other phenols"/>
    <x v="4"/>
    <x v="3"/>
    <x v="4"/>
    <s v="Synthetic Antioxidants"/>
    <s v="Oils / Snacks / Fats"/>
    <x v="20"/>
    <x v="0"/>
    <x v="0"/>
    <s v="X"/>
    <x v="20"/>
    <s v="Egypt"/>
    <s v="World"/>
    <s v="TOTAL CPC"/>
    <s v="TOTAL MOT"/>
    <n v="290719"/>
    <n v="6620"/>
    <n v="511"/>
    <n v="0"/>
    <n v="511"/>
    <s v="kg"/>
    <n v="511"/>
    <s v="kg"/>
    <n v="6.110186869383482E-3"/>
    <n v="21"/>
    <x v="0"/>
    <n v="0"/>
    <n v="0"/>
    <n v="0"/>
    <n v="6.5341993246368225E-4"/>
    <n v="429"/>
    <n v="12.954990215264187"/>
    <n v="34"/>
    <x v="0"/>
    <s v="No"/>
    <n v="219375.2"/>
    <n v="1231702"/>
    <n v="6.321329281187793E-2"/>
    <n v="12"/>
    <x v="0"/>
    <n v="418778.68000000005"/>
    <n v="507"/>
    <x v="0"/>
    <x v="0"/>
    <n v="1231702"/>
    <n v="1"/>
    <n v="1"/>
    <s v="Highly Concentrated"/>
    <n v="1231702"/>
    <s v="Routine Market"/>
    <x v="0"/>
    <s v="No"/>
  </r>
  <r>
    <x v="4"/>
    <x v="4"/>
    <s v="Other phenols"/>
    <x v="4"/>
    <x v="3"/>
    <x v="4"/>
    <s v="Synthetic Antioxidants"/>
    <s v="Oils / Snacks / Fats"/>
    <x v="23"/>
    <x v="1"/>
    <x v="0"/>
    <s v="X"/>
    <x v="23"/>
    <s v="Egypt"/>
    <s v="World"/>
    <s v="TOTAL CPC"/>
    <s v="TOTAL MOT"/>
    <n v="290719"/>
    <n v="164849"/>
    <n v="584"/>
    <n v="0"/>
    <n v="584"/>
    <s v="kg"/>
    <n v="584"/>
    <s v="kg"/>
    <n v="1.1630298885271862E-3"/>
    <n v="3"/>
    <x v="0"/>
    <n v="0"/>
    <n v="0"/>
    <n v="0"/>
    <n v="6.5341993246368225E-4"/>
    <n v="235"/>
    <n v="282.27568493150687"/>
    <n v="34"/>
    <x v="0"/>
    <s v="No"/>
    <n v="219375.2"/>
    <n v="1231702"/>
    <n v="6.321329281187793E-2"/>
    <n v="12"/>
    <x v="0"/>
    <n v="418778.68000000005"/>
    <n v="507"/>
    <x v="0"/>
    <x v="0"/>
    <n v="1231702"/>
    <n v="1"/>
    <n v="1"/>
    <s v="Highly Concentrated"/>
    <n v="1231702"/>
    <s v="Routine Market"/>
    <x v="0"/>
    <s v="Yes"/>
  </r>
  <r>
    <x v="4"/>
    <x v="4"/>
    <s v="Other phenols"/>
    <x v="4"/>
    <x v="3"/>
    <x v="4"/>
    <s v="Synthetic Antioxidants"/>
    <s v="Oils / Snacks / Fats"/>
    <x v="17"/>
    <x v="0"/>
    <x v="0"/>
    <s v="X"/>
    <x v="17"/>
    <s v="Egypt"/>
    <s v="World"/>
    <s v="TOTAL CPC"/>
    <s v="TOTAL MOT"/>
    <n v="290719"/>
    <n v="88591"/>
    <n v="18400"/>
    <n v="0"/>
    <n v="18400"/>
    <s v="kg"/>
    <n v="18400"/>
    <s v="kg"/>
    <n v="4.7522902002533667E-2"/>
    <n v="26"/>
    <x v="1"/>
    <n v="0.1"/>
    <n v="8859.1"/>
    <n v="1840"/>
    <n v="6.5341993246368225E-4"/>
    <n v="283"/>
    <n v="4.8147282608695656"/>
    <n v="34"/>
    <x v="0"/>
    <s v="No"/>
    <n v="219375.2"/>
    <n v="1231702"/>
    <n v="6.321329281187793E-2"/>
    <n v="12"/>
    <x v="0"/>
    <n v="418778.68000000005"/>
    <n v="507"/>
    <x v="0"/>
    <x v="0"/>
    <n v="1231702"/>
    <n v="1"/>
    <n v="1"/>
    <s v="Highly Concentrated"/>
    <n v="1231702"/>
    <s v="Routine Market"/>
    <x v="0"/>
    <s v="No"/>
  </r>
  <r>
    <x v="4"/>
    <x v="4"/>
    <s v="Other phenols"/>
    <x v="4"/>
    <x v="3"/>
    <x v="4"/>
    <s v="Synthetic Antioxidants"/>
    <s v="Oils / Snacks / Fats"/>
    <x v="18"/>
    <x v="0"/>
    <x v="0"/>
    <s v="X"/>
    <x v="18"/>
    <s v="Egypt"/>
    <s v="World"/>
    <s v="TOTAL CPC"/>
    <s v="TOTAL MOT"/>
    <n v="290719"/>
    <n v="29903"/>
    <n v="2025"/>
    <n v="0"/>
    <n v="2025"/>
    <s v="kg"/>
    <n v="2025"/>
    <s v="kg"/>
    <n v="9.425427433633813E-3"/>
    <n v="19"/>
    <x v="1"/>
    <n v="4.0000000000000008E-2"/>
    <n v="1196.1200000000003"/>
    <n v="81.000000000000014"/>
    <n v="6.5341993246368225E-4"/>
    <n v="356"/>
    <n v="14.766913580246914"/>
    <n v="34"/>
    <x v="0"/>
    <s v="No"/>
    <n v="219375.2"/>
    <n v="1231702"/>
    <n v="6.321329281187793E-2"/>
    <n v="12"/>
    <x v="0"/>
    <n v="418778.68000000005"/>
    <n v="507"/>
    <x v="0"/>
    <x v="0"/>
    <n v="1231702"/>
    <n v="1"/>
    <n v="1"/>
    <s v="Highly Concentrated"/>
    <n v="1231702"/>
    <s v="Routine Market"/>
    <x v="0"/>
    <s v="No"/>
  </r>
  <r>
    <x v="5"/>
    <x v="5"/>
    <s v="Benzoic acid and salts"/>
    <x v="5"/>
    <x v="2"/>
    <x v="2"/>
    <s v="Sodium Benzoate"/>
    <s v="Beverages / Sauces"/>
    <x v="3"/>
    <x v="0"/>
    <x v="0"/>
    <s v="X"/>
    <x v="3"/>
    <s v="Egypt"/>
    <s v="World"/>
    <s v="TOTAL CPC"/>
    <s v="TOTAL MOT"/>
    <n v="291631"/>
    <n v="2196771"/>
    <n v="2152975"/>
    <n v="0"/>
    <n v="2152975"/>
    <s v="kg"/>
    <n v="2152975"/>
    <s v="kg"/>
    <n v="6.321329281187793E-2"/>
    <n v="14"/>
    <x v="1"/>
    <n v="0.14000000000000001"/>
    <n v="307547.94"/>
    <n v="301416.5"/>
    <n v="3.8638694465253989E-3"/>
    <n v="60"/>
    <n v="1.0203420847896516"/>
    <n v="34"/>
    <x v="0"/>
    <s v="No"/>
    <n v="3013305.6999999997"/>
    <n v="7283426"/>
    <n v="6.321329281187793E-2"/>
    <n v="14"/>
    <x v="0"/>
    <n v="2476364.8400000003"/>
    <n v="355"/>
    <x v="0"/>
    <x v="0"/>
    <n v="7283426"/>
    <n v="1"/>
    <n v="1"/>
    <s v="Highly Concentrated"/>
    <n v="7283426"/>
    <s v="Routine Market"/>
    <x v="0"/>
    <s v="No"/>
  </r>
  <r>
    <x v="5"/>
    <x v="5"/>
    <s v="Benzoic acid and salts"/>
    <x v="5"/>
    <x v="2"/>
    <x v="2"/>
    <s v="Sodium Benzoate"/>
    <s v="Beverages / Sauces"/>
    <x v="34"/>
    <x v="0"/>
    <x v="0"/>
    <s v="X"/>
    <x v="34"/>
    <s v="Egypt"/>
    <s v="World"/>
    <s v="TOTAL CPC"/>
    <s v="TOTAL MOT"/>
    <n v="291631"/>
    <n v="23752"/>
    <n v="13000"/>
    <n v="0"/>
    <n v="13000"/>
    <s v="kg"/>
    <n v="13000"/>
    <s v="kg"/>
    <n v="1.2600474981673635E-5"/>
    <n v="1"/>
    <x v="0"/>
    <n v="0"/>
    <n v="0"/>
    <n v="0"/>
    <n v="3.8638694465253989E-3"/>
    <n v="371"/>
    <n v="1.827076923076923"/>
    <n v="34"/>
    <x v="0"/>
    <s v="No"/>
    <n v="3013305.6999999997"/>
    <n v="7283426"/>
    <n v="6.321329281187793E-2"/>
    <n v="14"/>
    <x v="0"/>
    <n v="2476364.8400000003"/>
    <n v="355"/>
    <x v="0"/>
    <x v="0"/>
    <n v="7283426"/>
    <n v="1"/>
    <n v="1"/>
    <s v="Highly Concentrated"/>
    <n v="7283426"/>
    <s v="Routine Market"/>
    <x v="0"/>
    <s v="Yes"/>
  </r>
  <r>
    <x v="5"/>
    <x v="5"/>
    <s v="Benzoic acid and salts"/>
    <x v="5"/>
    <x v="2"/>
    <x v="2"/>
    <s v="Sodium Benzoate"/>
    <s v="Beverages / Sauces"/>
    <x v="6"/>
    <x v="1"/>
    <x v="0"/>
    <s v="X"/>
    <x v="6"/>
    <s v="Egypt"/>
    <s v="World"/>
    <s v="TOTAL CPC"/>
    <s v="TOTAL MOT"/>
    <n v="291631"/>
    <n v="454200"/>
    <n v="160148"/>
    <n v="0"/>
    <n v="160148"/>
    <s v="kg"/>
    <n v="160148"/>
    <s v="kg"/>
    <n v="1.6951290293147386E-2"/>
    <n v="10"/>
    <x v="0"/>
    <n v="0"/>
    <n v="0"/>
    <n v="0"/>
    <n v="3.8638694465253989E-3"/>
    <n v="154"/>
    <n v="2.8361265829108073"/>
    <n v="34"/>
    <x v="0"/>
    <s v="No"/>
    <n v="3013305.6999999997"/>
    <n v="7283426"/>
    <n v="6.321329281187793E-2"/>
    <n v="14"/>
    <x v="0"/>
    <n v="2476364.8400000003"/>
    <n v="355"/>
    <x v="0"/>
    <x v="0"/>
    <n v="7283426"/>
    <n v="1"/>
    <n v="1"/>
    <s v="Highly Concentrated"/>
    <n v="7283426"/>
    <s v="Routine Market"/>
    <x v="0"/>
    <s v="Yes"/>
  </r>
  <r>
    <x v="5"/>
    <x v="5"/>
    <s v="Benzoic acid and salts"/>
    <x v="5"/>
    <x v="2"/>
    <x v="2"/>
    <s v="Sodium Benzoate"/>
    <s v="Beverages / Sauces"/>
    <x v="7"/>
    <x v="0"/>
    <x v="0"/>
    <s v="X"/>
    <x v="7"/>
    <s v="Egypt"/>
    <s v="World"/>
    <s v="TOTAL CPC"/>
    <s v="TOTAL MOT"/>
    <n v="291631"/>
    <n v="56365"/>
    <n v="12621.9"/>
    <n v="0"/>
    <n v="12622"/>
    <s v="kg"/>
    <n v="0"/>
    <s v="N/A"/>
    <n v="1.1674623358397021E-2"/>
    <n v="26"/>
    <x v="0"/>
    <n v="0"/>
    <n v="0"/>
    <n v="0"/>
    <n v="3.8638694465253989E-3"/>
    <n v="318"/>
    <n v="4.4656509717237505"/>
    <n v="34"/>
    <x v="0"/>
    <s v="No"/>
    <n v="3013305.6999999997"/>
    <n v="7283426"/>
    <n v="6.321329281187793E-2"/>
    <n v="14"/>
    <x v="0"/>
    <n v="2476364.8400000003"/>
    <n v="355"/>
    <x v="0"/>
    <x v="0"/>
    <n v="7283426"/>
    <n v="1"/>
    <n v="1"/>
    <s v="Highly Concentrated"/>
    <n v="7283426"/>
    <s v="Routine Market"/>
    <x v="0"/>
    <s v="No"/>
  </r>
  <r>
    <x v="5"/>
    <x v="5"/>
    <s v="Benzoic acid and salts"/>
    <x v="5"/>
    <x v="2"/>
    <x v="2"/>
    <s v="Sodium Benzoate"/>
    <s v="Beverages / Sauces"/>
    <x v="8"/>
    <x v="1"/>
    <x v="0"/>
    <s v="X"/>
    <x v="8"/>
    <s v="Egypt"/>
    <s v="World"/>
    <s v="TOTAL CPC"/>
    <s v="TOTAL MOT"/>
    <n v="291631"/>
    <n v="416498"/>
    <n v="101429"/>
    <n v="0"/>
    <n v="101429"/>
    <s v="kg"/>
    <n v="101429"/>
    <s v="kg"/>
    <n v="4.9588465845200368E-3"/>
    <n v="9"/>
    <x v="0"/>
    <n v="0"/>
    <n v="0"/>
    <n v="0"/>
    <n v="3.8638694465253989E-3"/>
    <n v="159"/>
    <n v="4.1063009592917217"/>
    <n v="34"/>
    <x v="0"/>
    <s v="No"/>
    <n v="3013305.6999999997"/>
    <n v="7283426"/>
    <n v="6.321329281187793E-2"/>
    <n v="14"/>
    <x v="0"/>
    <n v="2476364.8400000003"/>
    <n v="355"/>
    <x v="0"/>
    <x v="0"/>
    <n v="7283426"/>
    <n v="1"/>
    <n v="1"/>
    <s v="Highly Concentrated"/>
    <n v="7283426"/>
    <s v="Routine Market"/>
    <x v="0"/>
    <s v="Yes"/>
  </r>
  <r>
    <x v="5"/>
    <x v="5"/>
    <s v="Benzoic acid and salts"/>
    <x v="5"/>
    <x v="2"/>
    <x v="2"/>
    <s v="Sodium Benzoate"/>
    <s v="Beverages / Sauces"/>
    <x v="9"/>
    <x v="0"/>
    <x v="0"/>
    <s v="X"/>
    <x v="9"/>
    <s v="Egypt"/>
    <s v="World"/>
    <s v="TOTAL CPC"/>
    <s v="TOTAL MOT"/>
    <n v="291631"/>
    <n v="34439"/>
    <n v="8300"/>
    <n v="0"/>
    <n v="8300"/>
    <s v="kg"/>
    <n v="8300"/>
    <s v="kg"/>
    <n v="1.1178535358665947E-2"/>
    <n v="19"/>
    <x v="0"/>
    <n v="0"/>
    <n v="0"/>
    <n v="0"/>
    <n v="3.8638694465253989E-3"/>
    <n v="345"/>
    <n v="4.1492771084337345"/>
    <n v="34"/>
    <x v="0"/>
    <s v="No"/>
    <n v="3013305.6999999997"/>
    <n v="7283426"/>
    <n v="6.321329281187793E-2"/>
    <n v="14"/>
    <x v="0"/>
    <n v="2476364.8400000003"/>
    <n v="355"/>
    <x v="0"/>
    <x v="0"/>
    <n v="7283426"/>
    <n v="1"/>
    <n v="1"/>
    <s v="Highly Concentrated"/>
    <n v="7283426"/>
    <s v="Routine Market"/>
    <x v="0"/>
    <s v="No"/>
  </r>
  <r>
    <x v="5"/>
    <x v="5"/>
    <s v="Benzoic acid and salts"/>
    <x v="5"/>
    <x v="2"/>
    <x v="2"/>
    <s v="Sodium Benzoate"/>
    <s v="Beverages / Sauces"/>
    <x v="12"/>
    <x v="1"/>
    <x v="0"/>
    <s v="X"/>
    <x v="12"/>
    <s v="Egypt"/>
    <s v="World"/>
    <s v="TOTAL CPC"/>
    <s v="TOTAL MOT"/>
    <n v="291631"/>
    <n v="1113641"/>
    <n v="422850"/>
    <n v="0"/>
    <n v="422850"/>
    <s v="kg"/>
    <n v="422850"/>
    <s v="kg"/>
    <n v="1.4561232389604124E-2"/>
    <n v="6"/>
    <x v="0"/>
    <n v="0"/>
    <n v="0"/>
    <n v="0"/>
    <n v="3.8638694465253989E-3"/>
    <n v="98"/>
    <n v="2.6336549603878443"/>
    <n v="34"/>
    <x v="0"/>
    <s v="No"/>
    <n v="3013305.6999999997"/>
    <n v="7283426"/>
    <n v="6.321329281187793E-2"/>
    <n v="14"/>
    <x v="0"/>
    <n v="2476364.8400000003"/>
    <n v="355"/>
    <x v="0"/>
    <x v="0"/>
    <n v="7283426"/>
    <n v="1"/>
    <n v="1"/>
    <s v="Highly Concentrated"/>
    <n v="7283426"/>
    <s v="Routine Market"/>
    <x v="0"/>
    <s v="Yes"/>
  </r>
  <r>
    <x v="5"/>
    <x v="5"/>
    <s v="Benzoic acid and salts"/>
    <x v="5"/>
    <x v="2"/>
    <x v="2"/>
    <s v="Sodium Benzoate"/>
    <s v="Beverages / Sauces"/>
    <x v="14"/>
    <x v="0"/>
    <x v="0"/>
    <s v="X"/>
    <x v="14"/>
    <s v="Egypt"/>
    <s v="World"/>
    <s v="TOTAL CPC"/>
    <s v="TOTAL MOT"/>
    <n v="291631"/>
    <n v="7680"/>
    <n v="4075"/>
    <n v="0"/>
    <n v="4075"/>
    <s v="kg"/>
    <n v="4075"/>
    <s v="kg"/>
    <n v="9.709938116315122E-3"/>
    <n v="12"/>
    <x v="0"/>
    <n v="0"/>
    <n v="0"/>
    <n v="0"/>
    <n v="3.8638694465253989E-3"/>
    <n v="423"/>
    <n v="1.8846625766871166"/>
    <n v="34"/>
    <x v="0"/>
    <s v="No"/>
    <n v="3013305.6999999997"/>
    <n v="7283426"/>
    <n v="6.321329281187793E-2"/>
    <n v="14"/>
    <x v="0"/>
    <n v="2476364.8400000003"/>
    <n v="355"/>
    <x v="0"/>
    <x v="0"/>
    <n v="7283426"/>
    <n v="1"/>
    <n v="1"/>
    <s v="Highly Concentrated"/>
    <n v="7283426"/>
    <s v="Routine Market"/>
    <x v="0"/>
    <s v="No"/>
  </r>
  <r>
    <x v="5"/>
    <x v="5"/>
    <s v="Benzoic acid and salts"/>
    <x v="5"/>
    <x v="2"/>
    <x v="2"/>
    <s v="Sodium Benzoate"/>
    <s v="Beverages / Sauces"/>
    <x v="15"/>
    <x v="1"/>
    <x v="0"/>
    <s v="X"/>
    <x v="15"/>
    <s v="Egypt"/>
    <s v="World"/>
    <s v="TOTAL CPC"/>
    <s v="TOTAL MOT"/>
    <n v="291631"/>
    <n v="2761310"/>
    <n v="82817"/>
    <n v="0"/>
    <n v="82817"/>
    <s v="kg"/>
    <n v="82817"/>
    <s v="kg"/>
    <n v="2.2441761060335613E-2"/>
    <n v="4"/>
    <x v="0"/>
    <n v="0"/>
    <n v="0"/>
    <n v="0"/>
    <n v="3.8638694465253989E-3"/>
    <n v="49"/>
    <n v="33.342308946230844"/>
    <n v="34"/>
    <x v="0"/>
    <s v="No"/>
    <n v="3013305.6999999997"/>
    <n v="7283426"/>
    <n v="6.321329281187793E-2"/>
    <n v="14"/>
    <x v="0"/>
    <n v="2476364.8400000003"/>
    <n v="355"/>
    <x v="0"/>
    <x v="0"/>
    <n v="7283426"/>
    <n v="1"/>
    <n v="1"/>
    <s v="Highly Concentrated"/>
    <n v="7283426"/>
    <s v="Routine Market"/>
    <x v="0"/>
    <s v="Yes"/>
  </r>
  <r>
    <x v="5"/>
    <x v="5"/>
    <s v="Benzoic acid and salts"/>
    <x v="5"/>
    <x v="2"/>
    <x v="2"/>
    <s v="Sodium Benzoate"/>
    <s v="Beverages / Sauces"/>
    <x v="20"/>
    <x v="0"/>
    <x v="0"/>
    <s v="X"/>
    <x v="20"/>
    <s v="Egypt"/>
    <s v="World"/>
    <s v="TOTAL CPC"/>
    <s v="TOTAL MOT"/>
    <n v="291631"/>
    <n v="31671"/>
    <n v="10174.799999999999"/>
    <n v="0"/>
    <n v="10175"/>
    <s v="kg"/>
    <n v="10175"/>
    <s v="kg"/>
    <n v="6.110186869383482E-3"/>
    <n v="14"/>
    <x v="0"/>
    <n v="0"/>
    <n v="0"/>
    <n v="0"/>
    <n v="3.8638694465253989E-3"/>
    <n v="353"/>
    <n v="3.1126901757282699"/>
    <n v="34"/>
    <x v="0"/>
    <s v="No"/>
    <n v="3013305.6999999997"/>
    <n v="7283426"/>
    <n v="6.321329281187793E-2"/>
    <n v="14"/>
    <x v="0"/>
    <n v="2476364.8400000003"/>
    <n v="355"/>
    <x v="0"/>
    <x v="0"/>
    <n v="7283426"/>
    <n v="1"/>
    <n v="1"/>
    <s v="Highly Concentrated"/>
    <n v="7283426"/>
    <s v="Routine Market"/>
    <x v="0"/>
    <s v="No"/>
  </r>
  <r>
    <x v="5"/>
    <x v="5"/>
    <s v="Benzoic acid and salts"/>
    <x v="5"/>
    <x v="2"/>
    <x v="2"/>
    <s v="Sodium Benzoate"/>
    <s v="Beverages / Sauces"/>
    <x v="23"/>
    <x v="1"/>
    <x v="0"/>
    <s v="X"/>
    <x v="23"/>
    <s v="Egypt"/>
    <s v="World"/>
    <s v="TOTAL CPC"/>
    <s v="TOTAL MOT"/>
    <n v="291631"/>
    <n v="1338"/>
    <n v="25"/>
    <n v="0"/>
    <n v="25"/>
    <s v="kg"/>
    <n v="25"/>
    <s v="kg"/>
    <n v="1.1630298885271862E-3"/>
    <n v="9"/>
    <x v="0"/>
    <n v="0"/>
    <n v="0"/>
    <n v="0"/>
    <n v="3.8638694465253989E-3"/>
    <n v="479"/>
    <n v="53.52"/>
    <n v="34"/>
    <x v="0"/>
    <s v="No"/>
    <n v="3013305.6999999997"/>
    <n v="7283426"/>
    <n v="6.321329281187793E-2"/>
    <n v="14"/>
    <x v="0"/>
    <n v="2476364.8400000003"/>
    <n v="355"/>
    <x v="0"/>
    <x v="0"/>
    <n v="7283426"/>
    <n v="1"/>
    <n v="1"/>
    <s v="Highly Concentrated"/>
    <n v="7283426"/>
    <s v="Routine Market"/>
    <x v="0"/>
    <s v="Yes"/>
  </r>
  <r>
    <x v="5"/>
    <x v="5"/>
    <s v="Benzoic acid and salts"/>
    <x v="5"/>
    <x v="2"/>
    <x v="2"/>
    <s v="Sodium Benzoate"/>
    <s v="Beverages / Sauces"/>
    <x v="17"/>
    <x v="0"/>
    <x v="0"/>
    <s v="X"/>
    <x v="17"/>
    <s v="Egypt"/>
    <s v="World"/>
    <s v="TOTAL CPC"/>
    <s v="TOTAL MOT"/>
    <n v="291631"/>
    <n v="175245"/>
    <n v="43728"/>
    <n v="0"/>
    <n v="43728"/>
    <s v="kg"/>
    <n v="43728"/>
    <s v="kg"/>
    <n v="4.7522902002533667E-2"/>
    <n v="22"/>
    <x v="1"/>
    <n v="0.1"/>
    <n v="17524.5"/>
    <n v="4372.8"/>
    <n v="3.8638694465253989E-3"/>
    <n v="229"/>
    <n v="4.007615257958288"/>
    <n v="34"/>
    <x v="0"/>
    <s v="No"/>
    <n v="3013305.6999999997"/>
    <n v="7283426"/>
    <n v="6.321329281187793E-2"/>
    <n v="14"/>
    <x v="0"/>
    <n v="2476364.8400000003"/>
    <n v="355"/>
    <x v="0"/>
    <x v="0"/>
    <n v="7283426"/>
    <n v="1"/>
    <n v="1"/>
    <s v="Highly Concentrated"/>
    <n v="7283426"/>
    <s v="Routine Market"/>
    <x v="0"/>
    <s v="No"/>
  </r>
  <r>
    <x v="5"/>
    <x v="5"/>
    <s v="Benzoic acid and salts"/>
    <x v="5"/>
    <x v="2"/>
    <x v="2"/>
    <s v="Sodium Benzoate"/>
    <s v="Beverages / Sauces"/>
    <x v="21"/>
    <x v="0"/>
    <x v="0"/>
    <s v="X"/>
    <x v="21"/>
    <s v="Egypt"/>
    <s v="World"/>
    <s v="TOTAL CPC"/>
    <s v="TOTAL MOT"/>
    <n v="291631"/>
    <n v="6866"/>
    <n v="962"/>
    <n v="0"/>
    <n v="962"/>
    <s v="kg"/>
    <n v="962"/>
    <s v="kg"/>
    <n v="1.3104801671892474E-3"/>
    <n v="15"/>
    <x v="0"/>
    <n v="0"/>
    <n v="0"/>
    <n v="0"/>
    <n v="3.8638694465253989E-3"/>
    <n v="425"/>
    <n v="7.1372141372141371"/>
    <n v="34"/>
    <x v="0"/>
    <s v="No"/>
    <n v="3013305.6999999997"/>
    <n v="7283426"/>
    <n v="6.321329281187793E-2"/>
    <n v="14"/>
    <x v="0"/>
    <n v="2476364.8400000003"/>
    <n v="355"/>
    <x v="0"/>
    <x v="0"/>
    <n v="7283426"/>
    <n v="1"/>
    <n v="1"/>
    <s v="Highly Concentrated"/>
    <n v="7283426"/>
    <s v="Routine Market"/>
    <x v="0"/>
    <s v="No"/>
  </r>
  <r>
    <x v="5"/>
    <x v="5"/>
    <s v="Benzoic acid and salts"/>
    <x v="5"/>
    <x v="2"/>
    <x v="2"/>
    <s v="Sodium Benzoate"/>
    <s v="Beverages / Sauces"/>
    <x v="18"/>
    <x v="0"/>
    <x v="0"/>
    <s v="X"/>
    <x v="18"/>
    <s v="Egypt"/>
    <s v="World"/>
    <s v="TOTAL CPC"/>
    <s v="TOTAL MOT"/>
    <n v="291631"/>
    <n v="3650"/>
    <n v="200"/>
    <n v="0"/>
    <n v="200"/>
    <s v="kg"/>
    <n v="200"/>
    <s v="kg"/>
    <n v="9.425427433633813E-3"/>
    <n v="25"/>
    <x v="1"/>
    <n v="4.0000000000000008E-2"/>
    <n v="146.00000000000003"/>
    <n v="8.0000000000000018"/>
    <n v="3.8638694465253989E-3"/>
    <n v="450"/>
    <n v="18.25"/>
    <n v="34"/>
    <x v="0"/>
    <s v="No"/>
    <n v="3013305.6999999997"/>
    <n v="7283426"/>
    <n v="6.321329281187793E-2"/>
    <n v="14"/>
    <x v="0"/>
    <n v="2476364.8400000003"/>
    <n v="355"/>
    <x v="0"/>
    <x v="0"/>
    <n v="7283426"/>
    <n v="1"/>
    <n v="1"/>
    <s v="Highly Concentrated"/>
    <n v="7283426"/>
    <s v="Routine Market"/>
    <x v="0"/>
    <s v="No"/>
  </r>
  <r>
    <x v="6"/>
    <x v="6"/>
    <s v="Cellulose ethers"/>
    <x v="6"/>
    <x v="0"/>
    <x v="0"/>
    <s v="Cellulose Derivatives"/>
    <s v="Sauces / Beverages / Ice Cream"/>
    <x v="1"/>
    <x v="0"/>
    <x v="0"/>
    <s v="X"/>
    <x v="1"/>
    <s v="Egypt"/>
    <s v="World"/>
    <s v="TOTAL CPC"/>
    <s v="TOTAL MOT"/>
    <n v="391231"/>
    <n v="6406"/>
    <n v="1720.3"/>
    <n v="0"/>
    <n v="1720"/>
    <s v="kg"/>
    <n v="1720"/>
    <s v="kg"/>
    <n v="5.3992075088500962E-3"/>
    <n v="20"/>
    <x v="0"/>
    <n v="0"/>
    <n v="0"/>
    <n v="0"/>
    <n v="8.3692639177155963E-3"/>
    <n v="430"/>
    <n v="3.7237691100389467"/>
    <n v="34"/>
    <x v="0"/>
    <s v="No"/>
    <n v="6842762.2999999998"/>
    <n v="15776132"/>
    <n v="6.321329281187793E-2"/>
    <n v="17"/>
    <x v="0"/>
    <n v="5363884.8800000008"/>
    <n v="144"/>
    <x v="0"/>
    <x v="0"/>
    <n v="15776132"/>
    <n v="1"/>
    <n v="1"/>
    <s v="Highly Concentrated"/>
    <n v="15776132"/>
    <s v="Medium Opportunity"/>
    <x v="0"/>
    <s v="No"/>
  </r>
  <r>
    <x v="6"/>
    <x v="6"/>
    <s v="Cellulose ethers"/>
    <x v="6"/>
    <x v="0"/>
    <x v="0"/>
    <s v="Cellulose Derivatives"/>
    <s v="Sauces / Beverages / Ice Cream"/>
    <x v="35"/>
    <x v="1"/>
    <x v="0"/>
    <s v="X"/>
    <x v="35"/>
    <s v="Egypt"/>
    <s v="World"/>
    <s v="TOTAL CPC"/>
    <s v="TOTAL MOT"/>
    <n v="391231"/>
    <n v="1941"/>
    <n v="75"/>
    <n v="0"/>
    <n v="75"/>
    <s v="kg"/>
    <n v="75"/>
    <s v="kg"/>
    <n v="5.4237925464080154E-3"/>
    <n v="7"/>
    <x v="0"/>
    <n v="0"/>
    <n v="0"/>
    <n v="0"/>
    <n v="8.3692639177155963E-3"/>
    <n v="470"/>
    <n v="25.88"/>
    <n v="34"/>
    <x v="0"/>
    <s v="No"/>
    <n v="6842762.2999999998"/>
    <n v="15776132"/>
    <n v="6.321329281187793E-2"/>
    <n v="17"/>
    <x v="0"/>
    <n v="5363884.8800000008"/>
    <n v="144"/>
    <x v="0"/>
    <x v="0"/>
    <n v="15776132"/>
    <n v="1"/>
    <n v="1"/>
    <s v="Highly Concentrated"/>
    <n v="15776132"/>
    <s v="Medium Opportunity"/>
    <x v="0"/>
    <s v="Yes"/>
  </r>
  <r>
    <x v="6"/>
    <x v="6"/>
    <s v="Cellulose ethers"/>
    <x v="6"/>
    <x v="0"/>
    <x v="0"/>
    <s v="Cellulose Derivatives"/>
    <s v="Sauces / Beverages / Ice Cream"/>
    <x v="3"/>
    <x v="1"/>
    <x v="0"/>
    <s v="X"/>
    <x v="3"/>
    <s v="Egypt"/>
    <s v="World"/>
    <s v="TOTAL CPC"/>
    <s v="TOTAL MOT"/>
    <n v="391231"/>
    <n v="5941607"/>
    <n v="2429260"/>
    <n v="0"/>
    <n v="2429260"/>
    <s v="kg"/>
    <n v="2429260"/>
    <s v="kg"/>
    <n v="6.321329281187793E-2"/>
    <n v="7"/>
    <x v="1"/>
    <n v="0.14000000000000001"/>
    <n v="831824.9800000001"/>
    <n v="340096.4"/>
    <n v="8.3692639177155963E-3"/>
    <n v="27"/>
    <n v="2.4458505882449799"/>
    <n v="34"/>
    <x v="0"/>
    <s v="No"/>
    <n v="6842762.2999999998"/>
    <n v="15776132"/>
    <n v="6.321329281187793E-2"/>
    <n v="17"/>
    <x v="0"/>
    <n v="5363884.8800000008"/>
    <n v="144"/>
    <x v="0"/>
    <x v="0"/>
    <n v="15776132"/>
    <n v="1"/>
    <n v="1"/>
    <s v="Highly Concentrated"/>
    <n v="15776132"/>
    <s v="Medium Opportunity"/>
    <x v="0"/>
    <s v="Yes"/>
  </r>
  <r>
    <x v="6"/>
    <x v="6"/>
    <s v="Cellulose ethers"/>
    <x v="6"/>
    <x v="0"/>
    <x v="0"/>
    <s v="Cellulose Derivatives"/>
    <s v="Sauces / Beverages / Ice Cream"/>
    <x v="36"/>
    <x v="0"/>
    <x v="0"/>
    <s v="X"/>
    <x v="36"/>
    <s v="Egypt"/>
    <s v="World"/>
    <s v="TOTAL CPC"/>
    <s v="TOTAL MOT"/>
    <n v="391231"/>
    <n v="733331"/>
    <n v="295048"/>
    <n v="0"/>
    <n v="295048"/>
    <s v="kg"/>
    <n v="295048"/>
    <s v="kg"/>
    <n v="3.8908794070852229E-4"/>
    <n v="1"/>
    <x v="0"/>
    <n v="0"/>
    <n v="0"/>
    <n v="0"/>
    <n v="8.3692639177155963E-3"/>
    <n v="118"/>
    <n v="2.4854633822293324"/>
    <n v="34"/>
    <x v="0"/>
    <s v="No"/>
    <n v="6842762.2999999998"/>
    <n v="15776132"/>
    <n v="6.321329281187793E-2"/>
    <n v="17"/>
    <x v="0"/>
    <n v="5363884.8800000008"/>
    <n v="144"/>
    <x v="0"/>
    <x v="0"/>
    <n v="15776132"/>
    <n v="1"/>
    <n v="1"/>
    <s v="Highly Concentrated"/>
    <n v="15776132"/>
    <s v="Medium Opportunity"/>
    <x v="0"/>
    <s v="Yes"/>
  </r>
  <r>
    <x v="6"/>
    <x v="6"/>
    <s v="Cellulose ethers"/>
    <x v="6"/>
    <x v="0"/>
    <x v="0"/>
    <s v="Cellulose Derivatives"/>
    <s v="Sauces / Beverages / Ice Cream"/>
    <x v="6"/>
    <x v="1"/>
    <x v="0"/>
    <s v="X"/>
    <x v="6"/>
    <s v="Egypt"/>
    <s v="World"/>
    <s v="TOTAL CPC"/>
    <s v="TOTAL MOT"/>
    <n v="391231"/>
    <n v="677915"/>
    <n v="88125"/>
    <n v="0"/>
    <n v="88125"/>
    <s v="kg"/>
    <n v="88125"/>
    <s v="kg"/>
    <n v="1.6951290293147386E-2"/>
    <n v="9"/>
    <x v="0"/>
    <n v="0"/>
    <n v="0"/>
    <n v="0"/>
    <n v="8.3692639177155963E-3"/>
    <n v="130"/>
    <n v="7.6926524822695033"/>
    <n v="34"/>
    <x v="0"/>
    <s v="No"/>
    <n v="6842762.2999999998"/>
    <n v="15776132"/>
    <n v="6.321329281187793E-2"/>
    <n v="17"/>
    <x v="0"/>
    <n v="5363884.8800000008"/>
    <n v="144"/>
    <x v="0"/>
    <x v="0"/>
    <n v="15776132"/>
    <n v="1"/>
    <n v="1"/>
    <s v="Highly Concentrated"/>
    <n v="15776132"/>
    <s v="Medium Opportunity"/>
    <x v="0"/>
    <s v="Yes"/>
  </r>
  <r>
    <x v="6"/>
    <x v="6"/>
    <s v="Cellulose ethers"/>
    <x v="6"/>
    <x v="0"/>
    <x v="0"/>
    <s v="Cellulose Derivatives"/>
    <s v="Sauces / Beverages / Ice Cream"/>
    <x v="7"/>
    <x v="1"/>
    <x v="0"/>
    <s v="X"/>
    <x v="7"/>
    <s v="Egypt"/>
    <s v="World"/>
    <s v="TOTAL CPC"/>
    <s v="TOTAL MOT"/>
    <n v="391231"/>
    <n v="773434"/>
    <n v="102575"/>
    <n v="0"/>
    <n v="102575"/>
    <s v="kg"/>
    <n v="102575"/>
    <s v="kg"/>
    <n v="1.1674623358397021E-2"/>
    <n v="10"/>
    <x v="0"/>
    <n v="0"/>
    <n v="0"/>
    <n v="0"/>
    <n v="8.3692639177155963E-3"/>
    <n v="115"/>
    <n v="7.540180355837192"/>
    <n v="34"/>
    <x v="0"/>
    <s v="No"/>
    <n v="6842762.2999999998"/>
    <n v="15776132"/>
    <n v="6.321329281187793E-2"/>
    <n v="17"/>
    <x v="0"/>
    <n v="5363884.8800000008"/>
    <n v="144"/>
    <x v="0"/>
    <x v="0"/>
    <n v="15776132"/>
    <n v="1"/>
    <n v="1"/>
    <s v="Highly Concentrated"/>
    <n v="15776132"/>
    <s v="Medium Opportunity"/>
    <x v="0"/>
    <s v="Yes"/>
  </r>
  <r>
    <x v="6"/>
    <x v="6"/>
    <s v="Cellulose ethers"/>
    <x v="6"/>
    <x v="0"/>
    <x v="0"/>
    <s v="Cellulose Derivatives"/>
    <s v="Sauces / Beverages / Ice Cream"/>
    <x v="33"/>
    <x v="1"/>
    <x v="0"/>
    <s v="X"/>
    <x v="33"/>
    <s v="Egypt"/>
    <s v="World"/>
    <s v="TOTAL CPC"/>
    <s v="TOTAL MOT"/>
    <n v="391231"/>
    <n v="3068"/>
    <n v="630"/>
    <n v="0"/>
    <n v="630"/>
    <s v="kg"/>
    <n v="630"/>
    <s v="kg"/>
    <n v="7.8962835084717131E-4"/>
    <n v="6"/>
    <x v="0"/>
    <n v="0"/>
    <n v="0"/>
    <n v="0"/>
    <n v="8.3692639177155963E-3"/>
    <n v="460"/>
    <n v="4.8698412698412694"/>
    <n v="34"/>
    <x v="0"/>
    <s v="No"/>
    <n v="6842762.2999999998"/>
    <n v="15776132"/>
    <n v="6.321329281187793E-2"/>
    <n v="17"/>
    <x v="0"/>
    <n v="5363884.8800000008"/>
    <n v="144"/>
    <x v="0"/>
    <x v="0"/>
    <n v="15776132"/>
    <n v="1"/>
    <n v="1"/>
    <s v="Highly Concentrated"/>
    <n v="15776132"/>
    <s v="Medium Opportunity"/>
    <x v="0"/>
    <s v="Yes"/>
  </r>
  <r>
    <x v="6"/>
    <x v="6"/>
    <s v="Cellulose ethers"/>
    <x v="6"/>
    <x v="0"/>
    <x v="0"/>
    <s v="Cellulose Derivatives"/>
    <s v="Sauces / Beverages / Ice Cream"/>
    <x v="8"/>
    <x v="1"/>
    <x v="0"/>
    <s v="X"/>
    <x v="8"/>
    <s v="Egypt"/>
    <s v="World"/>
    <s v="TOTAL CPC"/>
    <s v="TOTAL MOT"/>
    <n v="391231"/>
    <n v="558618"/>
    <n v="34007"/>
    <n v="0"/>
    <n v="34007"/>
    <s v="kg"/>
    <n v="34007"/>
    <s v="kg"/>
    <n v="4.9588465845200368E-3"/>
    <n v="7"/>
    <x v="0"/>
    <n v="0"/>
    <n v="0"/>
    <n v="0"/>
    <n v="8.3692639177155963E-3"/>
    <n v="140"/>
    <n v="16.426559237803982"/>
    <n v="34"/>
    <x v="0"/>
    <s v="No"/>
    <n v="6842762.2999999998"/>
    <n v="15776132"/>
    <n v="6.321329281187793E-2"/>
    <n v="17"/>
    <x v="0"/>
    <n v="5363884.8800000008"/>
    <n v="144"/>
    <x v="0"/>
    <x v="0"/>
    <n v="15776132"/>
    <n v="1"/>
    <n v="1"/>
    <s v="Highly Concentrated"/>
    <n v="15776132"/>
    <s v="Medium Opportunity"/>
    <x v="0"/>
    <s v="Yes"/>
  </r>
  <r>
    <x v="6"/>
    <x v="6"/>
    <s v="Cellulose ethers"/>
    <x v="6"/>
    <x v="0"/>
    <x v="0"/>
    <s v="Cellulose Derivatives"/>
    <s v="Sauces / Beverages / Ice Cream"/>
    <x v="9"/>
    <x v="1"/>
    <x v="0"/>
    <s v="X"/>
    <x v="9"/>
    <s v="Egypt"/>
    <s v="World"/>
    <s v="TOTAL CPC"/>
    <s v="TOTAL MOT"/>
    <n v="391231"/>
    <n v="709741"/>
    <n v="117440"/>
    <n v="0"/>
    <n v="117440"/>
    <s v="kg"/>
    <n v="117440"/>
    <s v="kg"/>
    <n v="1.1178535358665947E-2"/>
    <n v="4"/>
    <x v="0"/>
    <n v="0"/>
    <n v="0"/>
    <n v="0"/>
    <n v="8.3692639177155963E-3"/>
    <n v="126"/>
    <n v="6.043434945504087"/>
    <n v="34"/>
    <x v="0"/>
    <s v="No"/>
    <n v="6842762.2999999998"/>
    <n v="15776132"/>
    <n v="6.321329281187793E-2"/>
    <n v="17"/>
    <x v="0"/>
    <n v="5363884.8800000008"/>
    <n v="144"/>
    <x v="0"/>
    <x v="0"/>
    <n v="15776132"/>
    <n v="1"/>
    <n v="1"/>
    <s v="Highly Concentrated"/>
    <n v="15776132"/>
    <s v="Medium Opportunity"/>
    <x v="0"/>
    <s v="Yes"/>
  </r>
  <r>
    <x v="6"/>
    <x v="6"/>
    <s v="Cellulose ethers"/>
    <x v="6"/>
    <x v="0"/>
    <x v="0"/>
    <s v="Cellulose Derivatives"/>
    <s v="Sauces / Beverages / Ice Cream"/>
    <x v="37"/>
    <x v="1"/>
    <x v="0"/>
    <s v="X"/>
    <x v="37"/>
    <s v="Egypt"/>
    <s v="World"/>
    <s v="TOTAL CPC"/>
    <s v="TOTAL MOT"/>
    <n v="391231"/>
    <n v="91235"/>
    <n v="2480"/>
    <n v="0"/>
    <n v="2480"/>
    <s v="kg"/>
    <n v="2480"/>
    <s v="kg"/>
    <n v="1.4722693747111796E-4"/>
    <n v="2"/>
    <x v="0"/>
    <n v="0"/>
    <n v="0"/>
    <n v="0"/>
    <n v="8.3692639177155963E-3"/>
    <n v="281"/>
    <n v="36.788306451612904"/>
    <n v="34"/>
    <x v="0"/>
    <s v="No"/>
    <n v="6842762.2999999998"/>
    <n v="15776132"/>
    <n v="6.321329281187793E-2"/>
    <n v="17"/>
    <x v="0"/>
    <n v="5363884.8800000008"/>
    <n v="144"/>
    <x v="0"/>
    <x v="0"/>
    <n v="15776132"/>
    <n v="1"/>
    <n v="1"/>
    <s v="Highly Concentrated"/>
    <n v="15776132"/>
    <s v="Medium Opportunity"/>
    <x v="0"/>
    <s v="Yes"/>
  </r>
  <r>
    <x v="6"/>
    <x v="6"/>
    <s v="Cellulose ethers"/>
    <x v="6"/>
    <x v="0"/>
    <x v="0"/>
    <s v="Cellulose Derivatives"/>
    <s v="Sauces / Beverages / Ice Cream"/>
    <x v="10"/>
    <x v="1"/>
    <x v="0"/>
    <s v="X"/>
    <x v="10"/>
    <s v="Egypt"/>
    <s v="World"/>
    <s v="TOTAL CPC"/>
    <s v="TOTAL MOT"/>
    <n v="391231"/>
    <n v="15053"/>
    <n v="540"/>
    <n v="0"/>
    <n v="540"/>
    <s v="kg"/>
    <n v="540"/>
    <s v="kg"/>
    <n v="1.389484063100993E-2"/>
    <n v="6"/>
    <x v="0"/>
    <n v="0"/>
    <n v="0"/>
    <n v="0"/>
    <n v="8.3692639177155963E-3"/>
    <n v="393"/>
    <n v="27.875925925925927"/>
    <n v="34"/>
    <x v="0"/>
    <s v="No"/>
    <n v="6842762.2999999998"/>
    <n v="15776132"/>
    <n v="6.321329281187793E-2"/>
    <n v="17"/>
    <x v="0"/>
    <n v="5363884.8800000008"/>
    <n v="144"/>
    <x v="0"/>
    <x v="0"/>
    <n v="15776132"/>
    <n v="1"/>
    <n v="1"/>
    <s v="Highly Concentrated"/>
    <n v="15776132"/>
    <s v="Medium Opportunity"/>
    <x v="0"/>
    <s v="Yes"/>
  </r>
  <r>
    <x v="6"/>
    <x v="6"/>
    <s v="Cellulose ethers"/>
    <x v="6"/>
    <x v="0"/>
    <x v="0"/>
    <s v="Cellulose Derivatives"/>
    <s v="Sauces / Beverages / Ice Cream"/>
    <x v="12"/>
    <x v="1"/>
    <x v="0"/>
    <s v="X"/>
    <x v="12"/>
    <s v="Egypt"/>
    <s v="World"/>
    <s v="TOTAL CPC"/>
    <s v="TOTAL MOT"/>
    <n v="391231"/>
    <n v="218791"/>
    <n v="39474"/>
    <n v="0"/>
    <n v="39474"/>
    <s v="kg"/>
    <n v="39474"/>
    <s v="kg"/>
    <n v="1.4561232389604124E-2"/>
    <n v="10"/>
    <x v="0"/>
    <n v="0"/>
    <n v="0"/>
    <n v="0"/>
    <n v="8.3692639177155963E-3"/>
    <n v="210"/>
    <n v="5.5426609920453966"/>
    <n v="34"/>
    <x v="0"/>
    <s v="No"/>
    <n v="6842762.2999999998"/>
    <n v="15776132"/>
    <n v="6.321329281187793E-2"/>
    <n v="17"/>
    <x v="0"/>
    <n v="5363884.8800000008"/>
    <n v="144"/>
    <x v="0"/>
    <x v="0"/>
    <n v="15776132"/>
    <n v="1"/>
    <n v="1"/>
    <s v="Highly Concentrated"/>
    <n v="15776132"/>
    <s v="Medium Opportunity"/>
    <x v="0"/>
    <s v="Yes"/>
  </r>
  <r>
    <x v="6"/>
    <x v="6"/>
    <s v="Cellulose ethers"/>
    <x v="6"/>
    <x v="0"/>
    <x v="0"/>
    <s v="Cellulose Derivatives"/>
    <s v="Sauces / Beverages / Ice Cream"/>
    <x v="15"/>
    <x v="1"/>
    <x v="0"/>
    <s v="X"/>
    <x v="15"/>
    <s v="Egypt"/>
    <s v="World"/>
    <s v="TOTAL CPC"/>
    <s v="TOTAL MOT"/>
    <n v="391231"/>
    <n v="1274728"/>
    <n v="283435"/>
    <n v="0"/>
    <n v="283435"/>
    <s v="kg"/>
    <n v="283435"/>
    <s v="kg"/>
    <n v="2.2441761060335613E-2"/>
    <n v="9"/>
    <x v="0"/>
    <n v="0"/>
    <n v="0"/>
    <n v="0"/>
    <n v="8.3692639177155963E-3"/>
    <n v="87"/>
    <n v="4.4974262176513138"/>
    <n v="34"/>
    <x v="0"/>
    <s v="No"/>
    <n v="6842762.2999999998"/>
    <n v="15776132"/>
    <n v="6.321329281187793E-2"/>
    <n v="17"/>
    <x v="0"/>
    <n v="5363884.8800000008"/>
    <n v="144"/>
    <x v="0"/>
    <x v="0"/>
    <n v="15776132"/>
    <n v="1"/>
    <n v="1"/>
    <s v="Highly Concentrated"/>
    <n v="15776132"/>
    <s v="Medium Opportunity"/>
    <x v="0"/>
    <s v="Yes"/>
  </r>
  <r>
    <x v="6"/>
    <x v="6"/>
    <s v="Cellulose ethers"/>
    <x v="6"/>
    <x v="0"/>
    <x v="0"/>
    <s v="Cellulose Derivatives"/>
    <s v="Sauces / Beverages / Ice Cream"/>
    <x v="20"/>
    <x v="0"/>
    <x v="0"/>
    <s v="X"/>
    <x v="20"/>
    <s v="Egypt"/>
    <s v="World"/>
    <s v="TOTAL CPC"/>
    <s v="TOTAL MOT"/>
    <n v="391231"/>
    <n v="231205"/>
    <n v="58600"/>
    <n v="0"/>
    <n v="58600"/>
    <s v="kg"/>
    <n v="58600"/>
    <s v="kg"/>
    <n v="6.110186869383482E-3"/>
    <n v="12"/>
    <x v="0"/>
    <n v="0"/>
    <n v="0"/>
    <n v="0"/>
    <n v="8.3692639177155963E-3"/>
    <n v="209"/>
    <n v="3.9454778156996588"/>
    <n v="34"/>
    <x v="0"/>
    <s v="No"/>
    <n v="6842762.2999999998"/>
    <n v="15776132"/>
    <n v="6.321329281187793E-2"/>
    <n v="17"/>
    <x v="0"/>
    <n v="5363884.8800000008"/>
    <n v="144"/>
    <x v="0"/>
    <x v="0"/>
    <n v="15776132"/>
    <n v="1"/>
    <n v="1"/>
    <s v="Highly Concentrated"/>
    <n v="15776132"/>
    <s v="Medium Opportunity"/>
    <x v="0"/>
    <s v="No"/>
  </r>
  <r>
    <x v="6"/>
    <x v="6"/>
    <s v="Cellulose ethers"/>
    <x v="6"/>
    <x v="0"/>
    <x v="0"/>
    <s v="Cellulose Derivatives"/>
    <s v="Sauces / Beverages / Ice Cream"/>
    <x v="23"/>
    <x v="1"/>
    <x v="0"/>
    <s v="X"/>
    <x v="23"/>
    <s v="Egypt"/>
    <s v="World"/>
    <s v="TOTAL CPC"/>
    <s v="TOTAL MOT"/>
    <n v="391231"/>
    <n v="46108"/>
    <n v="612"/>
    <n v="0"/>
    <n v="612"/>
    <s v="kg"/>
    <n v="612"/>
    <s v="kg"/>
    <n v="1.1630298885271862E-3"/>
    <n v="6"/>
    <x v="0"/>
    <n v="0"/>
    <n v="0"/>
    <n v="0"/>
    <n v="8.3692639177155963E-3"/>
    <n v="330"/>
    <n v="75.33986928104575"/>
    <n v="34"/>
    <x v="0"/>
    <s v="No"/>
    <n v="6842762.2999999998"/>
    <n v="15776132"/>
    <n v="6.321329281187793E-2"/>
    <n v="17"/>
    <x v="0"/>
    <n v="5363884.8800000008"/>
    <n v="144"/>
    <x v="0"/>
    <x v="0"/>
    <n v="15776132"/>
    <n v="1"/>
    <n v="1"/>
    <s v="Highly Concentrated"/>
    <n v="15776132"/>
    <s v="Medium Opportunity"/>
    <x v="0"/>
    <s v="Yes"/>
  </r>
  <r>
    <x v="6"/>
    <x v="6"/>
    <s v="Cellulose ethers"/>
    <x v="6"/>
    <x v="0"/>
    <x v="0"/>
    <s v="Cellulose Derivatives"/>
    <s v="Sauces / Beverages / Ice Cream"/>
    <x v="31"/>
    <x v="1"/>
    <x v="0"/>
    <s v="X"/>
    <x v="31"/>
    <s v="Egypt"/>
    <s v="World"/>
    <s v="TOTAL CPC"/>
    <s v="TOTAL MOT"/>
    <n v="391231"/>
    <n v="5000"/>
    <n v="2000"/>
    <n v="0"/>
    <n v="2000"/>
    <s v="kg"/>
    <n v="2000"/>
    <s v="kg"/>
    <n v="8.0337630087875059E-4"/>
    <n v="6"/>
    <x v="0"/>
    <n v="0"/>
    <n v="0"/>
    <n v="0"/>
    <n v="8.3692639177155963E-3"/>
    <n v="441"/>
    <n v="2.5"/>
    <n v="34"/>
    <x v="0"/>
    <s v="No"/>
    <n v="6842762.2999999998"/>
    <n v="15776132"/>
    <n v="6.321329281187793E-2"/>
    <n v="17"/>
    <x v="0"/>
    <n v="5363884.8800000008"/>
    <n v="144"/>
    <x v="0"/>
    <x v="0"/>
    <n v="15776132"/>
    <n v="1"/>
    <n v="1"/>
    <s v="Highly Concentrated"/>
    <n v="15776132"/>
    <s v="Medium Opportunity"/>
    <x v="0"/>
    <s v="Yes"/>
  </r>
  <r>
    <x v="6"/>
    <x v="6"/>
    <s v="Cellulose ethers"/>
    <x v="6"/>
    <x v="0"/>
    <x v="0"/>
    <s v="Cellulose Derivatives"/>
    <s v="Sauces / Beverages / Ice Cream"/>
    <x v="17"/>
    <x v="1"/>
    <x v="0"/>
    <s v="X"/>
    <x v="17"/>
    <s v="Egypt"/>
    <s v="World"/>
    <s v="TOTAL CPC"/>
    <s v="TOTAL MOT"/>
    <n v="391231"/>
    <n v="4487951"/>
    <n v="3386741"/>
    <n v="0"/>
    <n v="3386741"/>
    <s v="kg"/>
    <n v="3386741"/>
    <s v="kg"/>
    <n v="4.7522902002533667E-2"/>
    <n v="5"/>
    <x v="1"/>
    <n v="0.1"/>
    <n v="448795.10000000003"/>
    <n v="338674.10000000003"/>
    <n v="8.3692639177155963E-3"/>
    <n v="35"/>
    <n v="1.3251532963400507"/>
    <n v="34"/>
    <x v="0"/>
    <s v="No"/>
    <n v="6842762.2999999998"/>
    <n v="15776132"/>
    <n v="6.321329281187793E-2"/>
    <n v="17"/>
    <x v="0"/>
    <n v="5363884.8800000008"/>
    <n v="144"/>
    <x v="0"/>
    <x v="0"/>
    <n v="15776132"/>
    <n v="1"/>
    <n v="1"/>
    <s v="Highly Concentrated"/>
    <n v="15776132"/>
    <s v="Medium Opportunity"/>
    <x v="0"/>
    <s v="Yes"/>
  </r>
  <r>
    <x v="7"/>
    <x v="7"/>
    <s v="Vegetable gums"/>
    <x v="7"/>
    <x v="0"/>
    <x v="0"/>
    <s v="Guar Gum"/>
    <s v="Sauces / Bakery / Dairy"/>
    <x v="1"/>
    <x v="1"/>
    <x v="0"/>
    <s v="X"/>
    <x v="1"/>
    <s v="Egypt"/>
    <s v="World"/>
    <s v="TOTAL CPC"/>
    <s v="TOTAL MOT"/>
    <n v="130232"/>
    <n v="154876"/>
    <n v="14050"/>
    <n v="0"/>
    <n v="14050"/>
    <s v="kg"/>
    <n v="14050"/>
    <s v="kg"/>
    <n v="5.3992075088500962E-3"/>
    <n v="8"/>
    <x v="0"/>
    <n v="0"/>
    <n v="0"/>
    <n v="0"/>
    <n v="2.8100247532808482E-3"/>
    <n v="244"/>
    <n v="11.023202846975089"/>
    <n v="34"/>
    <x v="0"/>
    <s v="No"/>
    <n v="2211416"/>
    <n v="5296920"/>
    <n v="6.321329281187793E-2"/>
    <n v="11"/>
    <x v="0"/>
    <n v="1800952.8"/>
    <n v="385"/>
    <x v="0"/>
    <x v="0"/>
    <n v="5296920"/>
    <n v="1"/>
    <n v="1"/>
    <s v="Highly Concentrated"/>
    <n v="5296920"/>
    <s v="Routine Market"/>
    <x v="0"/>
    <s v="Yes"/>
  </r>
  <r>
    <x v="7"/>
    <x v="7"/>
    <s v="Vegetable gums"/>
    <x v="7"/>
    <x v="0"/>
    <x v="0"/>
    <s v="Guar Gum"/>
    <s v="Sauces / Bakery / Dairy"/>
    <x v="3"/>
    <x v="0"/>
    <x v="0"/>
    <s v="X"/>
    <x v="3"/>
    <s v="Egypt"/>
    <s v="World"/>
    <s v="TOTAL CPC"/>
    <s v="TOTAL MOT"/>
    <n v="130232"/>
    <n v="209943"/>
    <n v="61700"/>
    <n v="0"/>
    <n v="61700"/>
    <s v="kg"/>
    <n v="61700"/>
    <s v="kg"/>
    <n v="6.321329281187793E-2"/>
    <n v="29"/>
    <x v="1"/>
    <n v="0.14000000000000001"/>
    <n v="29392.020000000004"/>
    <n v="8638"/>
    <n v="2.8100247532808482E-3"/>
    <n v="216"/>
    <n v="3.402641815235008"/>
    <n v="34"/>
    <x v="0"/>
    <s v="No"/>
    <n v="2211416"/>
    <n v="5296920"/>
    <n v="6.321329281187793E-2"/>
    <n v="11"/>
    <x v="0"/>
    <n v="1800952.8"/>
    <n v="385"/>
    <x v="0"/>
    <x v="0"/>
    <n v="5296920"/>
    <n v="1"/>
    <n v="1"/>
    <s v="Highly Concentrated"/>
    <n v="5296920"/>
    <s v="Routine Market"/>
    <x v="0"/>
    <s v="No"/>
  </r>
  <r>
    <x v="7"/>
    <x v="7"/>
    <s v="Vegetable gums"/>
    <x v="7"/>
    <x v="0"/>
    <x v="0"/>
    <s v="Guar Gum"/>
    <s v="Sauces / Bakery / Dairy"/>
    <x v="6"/>
    <x v="0"/>
    <x v="0"/>
    <s v="X"/>
    <x v="6"/>
    <s v="Egypt"/>
    <s v="World"/>
    <s v="TOTAL CPC"/>
    <s v="TOTAL MOT"/>
    <n v="130232"/>
    <n v="296916"/>
    <n v="9975"/>
    <n v="0"/>
    <n v="9975"/>
    <s v="kg"/>
    <n v="9975"/>
    <s v="kg"/>
    <n v="1.6951290293147386E-2"/>
    <n v="14"/>
    <x v="0"/>
    <n v="0"/>
    <n v="0"/>
    <n v="0"/>
    <n v="2.8100247532808482E-3"/>
    <n v="190"/>
    <n v="29.766015037593984"/>
    <n v="34"/>
    <x v="0"/>
    <s v="No"/>
    <n v="2211416"/>
    <n v="5296920"/>
    <n v="6.321329281187793E-2"/>
    <n v="11"/>
    <x v="0"/>
    <n v="1800952.8"/>
    <n v="385"/>
    <x v="0"/>
    <x v="0"/>
    <n v="5296920"/>
    <n v="1"/>
    <n v="1"/>
    <s v="Highly Concentrated"/>
    <n v="5296920"/>
    <s v="Routine Market"/>
    <x v="0"/>
    <s v="No"/>
  </r>
  <r>
    <x v="7"/>
    <x v="7"/>
    <s v="Vegetable gums"/>
    <x v="7"/>
    <x v="0"/>
    <x v="0"/>
    <s v="Guar Gum"/>
    <s v="Sauces / Bakery / Dairy"/>
    <x v="7"/>
    <x v="0"/>
    <x v="0"/>
    <s v="X"/>
    <x v="7"/>
    <s v="Egypt"/>
    <s v="World"/>
    <s v="TOTAL CPC"/>
    <s v="TOTAL MOT"/>
    <n v="130232"/>
    <n v="195868"/>
    <n v="17907"/>
    <n v="0"/>
    <n v="17907"/>
    <s v="kg"/>
    <n v="17907"/>
    <s v="kg"/>
    <n v="1.1674623358397021E-2"/>
    <n v="16"/>
    <x v="0"/>
    <n v="0"/>
    <n v="0"/>
    <n v="0"/>
    <n v="2.8100247532808482E-3"/>
    <n v="220"/>
    <n v="10.938068911598815"/>
    <n v="34"/>
    <x v="0"/>
    <s v="No"/>
    <n v="2211416"/>
    <n v="5296920"/>
    <n v="6.321329281187793E-2"/>
    <n v="11"/>
    <x v="0"/>
    <n v="1800952.8"/>
    <n v="385"/>
    <x v="0"/>
    <x v="0"/>
    <n v="5296920"/>
    <n v="1"/>
    <n v="1"/>
    <s v="Highly Concentrated"/>
    <n v="5296920"/>
    <s v="Routine Market"/>
    <x v="0"/>
    <s v="No"/>
  </r>
  <r>
    <x v="7"/>
    <x v="7"/>
    <s v="Vegetable gums"/>
    <x v="7"/>
    <x v="0"/>
    <x v="0"/>
    <s v="Guar Gum"/>
    <s v="Sauces / Bakery / Dairy"/>
    <x v="9"/>
    <x v="1"/>
    <x v="0"/>
    <s v="X"/>
    <x v="9"/>
    <s v="Egypt"/>
    <s v="World"/>
    <s v="TOTAL CPC"/>
    <s v="TOTAL MOT"/>
    <n v="130232"/>
    <n v="546747"/>
    <n v="57475"/>
    <n v="0"/>
    <n v="57475"/>
    <s v="kg"/>
    <n v="57475"/>
    <s v="kg"/>
    <n v="1.1178535358665947E-2"/>
    <n v="7"/>
    <x v="0"/>
    <n v="0"/>
    <n v="0"/>
    <n v="0"/>
    <n v="2.8100247532808482E-3"/>
    <n v="142"/>
    <n v="9.5127794693344931"/>
    <n v="34"/>
    <x v="0"/>
    <s v="No"/>
    <n v="2211416"/>
    <n v="5296920"/>
    <n v="6.321329281187793E-2"/>
    <n v="11"/>
    <x v="0"/>
    <n v="1800952.8"/>
    <n v="385"/>
    <x v="0"/>
    <x v="0"/>
    <n v="5296920"/>
    <n v="1"/>
    <n v="1"/>
    <s v="Highly Concentrated"/>
    <n v="5296920"/>
    <s v="Routine Market"/>
    <x v="0"/>
    <s v="Yes"/>
  </r>
  <r>
    <x v="7"/>
    <x v="7"/>
    <s v="Vegetable gums"/>
    <x v="7"/>
    <x v="0"/>
    <x v="0"/>
    <s v="Guar Gum"/>
    <s v="Sauces / Bakery / Dairy"/>
    <x v="12"/>
    <x v="1"/>
    <x v="0"/>
    <s v="X"/>
    <x v="12"/>
    <s v="Egypt"/>
    <s v="World"/>
    <s v="TOTAL CPC"/>
    <s v="TOTAL MOT"/>
    <n v="130232"/>
    <n v="308500"/>
    <n v="76425"/>
    <n v="0"/>
    <n v="76425"/>
    <s v="kg"/>
    <n v="76425"/>
    <s v="kg"/>
    <n v="1.4561232389604124E-2"/>
    <n v="9"/>
    <x v="0"/>
    <n v="0"/>
    <n v="0"/>
    <n v="0"/>
    <n v="2.8100247532808482E-3"/>
    <n v="185"/>
    <n v="4.0366372260386001"/>
    <n v="34"/>
    <x v="0"/>
    <s v="No"/>
    <n v="2211416"/>
    <n v="5296920"/>
    <n v="6.321329281187793E-2"/>
    <n v="11"/>
    <x v="0"/>
    <n v="1800952.8"/>
    <n v="385"/>
    <x v="0"/>
    <x v="0"/>
    <n v="5296920"/>
    <n v="1"/>
    <n v="1"/>
    <s v="Highly Concentrated"/>
    <n v="5296920"/>
    <s v="Routine Market"/>
    <x v="0"/>
    <s v="Yes"/>
  </r>
  <r>
    <x v="7"/>
    <x v="7"/>
    <s v="Vegetable gums"/>
    <x v="7"/>
    <x v="0"/>
    <x v="0"/>
    <s v="Guar Gum"/>
    <s v="Sauces / Bakery / Dairy"/>
    <x v="29"/>
    <x v="1"/>
    <x v="0"/>
    <s v="X"/>
    <x v="29"/>
    <s v="Egypt"/>
    <s v="World"/>
    <s v="TOTAL CPC"/>
    <s v="TOTAL MOT"/>
    <n v="130232"/>
    <n v="161833"/>
    <n v="60000"/>
    <n v="0"/>
    <n v="60000"/>
    <s v="kg"/>
    <n v="60000"/>
    <s v="kg"/>
    <n v="3.82286909668397E-4"/>
    <n v="2"/>
    <x v="0"/>
    <n v="0"/>
    <n v="0"/>
    <n v="0"/>
    <n v="2.8100247532808482E-3"/>
    <n v="236"/>
    <n v="2.6972166666666668"/>
    <n v="34"/>
    <x v="0"/>
    <s v="No"/>
    <n v="2211416"/>
    <n v="5296920"/>
    <n v="6.321329281187793E-2"/>
    <n v="11"/>
    <x v="0"/>
    <n v="1800952.8"/>
    <n v="385"/>
    <x v="0"/>
    <x v="0"/>
    <n v="5296920"/>
    <n v="1"/>
    <n v="1"/>
    <s v="Highly Concentrated"/>
    <n v="5296920"/>
    <s v="Routine Market"/>
    <x v="0"/>
    <s v="Yes"/>
  </r>
  <r>
    <x v="7"/>
    <x v="7"/>
    <s v="Vegetable gums"/>
    <x v="7"/>
    <x v="0"/>
    <x v="0"/>
    <s v="Guar Gum"/>
    <s v="Sauces / Bakery / Dairy"/>
    <x v="15"/>
    <x v="1"/>
    <x v="0"/>
    <s v="X"/>
    <x v="15"/>
    <s v="Egypt"/>
    <s v="World"/>
    <s v="TOTAL CPC"/>
    <s v="TOTAL MOT"/>
    <n v="130232"/>
    <n v="3379500"/>
    <n v="1905684"/>
    <n v="0"/>
    <n v="1905684"/>
    <s v="kg"/>
    <n v="1905684"/>
    <s v="kg"/>
    <n v="2.2441761060335613E-2"/>
    <n v="3"/>
    <x v="0"/>
    <n v="0"/>
    <n v="0"/>
    <n v="0"/>
    <n v="2.8100247532808482E-3"/>
    <n v="42"/>
    <n v="1.7733790072226034"/>
    <n v="34"/>
    <x v="0"/>
    <s v="No"/>
    <n v="2211416"/>
    <n v="5296920"/>
    <n v="6.321329281187793E-2"/>
    <n v="11"/>
    <x v="0"/>
    <n v="1800952.8"/>
    <n v="385"/>
    <x v="0"/>
    <x v="0"/>
    <n v="5296920"/>
    <n v="1"/>
    <n v="1"/>
    <s v="Highly Concentrated"/>
    <n v="5296920"/>
    <s v="Routine Market"/>
    <x v="0"/>
    <s v="Yes"/>
  </r>
  <r>
    <x v="7"/>
    <x v="7"/>
    <s v="Vegetable gums"/>
    <x v="7"/>
    <x v="0"/>
    <x v="0"/>
    <s v="Guar Gum"/>
    <s v="Sauces / Bakery / Dairy"/>
    <x v="20"/>
    <x v="0"/>
    <x v="0"/>
    <s v="X"/>
    <x v="20"/>
    <s v="Egypt"/>
    <s v="World"/>
    <s v="TOTAL CPC"/>
    <s v="TOTAL MOT"/>
    <n v="130232"/>
    <n v="1066"/>
    <n v="50"/>
    <n v="0"/>
    <n v="50"/>
    <s v="kg"/>
    <n v="50"/>
    <s v="kg"/>
    <n v="6.110186869383482E-3"/>
    <n v="23"/>
    <x v="0"/>
    <n v="0"/>
    <n v="0"/>
    <n v="0"/>
    <n v="2.8100247532808482E-3"/>
    <n v="483"/>
    <n v="21.32"/>
    <n v="34"/>
    <x v="0"/>
    <s v="No"/>
    <n v="2211416"/>
    <n v="5296920"/>
    <n v="6.321329281187793E-2"/>
    <n v="11"/>
    <x v="0"/>
    <n v="1800952.8"/>
    <n v="385"/>
    <x v="0"/>
    <x v="0"/>
    <n v="5296920"/>
    <n v="1"/>
    <n v="1"/>
    <s v="Highly Concentrated"/>
    <n v="5296920"/>
    <s v="Routine Market"/>
    <x v="0"/>
    <s v="No"/>
  </r>
  <r>
    <x v="7"/>
    <x v="7"/>
    <s v="Vegetable gums"/>
    <x v="7"/>
    <x v="0"/>
    <x v="0"/>
    <s v="Guar Gum"/>
    <s v="Sauces / Bakery / Dairy"/>
    <x v="21"/>
    <x v="0"/>
    <x v="0"/>
    <s v="X"/>
    <x v="21"/>
    <s v="Egypt"/>
    <s v="World"/>
    <s v="TOTAL CPC"/>
    <s v="TOTAL MOT"/>
    <n v="130232"/>
    <n v="7978"/>
    <n v="2750"/>
    <n v="0"/>
    <n v="2750"/>
    <s v="kg"/>
    <n v="2750"/>
    <s v="kg"/>
    <n v="1.3104801671892474E-3"/>
    <n v="14"/>
    <x v="0"/>
    <n v="0"/>
    <n v="0"/>
    <n v="0"/>
    <n v="2.8100247532808482E-3"/>
    <n v="422"/>
    <n v="2.9010909090909092"/>
    <n v="34"/>
    <x v="0"/>
    <s v="No"/>
    <n v="2211416"/>
    <n v="5296920"/>
    <n v="6.321329281187793E-2"/>
    <n v="11"/>
    <x v="0"/>
    <n v="1800952.8"/>
    <n v="385"/>
    <x v="0"/>
    <x v="0"/>
    <n v="5296920"/>
    <n v="1"/>
    <n v="1"/>
    <s v="Highly Concentrated"/>
    <n v="5296920"/>
    <s v="Routine Market"/>
    <x v="0"/>
    <s v="No"/>
  </r>
  <r>
    <x v="7"/>
    <x v="7"/>
    <s v="Vegetable gums"/>
    <x v="7"/>
    <x v="0"/>
    <x v="0"/>
    <s v="Guar Gum"/>
    <s v="Sauces / Bakery / Dairy"/>
    <x v="18"/>
    <x v="0"/>
    <x v="0"/>
    <s v="X"/>
    <x v="18"/>
    <s v="Egypt"/>
    <s v="World"/>
    <s v="TOTAL CPC"/>
    <s v="TOTAL MOT"/>
    <n v="130232"/>
    <n v="33693"/>
    <n v="5400"/>
    <n v="0"/>
    <n v="5400"/>
    <s v="kg"/>
    <n v="5400"/>
    <s v="kg"/>
    <n v="9.425427433633813E-3"/>
    <n v="17"/>
    <x v="1"/>
    <n v="4.0000000000000008E-2"/>
    <n v="1347.7200000000003"/>
    <n v="216.00000000000003"/>
    <n v="2.8100247532808482E-3"/>
    <n v="347"/>
    <n v="6.2394444444444446"/>
    <n v="34"/>
    <x v="0"/>
    <s v="No"/>
    <n v="2211416"/>
    <n v="5296920"/>
    <n v="6.321329281187793E-2"/>
    <n v="11"/>
    <x v="0"/>
    <n v="1800952.8"/>
    <n v="385"/>
    <x v="0"/>
    <x v="0"/>
    <n v="5296920"/>
    <n v="1"/>
    <n v="1"/>
    <s v="Highly Concentrated"/>
    <n v="5296920"/>
    <s v="Routine Market"/>
    <x v="0"/>
    <s v="No"/>
  </r>
  <r>
    <x v="8"/>
    <x v="8"/>
    <s v="Mucilages and thickeners"/>
    <x v="8"/>
    <x v="0"/>
    <x v="0"/>
    <s v="Carrageenan"/>
    <s v="Dairy / Processed Meat"/>
    <x v="1"/>
    <x v="0"/>
    <x v="0"/>
    <s v="X"/>
    <x v="1"/>
    <s v="Egypt"/>
    <s v="World"/>
    <s v="TOTAL CPC"/>
    <s v="TOTAL MOT"/>
    <n v="130239"/>
    <n v="2756"/>
    <n v="100"/>
    <n v="0"/>
    <n v="100"/>
    <s v="kg"/>
    <n v="100"/>
    <s v="kg"/>
    <n v="5.3992075088500962E-3"/>
    <n v="23"/>
    <x v="0"/>
    <n v="0"/>
    <n v="0"/>
    <n v="0"/>
    <n v="3.2821229382954242E-3"/>
    <n v="462"/>
    <n v="27.56"/>
    <n v="34"/>
    <x v="0"/>
    <s v="No"/>
    <n v="1977514.1"/>
    <n v="6186829"/>
    <n v="6.321329281187793E-2"/>
    <n v="16"/>
    <x v="0"/>
    <n v="2103521.8600000003"/>
    <n v="369"/>
    <x v="0"/>
    <x v="0"/>
    <n v="6186829"/>
    <n v="1"/>
    <n v="1"/>
    <s v="Highly Concentrated"/>
    <n v="6186829"/>
    <s v="Routine Market"/>
    <x v="0"/>
    <s v="No"/>
  </r>
  <r>
    <x v="8"/>
    <x v="8"/>
    <s v="Mucilages and thickeners"/>
    <x v="8"/>
    <x v="0"/>
    <x v="0"/>
    <s v="Carrageenan"/>
    <s v="Dairy / Processed Meat"/>
    <x v="38"/>
    <x v="1"/>
    <x v="0"/>
    <s v="X"/>
    <x v="38"/>
    <s v="Egypt"/>
    <s v="World"/>
    <s v="TOTAL CPC"/>
    <s v="TOTAL MOT"/>
    <n v="130239"/>
    <n v="368089"/>
    <n v="34000"/>
    <n v="0"/>
    <n v="34000"/>
    <s v="kg"/>
    <n v="34000"/>
    <s v="kg"/>
    <n v="4.779968327630276E-4"/>
    <n v="2"/>
    <x v="0"/>
    <n v="0"/>
    <n v="0"/>
    <n v="0"/>
    <n v="3.2821229382954242E-3"/>
    <n v="170"/>
    <n v="10.82614705882353"/>
    <n v="34"/>
    <x v="0"/>
    <s v="No"/>
    <n v="1977514.1"/>
    <n v="6186829"/>
    <n v="6.321329281187793E-2"/>
    <n v="16"/>
    <x v="0"/>
    <n v="2103521.8600000003"/>
    <n v="369"/>
    <x v="0"/>
    <x v="0"/>
    <n v="6186829"/>
    <n v="1"/>
    <n v="1"/>
    <s v="Highly Concentrated"/>
    <n v="6186829"/>
    <s v="Routine Market"/>
    <x v="0"/>
    <s v="Yes"/>
  </r>
  <r>
    <x v="8"/>
    <x v="8"/>
    <s v="Mucilages and thickeners"/>
    <x v="8"/>
    <x v="0"/>
    <x v="0"/>
    <s v="Carrageenan"/>
    <s v="Dairy / Processed Meat"/>
    <x v="3"/>
    <x v="0"/>
    <x v="0"/>
    <s v="X"/>
    <x v="3"/>
    <s v="Egypt"/>
    <s v="World"/>
    <s v="TOTAL CPC"/>
    <s v="TOTAL MOT"/>
    <n v="130239"/>
    <n v="1500699"/>
    <n v="276640"/>
    <n v="0"/>
    <n v="276640"/>
    <s v="kg"/>
    <n v="276640"/>
    <s v="kg"/>
    <n v="6.321329281187793E-2"/>
    <n v="18"/>
    <x v="1"/>
    <n v="0.14000000000000001"/>
    <n v="210097.86000000002"/>
    <n v="38729.600000000006"/>
    <n v="3.2821229382954242E-3"/>
    <n v="76"/>
    <n v="5.424736119144014"/>
    <n v="34"/>
    <x v="0"/>
    <s v="No"/>
    <n v="1977514.1"/>
    <n v="6186829"/>
    <n v="6.321329281187793E-2"/>
    <n v="16"/>
    <x v="0"/>
    <n v="2103521.8600000003"/>
    <n v="369"/>
    <x v="0"/>
    <x v="0"/>
    <n v="6186829"/>
    <n v="1"/>
    <n v="1"/>
    <s v="Highly Concentrated"/>
    <n v="6186829"/>
    <s v="Routine Market"/>
    <x v="0"/>
    <s v="No"/>
  </r>
  <r>
    <x v="8"/>
    <x v="8"/>
    <s v="Mucilages and thickeners"/>
    <x v="8"/>
    <x v="0"/>
    <x v="0"/>
    <s v="Carrageenan"/>
    <s v="Dairy / Processed Meat"/>
    <x v="6"/>
    <x v="0"/>
    <x v="0"/>
    <s v="X"/>
    <x v="6"/>
    <s v="Egypt"/>
    <s v="World"/>
    <s v="TOTAL CPC"/>
    <s v="TOTAL MOT"/>
    <n v="130239"/>
    <n v="247951"/>
    <n v="12299"/>
    <n v="0"/>
    <n v="12299"/>
    <s v="kg"/>
    <n v="12299"/>
    <s v="kg"/>
    <n v="1.6951290293147386E-2"/>
    <n v="16"/>
    <x v="0"/>
    <n v="0"/>
    <n v="0"/>
    <n v="0"/>
    <n v="3.2821229382954242E-3"/>
    <n v="203"/>
    <n v="20.160256931457841"/>
    <n v="34"/>
    <x v="0"/>
    <s v="No"/>
    <n v="1977514.1"/>
    <n v="6186829"/>
    <n v="6.321329281187793E-2"/>
    <n v="16"/>
    <x v="0"/>
    <n v="2103521.8600000003"/>
    <n v="369"/>
    <x v="0"/>
    <x v="0"/>
    <n v="6186829"/>
    <n v="1"/>
    <n v="1"/>
    <s v="Highly Concentrated"/>
    <n v="6186829"/>
    <s v="Routine Market"/>
    <x v="0"/>
    <s v="No"/>
  </r>
  <r>
    <x v="8"/>
    <x v="8"/>
    <s v="Mucilages and thickeners"/>
    <x v="8"/>
    <x v="0"/>
    <x v="0"/>
    <s v="Carrageenan"/>
    <s v="Dairy / Processed Meat"/>
    <x v="7"/>
    <x v="0"/>
    <x v="0"/>
    <s v="X"/>
    <x v="7"/>
    <s v="Egypt"/>
    <s v="World"/>
    <s v="TOTAL CPC"/>
    <s v="TOTAL MOT"/>
    <n v="130239"/>
    <n v="539"/>
    <n v="20"/>
    <n v="0"/>
    <n v="20"/>
    <s v="kg"/>
    <n v="20"/>
    <s v="kg"/>
    <n v="1.1674623358397021E-2"/>
    <n v="33"/>
    <x v="0"/>
    <n v="0"/>
    <n v="0"/>
    <n v="0"/>
    <n v="3.2821229382954242E-3"/>
    <n v="497"/>
    <n v="26.95"/>
    <n v="34"/>
    <x v="0"/>
    <s v="No"/>
    <n v="1977514.1"/>
    <n v="6186829"/>
    <n v="6.321329281187793E-2"/>
    <n v="16"/>
    <x v="0"/>
    <n v="2103521.8600000003"/>
    <n v="369"/>
    <x v="0"/>
    <x v="0"/>
    <n v="6186829"/>
    <n v="1"/>
    <n v="1"/>
    <s v="Highly Concentrated"/>
    <n v="6186829"/>
    <s v="Routine Market"/>
    <x v="0"/>
    <s v="No"/>
  </r>
  <r>
    <x v="8"/>
    <x v="8"/>
    <s v="Mucilages and thickeners"/>
    <x v="8"/>
    <x v="0"/>
    <x v="0"/>
    <s v="Carrageenan"/>
    <s v="Dairy / Processed Meat"/>
    <x v="9"/>
    <x v="0"/>
    <x v="0"/>
    <s v="X"/>
    <x v="9"/>
    <s v="Egypt"/>
    <s v="World"/>
    <s v="TOTAL CPC"/>
    <s v="TOTAL MOT"/>
    <n v="130239"/>
    <n v="156348"/>
    <n v="10075"/>
    <n v="0"/>
    <n v="10075"/>
    <s v="kg"/>
    <n v="10075"/>
    <s v="kg"/>
    <n v="1.1178535358665947E-2"/>
    <n v="11"/>
    <x v="0"/>
    <n v="0"/>
    <n v="0"/>
    <n v="0"/>
    <n v="3.2821229382954242E-3"/>
    <n v="242"/>
    <n v="15.518411910669975"/>
    <n v="34"/>
    <x v="0"/>
    <s v="No"/>
    <n v="1977514.1"/>
    <n v="6186829"/>
    <n v="6.321329281187793E-2"/>
    <n v="16"/>
    <x v="0"/>
    <n v="2103521.8600000003"/>
    <n v="369"/>
    <x v="0"/>
    <x v="0"/>
    <n v="6186829"/>
    <n v="1"/>
    <n v="1"/>
    <s v="Highly Concentrated"/>
    <n v="6186829"/>
    <s v="Routine Market"/>
    <x v="0"/>
    <s v="No"/>
  </r>
  <r>
    <x v="8"/>
    <x v="8"/>
    <s v="Mucilages and thickeners"/>
    <x v="8"/>
    <x v="0"/>
    <x v="0"/>
    <s v="Carrageenan"/>
    <s v="Dairy / Processed Meat"/>
    <x v="10"/>
    <x v="1"/>
    <x v="0"/>
    <s v="X"/>
    <x v="10"/>
    <s v="Egypt"/>
    <s v="World"/>
    <s v="TOTAL CPC"/>
    <s v="TOTAL MOT"/>
    <n v="130239"/>
    <n v="292080"/>
    <n v="42503"/>
    <n v="0"/>
    <n v="42503"/>
    <s v="kg"/>
    <n v="42503"/>
    <s v="kg"/>
    <n v="1.389484063100993E-2"/>
    <n v="4"/>
    <x v="0"/>
    <n v="0"/>
    <n v="0"/>
    <n v="0"/>
    <n v="3.2821229382954242E-3"/>
    <n v="192"/>
    <n v="6.8719855069053946"/>
    <n v="34"/>
    <x v="0"/>
    <s v="No"/>
    <n v="1977514.1"/>
    <n v="6186829"/>
    <n v="6.321329281187793E-2"/>
    <n v="16"/>
    <x v="0"/>
    <n v="2103521.8600000003"/>
    <n v="369"/>
    <x v="0"/>
    <x v="0"/>
    <n v="6186829"/>
    <n v="1"/>
    <n v="1"/>
    <s v="Highly Concentrated"/>
    <n v="6186829"/>
    <s v="Routine Market"/>
    <x v="0"/>
    <s v="Yes"/>
  </r>
  <r>
    <x v="8"/>
    <x v="8"/>
    <s v="Mucilages and thickeners"/>
    <x v="8"/>
    <x v="0"/>
    <x v="0"/>
    <s v="Carrageenan"/>
    <s v="Dairy / Processed Meat"/>
    <x v="12"/>
    <x v="0"/>
    <x v="0"/>
    <s v="X"/>
    <x v="12"/>
    <s v="Egypt"/>
    <s v="World"/>
    <s v="TOTAL CPC"/>
    <s v="TOTAL MOT"/>
    <n v="130239"/>
    <n v="181917"/>
    <n v="18000"/>
    <n v="0"/>
    <n v="18000"/>
    <s v="kg"/>
    <n v="18000"/>
    <s v="kg"/>
    <n v="1.4561232389604124E-2"/>
    <n v="12"/>
    <x v="0"/>
    <n v="0"/>
    <n v="0"/>
    <n v="0"/>
    <n v="3.2821229382954242E-3"/>
    <n v="226"/>
    <n v="10.1065"/>
    <n v="34"/>
    <x v="0"/>
    <s v="No"/>
    <n v="1977514.1"/>
    <n v="6186829"/>
    <n v="6.321329281187793E-2"/>
    <n v="16"/>
    <x v="0"/>
    <n v="2103521.8600000003"/>
    <n v="369"/>
    <x v="0"/>
    <x v="0"/>
    <n v="6186829"/>
    <n v="1"/>
    <n v="1"/>
    <s v="Highly Concentrated"/>
    <n v="6186829"/>
    <s v="Routine Market"/>
    <x v="0"/>
    <s v="No"/>
  </r>
  <r>
    <x v="8"/>
    <x v="8"/>
    <s v="Mucilages and thickeners"/>
    <x v="8"/>
    <x v="0"/>
    <x v="0"/>
    <s v="Carrageenan"/>
    <s v="Dairy / Processed Meat"/>
    <x v="39"/>
    <x v="0"/>
    <x v="0"/>
    <s v="X"/>
    <x v="39"/>
    <s v="Egypt"/>
    <s v="World"/>
    <s v="TOTAL CPC"/>
    <s v="TOTAL MOT"/>
    <n v="130239"/>
    <n v="100098"/>
    <n v="23000"/>
    <n v="0"/>
    <n v="23000"/>
    <s v="kg"/>
    <n v="23000"/>
    <s v="kg"/>
    <n v="5.3102153280379235E-5"/>
    <n v="1"/>
    <x v="0"/>
    <n v="0"/>
    <n v="0"/>
    <n v="0"/>
    <n v="3.2821229382954242E-3"/>
    <n v="277"/>
    <n v="4.352086956521739"/>
    <n v="34"/>
    <x v="0"/>
    <s v="No"/>
    <n v="1977514.1"/>
    <n v="6186829"/>
    <n v="6.321329281187793E-2"/>
    <n v="16"/>
    <x v="0"/>
    <n v="2103521.8600000003"/>
    <n v="369"/>
    <x v="0"/>
    <x v="0"/>
    <n v="6186829"/>
    <n v="1"/>
    <n v="1"/>
    <s v="Highly Concentrated"/>
    <n v="6186829"/>
    <s v="Routine Market"/>
    <x v="0"/>
    <s v="Yes"/>
  </r>
  <r>
    <x v="8"/>
    <x v="8"/>
    <s v="Mucilages and thickeners"/>
    <x v="8"/>
    <x v="0"/>
    <x v="0"/>
    <s v="Carrageenan"/>
    <s v="Dairy / Processed Meat"/>
    <x v="40"/>
    <x v="0"/>
    <x v="0"/>
    <s v="X"/>
    <x v="40"/>
    <s v="Egypt"/>
    <s v="World"/>
    <s v="TOTAL CPC"/>
    <s v="TOTAL MOT"/>
    <n v="130239"/>
    <n v="1074786"/>
    <n v="131255"/>
    <n v="131255"/>
    <n v="131255"/>
    <s v="kg"/>
    <n v="131255"/>
    <s v="kg"/>
    <n v="5.701757369338615E-4"/>
    <n v="1"/>
    <x v="0"/>
    <n v="0"/>
    <n v="0"/>
    <n v="0"/>
    <n v="3.2821229382954242E-3"/>
    <n v="101"/>
    <n v="8.1885337701420902"/>
    <n v="34"/>
    <x v="0"/>
    <s v="No"/>
    <n v="1977514.1"/>
    <n v="6186829"/>
    <n v="6.321329281187793E-2"/>
    <n v="16"/>
    <x v="0"/>
    <n v="2103521.8600000003"/>
    <n v="369"/>
    <x v="0"/>
    <x v="0"/>
    <n v="6186829"/>
    <n v="1"/>
    <n v="1"/>
    <s v="Highly Concentrated"/>
    <n v="6186829"/>
    <s v="Routine Market"/>
    <x v="0"/>
    <s v="Yes"/>
  </r>
  <r>
    <x v="8"/>
    <x v="8"/>
    <s v="Mucilages and thickeners"/>
    <x v="8"/>
    <x v="0"/>
    <x v="0"/>
    <s v="Carrageenan"/>
    <s v="Dairy / Processed Meat"/>
    <x v="13"/>
    <x v="1"/>
    <x v="0"/>
    <s v="X"/>
    <x v="13"/>
    <s v="Egypt"/>
    <s v="World"/>
    <s v="TOTAL CPC"/>
    <s v="TOTAL MOT"/>
    <n v="130239"/>
    <n v="54383"/>
    <n v="3769"/>
    <n v="0"/>
    <n v="3769"/>
    <s v="kg"/>
    <n v="3769"/>
    <s v="kg"/>
    <n v="6.3855771678493602E-3"/>
    <n v="7"/>
    <x v="1"/>
    <n v="0.06"/>
    <n v="3262.98"/>
    <n v="226.14"/>
    <n v="3.2821229382954242E-3"/>
    <n v="319"/>
    <n v="14.429026266914301"/>
    <n v="34"/>
    <x v="0"/>
    <s v="No"/>
    <n v="1977514.1"/>
    <n v="6186829"/>
    <n v="6.321329281187793E-2"/>
    <n v="16"/>
    <x v="0"/>
    <n v="2103521.8600000003"/>
    <n v="369"/>
    <x v="0"/>
    <x v="0"/>
    <n v="6186829"/>
    <n v="1"/>
    <n v="1"/>
    <s v="Highly Concentrated"/>
    <n v="6186829"/>
    <s v="Routine Market"/>
    <x v="0"/>
    <s v="Yes"/>
  </r>
  <r>
    <x v="8"/>
    <x v="8"/>
    <s v="Mucilages and thickeners"/>
    <x v="8"/>
    <x v="0"/>
    <x v="0"/>
    <s v="Carrageenan"/>
    <s v="Dairy / Processed Meat"/>
    <x v="15"/>
    <x v="1"/>
    <x v="0"/>
    <s v="X"/>
    <x v="15"/>
    <s v="Egypt"/>
    <s v="World"/>
    <s v="TOTAL CPC"/>
    <s v="TOTAL MOT"/>
    <n v="130239"/>
    <n v="1307026"/>
    <n v="1323500"/>
    <n v="0"/>
    <n v="1323500"/>
    <s v="kg"/>
    <n v="1323500"/>
    <s v="kg"/>
    <n v="2.2441761060335613E-2"/>
    <n v="8"/>
    <x v="0"/>
    <n v="0"/>
    <n v="0"/>
    <n v="0"/>
    <n v="3.2821229382954242E-3"/>
    <n v="85"/>
    <n v="0.98755270117113714"/>
    <n v="34"/>
    <x v="0"/>
    <s v="No"/>
    <n v="1977514.1"/>
    <n v="6186829"/>
    <n v="6.321329281187793E-2"/>
    <n v="16"/>
    <x v="0"/>
    <n v="2103521.8600000003"/>
    <n v="369"/>
    <x v="0"/>
    <x v="0"/>
    <n v="6186829"/>
    <n v="1"/>
    <n v="1"/>
    <s v="Highly Concentrated"/>
    <n v="6186829"/>
    <s v="Routine Market"/>
    <x v="0"/>
    <s v="Yes"/>
  </r>
  <r>
    <x v="8"/>
    <x v="8"/>
    <s v="Mucilages and thickeners"/>
    <x v="8"/>
    <x v="0"/>
    <x v="0"/>
    <s v="Carrageenan"/>
    <s v="Dairy / Processed Meat"/>
    <x v="20"/>
    <x v="1"/>
    <x v="0"/>
    <s v="X"/>
    <x v="20"/>
    <s v="Egypt"/>
    <s v="World"/>
    <s v="TOTAL CPC"/>
    <s v="TOTAL MOT"/>
    <n v="130239"/>
    <n v="710929"/>
    <n v="94498.1"/>
    <n v="0"/>
    <n v="94498"/>
    <s v="kg"/>
    <n v="94498"/>
    <s v="kg"/>
    <n v="6.110186869383482E-3"/>
    <n v="6"/>
    <x v="0"/>
    <n v="0"/>
    <n v="0"/>
    <n v="0"/>
    <n v="3.2821229382954242E-3"/>
    <n v="124"/>
    <n v="7.5232094613542486"/>
    <n v="34"/>
    <x v="0"/>
    <s v="No"/>
    <n v="1977514.1"/>
    <n v="6186829"/>
    <n v="6.321329281187793E-2"/>
    <n v="16"/>
    <x v="0"/>
    <n v="2103521.8600000003"/>
    <n v="369"/>
    <x v="0"/>
    <x v="0"/>
    <n v="6186829"/>
    <n v="1"/>
    <n v="1"/>
    <s v="Highly Concentrated"/>
    <n v="6186829"/>
    <s v="Routine Market"/>
    <x v="0"/>
    <s v="Yes"/>
  </r>
  <r>
    <x v="8"/>
    <x v="8"/>
    <s v="Mucilages and thickeners"/>
    <x v="8"/>
    <x v="0"/>
    <x v="0"/>
    <s v="Carrageenan"/>
    <s v="Dairy / Processed Meat"/>
    <x v="17"/>
    <x v="0"/>
    <x v="0"/>
    <s v="X"/>
    <x v="17"/>
    <s v="Egypt"/>
    <s v="World"/>
    <s v="TOTAL CPC"/>
    <s v="TOTAL MOT"/>
    <n v="130239"/>
    <n v="5403"/>
    <n v="255"/>
    <n v="0"/>
    <n v="255"/>
    <s v="kg"/>
    <n v="255"/>
    <s v="kg"/>
    <n v="4.7522902002533667E-2"/>
    <n v="32"/>
    <x v="1"/>
    <n v="0.1"/>
    <n v="540.30000000000007"/>
    <n v="25.5"/>
    <n v="3.2821229382954242E-3"/>
    <n v="439"/>
    <n v="21.188235294117646"/>
    <n v="34"/>
    <x v="0"/>
    <s v="No"/>
    <n v="1977514.1"/>
    <n v="6186829"/>
    <n v="6.321329281187793E-2"/>
    <n v="16"/>
    <x v="0"/>
    <n v="2103521.8600000003"/>
    <n v="369"/>
    <x v="0"/>
    <x v="0"/>
    <n v="6186829"/>
    <n v="1"/>
    <n v="1"/>
    <s v="Highly Concentrated"/>
    <n v="6186829"/>
    <s v="Routine Market"/>
    <x v="0"/>
    <s v="No"/>
  </r>
  <r>
    <x v="8"/>
    <x v="8"/>
    <s v="Mucilages and thickeners"/>
    <x v="8"/>
    <x v="0"/>
    <x v="0"/>
    <s v="Carrageenan"/>
    <s v="Dairy / Processed Meat"/>
    <x v="21"/>
    <x v="0"/>
    <x v="0"/>
    <s v="X"/>
    <x v="21"/>
    <s v="Egypt"/>
    <s v="World"/>
    <s v="TOTAL CPC"/>
    <s v="TOTAL MOT"/>
    <n v="130239"/>
    <n v="18016"/>
    <n v="1000"/>
    <n v="0"/>
    <n v="1000"/>
    <s v="kg"/>
    <n v="1000"/>
    <s v="kg"/>
    <n v="1.3104801671892474E-3"/>
    <n v="11"/>
    <x v="0"/>
    <n v="0"/>
    <n v="0"/>
    <n v="0"/>
    <n v="3.2821229382954242E-3"/>
    <n v="385"/>
    <n v="18.015999999999998"/>
    <n v="34"/>
    <x v="0"/>
    <s v="No"/>
    <n v="1977514.1"/>
    <n v="6186829"/>
    <n v="6.321329281187793E-2"/>
    <n v="16"/>
    <x v="0"/>
    <n v="2103521.8600000003"/>
    <n v="369"/>
    <x v="0"/>
    <x v="0"/>
    <n v="6186829"/>
    <n v="1"/>
    <n v="1"/>
    <s v="Highly Concentrated"/>
    <n v="6186829"/>
    <s v="Routine Market"/>
    <x v="0"/>
    <s v="No"/>
  </r>
  <r>
    <x v="8"/>
    <x v="8"/>
    <s v="Mucilages and thickeners"/>
    <x v="8"/>
    <x v="0"/>
    <x v="0"/>
    <s v="Carrageenan"/>
    <s v="Dairy / Processed Meat"/>
    <x v="18"/>
    <x v="0"/>
    <x v="0"/>
    <s v="X"/>
    <x v="18"/>
    <s v="Egypt"/>
    <s v="World"/>
    <s v="TOTAL CPC"/>
    <s v="TOTAL MOT"/>
    <n v="130239"/>
    <n v="165809"/>
    <n v="6600"/>
    <n v="0"/>
    <n v="6600"/>
    <s v="kg"/>
    <n v="6600"/>
    <s v="kg"/>
    <n v="9.425427433633813E-3"/>
    <n v="11"/>
    <x v="1"/>
    <n v="4.0000000000000008E-2"/>
    <n v="6632.3600000000015"/>
    <n v="264.00000000000006"/>
    <n v="3.2821229382954242E-3"/>
    <n v="234"/>
    <n v="25.122575757575756"/>
    <n v="34"/>
    <x v="0"/>
    <s v="No"/>
    <n v="1977514.1"/>
    <n v="6186829"/>
    <n v="6.321329281187793E-2"/>
    <n v="16"/>
    <x v="0"/>
    <n v="2103521.8600000003"/>
    <n v="369"/>
    <x v="0"/>
    <x v="0"/>
    <n v="6186829"/>
    <n v="1"/>
    <n v="1"/>
    <s v="Highly Concentrated"/>
    <n v="6186829"/>
    <s v="Routine Market"/>
    <x v="0"/>
    <s v="No"/>
  </r>
  <r>
    <x v="9"/>
    <x v="9"/>
    <s v="Lactic acid and salts"/>
    <x v="9"/>
    <x v="1"/>
    <x v="1"/>
    <s v="Lactic Acid"/>
    <s v="Dairy / Meat / Sauces"/>
    <x v="41"/>
    <x v="1"/>
    <x v="0"/>
    <s v="X"/>
    <x v="41"/>
    <s v="Egypt"/>
    <s v="World"/>
    <s v="TOTAL CPC"/>
    <s v="TOTAL MOT"/>
    <n v="291811"/>
    <n v="36137"/>
    <n v="4500"/>
    <n v="0"/>
    <n v="4500"/>
    <s v="kg"/>
    <n v="4500"/>
    <s v="kg"/>
    <n v="9.4529556942970843E-5"/>
    <n v="2"/>
    <x v="0"/>
    <n v="0"/>
    <n v="0"/>
    <n v="0"/>
    <n v="1.0627836458986936E-3"/>
    <n v="340"/>
    <n v="8.0304444444444449"/>
    <n v="34"/>
    <x v="0"/>
    <s v="No"/>
    <n v="1513457.4"/>
    <n v="2003356"/>
    <n v="6.321329281187793E-2"/>
    <n v="12"/>
    <x v="0"/>
    <n v="681141.04"/>
    <n v="476"/>
    <x v="0"/>
    <x v="0"/>
    <n v="2003356"/>
    <n v="1"/>
    <n v="1"/>
    <s v="Highly Concentrated"/>
    <n v="2003356"/>
    <s v="Routine Market"/>
    <x v="0"/>
    <s v="Yes"/>
  </r>
  <r>
    <x v="9"/>
    <x v="9"/>
    <s v="Lactic acid and salts"/>
    <x v="9"/>
    <x v="1"/>
    <x v="1"/>
    <s v="Lactic Acid"/>
    <s v="Dairy / Meat / Sauces"/>
    <x v="1"/>
    <x v="1"/>
    <x v="0"/>
    <s v="X"/>
    <x v="1"/>
    <s v="Egypt"/>
    <s v="World"/>
    <s v="TOTAL CPC"/>
    <s v="TOTAL MOT"/>
    <n v="291811"/>
    <n v="182757"/>
    <n v="74790.5"/>
    <n v="0"/>
    <n v="74791"/>
    <s v="kg"/>
    <n v="74791"/>
    <s v="kg"/>
    <n v="5.3992075088500962E-3"/>
    <n v="7"/>
    <x v="0"/>
    <n v="0"/>
    <n v="0"/>
    <n v="0"/>
    <n v="1.0627836458986936E-3"/>
    <n v="225"/>
    <n v="2.4435857495270121"/>
    <n v="34"/>
    <x v="0"/>
    <s v="No"/>
    <n v="1513457.4"/>
    <n v="2003356"/>
    <n v="6.321329281187793E-2"/>
    <n v="12"/>
    <x v="0"/>
    <n v="681141.04"/>
    <n v="476"/>
    <x v="0"/>
    <x v="0"/>
    <n v="2003356"/>
    <n v="1"/>
    <n v="1"/>
    <s v="Highly Concentrated"/>
    <n v="2003356"/>
    <s v="Routine Market"/>
    <x v="0"/>
    <s v="Yes"/>
  </r>
  <r>
    <x v="9"/>
    <x v="9"/>
    <s v="Lactic acid and salts"/>
    <x v="9"/>
    <x v="1"/>
    <x v="1"/>
    <s v="Lactic Acid"/>
    <s v="Dairy / Meat / Sauces"/>
    <x v="3"/>
    <x v="0"/>
    <x v="0"/>
    <s v="X"/>
    <x v="3"/>
    <s v="Egypt"/>
    <s v="World"/>
    <s v="TOTAL CPC"/>
    <s v="TOTAL MOT"/>
    <n v="291811"/>
    <n v="1109353"/>
    <n v="1095525"/>
    <n v="0"/>
    <n v="1095525"/>
    <s v="kg"/>
    <n v="1095525"/>
    <s v="kg"/>
    <n v="6.321329281187793E-2"/>
    <n v="21"/>
    <x v="1"/>
    <n v="0.14000000000000001"/>
    <n v="155309.42000000001"/>
    <n v="153373.50000000003"/>
    <n v="1.0627836458986936E-3"/>
    <n v="99"/>
    <n v="1.0126222587343967"/>
    <n v="34"/>
    <x v="0"/>
    <s v="No"/>
    <n v="1513457.4"/>
    <n v="2003356"/>
    <n v="6.321329281187793E-2"/>
    <n v="12"/>
    <x v="0"/>
    <n v="681141.04"/>
    <n v="476"/>
    <x v="0"/>
    <x v="0"/>
    <n v="2003356"/>
    <n v="1"/>
    <n v="1"/>
    <s v="Highly Concentrated"/>
    <n v="2003356"/>
    <s v="Routine Market"/>
    <x v="0"/>
    <s v="No"/>
  </r>
  <r>
    <x v="9"/>
    <x v="9"/>
    <s v="Lactic acid and salts"/>
    <x v="9"/>
    <x v="1"/>
    <x v="1"/>
    <s v="Lactic Acid"/>
    <s v="Dairy / Meat / Sauces"/>
    <x v="6"/>
    <x v="0"/>
    <x v="0"/>
    <s v="X"/>
    <x v="6"/>
    <s v="Egypt"/>
    <s v="World"/>
    <s v="TOTAL CPC"/>
    <s v="TOTAL MOT"/>
    <n v="291811"/>
    <n v="134312"/>
    <n v="97250"/>
    <n v="0"/>
    <n v="97250"/>
    <s v="kg"/>
    <n v="97250"/>
    <s v="kg"/>
    <n v="1.6951290293147386E-2"/>
    <n v="22"/>
    <x v="0"/>
    <n v="0"/>
    <n v="0"/>
    <n v="0"/>
    <n v="1.0627836458986936E-3"/>
    <n v="256"/>
    <n v="1.3811002570694086"/>
    <n v="34"/>
    <x v="0"/>
    <s v="No"/>
    <n v="1513457.4"/>
    <n v="2003356"/>
    <n v="6.321329281187793E-2"/>
    <n v="12"/>
    <x v="0"/>
    <n v="681141.04"/>
    <n v="476"/>
    <x v="0"/>
    <x v="0"/>
    <n v="2003356"/>
    <n v="1"/>
    <n v="1"/>
    <s v="Highly Concentrated"/>
    <n v="2003356"/>
    <s v="Routine Market"/>
    <x v="0"/>
    <s v="No"/>
  </r>
  <r>
    <x v="9"/>
    <x v="9"/>
    <s v="Lactic acid and salts"/>
    <x v="9"/>
    <x v="1"/>
    <x v="1"/>
    <s v="Lactic Acid"/>
    <s v="Dairy / Meat / Sauces"/>
    <x v="7"/>
    <x v="0"/>
    <x v="0"/>
    <s v="X"/>
    <x v="7"/>
    <s v="Egypt"/>
    <s v="World"/>
    <s v="TOTAL CPC"/>
    <s v="TOTAL MOT"/>
    <n v="291811"/>
    <n v="41393"/>
    <n v="7680.9"/>
    <n v="0"/>
    <n v="7681"/>
    <s v="kg"/>
    <n v="0"/>
    <s v="N/A"/>
    <n v="1.1674623358397021E-2"/>
    <n v="27"/>
    <x v="0"/>
    <n v="0"/>
    <n v="0"/>
    <n v="0"/>
    <n v="1.0627836458986936E-3"/>
    <n v="331"/>
    <n v="5.3890820086187823"/>
    <n v="34"/>
    <x v="0"/>
    <s v="No"/>
    <n v="1513457.4"/>
    <n v="2003356"/>
    <n v="6.321329281187793E-2"/>
    <n v="12"/>
    <x v="0"/>
    <n v="681141.04"/>
    <n v="476"/>
    <x v="0"/>
    <x v="0"/>
    <n v="2003356"/>
    <n v="1"/>
    <n v="1"/>
    <s v="Highly Concentrated"/>
    <n v="2003356"/>
    <s v="Routine Market"/>
    <x v="0"/>
    <s v="No"/>
  </r>
  <r>
    <x v="9"/>
    <x v="9"/>
    <s v="Lactic acid and salts"/>
    <x v="9"/>
    <x v="1"/>
    <x v="1"/>
    <s v="Lactic Acid"/>
    <s v="Dairy / Meat / Sauces"/>
    <x v="37"/>
    <x v="1"/>
    <x v="0"/>
    <s v="X"/>
    <x v="37"/>
    <s v="Egypt"/>
    <s v="World"/>
    <s v="TOTAL CPC"/>
    <s v="TOTAL MOT"/>
    <n v="291811"/>
    <n v="12909"/>
    <n v="920"/>
    <n v="0"/>
    <n v="920"/>
    <s v="kg"/>
    <n v="920"/>
    <s v="kg"/>
    <n v="1.4722693747111796E-4"/>
    <n v="3"/>
    <x v="0"/>
    <n v="0"/>
    <n v="0"/>
    <n v="0"/>
    <n v="1.0627836458986936E-3"/>
    <n v="401"/>
    <n v="14.031521739130435"/>
    <n v="34"/>
    <x v="0"/>
    <s v="No"/>
    <n v="1513457.4"/>
    <n v="2003356"/>
    <n v="6.321329281187793E-2"/>
    <n v="12"/>
    <x v="0"/>
    <n v="681141.04"/>
    <n v="476"/>
    <x v="0"/>
    <x v="0"/>
    <n v="2003356"/>
    <n v="1"/>
    <n v="1"/>
    <s v="Highly Concentrated"/>
    <n v="2003356"/>
    <s v="Routine Market"/>
    <x v="0"/>
    <s v="Yes"/>
  </r>
  <r>
    <x v="9"/>
    <x v="9"/>
    <s v="Lactic acid and salts"/>
    <x v="9"/>
    <x v="1"/>
    <x v="1"/>
    <s v="Lactic Acid"/>
    <s v="Dairy / Meat / Sauces"/>
    <x v="15"/>
    <x v="0"/>
    <x v="0"/>
    <s v="X"/>
    <x v="15"/>
    <s v="Egypt"/>
    <s v="World"/>
    <s v="TOTAL CPC"/>
    <s v="TOTAL MOT"/>
    <n v="291811"/>
    <n v="113648"/>
    <n v="13859"/>
    <n v="0"/>
    <n v="13859"/>
    <s v="kg"/>
    <n v="13859"/>
    <s v="kg"/>
    <n v="2.2441761060335613E-2"/>
    <n v="22"/>
    <x v="0"/>
    <n v="0"/>
    <n v="0"/>
    <n v="0"/>
    <n v="1.0627836458986936E-3"/>
    <n v="267"/>
    <n v="8.200303052168266"/>
    <n v="34"/>
    <x v="0"/>
    <s v="No"/>
    <n v="1513457.4"/>
    <n v="2003356"/>
    <n v="6.321329281187793E-2"/>
    <n v="12"/>
    <x v="0"/>
    <n v="681141.04"/>
    <n v="476"/>
    <x v="0"/>
    <x v="0"/>
    <n v="2003356"/>
    <n v="1"/>
    <n v="1"/>
    <s v="Highly Concentrated"/>
    <n v="2003356"/>
    <s v="Routine Market"/>
    <x v="0"/>
    <s v="No"/>
  </r>
  <r>
    <x v="9"/>
    <x v="9"/>
    <s v="Lactic acid and salts"/>
    <x v="9"/>
    <x v="1"/>
    <x v="1"/>
    <s v="Lactic Acid"/>
    <s v="Dairy / Meat / Sauces"/>
    <x v="16"/>
    <x v="1"/>
    <x v="0"/>
    <s v="X"/>
    <x v="16"/>
    <s v="Egypt"/>
    <s v="World"/>
    <s v="TOTAL CPC"/>
    <s v="TOTAL MOT"/>
    <n v="291811"/>
    <n v="63"/>
    <n v="1"/>
    <n v="0"/>
    <n v="1"/>
    <s v="kg"/>
    <n v="1"/>
    <s v="kg"/>
    <n v="8.2796770445636432E-4"/>
    <n v="7"/>
    <x v="1"/>
    <n v="0.06"/>
    <n v="3.78"/>
    <n v="0.06"/>
    <n v="1.0627836458986936E-3"/>
    <n v="524"/>
    <n v="63"/>
    <n v="34"/>
    <x v="0"/>
    <s v="No"/>
    <n v="1513457.4"/>
    <n v="2003356"/>
    <n v="6.321329281187793E-2"/>
    <n v="12"/>
    <x v="0"/>
    <n v="681141.04"/>
    <n v="476"/>
    <x v="0"/>
    <x v="0"/>
    <n v="2003356"/>
    <n v="1"/>
    <n v="1"/>
    <s v="Highly Concentrated"/>
    <n v="2003356"/>
    <s v="Routine Market"/>
    <x v="0"/>
    <s v="Yes"/>
  </r>
  <r>
    <x v="9"/>
    <x v="9"/>
    <s v="Lactic acid and salts"/>
    <x v="9"/>
    <x v="1"/>
    <x v="1"/>
    <s v="Lactic Acid"/>
    <s v="Dairy / Meat / Sauces"/>
    <x v="20"/>
    <x v="1"/>
    <x v="0"/>
    <s v="X"/>
    <x v="20"/>
    <s v="Egypt"/>
    <s v="World"/>
    <s v="TOTAL CPC"/>
    <s v="TOTAL MOT"/>
    <n v="291811"/>
    <n v="350832"/>
    <n v="215730"/>
    <n v="0"/>
    <n v="215730"/>
    <s v="kg"/>
    <n v="215730"/>
    <s v="kg"/>
    <n v="6.110186869383482E-3"/>
    <n v="9"/>
    <x v="0"/>
    <n v="0"/>
    <n v="0"/>
    <n v="0"/>
    <n v="1.0627836458986936E-3"/>
    <n v="176"/>
    <n v="1.6262550410235015"/>
    <n v="34"/>
    <x v="0"/>
    <s v="No"/>
    <n v="1513457.4"/>
    <n v="2003356"/>
    <n v="6.321329281187793E-2"/>
    <n v="12"/>
    <x v="0"/>
    <n v="681141.04"/>
    <n v="476"/>
    <x v="0"/>
    <x v="0"/>
    <n v="2003356"/>
    <n v="1"/>
    <n v="1"/>
    <s v="Highly Concentrated"/>
    <n v="2003356"/>
    <s v="Routine Market"/>
    <x v="0"/>
    <s v="Yes"/>
  </r>
  <r>
    <x v="9"/>
    <x v="9"/>
    <s v="Lactic acid and salts"/>
    <x v="9"/>
    <x v="1"/>
    <x v="1"/>
    <s v="Lactic Acid"/>
    <s v="Dairy / Meat / Sauces"/>
    <x v="17"/>
    <x v="0"/>
    <x v="0"/>
    <s v="X"/>
    <x v="17"/>
    <s v="Egypt"/>
    <s v="World"/>
    <s v="TOTAL CPC"/>
    <s v="TOTAL MOT"/>
    <n v="291811"/>
    <n v="5646"/>
    <n v="1286"/>
    <n v="0"/>
    <n v="1286"/>
    <s v="kg"/>
    <n v="1286"/>
    <s v="kg"/>
    <n v="4.7522902002533667E-2"/>
    <n v="31"/>
    <x v="1"/>
    <n v="0.1"/>
    <n v="564.6"/>
    <n v="128.6"/>
    <n v="1.0627836458986936E-3"/>
    <n v="435"/>
    <n v="4.3903576982892689"/>
    <n v="34"/>
    <x v="0"/>
    <s v="No"/>
    <n v="1513457.4"/>
    <n v="2003356"/>
    <n v="6.321329281187793E-2"/>
    <n v="12"/>
    <x v="0"/>
    <n v="681141.04"/>
    <n v="476"/>
    <x v="0"/>
    <x v="0"/>
    <n v="2003356"/>
    <n v="1"/>
    <n v="1"/>
    <s v="Highly Concentrated"/>
    <n v="2003356"/>
    <s v="Routine Market"/>
    <x v="0"/>
    <s v="No"/>
  </r>
  <r>
    <x v="9"/>
    <x v="9"/>
    <s v="Lactic acid and salts"/>
    <x v="9"/>
    <x v="1"/>
    <x v="1"/>
    <s v="Lactic Acid"/>
    <s v="Dairy / Meat / Sauces"/>
    <x v="21"/>
    <x v="0"/>
    <x v="0"/>
    <s v="X"/>
    <x v="21"/>
    <s v="Egypt"/>
    <s v="World"/>
    <s v="TOTAL CPC"/>
    <s v="TOTAL MOT"/>
    <n v="291811"/>
    <n v="4606"/>
    <n v="302"/>
    <n v="0"/>
    <n v="302"/>
    <s v="kg"/>
    <n v="302"/>
    <s v="kg"/>
    <n v="1.3104801671892474E-3"/>
    <n v="18"/>
    <x v="0"/>
    <n v="0"/>
    <n v="0"/>
    <n v="0"/>
    <n v="1.0627836458986936E-3"/>
    <n v="444"/>
    <n v="15.251655629139073"/>
    <n v="34"/>
    <x v="0"/>
    <s v="No"/>
    <n v="1513457.4"/>
    <n v="2003356"/>
    <n v="6.321329281187793E-2"/>
    <n v="12"/>
    <x v="0"/>
    <n v="681141.04"/>
    <n v="476"/>
    <x v="0"/>
    <x v="0"/>
    <n v="2003356"/>
    <n v="1"/>
    <n v="1"/>
    <s v="Highly Concentrated"/>
    <n v="2003356"/>
    <s v="Routine Market"/>
    <x v="0"/>
    <s v="No"/>
  </r>
  <r>
    <x v="9"/>
    <x v="9"/>
    <s v="Lactic acid and salts"/>
    <x v="9"/>
    <x v="1"/>
    <x v="1"/>
    <s v="Lactic Acid"/>
    <s v="Dairy / Meat / Sauces"/>
    <x v="18"/>
    <x v="0"/>
    <x v="0"/>
    <s v="X"/>
    <x v="18"/>
    <s v="Egypt"/>
    <s v="World"/>
    <s v="TOTAL CPC"/>
    <s v="TOTAL MOT"/>
    <n v="291811"/>
    <n v="11700"/>
    <n v="1613"/>
    <n v="0"/>
    <n v="1613"/>
    <s v="kg"/>
    <n v="1613"/>
    <s v="kg"/>
    <n v="9.425427433633813E-3"/>
    <n v="22"/>
    <x v="1"/>
    <n v="4.0000000000000008E-2"/>
    <n v="468.00000000000011"/>
    <n v="64.52000000000001"/>
    <n v="1.0627836458986936E-3"/>
    <n v="403"/>
    <n v="7.2535647861128334"/>
    <n v="34"/>
    <x v="0"/>
    <s v="No"/>
    <n v="1513457.4"/>
    <n v="2003356"/>
    <n v="6.321329281187793E-2"/>
    <n v="12"/>
    <x v="0"/>
    <n v="681141.04"/>
    <n v="476"/>
    <x v="0"/>
    <x v="0"/>
    <n v="2003356"/>
    <n v="1"/>
    <n v="1"/>
    <s v="Highly Concentrated"/>
    <n v="2003356"/>
    <s v="Routine Market"/>
    <x v="0"/>
    <s v="No"/>
  </r>
  <r>
    <x v="10"/>
    <x v="10"/>
    <s v="Phosphoric acid"/>
    <x v="10"/>
    <x v="1"/>
    <x v="5"/>
    <s v="Phosphoric Acid"/>
    <s v="Beverages"/>
    <x v="1"/>
    <x v="1"/>
    <x v="0"/>
    <s v="X"/>
    <x v="1"/>
    <s v="Egypt"/>
    <s v="World"/>
    <s v="TOTAL CPC"/>
    <s v="TOTAL MOT"/>
    <n v="280920"/>
    <n v="1035506"/>
    <n v="906467"/>
    <n v="0"/>
    <n v="906467"/>
    <s v="kg"/>
    <n v="530216"/>
    <s v="kg P2O5"/>
    <n v="5.3992075088500962E-3"/>
    <n v="3"/>
    <x v="0"/>
    <n v="0"/>
    <n v="0"/>
    <n v="0"/>
    <n v="6.8681310097102564E-3"/>
    <n v="105"/>
    <n v="1.142353775702811"/>
    <n v="34"/>
    <x v="0"/>
    <s v="No"/>
    <n v="17237347.600000001"/>
    <n v="12946484"/>
    <n v="6.321329281187793E-2"/>
    <n v="12"/>
    <x v="0"/>
    <n v="4401804.5600000005"/>
    <n v="209"/>
    <x v="0"/>
    <x v="0"/>
    <n v="12946484"/>
    <n v="1"/>
    <n v="1"/>
    <s v="Highly Concentrated"/>
    <n v="12946484"/>
    <s v="Medium Opportunity"/>
    <x v="0"/>
    <s v="Yes"/>
  </r>
  <r>
    <x v="10"/>
    <x v="10"/>
    <s v="Phosphoric acid"/>
    <x v="10"/>
    <x v="1"/>
    <x v="5"/>
    <s v="Phosphoric Acid"/>
    <s v="Beverages"/>
    <x v="3"/>
    <x v="0"/>
    <x v="0"/>
    <s v="X"/>
    <x v="3"/>
    <s v="Egypt"/>
    <s v="World"/>
    <s v="TOTAL CPC"/>
    <s v="TOTAL MOT"/>
    <n v="280920"/>
    <n v="3804710"/>
    <n v="3759849"/>
    <n v="0"/>
    <n v="3759849"/>
    <s v="kg"/>
    <n v="3759849"/>
    <s v="kg"/>
    <n v="6.321329281187793E-2"/>
    <n v="11"/>
    <x v="1"/>
    <n v="0.14000000000000001"/>
    <n v="532659.4"/>
    <n v="526378.8600000001"/>
    <n v="6.8681310097102564E-3"/>
    <n v="37"/>
    <n v="1.0119315961891022"/>
    <n v="34"/>
    <x v="0"/>
    <s v="No"/>
    <n v="17237347.600000001"/>
    <n v="12946484"/>
    <n v="6.321329281187793E-2"/>
    <n v="12"/>
    <x v="0"/>
    <n v="4401804.5600000005"/>
    <n v="209"/>
    <x v="0"/>
    <x v="0"/>
    <n v="12946484"/>
    <n v="1"/>
    <n v="1"/>
    <s v="Highly Concentrated"/>
    <n v="12946484"/>
    <s v="Medium Opportunity"/>
    <x v="0"/>
    <s v="No"/>
  </r>
  <r>
    <x v="10"/>
    <x v="10"/>
    <s v="Phosphoric acid"/>
    <x v="10"/>
    <x v="1"/>
    <x v="5"/>
    <s v="Phosphoric Acid"/>
    <s v="Beverages"/>
    <x v="7"/>
    <x v="0"/>
    <x v="0"/>
    <s v="X"/>
    <x v="7"/>
    <s v="Egypt"/>
    <s v="World"/>
    <s v="TOTAL CPC"/>
    <s v="TOTAL MOT"/>
    <n v="280920"/>
    <n v="39503"/>
    <n v="20033"/>
    <n v="0"/>
    <n v="20033"/>
    <s v="kg"/>
    <n v="9928"/>
    <s v="kg P2O5"/>
    <n v="1.1674623358397021E-2"/>
    <n v="28"/>
    <x v="0"/>
    <n v="0"/>
    <n v="0"/>
    <n v="0"/>
    <n v="6.8681310097102564E-3"/>
    <n v="332"/>
    <n v="1.9718963709878701"/>
    <n v="34"/>
    <x v="0"/>
    <s v="No"/>
    <n v="17237347.600000001"/>
    <n v="12946484"/>
    <n v="6.321329281187793E-2"/>
    <n v="12"/>
    <x v="0"/>
    <n v="4401804.5600000005"/>
    <n v="209"/>
    <x v="0"/>
    <x v="0"/>
    <n v="12946484"/>
    <n v="1"/>
    <n v="1"/>
    <s v="Highly Concentrated"/>
    <n v="12946484"/>
    <s v="Medium Opportunity"/>
    <x v="0"/>
    <s v="No"/>
  </r>
  <r>
    <x v="10"/>
    <x v="10"/>
    <s v="Phosphoric acid"/>
    <x v="10"/>
    <x v="1"/>
    <x v="5"/>
    <s v="Phosphoric Acid"/>
    <s v="Beverages"/>
    <x v="8"/>
    <x v="0"/>
    <x v="0"/>
    <s v="X"/>
    <x v="8"/>
    <s v="Egypt"/>
    <s v="World"/>
    <s v="TOTAL CPC"/>
    <s v="TOTAL MOT"/>
    <n v="280920"/>
    <n v="2"/>
    <n v="1"/>
    <n v="0"/>
    <n v="1"/>
    <s v="kg"/>
    <n v="1"/>
    <s v="kg"/>
    <n v="4.9588465845200368E-3"/>
    <n v="14"/>
    <x v="0"/>
    <n v="0"/>
    <n v="0"/>
    <n v="0"/>
    <n v="6.8681310097102564E-3"/>
    <n v="536"/>
    <n v="2"/>
    <n v="34"/>
    <x v="0"/>
    <s v="No"/>
    <n v="17237347.600000001"/>
    <n v="12946484"/>
    <n v="6.321329281187793E-2"/>
    <n v="12"/>
    <x v="0"/>
    <n v="4401804.5600000005"/>
    <n v="209"/>
    <x v="0"/>
    <x v="0"/>
    <n v="12946484"/>
    <n v="1"/>
    <n v="1"/>
    <s v="Highly Concentrated"/>
    <n v="12946484"/>
    <s v="Medium Opportunity"/>
    <x v="0"/>
    <s v="No"/>
  </r>
  <r>
    <x v="10"/>
    <x v="10"/>
    <s v="Phosphoric acid"/>
    <x v="10"/>
    <x v="1"/>
    <x v="5"/>
    <s v="Phosphoric Acid"/>
    <s v="Beverages"/>
    <x v="9"/>
    <x v="0"/>
    <x v="0"/>
    <s v="X"/>
    <x v="9"/>
    <s v="Egypt"/>
    <s v="World"/>
    <s v="TOTAL CPC"/>
    <s v="TOTAL MOT"/>
    <n v="280920"/>
    <n v="5644"/>
    <n v="602"/>
    <n v="0"/>
    <n v="602"/>
    <s v="kg"/>
    <n v="11"/>
    <s v="kg P2O5"/>
    <n v="1.1178535358665947E-2"/>
    <n v="21"/>
    <x v="0"/>
    <n v="0"/>
    <n v="0"/>
    <n v="0"/>
    <n v="6.8681310097102564E-3"/>
    <n v="436"/>
    <n v="9.3754152823920265"/>
    <n v="34"/>
    <x v="0"/>
    <s v="No"/>
    <n v="17237347.600000001"/>
    <n v="12946484"/>
    <n v="6.321329281187793E-2"/>
    <n v="12"/>
    <x v="0"/>
    <n v="4401804.5600000005"/>
    <n v="209"/>
    <x v="0"/>
    <x v="0"/>
    <n v="12946484"/>
    <n v="1"/>
    <n v="1"/>
    <s v="Highly Concentrated"/>
    <n v="12946484"/>
    <s v="Medium Opportunity"/>
    <x v="0"/>
    <s v="No"/>
  </r>
  <r>
    <x v="10"/>
    <x v="10"/>
    <s v="Phosphoric acid"/>
    <x v="10"/>
    <x v="1"/>
    <x v="5"/>
    <s v="Phosphoric Acid"/>
    <s v="Beverages"/>
    <x v="42"/>
    <x v="0"/>
    <x v="0"/>
    <s v="X"/>
    <x v="42"/>
    <s v="Egypt"/>
    <s v="World"/>
    <s v="TOTAL CPC"/>
    <s v="TOTAL MOT"/>
    <n v="280920"/>
    <n v="5276376"/>
    <n v="9086470"/>
    <n v="0"/>
    <n v="9086470"/>
    <s v="kg"/>
    <n v="9086470"/>
    <s v="kg"/>
    <n v="2.8246411344990648E-3"/>
    <n v="1"/>
    <x v="0"/>
    <n v="0"/>
    <n v="0"/>
    <n v="0"/>
    <n v="6.8681310097102564E-3"/>
    <n v="30"/>
    <n v="0.58068490844079168"/>
    <n v="34"/>
    <x v="0"/>
    <s v="No"/>
    <n v="17237347.600000001"/>
    <n v="12946484"/>
    <n v="6.321329281187793E-2"/>
    <n v="12"/>
    <x v="0"/>
    <n v="4401804.5600000005"/>
    <n v="209"/>
    <x v="0"/>
    <x v="0"/>
    <n v="12946484"/>
    <n v="1"/>
    <n v="1"/>
    <s v="Highly Concentrated"/>
    <n v="12946484"/>
    <s v="Medium Opportunity"/>
    <x v="0"/>
    <s v="Yes"/>
  </r>
  <r>
    <x v="10"/>
    <x v="10"/>
    <s v="Phosphoric acid"/>
    <x v="10"/>
    <x v="1"/>
    <x v="5"/>
    <s v="Phosphoric Acid"/>
    <s v="Beverages"/>
    <x v="19"/>
    <x v="0"/>
    <x v="0"/>
    <s v="X"/>
    <x v="19"/>
    <s v="Egypt"/>
    <s v="World"/>
    <s v="TOTAL CPC"/>
    <s v="TOTAL MOT"/>
    <n v="280920"/>
    <n v="1787417"/>
    <n v="2727880"/>
    <n v="0"/>
    <n v="2727880"/>
    <s v="kg"/>
    <n v="2727880"/>
    <s v="kg P2O5"/>
    <n v="1.4429559760252854E-3"/>
    <n v="1"/>
    <x v="0"/>
    <n v="0"/>
    <n v="0"/>
    <n v="0"/>
    <n v="6.8681310097102564E-3"/>
    <n v="66"/>
    <n v="0.65524033315248476"/>
    <n v="34"/>
    <x v="0"/>
    <s v="No"/>
    <n v="17237347.600000001"/>
    <n v="12946484"/>
    <n v="6.321329281187793E-2"/>
    <n v="12"/>
    <x v="0"/>
    <n v="4401804.5600000005"/>
    <n v="209"/>
    <x v="0"/>
    <x v="0"/>
    <n v="12946484"/>
    <n v="1"/>
    <n v="1"/>
    <s v="Highly Concentrated"/>
    <n v="12946484"/>
    <s v="Medium Opportunity"/>
    <x v="0"/>
    <s v="Yes"/>
  </r>
  <r>
    <x v="10"/>
    <x v="10"/>
    <s v="Phosphoric acid"/>
    <x v="10"/>
    <x v="1"/>
    <x v="5"/>
    <s v="Phosphoric Acid"/>
    <s v="Beverages"/>
    <x v="15"/>
    <x v="0"/>
    <x v="0"/>
    <s v="X"/>
    <x v="15"/>
    <s v="Egypt"/>
    <s v="World"/>
    <s v="TOTAL CPC"/>
    <s v="TOTAL MOT"/>
    <n v="280920"/>
    <n v="91645"/>
    <n v="45781"/>
    <n v="0"/>
    <n v="45781"/>
    <s v="kg"/>
    <n v="45781"/>
    <s v="kg"/>
    <n v="2.2441761060335613E-2"/>
    <n v="23"/>
    <x v="0"/>
    <n v="0"/>
    <n v="0"/>
    <n v="0"/>
    <n v="6.8681310097102564E-3"/>
    <n v="280"/>
    <n v="2.0018129791835042"/>
    <n v="34"/>
    <x v="0"/>
    <s v="No"/>
    <n v="17237347.600000001"/>
    <n v="12946484"/>
    <n v="6.321329281187793E-2"/>
    <n v="12"/>
    <x v="0"/>
    <n v="4401804.5600000005"/>
    <n v="209"/>
    <x v="0"/>
    <x v="0"/>
    <n v="12946484"/>
    <n v="1"/>
    <n v="1"/>
    <s v="Highly Concentrated"/>
    <n v="12946484"/>
    <s v="Medium Opportunity"/>
    <x v="0"/>
    <s v="No"/>
  </r>
  <r>
    <x v="10"/>
    <x v="10"/>
    <s v="Phosphoric acid"/>
    <x v="10"/>
    <x v="1"/>
    <x v="5"/>
    <s v="Phosphoric Acid"/>
    <s v="Beverages"/>
    <x v="22"/>
    <x v="0"/>
    <x v="0"/>
    <s v="X"/>
    <x v="22"/>
    <s v="Egypt"/>
    <s v="World"/>
    <s v="TOTAL CPC"/>
    <s v="TOTAL MOT"/>
    <n v="280920"/>
    <n v="214762"/>
    <n v="64680"/>
    <n v="0"/>
    <n v="64680"/>
    <s v="kg"/>
    <n v="64680"/>
    <s v="kg"/>
    <n v="1.3832724193842358E-4"/>
    <n v="1"/>
    <x v="0"/>
    <n v="0"/>
    <n v="0"/>
    <n v="0"/>
    <n v="6.8681310097102564E-3"/>
    <n v="213"/>
    <n v="3.3203772418058133"/>
    <n v="34"/>
    <x v="0"/>
    <s v="No"/>
    <n v="17237347.600000001"/>
    <n v="12946484"/>
    <n v="6.321329281187793E-2"/>
    <n v="12"/>
    <x v="0"/>
    <n v="4401804.5600000005"/>
    <n v="209"/>
    <x v="0"/>
    <x v="0"/>
    <n v="12946484"/>
    <n v="1"/>
    <n v="1"/>
    <s v="Highly Concentrated"/>
    <n v="12946484"/>
    <s v="Medium Opportunity"/>
    <x v="0"/>
    <s v="Yes"/>
  </r>
  <r>
    <x v="10"/>
    <x v="10"/>
    <s v="Phosphoric acid"/>
    <x v="10"/>
    <x v="1"/>
    <x v="5"/>
    <s v="Phosphoric Acid"/>
    <s v="Beverages"/>
    <x v="20"/>
    <x v="0"/>
    <x v="0"/>
    <s v="X"/>
    <x v="20"/>
    <s v="Egypt"/>
    <s v="World"/>
    <s v="TOTAL CPC"/>
    <s v="TOTAL MOT"/>
    <n v="280920"/>
    <n v="654"/>
    <n v="127.6"/>
    <n v="0"/>
    <n v="128"/>
    <s v="kg"/>
    <n v="134"/>
    <s v="kg P2O5"/>
    <n v="6.110186869383482E-3"/>
    <n v="24"/>
    <x v="0"/>
    <n v="0"/>
    <n v="0"/>
    <n v="0"/>
    <n v="6.8681310097102564E-3"/>
    <n v="492"/>
    <n v="5.1253918495297812"/>
    <n v="34"/>
    <x v="0"/>
    <s v="No"/>
    <n v="17237347.600000001"/>
    <n v="12946484"/>
    <n v="6.321329281187793E-2"/>
    <n v="12"/>
    <x v="0"/>
    <n v="4401804.5600000005"/>
    <n v="209"/>
    <x v="0"/>
    <x v="0"/>
    <n v="12946484"/>
    <n v="1"/>
    <n v="1"/>
    <s v="Highly Concentrated"/>
    <n v="12946484"/>
    <s v="Medium Opportunity"/>
    <x v="0"/>
    <s v="No"/>
  </r>
  <r>
    <x v="10"/>
    <x v="10"/>
    <s v="Phosphoric acid"/>
    <x v="10"/>
    <x v="1"/>
    <x v="5"/>
    <s v="Phosphoric Acid"/>
    <s v="Beverages"/>
    <x v="17"/>
    <x v="0"/>
    <x v="0"/>
    <s v="X"/>
    <x v="17"/>
    <s v="Egypt"/>
    <s v="World"/>
    <s v="TOTAL CPC"/>
    <s v="TOTAL MOT"/>
    <n v="280920"/>
    <n v="685163"/>
    <n v="624430"/>
    <n v="0"/>
    <n v="624430"/>
    <s v="kg"/>
    <n v="624430"/>
    <s v="kg P2O5"/>
    <n v="4.7522902002533667E-2"/>
    <n v="13"/>
    <x v="1"/>
    <n v="0.1"/>
    <n v="68516.3"/>
    <n v="62443"/>
    <n v="6.8681310097102564E-3"/>
    <n v="128"/>
    <n v="1.0972615024902712"/>
    <n v="34"/>
    <x v="0"/>
    <s v="No"/>
    <n v="17237347.600000001"/>
    <n v="12946484"/>
    <n v="6.321329281187793E-2"/>
    <n v="12"/>
    <x v="0"/>
    <n v="4401804.5600000005"/>
    <n v="209"/>
    <x v="0"/>
    <x v="0"/>
    <n v="12946484"/>
    <n v="1"/>
    <n v="1"/>
    <s v="Highly Concentrated"/>
    <n v="12946484"/>
    <s v="Medium Opportunity"/>
    <x v="0"/>
    <s v="No"/>
  </r>
  <r>
    <x v="10"/>
    <x v="10"/>
    <s v="Phosphoric acid"/>
    <x v="10"/>
    <x v="1"/>
    <x v="5"/>
    <s v="Phosphoric Acid"/>
    <s v="Beverages"/>
    <x v="21"/>
    <x v="0"/>
    <x v="0"/>
    <s v="X"/>
    <x v="21"/>
    <s v="Egypt"/>
    <s v="World"/>
    <s v="TOTAL CPC"/>
    <s v="TOTAL MOT"/>
    <n v="280920"/>
    <n v="5102"/>
    <n v="1027"/>
    <n v="0"/>
    <n v="1027"/>
    <s v="kg"/>
    <n v="405"/>
    <s v="kg P2O5"/>
    <n v="1.3104801671892474E-3"/>
    <n v="17"/>
    <x v="0"/>
    <n v="0"/>
    <n v="0"/>
    <n v="0"/>
    <n v="6.8681310097102564E-3"/>
    <n v="440"/>
    <n v="4.9678675754625123"/>
    <n v="34"/>
    <x v="0"/>
    <s v="No"/>
    <n v="17237347.600000001"/>
    <n v="12946484"/>
    <n v="6.321329281187793E-2"/>
    <n v="12"/>
    <x v="0"/>
    <n v="4401804.5600000005"/>
    <n v="209"/>
    <x v="0"/>
    <x v="0"/>
    <n v="12946484"/>
    <n v="1"/>
    <n v="1"/>
    <s v="Highly Concentrated"/>
    <n v="12946484"/>
    <s v="Medium Opportunity"/>
    <x v="0"/>
    <s v="No"/>
  </r>
  <r>
    <x v="11"/>
    <x v="11"/>
    <s v="Citrates"/>
    <x v="11"/>
    <x v="1"/>
    <x v="6"/>
    <s v="Sodium Citrate"/>
    <s v="Beverages / Dairy"/>
    <x v="1"/>
    <x v="0"/>
    <x v="0"/>
    <s v="X"/>
    <x v="1"/>
    <s v="Egypt"/>
    <s v="World"/>
    <s v="TOTAL CPC"/>
    <s v="TOTAL MOT"/>
    <n v="291815"/>
    <n v="62848"/>
    <n v="20009.099999999999"/>
    <n v="0"/>
    <n v="20009"/>
    <s v="kg"/>
    <n v="20009"/>
    <s v="kg"/>
    <n v="5.3992075088500962E-3"/>
    <n v="12"/>
    <x v="0"/>
    <n v="0"/>
    <n v="0"/>
    <n v="0"/>
    <n v="2.1521984741853972E-3"/>
    <n v="314"/>
    <n v="3.1409708582594922"/>
    <n v="34"/>
    <x v="0"/>
    <s v="No"/>
    <n v="2777277.2"/>
    <n v="4056912"/>
    <n v="6.321329281187793E-2"/>
    <n v="14"/>
    <x v="0"/>
    <n v="1379350.08"/>
    <n v="428"/>
    <x v="0"/>
    <x v="0"/>
    <n v="4056912"/>
    <n v="1"/>
    <n v="1"/>
    <s v="Highly Concentrated"/>
    <n v="4056912"/>
    <s v="Routine Market"/>
    <x v="0"/>
    <s v="No"/>
  </r>
  <r>
    <x v="11"/>
    <x v="11"/>
    <s v="Citrates"/>
    <x v="11"/>
    <x v="1"/>
    <x v="6"/>
    <s v="Sodium Citrate"/>
    <s v="Beverages / Dairy"/>
    <x v="3"/>
    <x v="0"/>
    <x v="0"/>
    <s v="X"/>
    <x v="3"/>
    <s v="Egypt"/>
    <s v="World"/>
    <s v="TOTAL CPC"/>
    <s v="TOTAL MOT"/>
    <n v="291815"/>
    <n v="1594007"/>
    <n v="1956037"/>
    <n v="0"/>
    <n v="1956037"/>
    <s v="kg"/>
    <n v="1956037"/>
    <s v="kg"/>
    <n v="6.321329281187793E-2"/>
    <n v="16"/>
    <x v="1"/>
    <n v="0.14000000000000001"/>
    <n v="223160.98"/>
    <n v="273845.18000000005"/>
    <n v="2.1521984741853972E-3"/>
    <n v="72"/>
    <n v="0.81491658900112829"/>
    <n v="34"/>
    <x v="0"/>
    <s v="No"/>
    <n v="2777277.2"/>
    <n v="4056912"/>
    <n v="6.321329281187793E-2"/>
    <n v="14"/>
    <x v="0"/>
    <n v="1379350.08"/>
    <n v="428"/>
    <x v="0"/>
    <x v="0"/>
    <n v="4056912"/>
    <n v="1"/>
    <n v="1"/>
    <s v="Highly Concentrated"/>
    <n v="4056912"/>
    <s v="Routine Market"/>
    <x v="0"/>
    <s v="No"/>
  </r>
  <r>
    <x v="11"/>
    <x v="11"/>
    <s v="Citrates"/>
    <x v="11"/>
    <x v="1"/>
    <x v="6"/>
    <s v="Sodium Citrate"/>
    <s v="Beverages / Dairy"/>
    <x v="4"/>
    <x v="1"/>
    <x v="0"/>
    <s v="X"/>
    <x v="4"/>
    <s v="Egypt"/>
    <s v="World"/>
    <s v="TOTAL CPC"/>
    <s v="TOTAL MOT"/>
    <n v="291815"/>
    <n v="84950"/>
    <n v="19500"/>
    <n v="0"/>
    <n v="19500"/>
    <s v="kg"/>
    <n v="19500"/>
    <s v="kg"/>
    <n v="1.0324304639960562E-4"/>
    <n v="2"/>
    <x v="0"/>
    <n v="0"/>
    <n v="0"/>
    <n v="0"/>
    <n v="2.1521984741853972E-3"/>
    <n v="287"/>
    <n v="4.356410256410256"/>
    <n v="34"/>
    <x v="0"/>
    <s v="No"/>
    <n v="2777277.2"/>
    <n v="4056912"/>
    <n v="6.321329281187793E-2"/>
    <n v="14"/>
    <x v="0"/>
    <n v="1379350.08"/>
    <n v="428"/>
    <x v="0"/>
    <x v="0"/>
    <n v="4056912"/>
    <n v="1"/>
    <n v="1"/>
    <s v="Highly Concentrated"/>
    <n v="4056912"/>
    <s v="Routine Market"/>
    <x v="0"/>
    <s v="Yes"/>
  </r>
  <r>
    <x v="11"/>
    <x v="11"/>
    <s v="Citrates"/>
    <x v="11"/>
    <x v="1"/>
    <x v="6"/>
    <s v="Sodium Citrate"/>
    <s v="Beverages / Dairy"/>
    <x v="6"/>
    <x v="0"/>
    <x v="0"/>
    <s v="X"/>
    <x v="6"/>
    <s v="Egypt"/>
    <s v="World"/>
    <s v="TOTAL CPC"/>
    <s v="TOTAL MOT"/>
    <n v="291815"/>
    <n v="218744"/>
    <n v="11550"/>
    <n v="0"/>
    <n v="11550"/>
    <s v="kg"/>
    <n v="11550"/>
    <s v="kg"/>
    <n v="1.6951290293147386E-2"/>
    <n v="17"/>
    <x v="0"/>
    <n v="0"/>
    <n v="0"/>
    <n v="0"/>
    <n v="2.1521984741853972E-3"/>
    <n v="211"/>
    <n v="18.938874458874459"/>
    <n v="34"/>
    <x v="0"/>
    <s v="No"/>
    <n v="2777277.2"/>
    <n v="4056912"/>
    <n v="6.321329281187793E-2"/>
    <n v="14"/>
    <x v="0"/>
    <n v="1379350.08"/>
    <n v="428"/>
    <x v="0"/>
    <x v="0"/>
    <n v="4056912"/>
    <n v="1"/>
    <n v="1"/>
    <s v="Highly Concentrated"/>
    <n v="4056912"/>
    <s v="Routine Market"/>
    <x v="0"/>
    <s v="No"/>
  </r>
  <r>
    <x v="11"/>
    <x v="11"/>
    <s v="Citrates"/>
    <x v="11"/>
    <x v="1"/>
    <x v="6"/>
    <s v="Sodium Citrate"/>
    <s v="Beverages / Dairy"/>
    <x v="7"/>
    <x v="0"/>
    <x v="0"/>
    <s v="X"/>
    <x v="7"/>
    <s v="Egypt"/>
    <s v="World"/>
    <s v="TOTAL CPC"/>
    <s v="TOTAL MOT"/>
    <n v="291815"/>
    <n v="727987"/>
    <n v="120481"/>
    <n v="0"/>
    <n v="120481"/>
    <s v="kg"/>
    <n v="120481"/>
    <s v="kg"/>
    <n v="1.1674623358397021E-2"/>
    <n v="11"/>
    <x v="0"/>
    <n v="0"/>
    <n v="0"/>
    <n v="0"/>
    <n v="2.1521984741853972E-3"/>
    <n v="119"/>
    <n v="6.0423386260074201"/>
    <n v="34"/>
    <x v="0"/>
    <s v="No"/>
    <n v="2777277.2"/>
    <n v="4056912"/>
    <n v="6.321329281187793E-2"/>
    <n v="14"/>
    <x v="0"/>
    <n v="1379350.08"/>
    <n v="428"/>
    <x v="0"/>
    <x v="0"/>
    <n v="4056912"/>
    <n v="1"/>
    <n v="1"/>
    <s v="Highly Concentrated"/>
    <n v="4056912"/>
    <s v="Routine Market"/>
    <x v="0"/>
    <s v="No"/>
  </r>
  <r>
    <x v="11"/>
    <x v="11"/>
    <s v="Citrates"/>
    <x v="11"/>
    <x v="1"/>
    <x v="6"/>
    <s v="Sodium Citrate"/>
    <s v="Beverages / Dairy"/>
    <x v="33"/>
    <x v="1"/>
    <x v="0"/>
    <s v="X"/>
    <x v="33"/>
    <s v="Egypt"/>
    <s v="World"/>
    <s v="TOTAL CPC"/>
    <s v="TOTAL MOT"/>
    <n v="291815"/>
    <n v="582"/>
    <n v="25"/>
    <n v="0"/>
    <n v="25"/>
    <s v="kg"/>
    <n v="25"/>
    <s v="kg"/>
    <n v="7.8962835084717131E-4"/>
    <n v="8"/>
    <x v="0"/>
    <n v="0"/>
    <n v="0"/>
    <n v="0"/>
    <n v="2.1521984741853972E-3"/>
    <n v="495"/>
    <n v="23.28"/>
    <n v="34"/>
    <x v="0"/>
    <s v="No"/>
    <n v="2777277.2"/>
    <n v="4056912"/>
    <n v="6.321329281187793E-2"/>
    <n v="14"/>
    <x v="0"/>
    <n v="1379350.08"/>
    <n v="428"/>
    <x v="0"/>
    <x v="0"/>
    <n v="4056912"/>
    <n v="1"/>
    <n v="1"/>
    <s v="Highly Concentrated"/>
    <n v="4056912"/>
    <s v="Routine Market"/>
    <x v="0"/>
    <s v="Yes"/>
  </r>
  <r>
    <x v="11"/>
    <x v="11"/>
    <s v="Citrates"/>
    <x v="11"/>
    <x v="1"/>
    <x v="6"/>
    <s v="Sodium Citrate"/>
    <s v="Beverages / Dairy"/>
    <x v="26"/>
    <x v="1"/>
    <x v="0"/>
    <s v="X"/>
    <x v="26"/>
    <s v="Egypt"/>
    <s v="World"/>
    <s v="TOTAL CPC"/>
    <s v="TOTAL MOT"/>
    <n v="291815"/>
    <n v="2417"/>
    <n v="651"/>
    <n v="0"/>
    <n v="651"/>
    <s v="kg"/>
    <n v="651"/>
    <s v="kg"/>
    <n v="2.621940701411424E-4"/>
    <n v="3"/>
    <x v="0"/>
    <n v="0"/>
    <n v="0"/>
    <n v="0"/>
    <n v="2.1521984741853972E-3"/>
    <n v="465"/>
    <n v="3.7127496159754223"/>
    <n v="34"/>
    <x v="0"/>
    <s v="No"/>
    <n v="2777277.2"/>
    <n v="4056912"/>
    <n v="6.321329281187793E-2"/>
    <n v="14"/>
    <x v="0"/>
    <n v="1379350.08"/>
    <n v="428"/>
    <x v="0"/>
    <x v="0"/>
    <n v="4056912"/>
    <n v="1"/>
    <n v="1"/>
    <s v="Highly Concentrated"/>
    <n v="4056912"/>
    <s v="Routine Market"/>
    <x v="0"/>
    <s v="Yes"/>
  </r>
  <r>
    <x v="11"/>
    <x v="11"/>
    <s v="Citrates"/>
    <x v="11"/>
    <x v="1"/>
    <x v="6"/>
    <s v="Sodium Citrate"/>
    <s v="Beverages / Dairy"/>
    <x v="8"/>
    <x v="1"/>
    <x v="0"/>
    <s v="X"/>
    <x v="8"/>
    <s v="Egypt"/>
    <s v="World"/>
    <s v="TOTAL CPC"/>
    <s v="TOTAL MOT"/>
    <n v="291815"/>
    <n v="587989"/>
    <n v="334137"/>
    <n v="0"/>
    <n v="334137"/>
    <s v="kg"/>
    <n v="334137"/>
    <s v="kg"/>
    <n v="4.9588465845200368E-3"/>
    <n v="6"/>
    <x v="0"/>
    <n v="0"/>
    <n v="0"/>
    <n v="0"/>
    <n v="2.1521984741853972E-3"/>
    <n v="134"/>
    <n v="1.7597243047013651"/>
    <n v="34"/>
    <x v="0"/>
    <s v="No"/>
    <n v="2777277.2"/>
    <n v="4056912"/>
    <n v="6.321329281187793E-2"/>
    <n v="14"/>
    <x v="0"/>
    <n v="1379350.08"/>
    <n v="428"/>
    <x v="0"/>
    <x v="0"/>
    <n v="4056912"/>
    <n v="1"/>
    <n v="1"/>
    <s v="Highly Concentrated"/>
    <n v="4056912"/>
    <s v="Routine Market"/>
    <x v="0"/>
    <s v="Yes"/>
  </r>
  <r>
    <x v="11"/>
    <x v="11"/>
    <s v="Citrates"/>
    <x v="11"/>
    <x v="1"/>
    <x v="6"/>
    <s v="Sodium Citrate"/>
    <s v="Beverages / Dairy"/>
    <x v="12"/>
    <x v="0"/>
    <x v="0"/>
    <s v="X"/>
    <x v="12"/>
    <s v="Egypt"/>
    <s v="World"/>
    <s v="TOTAL CPC"/>
    <s v="TOTAL MOT"/>
    <n v="291815"/>
    <n v="8771"/>
    <n v="2000"/>
    <n v="0"/>
    <n v="2000"/>
    <s v="kg"/>
    <n v="2000"/>
    <s v="kg"/>
    <n v="1.4561232389604124E-2"/>
    <n v="27"/>
    <x v="0"/>
    <n v="0"/>
    <n v="0"/>
    <n v="0"/>
    <n v="2.1521984741853972E-3"/>
    <n v="418"/>
    <n v="4.3855000000000004"/>
    <n v="34"/>
    <x v="0"/>
    <s v="No"/>
    <n v="2777277.2"/>
    <n v="4056912"/>
    <n v="6.321329281187793E-2"/>
    <n v="14"/>
    <x v="0"/>
    <n v="1379350.08"/>
    <n v="428"/>
    <x v="0"/>
    <x v="0"/>
    <n v="4056912"/>
    <n v="1"/>
    <n v="1"/>
    <s v="Highly Concentrated"/>
    <n v="4056912"/>
    <s v="Routine Market"/>
    <x v="0"/>
    <s v="No"/>
  </r>
  <r>
    <x v="11"/>
    <x v="11"/>
    <s v="Citrates"/>
    <x v="11"/>
    <x v="1"/>
    <x v="6"/>
    <s v="Sodium Citrate"/>
    <s v="Beverages / Dairy"/>
    <x v="15"/>
    <x v="0"/>
    <x v="0"/>
    <s v="X"/>
    <x v="15"/>
    <s v="Egypt"/>
    <s v="World"/>
    <s v="TOTAL CPC"/>
    <s v="TOTAL MOT"/>
    <n v="291815"/>
    <n v="465492"/>
    <n v="64664"/>
    <n v="0"/>
    <n v="64664"/>
    <s v="kg"/>
    <n v="64664"/>
    <s v="kg"/>
    <n v="2.2441761060335613E-2"/>
    <n v="16"/>
    <x v="0"/>
    <n v="0"/>
    <n v="0"/>
    <n v="0"/>
    <n v="2.1521984741853972E-3"/>
    <n v="151"/>
    <n v="7.1986267474947416"/>
    <n v="34"/>
    <x v="0"/>
    <s v="No"/>
    <n v="2777277.2"/>
    <n v="4056912"/>
    <n v="6.321329281187793E-2"/>
    <n v="14"/>
    <x v="0"/>
    <n v="1379350.08"/>
    <n v="428"/>
    <x v="0"/>
    <x v="0"/>
    <n v="4056912"/>
    <n v="1"/>
    <n v="1"/>
    <s v="Highly Concentrated"/>
    <n v="4056912"/>
    <s v="Routine Market"/>
    <x v="0"/>
    <s v="No"/>
  </r>
  <r>
    <x v="11"/>
    <x v="11"/>
    <s v="Citrates"/>
    <x v="11"/>
    <x v="1"/>
    <x v="6"/>
    <s v="Sodium Citrate"/>
    <s v="Beverages / Dairy"/>
    <x v="43"/>
    <x v="1"/>
    <x v="0"/>
    <s v="X"/>
    <x v="43"/>
    <s v="Egypt"/>
    <s v="World"/>
    <s v="TOTAL CPC"/>
    <s v="TOTAL MOT"/>
    <n v="291815"/>
    <n v="2271"/>
    <n v="0.1"/>
    <n v="0"/>
    <n v="0"/>
    <s v="kg"/>
    <n v="0"/>
    <s v="kg"/>
    <n v="5.6395507468920406E-5"/>
    <n v="3"/>
    <x v="0"/>
    <n v="0"/>
    <n v="0"/>
    <n v="0"/>
    <n v="2.1521984741853972E-3"/>
    <n v="467"/>
    <n v="22710"/>
    <n v="34"/>
    <x v="0"/>
    <s v="No"/>
    <n v="2777277.2"/>
    <n v="4056912"/>
    <n v="6.321329281187793E-2"/>
    <n v="14"/>
    <x v="0"/>
    <n v="1379350.08"/>
    <n v="428"/>
    <x v="0"/>
    <x v="0"/>
    <n v="4056912"/>
    <n v="1"/>
    <n v="1"/>
    <s v="Highly Concentrated"/>
    <n v="4056912"/>
    <s v="Routine Market"/>
    <x v="0"/>
    <s v="Yes"/>
  </r>
  <r>
    <x v="11"/>
    <x v="11"/>
    <s v="Citrates"/>
    <x v="11"/>
    <x v="1"/>
    <x v="6"/>
    <s v="Sodium Citrate"/>
    <s v="Beverages / Dairy"/>
    <x v="20"/>
    <x v="0"/>
    <x v="0"/>
    <s v="X"/>
    <x v="20"/>
    <s v="Egypt"/>
    <s v="World"/>
    <s v="TOTAL CPC"/>
    <s v="TOTAL MOT"/>
    <n v="291815"/>
    <n v="593"/>
    <n v="150"/>
    <n v="0"/>
    <n v="150"/>
    <s v="kg"/>
    <n v="150"/>
    <s v="kg"/>
    <n v="6.110186869383482E-3"/>
    <n v="25"/>
    <x v="0"/>
    <n v="0"/>
    <n v="0"/>
    <n v="0"/>
    <n v="2.1521984741853972E-3"/>
    <n v="494"/>
    <n v="3.9533333333333331"/>
    <n v="34"/>
    <x v="0"/>
    <s v="No"/>
    <n v="2777277.2"/>
    <n v="4056912"/>
    <n v="6.321329281187793E-2"/>
    <n v="14"/>
    <x v="0"/>
    <n v="1379350.08"/>
    <n v="428"/>
    <x v="0"/>
    <x v="0"/>
    <n v="4056912"/>
    <n v="1"/>
    <n v="1"/>
    <s v="Highly Concentrated"/>
    <n v="4056912"/>
    <s v="Routine Market"/>
    <x v="0"/>
    <s v="No"/>
  </r>
  <r>
    <x v="11"/>
    <x v="11"/>
    <s v="Citrates"/>
    <x v="11"/>
    <x v="1"/>
    <x v="6"/>
    <s v="Sodium Citrate"/>
    <s v="Beverages / Dairy"/>
    <x v="17"/>
    <x v="0"/>
    <x v="0"/>
    <s v="X"/>
    <x v="17"/>
    <s v="Egypt"/>
    <s v="World"/>
    <s v="TOTAL CPC"/>
    <s v="TOTAL MOT"/>
    <n v="291815"/>
    <n v="152144"/>
    <n v="245284"/>
    <n v="0"/>
    <n v="245284"/>
    <s v="kg"/>
    <n v="245284"/>
    <s v="kg"/>
    <n v="4.7522902002533667E-2"/>
    <n v="23"/>
    <x v="1"/>
    <n v="0.1"/>
    <n v="15214.400000000001"/>
    <n v="24528.400000000001"/>
    <n v="2.1521984741853972E-3"/>
    <n v="246"/>
    <n v="0.62027690350777054"/>
    <n v="34"/>
    <x v="0"/>
    <s v="No"/>
    <n v="2777277.2"/>
    <n v="4056912"/>
    <n v="6.321329281187793E-2"/>
    <n v="14"/>
    <x v="0"/>
    <n v="1379350.08"/>
    <n v="428"/>
    <x v="0"/>
    <x v="0"/>
    <n v="4056912"/>
    <n v="1"/>
    <n v="1"/>
    <s v="Highly Concentrated"/>
    <n v="4056912"/>
    <s v="Routine Market"/>
    <x v="0"/>
    <s v="No"/>
  </r>
  <r>
    <x v="11"/>
    <x v="11"/>
    <s v="Citrates"/>
    <x v="11"/>
    <x v="1"/>
    <x v="6"/>
    <s v="Sodium Citrate"/>
    <s v="Beverages / Dairy"/>
    <x v="18"/>
    <x v="0"/>
    <x v="0"/>
    <s v="X"/>
    <x v="18"/>
    <s v="Egypt"/>
    <s v="World"/>
    <s v="TOTAL CPC"/>
    <s v="TOTAL MOT"/>
    <n v="291815"/>
    <n v="148117"/>
    <n v="2789"/>
    <n v="0"/>
    <n v="2789"/>
    <s v="kg"/>
    <n v="2789"/>
    <s v="kg"/>
    <n v="9.425427433633813E-3"/>
    <n v="12"/>
    <x v="1"/>
    <n v="4.0000000000000008E-2"/>
    <n v="5924.6800000000012"/>
    <n v="111.56000000000002"/>
    <n v="2.1521984741853972E-3"/>
    <n v="249"/>
    <n v="53.107565435640012"/>
    <n v="34"/>
    <x v="0"/>
    <s v="No"/>
    <n v="2777277.2"/>
    <n v="4056912"/>
    <n v="6.321329281187793E-2"/>
    <n v="14"/>
    <x v="0"/>
    <n v="1379350.08"/>
    <n v="428"/>
    <x v="0"/>
    <x v="0"/>
    <n v="4056912"/>
    <n v="1"/>
    <n v="1"/>
    <s v="Highly Concentrated"/>
    <n v="4056912"/>
    <s v="Routine Market"/>
    <x v="0"/>
    <s v="No"/>
  </r>
  <r>
    <x v="12"/>
    <x v="12"/>
    <s v="Propionic acid salts"/>
    <x v="12"/>
    <x v="2"/>
    <x v="2"/>
    <s v="Calcium Propionate"/>
    <s v="Bakery"/>
    <x v="1"/>
    <x v="0"/>
    <x v="0"/>
    <s v="X"/>
    <x v="1"/>
    <s v="Egypt"/>
    <s v="World"/>
    <s v="TOTAL CPC"/>
    <s v="TOTAL MOT"/>
    <n v="291550"/>
    <n v="47137"/>
    <n v="33404.6"/>
    <n v="0"/>
    <n v="33405"/>
    <s v="kg"/>
    <n v="33405"/>
    <s v="kg"/>
    <n v="5.3992075088500962E-3"/>
    <n v="15"/>
    <x v="0"/>
    <n v="0"/>
    <n v="0"/>
    <n v="0"/>
    <n v="1.138070847312224E-3"/>
    <n v="328"/>
    <n v="1.4110930829885704"/>
    <n v="34"/>
    <x v="0"/>
    <s v="No"/>
    <n v="1269954.4000000001"/>
    <n v="2145273"/>
    <n v="6.321329281187793E-2"/>
    <n v="11"/>
    <x v="0"/>
    <n v="729392.82000000007"/>
    <n v="465"/>
    <x v="0"/>
    <x v="0"/>
    <n v="2145273"/>
    <n v="1"/>
    <n v="1"/>
    <s v="Highly Concentrated"/>
    <n v="2145273"/>
    <s v="Routine Market"/>
    <x v="0"/>
    <s v="No"/>
  </r>
  <r>
    <x v="12"/>
    <x v="12"/>
    <s v="Propionic acid salts"/>
    <x v="12"/>
    <x v="2"/>
    <x v="2"/>
    <s v="Calcium Propionate"/>
    <s v="Bakery"/>
    <x v="3"/>
    <x v="0"/>
    <x v="0"/>
    <s v="X"/>
    <x v="3"/>
    <s v="Egypt"/>
    <s v="World"/>
    <s v="TOTAL CPC"/>
    <s v="TOTAL MOT"/>
    <n v="291550"/>
    <n v="270433"/>
    <n v="235400"/>
    <n v="0"/>
    <n v="235400"/>
    <s v="kg"/>
    <n v="235400"/>
    <s v="kg"/>
    <n v="6.321329281187793E-2"/>
    <n v="27"/>
    <x v="1"/>
    <n v="0.14000000000000001"/>
    <n v="37860.620000000003"/>
    <n v="32956"/>
    <n v="1.138070847312224E-3"/>
    <n v="199"/>
    <n v="1.1488232795242141"/>
    <n v="34"/>
    <x v="0"/>
    <s v="No"/>
    <n v="1269954.4000000001"/>
    <n v="2145273"/>
    <n v="6.321329281187793E-2"/>
    <n v="11"/>
    <x v="0"/>
    <n v="729392.82000000007"/>
    <n v="465"/>
    <x v="0"/>
    <x v="0"/>
    <n v="2145273"/>
    <n v="1"/>
    <n v="1"/>
    <s v="Highly Concentrated"/>
    <n v="2145273"/>
    <s v="Routine Market"/>
    <x v="0"/>
    <s v="No"/>
  </r>
  <r>
    <x v="12"/>
    <x v="12"/>
    <s v="Propionic acid salts"/>
    <x v="12"/>
    <x v="2"/>
    <x v="2"/>
    <s v="Calcium Propionate"/>
    <s v="Bakery"/>
    <x v="6"/>
    <x v="0"/>
    <x v="0"/>
    <s v="X"/>
    <x v="6"/>
    <s v="Egypt"/>
    <s v="World"/>
    <s v="TOTAL CPC"/>
    <s v="TOTAL MOT"/>
    <n v="291550"/>
    <n v="4133"/>
    <n v="1400"/>
    <n v="0"/>
    <n v="1400"/>
    <s v="kg"/>
    <n v="1400"/>
    <s v="kg"/>
    <n v="1.6951290293147386E-2"/>
    <n v="31"/>
    <x v="0"/>
    <n v="0"/>
    <n v="0"/>
    <n v="0"/>
    <n v="1.138070847312224E-3"/>
    <n v="446"/>
    <n v="2.952142857142857"/>
    <n v="34"/>
    <x v="0"/>
    <s v="No"/>
    <n v="1269954.4000000001"/>
    <n v="2145273"/>
    <n v="6.321329281187793E-2"/>
    <n v="11"/>
    <x v="0"/>
    <n v="729392.82000000007"/>
    <n v="465"/>
    <x v="0"/>
    <x v="0"/>
    <n v="2145273"/>
    <n v="1"/>
    <n v="1"/>
    <s v="Highly Concentrated"/>
    <n v="2145273"/>
    <s v="Routine Market"/>
    <x v="0"/>
    <s v="No"/>
  </r>
  <r>
    <x v="12"/>
    <x v="12"/>
    <s v="Propionic acid salts"/>
    <x v="12"/>
    <x v="2"/>
    <x v="2"/>
    <s v="Calcium Propionate"/>
    <s v="Bakery"/>
    <x v="7"/>
    <x v="0"/>
    <x v="0"/>
    <s v="X"/>
    <x v="7"/>
    <s v="Egypt"/>
    <s v="World"/>
    <s v="TOTAL CPC"/>
    <s v="TOTAL MOT"/>
    <n v="291550"/>
    <n v="102337"/>
    <n v="97960.2"/>
    <n v="0"/>
    <n v="97960"/>
    <s v="kg"/>
    <n v="0"/>
    <s v="N/A"/>
    <n v="1.1674623358397021E-2"/>
    <n v="21"/>
    <x v="0"/>
    <n v="0"/>
    <n v="0"/>
    <n v="0"/>
    <n v="1.138070847312224E-3"/>
    <n v="274"/>
    <n v="1.0446793697848717"/>
    <n v="34"/>
    <x v="0"/>
    <s v="No"/>
    <n v="1269954.4000000001"/>
    <n v="2145273"/>
    <n v="6.321329281187793E-2"/>
    <n v="11"/>
    <x v="0"/>
    <n v="729392.82000000007"/>
    <n v="465"/>
    <x v="0"/>
    <x v="0"/>
    <n v="2145273"/>
    <n v="1"/>
    <n v="1"/>
    <s v="Highly Concentrated"/>
    <n v="2145273"/>
    <s v="Routine Market"/>
    <x v="0"/>
    <s v="No"/>
  </r>
  <r>
    <x v="12"/>
    <x v="12"/>
    <s v="Propionic acid salts"/>
    <x v="12"/>
    <x v="2"/>
    <x v="2"/>
    <s v="Calcium Propionate"/>
    <s v="Bakery"/>
    <x v="9"/>
    <x v="1"/>
    <x v="0"/>
    <s v="X"/>
    <x v="9"/>
    <s v="Egypt"/>
    <s v="World"/>
    <s v="TOTAL CPC"/>
    <s v="TOTAL MOT"/>
    <n v="291550"/>
    <n v="167699"/>
    <n v="73311"/>
    <n v="0"/>
    <n v="73311"/>
    <s v="kg"/>
    <n v="73311"/>
    <s v="kg"/>
    <n v="1.1178535358665947E-2"/>
    <n v="10"/>
    <x v="0"/>
    <n v="0"/>
    <n v="0"/>
    <n v="0"/>
    <n v="1.138070847312224E-3"/>
    <n v="233"/>
    <n v="2.2875011935453071"/>
    <n v="34"/>
    <x v="0"/>
    <s v="No"/>
    <n v="1269954.4000000001"/>
    <n v="2145273"/>
    <n v="6.321329281187793E-2"/>
    <n v="11"/>
    <x v="0"/>
    <n v="729392.82000000007"/>
    <n v="465"/>
    <x v="0"/>
    <x v="0"/>
    <n v="2145273"/>
    <n v="1"/>
    <n v="1"/>
    <s v="Highly Concentrated"/>
    <n v="2145273"/>
    <s v="Routine Market"/>
    <x v="0"/>
    <s v="Yes"/>
  </r>
  <r>
    <x v="12"/>
    <x v="12"/>
    <s v="Propionic acid salts"/>
    <x v="12"/>
    <x v="2"/>
    <x v="2"/>
    <s v="Calcium Propionate"/>
    <s v="Bakery"/>
    <x v="12"/>
    <x v="1"/>
    <x v="0"/>
    <s v="X"/>
    <x v="12"/>
    <s v="Egypt"/>
    <s v="World"/>
    <s v="TOTAL CPC"/>
    <s v="TOTAL MOT"/>
    <n v="291550"/>
    <n v="1384481"/>
    <n v="801753"/>
    <n v="0"/>
    <n v="801753"/>
    <s v="kg"/>
    <n v="801753"/>
    <s v="kg"/>
    <n v="1.4561232389604124E-2"/>
    <n v="5"/>
    <x v="0"/>
    <n v="0"/>
    <n v="0"/>
    <n v="0"/>
    <n v="1.138070847312224E-3"/>
    <n v="82"/>
    <n v="1.7268173614567079"/>
    <n v="34"/>
    <x v="0"/>
    <s v="No"/>
    <n v="1269954.4000000001"/>
    <n v="2145273"/>
    <n v="6.321329281187793E-2"/>
    <n v="11"/>
    <x v="0"/>
    <n v="729392.82000000007"/>
    <n v="465"/>
    <x v="0"/>
    <x v="0"/>
    <n v="2145273"/>
    <n v="1"/>
    <n v="1"/>
    <s v="Highly Concentrated"/>
    <n v="2145273"/>
    <s v="Routine Market"/>
    <x v="0"/>
    <s v="Yes"/>
  </r>
  <r>
    <x v="12"/>
    <x v="12"/>
    <s v="Propionic acid salts"/>
    <x v="12"/>
    <x v="2"/>
    <x v="2"/>
    <s v="Calcium Propionate"/>
    <s v="Bakery"/>
    <x v="15"/>
    <x v="0"/>
    <x v="0"/>
    <s v="X"/>
    <x v="15"/>
    <s v="Egypt"/>
    <s v="World"/>
    <s v="TOTAL CPC"/>
    <s v="TOTAL MOT"/>
    <n v="291550"/>
    <n v="50376"/>
    <n v="8940"/>
    <n v="0"/>
    <n v="8940"/>
    <s v="kg"/>
    <n v="8940"/>
    <s v="kg"/>
    <n v="2.2441761060335613E-2"/>
    <n v="27"/>
    <x v="0"/>
    <n v="0"/>
    <n v="0"/>
    <n v="0"/>
    <n v="1.138070847312224E-3"/>
    <n v="324"/>
    <n v="5.6348993288590608"/>
    <n v="34"/>
    <x v="0"/>
    <s v="No"/>
    <n v="1269954.4000000001"/>
    <n v="2145273"/>
    <n v="6.321329281187793E-2"/>
    <n v="11"/>
    <x v="0"/>
    <n v="729392.82000000007"/>
    <n v="465"/>
    <x v="0"/>
    <x v="0"/>
    <n v="2145273"/>
    <n v="1"/>
    <n v="1"/>
    <s v="Highly Concentrated"/>
    <n v="2145273"/>
    <s v="Routine Market"/>
    <x v="0"/>
    <s v="No"/>
  </r>
  <r>
    <x v="12"/>
    <x v="12"/>
    <s v="Propionic acid salts"/>
    <x v="12"/>
    <x v="2"/>
    <x v="2"/>
    <s v="Calcium Propionate"/>
    <s v="Bakery"/>
    <x v="20"/>
    <x v="0"/>
    <x v="0"/>
    <s v="X"/>
    <x v="20"/>
    <s v="Egypt"/>
    <s v="World"/>
    <s v="TOTAL CPC"/>
    <s v="TOTAL MOT"/>
    <n v="291550"/>
    <n v="11578"/>
    <n v="1253.5999999999999"/>
    <n v="0"/>
    <n v="1254"/>
    <s v="kg"/>
    <n v="1254"/>
    <s v="kg"/>
    <n v="6.110186869383482E-3"/>
    <n v="18"/>
    <x v="0"/>
    <n v="0"/>
    <n v="0"/>
    <n v="0"/>
    <n v="1.138070847312224E-3"/>
    <n v="404"/>
    <n v="9.2358008934269318"/>
    <n v="34"/>
    <x v="0"/>
    <s v="No"/>
    <n v="1269954.4000000001"/>
    <n v="2145273"/>
    <n v="6.321329281187793E-2"/>
    <n v="11"/>
    <x v="0"/>
    <n v="729392.82000000007"/>
    <n v="465"/>
    <x v="0"/>
    <x v="0"/>
    <n v="2145273"/>
    <n v="1"/>
    <n v="1"/>
    <s v="Highly Concentrated"/>
    <n v="2145273"/>
    <s v="Routine Market"/>
    <x v="0"/>
    <s v="No"/>
  </r>
  <r>
    <x v="12"/>
    <x v="12"/>
    <s v="Propionic acid salts"/>
    <x v="12"/>
    <x v="2"/>
    <x v="2"/>
    <s v="Calcium Propionate"/>
    <s v="Bakery"/>
    <x v="23"/>
    <x v="1"/>
    <x v="0"/>
    <s v="X"/>
    <x v="23"/>
    <s v="Egypt"/>
    <s v="World"/>
    <s v="TOTAL CPC"/>
    <s v="TOTAL MOT"/>
    <n v="291550"/>
    <n v="63406"/>
    <n v="510"/>
    <n v="0"/>
    <n v="510"/>
    <s v="kg"/>
    <n v="510"/>
    <s v="kg"/>
    <n v="1.1630298885271862E-3"/>
    <n v="5"/>
    <x v="0"/>
    <n v="0"/>
    <n v="0"/>
    <n v="0"/>
    <n v="1.138070847312224E-3"/>
    <n v="313"/>
    <n v="124.32549019607843"/>
    <n v="34"/>
    <x v="0"/>
    <s v="No"/>
    <n v="1269954.4000000001"/>
    <n v="2145273"/>
    <n v="6.321329281187793E-2"/>
    <n v="11"/>
    <x v="0"/>
    <n v="729392.82000000007"/>
    <n v="465"/>
    <x v="0"/>
    <x v="0"/>
    <n v="2145273"/>
    <n v="1"/>
    <n v="1"/>
    <s v="Highly Concentrated"/>
    <n v="2145273"/>
    <s v="Routine Market"/>
    <x v="0"/>
    <s v="Yes"/>
  </r>
  <r>
    <x v="12"/>
    <x v="12"/>
    <s v="Propionic acid salts"/>
    <x v="12"/>
    <x v="2"/>
    <x v="2"/>
    <s v="Calcium Propionate"/>
    <s v="Bakery"/>
    <x v="21"/>
    <x v="0"/>
    <x v="0"/>
    <s v="X"/>
    <x v="21"/>
    <s v="Egypt"/>
    <s v="World"/>
    <s v="TOTAL CPC"/>
    <s v="TOTAL MOT"/>
    <n v="291550"/>
    <n v="6676"/>
    <n v="782"/>
    <n v="0"/>
    <n v="782"/>
    <s v="kg"/>
    <n v="782"/>
    <s v="kg"/>
    <n v="1.3104801671892474E-3"/>
    <n v="16"/>
    <x v="0"/>
    <n v="0"/>
    <n v="0"/>
    <n v="0"/>
    <n v="1.138070847312224E-3"/>
    <n v="428"/>
    <n v="8.5370843989769813"/>
    <n v="34"/>
    <x v="0"/>
    <s v="No"/>
    <n v="1269954.4000000001"/>
    <n v="2145273"/>
    <n v="6.321329281187793E-2"/>
    <n v="11"/>
    <x v="0"/>
    <n v="729392.82000000007"/>
    <n v="465"/>
    <x v="0"/>
    <x v="0"/>
    <n v="2145273"/>
    <n v="1"/>
    <n v="1"/>
    <s v="Highly Concentrated"/>
    <n v="2145273"/>
    <s v="Routine Market"/>
    <x v="0"/>
    <s v="No"/>
  </r>
  <r>
    <x v="12"/>
    <x v="12"/>
    <s v="Propionic acid salts"/>
    <x v="12"/>
    <x v="2"/>
    <x v="2"/>
    <s v="Calcium Propionate"/>
    <s v="Bakery"/>
    <x v="18"/>
    <x v="0"/>
    <x v="0"/>
    <s v="X"/>
    <x v="18"/>
    <s v="Egypt"/>
    <s v="World"/>
    <s v="TOTAL CPC"/>
    <s v="TOTAL MOT"/>
    <n v="291550"/>
    <n v="37017"/>
    <n v="15240"/>
    <n v="0"/>
    <n v="15240"/>
    <s v="kg"/>
    <n v="15240"/>
    <s v="kg"/>
    <n v="9.425427433633813E-3"/>
    <n v="16"/>
    <x v="1"/>
    <n v="4.0000000000000008E-2"/>
    <n v="1480.6800000000003"/>
    <n v="609.60000000000014"/>
    <n v="1.138070847312224E-3"/>
    <n v="337"/>
    <n v="2.4289370078740156"/>
    <n v="34"/>
    <x v="0"/>
    <s v="No"/>
    <n v="1269954.4000000001"/>
    <n v="2145273"/>
    <n v="6.321329281187793E-2"/>
    <n v="11"/>
    <x v="0"/>
    <n v="729392.82000000007"/>
    <n v="465"/>
    <x v="0"/>
    <x v="0"/>
    <n v="2145273"/>
    <n v="1"/>
    <n v="1"/>
    <s v="Highly Concentrated"/>
    <n v="2145273"/>
    <s v="Routine Market"/>
    <x v="0"/>
    <s v="No"/>
  </r>
  <r>
    <x v="13"/>
    <x v="13"/>
    <s v="Nitrites"/>
    <x v="13"/>
    <x v="2"/>
    <x v="7"/>
    <s v="Sodium Nitrite"/>
    <s v="Processed Meat"/>
    <x v="3"/>
    <x v="0"/>
    <x v="0"/>
    <s v="X"/>
    <x v="3"/>
    <s v="Egypt"/>
    <s v="World"/>
    <s v="TOTAL CPC"/>
    <s v="TOTAL MOT"/>
    <n v="283410"/>
    <n v="51360"/>
    <n v="104000"/>
    <n v="0"/>
    <n v="104000"/>
    <s v="kg"/>
    <n v="104000"/>
    <s v="kg"/>
    <n v="6.321329281187793E-2"/>
    <n v="31"/>
    <x v="1"/>
    <n v="0.14000000000000001"/>
    <n v="7190.4000000000005"/>
    <n v="14560.000000000002"/>
    <n v="7.165273466970071E-5"/>
    <n v="323"/>
    <n v="0.49384615384615382"/>
    <n v="39"/>
    <x v="0"/>
    <s v="Yes"/>
    <n v="215019"/>
    <n v="135066"/>
    <n v="6.321329281187793E-2"/>
    <n v="4"/>
    <x v="0"/>
    <n v="52675.740000000005"/>
    <n v="530"/>
    <x v="0"/>
    <x v="0"/>
    <n v="135066"/>
    <n v="1"/>
    <n v="1"/>
    <s v="Highly Concentrated"/>
    <n v="135066"/>
    <s v="Routine Market"/>
    <x v="0"/>
    <s v="No"/>
  </r>
  <r>
    <x v="13"/>
    <x v="13"/>
    <s v="Nitrites"/>
    <x v="13"/>
    <x v="2"/>
    <x v="7"/>
    <s v="Sodium Nitrite"/>
    <s v="Processed Meat"/>
    <x v="36"/>
    <x v="1"/>
    <x v="0"/>
    <s v="X"/>
    <x v="36"/>
    <s v="Egypt"/>
    <s v="World"/>
    <s v="TOTAL CPC"/>
    <s v="TOTAL MOT"/>
    <n v="283410"/>
    <n v="103"/>
    <n v="2"/>
    <n v="0"/>
    <n v="2"/>
    <s v="kg"/>
    <n v="2"/>
    <s v="kg"/>
    <n v="3.8908794070852229E-4"/>
    <n v="2"/>
    <x v="0"/>
    <n v="0"/>
    <n v="0"/>
    <n v="0"/>
    <n v="7.165273466970071E-5"/>
    <n v="517"/>
    <n v="51.5"/>
    <n v="39"/>
    <x v="0"/>
    <s v="Yes"/>
    <n v="215019"/>
    <n v="135066"/>
    <n v="6.321329281187793E-2"/>
    <n v="4"/>
    <x v="0"/>
    <n v="52675.740000000005"/>
    <n v="530"/>
    <x v="0"/>
    <x v="0"/>
    <n v="135066"/>
    <n v="1"/>
    <n v="1"/>
    <s v="Highly Concentrated"/>
    <n v="135066"/>
    <s v="Routine Market"/>
    <x v="0"/>
    <s v="Yes"/>
  </r>
  <r>
    <x v="13"/>
    <x v="13"/>
    <s v="Nitrites"/>
    <x v="13"/>
    <x v="2"/>
    <x v="7"/>
    <s v="Sodium Nitrite"/>
    <s v="Processed Meat"/>
    <x v="14"/>
    <x v="1"/>
    <x v="0"/>
    <s v="X"/>
    <x v="14"/>
    <s v="Egypt"/>
    <s v="World"/>
    <s v="TOTAL CPC"/>
    <s v="TOTAL MOT"/>
    <n v="283410"/>
    <n v="13410"/>
    <n v="11000"/>
    <n v="0"/>
    <n v="11000"/>
    <s v="kg"/>
    <n v="11000"/>
    <s v="kg"/>
    <n v="9.709938116315122E-3"/>
    <n v="10"/>
    <x v="0"/>
    <n v="0"/>
    <n v="0"/>
    <n v="0"/>
    <n v="7.165273466970071E-5"/>
    <n v="398"/>
    <n v="1.219090909090909"/>
    <n v="39"/>
    <x v="0"/>
    <s v="Yes"/>
    <n v="215019"/>
    <n v="135066"/>
    <n v="6.321329281187793E-2"/>
    <n v="4"/>
    <x v="0"/>
    <n v="52675.740000000005"/>
    <n v="530"/>
    <x v="0"/>
    <x v="0"/>
    <n v="135066"/>
    <n v="1"/>
    <n v="1"/>
    <s v="Highly Concentrated"/>
    <n v="135066"/>
    <s v="Routine Market"/>
    <x v="0"/>
    <s v="Yes"/>
  </r>
  <r>
    <x v="13"/>
    <x v="13"/>
    <s v="Nitrites"/>
    <x v="13"/>
    <x v="2"/>
    <x v="7"/>
    <s v="Sodium Nitrite"/>
    <s v="Processed Meat"/>
    <x v="15"/>
    <x v="0"/>
    <x v="0"/>
    <s v="X"/>
    <x v="15"/>
    <s v="Egypt"/>
    <s v="World"/>
    <s v="TOTAL CPC"/>
    <s v="TOTAL MOT"/>
    <n v="283410"/>
    <n v="70193"/>
    <n v="100017"/>
    <n v="0"/>
    <n v="100017"/>
    <s v="kg"/>
    <n v="100017"/>
    <s v="kg"/>
    <n v="2.2441761060335613E-2"/>
    <n v="26"/>
    <x v="0"/>
    <n v="0"/>
    <n v="0"/>
    <n v="0"/>
    <n v="7.165273466970071E-5"/>
    <n v="304"/>
    <n v="0.70181069218232905"/>
    <n v="39"/>
    <x v="0"/>
    <s v="Yes"/>
    <n v="215019"/>
    <n v="135066"/>
    <n v="6.321329281187793E-2"/>
    <n v="4"/>
    <x v="0"/>
    <n v="52675.740000000005"/>
    <n v="530"/>
    <x v="0"/>
    <x v="0"/>
    <n v="135066"/>
    <n v="1"/>
    <n v="1"/>
    <s v="Highly Concentrated"/>
    <n v="135066"/>
    <s v="Routine Market"/>
    <x v="0"/>
    <s v="No"/>
  </r>
  <r>
    <x v="14"/>
    <x v="14"/>
    <s v="Sulfites"/>
    <x v="14"/>
    <x v="2"/>
    <x v="8"/>
    <s v="Sodium Metabisulfite"/>
    <s v="Beverages / Food Processing"/>
    <x v="1"/>
    <x v="0"/>
    <x v="0"/>
    <s v="X"/>
    <x v="1"/>
    <s v="Egypt"/>
    <s v="World"/>
    <s v="TOTAL CPC"/>
    <s v="TOTAL MOT"/>
    <n v="283210"/>
    <n v="295"/>
    <n v="2"/>
    <n v="0"/>
    <n v="2"/>
    <s v="kg"/>
    <n v="2"/>
    <s v="kg"/>
    <n v="5.3992075088500962E-3"/>
    <n v="25"/>
    <x v="0"/>
    <n v="0"/>
    <n v="0"/>
    <n v="0"/>
    <n v="2.7944449810822212E-3"/>
    <n v="502"/>
    <n v="147.5"/>
    <n v="34"/>
    <x v="0"/>
    <s v="No"/>
    <n v="13115268"/>
    <n v="5267552"/>
    <n v="6.321329281187793E-2"/>
    <n v="11"/>
    <x v="0"/>
    <n v="1790967.6800000002"/>
    <n v="396"/>
    <x v="0"/>
    <x v="0"/>
    <n v="5267552"/>
    <n v="1"/>
    <n v="1"/>
    <s v="Highly Concentrated"/>
    <n v="5267552"/>
    <s v="Routine Market"/>
    <x v="0"/>
    <s v="No"/>
  </r>
  <r>
    <x v="14"/>
    <x v="14"/>
    <s v="Sulfites"/>
    <x v="14"/>
    <x v="2"/>
    <x v="8"/>
    <s v="Sodium Metabisulfite"/>
    <s v="Beverages / Food Processing"/>
    <x v="3"/>
    <x v="0"/>
    <x v="0"/>
    <s v="X"/>
    <x v="3"/>
    <s v="Egypt"/>
    <s v="World"/>
    <s v="TOTAL CPC"/>
    <s v="TOTAL MOT"/>
    <n v="283210"/>
    <n v="1189550"/>
    <n v="3337825"/>
    <n v="0"/>
    <n v="3337825"/>
    <s v="kg"/>
    <n v="3337825"/>
    <s v="kg"/>
    <n v="6.321329281187793E-2"/>
    <n v="19"/>
    <x v="1"/>
    <n v="0.14000000000000001"/>
    <n v="166537.00000000003"/>
    <n v="467295.50000000006"/>
    <n v="2.7944449810822212E-3"/>
    <n v="94"/>
    <n v="0.35638477152037629"/>
    <n v="34"/>
    <x v="0"/>
    <s v="No"/>
    <n v="13115268"/>
    <n v="5267552"/>
    <n v="6.321329281187793E-2"/>
    <n v="11"/>
    <x v="0"/>
    <n v="1790967.6800000002"/>
    <n v="396"/>
    <x v="0"/>
    <x v="0"/>
    <n v="5267552"/>
    <n v="1"/>
    <n v="1"/>
    <s v="Highly Concentrated"/>
    <n v="5267552"/>
    <s v="Routine Market"/>
    <x v="0"/>
    <s v="No"/>
  </r>
  <r>
    <x v="14"/>
    <x v="14"/>
    <s v="Sulfites"/>
    <x v="14"/>
    <x v="2"/>
    <x v="8"/>
    <s v="Sodium Metabisulfite"/>
    <s v="Beverages / Food Processing"/>
    <x v="6"/>
    <x v="0"/>
    <x v="0"/>
    <s v="X"/>
    <x v="6"/>
    <s v="Egypt"/>
    <s v="World"/>
    <s v="TOTAL CPC"/>
    <s v="TOTAL MOT"/>
    <n v="283210"/>
    <n v="5629"/>
    <n v="3000"/>
    <n v="0"/>
    <n v="3000"/>
    <s v="kg"/>
    <n v="3000"/>
    <s v="kg"/>
    <n v="1.6951290293147386E-2"/>
    <n v="29"/>
    <x v="0"/>
    <n v="0"/>
    <n v="0"/>
    <n v="0"/>
    <n v="2.7944449810822212E-3"/>
    <n v="437"/>
    <n v="1.8763333333333334"/>
    <n v="34"/>
    <x v="0"/>
    <s v="No"/>
    <n v="13115268"/>
    <n v="5267552"/>
    <n v="6.321329281187793E-2"/>
    <n v="11"/>
    <x v="0"/>
    <n v="1790967.6800000002"/>
    <n v="396"/>
    <x v="0"/>
    <x v="0"/>
    <n v="5267552"/>
    <n v="1"/>
    <n v="1"/>
    <s v="Highly Concentrated"/>
    <n v="5267552"/>
    <s v="Routine Market"/>
    <x v="0"/>
    <s v="No"/>
  </r>
  <r>
    <x v="14"/>
    <x v="14"/>
    <s v="Sulfites"/>
    <x v="14"/>
    <x v="2"/>
    <x v="8"/>
    <s v="Sodium Metabisulfite"/>
    <s v="Beverages / Food Processing"/>
    <x v="33"/>
    <x v="1"/>
    <x v="0"/>
    <s v="X"/>
    <x v="33"/>
    <s v="Egypt"/>
    <s v="World"/>
    <s v="TOTAL CPC"/>
    <s v="TOTAL MOT"/>
    <n v="283210"/>
    <n v="3127"/>
    <n v="1325"/>
    <n v="0"/>
    <n v="1325"/>
    <s v="kg"/>
    <n v="1325"/>
    <s v="kg"/>
    <n v="7.8962835084717131E-4"/>
    <n v="5"/>
    <x v="0"/>
    <n v="0"/>
    <n v="0"/>
    <n v="0"/>
    <n v="2.7944449810822212E-3"/>
    <n v="458"/>
    <n v="2.36"/>
    <n v="34"/>
    <x v="0"/>
    <s v="No"/>
    <n v="13115268"/>
    <n v="5267552"/>
    <n v="6.321329281187793E-2"/>
    <n v="11"/>
    <x v="0"/>
    <n v="1790967.6800000002"/>
    <n v="396"/>
    <x v="0"/>
    <x v="0"/>
    <n v="5267552"/>
    <n v="1"/>
    <n v="1"/>
    <s v="Highly Concentrated"/>
    <n v="5267552"/>
    <s v="Routine Market"/>
    <x v="0"/>
    <s v="Yes"/>
  </r>
  <r>
    <x v="14"/>
    <x v="14"/>
    <s v="Sulfites"/>
    <x v="14"/>
    <x v="2"/>
    <x v="8"/>
    <s v="Sodium Metabisulfite"/>
    <s v="Beverages / Food Processing"/>
    <x v="9"/>
    <x v="0"/>
    <x v="0"/>
    <s v="X"/>
    <x v="9"/>
    <s v="Egypt"/>
    <s v="World"/>
    <s v="TOTAL CPC"/>
    <s v="TOTAL MOT"/>
    <n v="283210"/>
    <n v="20030"/>
    <n v="27020"/>
    <n v="0"/>
    <n v="27020"/>
    <s v="kg"/>
    <n v="27020"/>
    <s v="kg"/>
    <n v="1.1178535358665947E-2"/>
    <n v="20"/>
    <x v="0"/>
    <n v="0"/>
    <n v="0"/>
    <n v="0"/>
    <n v="2.7944449810822212E-3"/>
    <n v="381"/>
    <n v="0.74130273871206509"/>
    <n v="34"/>
    <x v="0"/>
    <s v="No"/>
    <n v="13115268"/>
    <n v="5267552"/>
    <n v="6.321329281187793E-2"/>
    <n v="11"/>
    <x v="0"/>
    <n v="1790967.6800000002"/>
    <n v="396"/>
    <x v="0"/>
    <x v="0"/>
    <n v="5267552"/>
    <n v="1"/>
    <n v="1"/>
    <s v="Highly Concentrated"/>
    <n v="5267552"/>
    <s v="Routine Market"/>
    <x v="0"/>
    <s v="No"/>
  </r>
  <r>
    <x v="14"/>
    <x v="14"/>
    <s v="Sulfites"/>
    <x v="14"/>
    <x v="2"/>
    <x v="8"/>
    <s v="Sodium Metabisulfite"/>
    <s v="Beverages / Food Processing"/>
    <x v="12"/>
    <x v="0"/>
    <x v="0"/>
    <s v="X"/>
    <x v="12"/>
    <s v="Egypt"/>
    <s v="World"/>
    <s v="TOTAL CPC"/>
    <s v="TOTAL MOT"/>
    <n v="283210"/>
    <n v="3292"/>
    <n v="2081"/>
    <n v="0"/>
    <n v="2081"/>
    <s v="kg"/>
    <n v="2081"/>
    <s v="kg"/>
    <n v="1.4561232389604124E-2"/>
    <n v="28"/>
    <x v="0"/>
    <n v="0"/>
    <n v="0"/>
    <n v="0"/>
    <n v="2.7944449810822212E-3"/>
    <n v="455"/>
    <n v="1.5819317635752042"/>
    <n v="34"/>
    <x v="0"/>
    <s v="No"/>
    <n v="13115268"/>
    <n v="5267552"/>
    <n v="6.321329281187793E-2"/>
    <n v="11"/>
    <x v="0"/>
    <n v="1790967.6800000002"/>
    <n v="396"/>
    <x v="0"/>
    <x v="0"/>
    <n v="5267552"/>
    <n v="1"/>
    <n v="1"/>
    <s v="Highly Concentrated"/>
    <n v="5267552"/>
    <s v="Routine Market"/>
    <x v="0"/>
    <s v="No"/>
  </r>
  <r>
    <x v="14"/>
    <x v="14"/>
    <s v="Sulfites"/>
    <x v="14"/>
    <x v="2"/>
    <x v="8"/>
    <s v="Sodium Metabisulfite"/>
    <s v="Beverages / Food Processing"/>
    <x v="14"/>
    <x v="0"/>
    <x v="0"/>
    <s v="X"/>
    <x v="14"/>
    <s v="Egypt"/>
    <s v="World"/>
    <s v="TOTAL CPC"/>
    <s v="TOTAL MOT"/>
    <n v="283210"/>
    <n v="4652"/>
    <n v="2486"/>
    <n v="0"/>
    <n v="2486"/>
    <s v="kg"/>
    <n v="2486"/>
    <s v="kg"/>
    <n v="9.709938116315122E-3"/>
    <n v="13"/>
    <x v="0"/>
    <n v="0"/>
    <n v="0"/>
    <n v="0"/>
    <n v="2.7944449810822212E-3"/>
    <n v="443"/>
    <n v="1.8712791633145616"/>
    <n v="34"/>
    <x v="0"/>
    <s v="No"/>
    <n v="13115268"/>
    <n v="5267552"/>
    <n v="6.321329281187793E-2"/>
    <n v="11"/>
    <x v="0"/>
    <n v="1790967.6800000002"/>
    <n v="396"/>
    <x v="0"/>
    <x v="0"/>
    <n v="5267552"/>
    <n v="1"/>
    <n v="1"/>
    <s v="Highly Concentrated"/>
    <n v="5267552"/>
    <s v="Routine Market"/>
    <x v="0"/>
    <s v="No"/>
  </r>
  <r>
    <x v="14"/>
    <x v="14"/>
    <s v="Sulfites"/>
    <x v="14"/>
    <x v="2"/>
    <x v="8"/>
    <s v="Sodium Metabisulfite"/>
    <s v="Beverages / Food Processing"/>
    <x v="15"/>
    <x v="0"/>
    <x v="0"/>
    <s v="X"/>
    <x v="15"/>
    <s v="Egypt"/>
    <s v="World"/>
    <s v="TOTAL CPC"/>
    <s v="TOTAL MOT"/>
    <n v="283210"/>
    <n v="15762"/>
    <n v="3369"/>
    <n v="0"/>
    <n v="3369"/>
    <s v="kg"/>
    <n v="3369"/>
    <s v="kg"/>
    <n v="2.2441761060335613E-2"/>
    <n v="33"/>
    <x v="0"/>
    <n v="0"/>
    <n v="0"/>
    <n v="0"/>
    <n v="2.7944449810822212E-3"/>
    <n v="391"/>
    <n v="4.6785396260017809"/>
    <n v="34"/>
    <x v="0"/>
    <s v="No"/>
    <n v="13115268"/>
    <n v="5267552"/>
    <n v="6.321329281187793E-2"/>
    <n v="11"/>
    <x v="0"/>
    <n v="1790967.6800000002"/>
    <n v="396"/>
    <x v="0"/>
    <x v="0"/>
    <n v="5267552"/>
    <n v="1"/>
    <n v="1"/>
    <s v="Highly Concentrated"/>
    <n v="5267552"/>
    <s v="Routine Market"/>
    <x v="0"/>
    <s v="No"/>
  </r>
  <r>
    <x v="14"/>
    <x v="14"/>
    <s v="Sulfites"/>
    <x v="14"/>
    <x v="2"/>
    <x v="8"/>
    <s v="Sodium Metabisulfite"/>
    <s v="Beverages / Food Processing"/>
    <x v="20"/>
    <x v="0"/>
    <x v="0"/>
    <s v="X"/>
    <x v="20"/>
    <s v="Egypt"/>
    <s v="World"/>
    <s v="TOTAL CPC"/>
    <s v="TOTAL MOT"/>
    <n v="283210"/>
    <n v="27205"/>
    <n v="24630"/>
    <n v="0"/>
    <n v="24630"/>
    <s v="kg"/>
    <n v="24630"/>
    <s v="kg"/>
    <n v="6.110186869383482E-3"/>
    <n v="15"/>
    <x v="0"/>
    <n v="0"/>
    <n v="0"/>
    <n v="0"/>
    <n v="2.7944449810822212E-3"/>
    <n v="362"/>
    <n v="1.104547300040601"/>
    <n v="34"/>
    <x v="0"/>
    <s v="No"/>
    <n v="13115268"/>
    <n v="5267552"/>
    <n v="6.321329281187793E-2"/>
    <n v="11"/>
    <x v="0"/>
    <n v="1790967.6800000002"/>
    <n v="396"/>
    <x v="0"/>
    <x v="0"/>
    <n v="5267552"/>
    <n v="1"/>
    <n v="1"/>
    <s v="Highly Concentrated"/>
    <n v="5267552"/>
    <s v="Routine Market"/>
    <x v="0"/>
    <s v="No"/>
  </r>
  <r>
    <x v="14"/>
    <x v="14"/>
    <s v="Sulfites"/>
    <x v="14"/>
    <x v="2"/>
    <x v="8"/>
    <s v="Sodium Metabisulfite"/>
    <s v="Beverages / Food Processing"/>
    <x v="31"/>
    <x v="1"/>
    <x v="0"/>
    <s v="X"/>
    <x v="31"/>
    <s v="Egypt"/>
    <s v="World"/>
    <s v="TOTAL CPC"/>
    <s v="TOTAL MOT"/>
    <n v="283210"/>
    <n v="603005"/>
    <n v="1450000"/>
    <n v="0"/>
    <n v="1450000"/>
    <s v="kg"/>
    <n v="1450000"/>
    <s v="kg"/>
    <n v="8.0337630087875059E-4"/>
    <n v="2"/>
    <x v="0"/>
    <n v="0"/>
    <n v="0"/>
    <n v="0"/>
    <n v="2.7944449810822212E-3"/>
    <n v="132"/>
    <n v="0.41586551724137932"/>
    <n v="34"/>
    <x v="0"/>
    <s v="No"/>
    <n v="13115268"/>
    <n v="5267552"/>
    <n v="6.321329281187793E-2"/>
    <n v="11"/>
    <x v="0"/>
    <n v="1790967.6800000002"/>
    <n v="396"/>
    <x v="0"/>
    <x v="0"/>
    <n v="5267552"/>
    <n v="1"/>
    <n v="1"/>
    <s v="Highly Concentrated"/>
    <n v="5267552"/>
    <s v="Routine Market"/>
    <x v="0"/>
    <s v="Yes"/>
  </r>
  <r>
    <x v="14"/>
    <x v="14"/>
    <s v="Sulfites"/>
    <x v="14"/>
    <x v="2"/>
    <x v="8"/>
    <s v="Sodium Metabisulfite"/>
    <s v="Beverages / Food Processing"/>
    <x v="17"/>
    <x v="1"/>
    <x v="0"/>
    <s v="X"/>
    <x v="17"/>
    <s v="Egypt"/>
    <s v="World"/>
    <s v="TOTAL CPC"/>
    <s v="TOTAL MOT"/>
    <n v="283210"/>
    <n v="3395005"/>
    <n v="8263530"/>
    <n v="0"/>
    <n v="8263530"/>
    <s v="kg"/>
    <n v="8263530"/>
    <s v="kg"/>
    <n v="4.7522902002533667E-2"/>
    <n v="8"/>
    <x v="1"/>
    <n v="0.1"/>
    <n v="339500.5"/>
    <n v="826353"/>
    <n v="2.7944449810822212E-3"/>
    <n v="41"/>
    <n v="0.41084197673391398"/>
    <n v="34"/>
    <x v="0"/>
    <s v="No"/>
    <n v="13115268"/>
    <n v="5267552"/>
    <n v="6.321329281187793E-2"/>
    <n v="11"/>
    <x v="0"/>
    <n v="1790967.6800000002"/>
    <n v="396"/>
    <x v="0"/>
    <x v="0"/>
    <n v="5267552"/>
    <n v="1"/>
    <n v="1"/>
    <s v="Highly Concentrated"/>
    <n v="5267552"/>
    <s v="Routine Market"/>
    <x v="0"/>
    <s v="Yes"/>
  </r>
  <r>
    <x v="15"/>
    <x v="15"/>
    <s v="Lecithins"/>
    <x v="15"/>
    <x v="0"/>
    <x v="9"/>
    <s v="Lecithin"/>
    <s v="Bakery / Chocolate / Sauces"/>
    <x v="24"/>
    <x v="0"/>
    <x v="0"/>
    <s v="X"/>
    <x v="24"/>
    <s v="Egypt"/>
    <s v="World"/>
    <s v="TOTAL CPC"/>
    <s v="TOTAL MOT"/>
    <n v="292320"/>
    <n v="2445031"/>
    <n v="2438440"/>
    <n v="0"/>
    <n v="2438440"/>
    <s v="kg"/>
    <n v="2438440"/>
    <s v="kg"/>
    <n v="1.3771095818184687E-3"/>
    <n v="1"/>
    <x v="0"/>
    <n v="0"/>
    <n v="0"/>
    <n v="0"/>
    <n v="2.7891765692835096E-3"/>
    <n v="55"/>
    <n v="1.0027029576286479"/>
    <n v="34"/>
    <x v="0"/>
    <s v="No"/>
    <n v="4015418.8"/>
    <n v="5257621"/>
    <n v="6.321329281187793E-2"/>
    <n v="14"/>
    <x v="0"/>
    <n v="1787591.1400000001"/>
    <n v="407"/>
    <x v="0"/>
    <x v="0"/>
    <n v="5257621"/>
    <n v="1"/>
    <n v="1"/>
    <s v="Highly Concentrated"/>
    <n v="5257621"/>
    <s v="Routine Market"/>
    <x v="0"/>
    <s v="Yes"/>
  </r>
  <r>
    <x v="15"/>
    <x v="15"/>
    <s v="Lecithins"/>
    <x v="15"/>
    <x v="0"/>
    <x v="9"/>
    <s v="Lecithin"/>
    <s v="Bakery / Chocolate / Sauces"/>
    <x v="3"/>
    <x v="0"/>
    <x v="0"/>
    <s v="X"/>
    <x v="3"/>
    <s v="Egypt"/>
    <s v="World"/>
    <s v="TOTAL CPC"/>
    <s v="TOTAL MOT"/>
    <n v="292320"/>
    <n v="242280"/>
    <n v="242400"/>
    <n v="0"/>
    <n v="242400"/>
    <s v="kg"/>
    <n v="242400"/>
    <s v="kg"/>
    <n v="6.321329281187793E-2"/>
    <n v="28"/>
    <x v="1"/>
    <n v="0.14000000000000001"/>
    <n v="33919.200000000004"/>
    <n v="33936"/>
    <n v="2.7891765692835096E-3"/>
    <n v="204"/>
    <n v="0.9995049504950495"/>
    <n v="34"/>
    <x v="0"/>
    <s v="No"/>
    <n v="4015418.8"/>
    <n v="5257621"/>
    <n v="6.321329281187793E-2"/>
    <n v="14"/>
    <x v="0"/>
    <n v="1787591.1400000001"/>
    <n v="407"/>
    <x v="0"/>
    <x v="0"/>
    <n v="5257621"/>
    <n v="1"/>
    <n v="1"/>
    <s v="Highly Concentrated"/>
    <n v="5257621"/>
    <s v="Routine Market"/>
    <x v="0"/>
    <s v="No"/>
  </r>
  <r>
    <x v="15"/>
    <x v="15"/>
    <s v="Lecithins"/>
    <x v="15"/>
    <x v="0"/>
    <x v="9"/>
    <s v="Lecithin"/>
    <s v="Bakery / Chocolate / Sauces"/>
    <x v="5"/>
    <x v="0"/>
    <x v="0"/>
    <s v="X"/>
    <x v="5"/>
    <s v="Egypt"/>
    <s v="World"/>
    <s v="TOTAL CPC"/>
    <s v="TOTAL MOT"/>
    <n v="292320"/>
    <n v="362757"/>
    <n v="43200"/>
    <n v="0"/>
    <n v="43200"/>
    <s v="kg"/>
    <n v="43200"/>
    <s v="kg"/>
    <n v="4.8573207719329804E-4"/>
    <n v="1"/>
    <x v="0"/>
    <n v="0"/>
    <n v="0"/>
    <n v="0"/>
    <n v="2.7891765692835096E-3"/>
    <n v="173"/>
    <n v="8.3971527777777784"/>
    <n v="34"/>
    <x v="0"/>
    <s v="No"/>
    <n v="4015418.8"/>
    <n v="5257621"/>
    <n v="6.321329281187793E-2"/>
    <n v="14"/>
    <x v="0"/>
    <n v="1787591.1400000001"/>
    <n v="407"/>
    <x v="0"/>
    <x v="0"/>
    <n v="5257621"/>
    <n v="1"/>
    <n v="1"/>
    <s v="Highly Concentrated"/>
    <n v="5257621"/>
    <s v="Routine Market"/>
    <x v="0"/>
    <s v="Yes"/>
  </r>
  <r>
    <x v="15"/>
    <x v="15"/>
    <s v="Lecithins"/>
    <x v="15"/>
    <x v="0"/>
    <x v="9"/>
    <s v="Lecithin"/>
    <s v="Bakery / Chocolate / Sauces"/>
    <x v="6"/>
    <x v="0"/>
    <x v="0"/>
    <s v="X"/>
    <x v="6"/>
    <s v="Egypt"/>
    <s v="World"/>
    <s v="TOTAL CPC"/>
    <s v="TOTAL MOT"/>
    <n v="292320"/>
    <n v="14342"/>
    <n v="195"/>
    <n v="0"/>
    <n v="195"/>
    <s v="kg"/>
    <n v="195"/>
    <s v="kg"/>
    <n v="1.6951290293147386E-2"/>
    <n v="27"/>
    <x v="0"/>
    <n v="0"/>
    <n v="0"/>
    <n v="0"/>
    <n v="2.7891765692835096E-3"/>
    <n v="395"/>
    <n v="73.54871794871795"/>
    <n v="34"/>
    <x v="0"/>
    <s v="No"/>
    <n v="4015418.8"/>
    <n v="5257621"/>
    <n v="6.321329281187793E-2"/>
    <n v="14"/>
    <x v="0"/>
    <n v="1787591.1400000001"/>
    <n v="407"/>
    <x v="0"/>
    <x v="0"/>
    <n v="5257621"/>
    <n v="1"/>
    <n v="1"/>
    <s v="Highly Concentrated"/>
    <n v="5257621"/>
    <s v="Routine Market"/>
    <x v="0"/>
    <s v="No"/>
  </r>
  <r>
    <x v="15"/>
    <x v="15"/>
    <s v="Lecithins"/>
    <x v="15"/>
    <x v="0"/>
    <x v="9"/>
    <s v="Lecithin"/>
    <s v="Bakery / Chocolate / Sauces"/>
    <x v="7"/>
    <x v="0"/>
    <x v="0"/>
    <s v="X"/>
    <x v="7"/>
    <s v="Egypt"/>
    <s v="World"/>
    <s v="TOTAL CPC"/>
    <s v="TOTAL MOT"/>
    <n v="292320"/>
    <n v="64462"/>
    <n v="782.8"/>
    <n v="0"/>
    <n v="783"/>
    <s v="kg"/>
    <n v="0"/>
    <s v="N/A"/>
    <n v="1.1674623358397021E-2"/>
    <n v="25"/>
    <x v="0"/>
    <n v="0"/>
    <n v="0"/>
    <n v="0"/>
    <n v="2.7891765692835096E-3"/>
    <n v="312"/>
    <n v="82.347981604496681"/>
    <n v="34"/>
    <x v="0"/>
    <s v="No"/>
    <n v="4015418.8"/>
    <n v="5257621"/>
    <n v="6.321329281187793E-2"/>
    <n v="14"/>
    <x v="0"/>
    <n v="1787591.1400000001"/>
    <n v="407"/>
    <x v="0"/>
    <x v="0"/>
    <n v="5257621"/>
    <n v="1"/>
    <n v="1"/>
    <s v="Highly Concentrated"/>
    <n v="5257621"/>
    <s v="Routine Market"/>
    <x v="0"/>
    <s v="No"/>
  </r>
  <r>
    <x v="15"/>
    <x v="15"/>
    <s v="Lecithins"/>
    <x v="15"/>
    <x v="0"/>
    <x v="9"/>
    <s v="Lecithin"/>
    <s v="Bakery / Chocolate / Sauces"/>
    <x v="10"/>
    <x v="1"/>
    <x v="0"/>
    <s v="X"/>
    <x v="10"/>
    <s v="Egypt"/>
    <s v="World"/>
    <s v="TOTAL CPC"/>
    <s v="TOTAL MOT"/>
    <n v="292320"/>
    <n v="1"/>
    <n v="1"/>
    <n v="0"/>
    <n v="1"/>
    <s v="kg"/>
    <n v="1"/>
    <s v="kg"/>
    <n v="1.389484063100993E-2"/>
    <n v="9"/>
    <x v="0"/>
    <n v="0"/>
    <n v="0"/>
    <n v="0"/>
    <n v="2.7891765692835096E-3"/>
    <n v="538"/>
    <n v="1"/>
    <n v="34"/>
    <x v="0"/>
    <s v="No"/>
    <n v="4015418.8"/>
    <n v="5257621"/>
    <n v="6.321329281187793E-2"/>
    <n v="14"/>
    <x v="0"/>
    <n v="1787591.1400000001"/>
    <n v="407"/>
    <x v="0"/>
    <x v="0"/>
    <n v="5257621"/>
    <n v="1"/>
    <n v="1"/>
    <s v="Highly Concentrated"/>
    <n v="5257621"/>
    <s v="Routine Market"/>
    <x v="0"/>
    <s v="Yes"/>
  </r>
  <r>
    <x v="15"/>
    <x v="15"/>
    <s v="Lecithins"/>
    <x v="15"/>
    <x v="0"/>
    <x v="9"/>
    <s v="Lecithin"/>
    <s v="Bakery / Chocolate / Sauces"/>
    <x v="12"/>
    <x v="1"/>
    <x v="0"/>
    <s v="X"/>
    <x v="12"/>
    <s v="Egypt"/>
    <s v="World"/>
    <s v="TOTAL CPC"/>
    <s v="TOTAL MOT"/>
    <n v="292320"/>
    <n v="583531"/>
    <n v="360017"/>
    <n v="0"/>
    <n v="360017"/>
    <s v="kg"/>
    <n v="360017"/>
    <s v="kg"/>
    <n v="1.4561232389604124E-2"/>
    <n v="7"/>
    <x v="0"/>
    <n v="0"/>
    <n v="0"/>
    <n v="0"/>
    <n v="2.7891765692835096E-3"/>
    <n v="137"/>
    <n v="1.6208429046406141"/>
    <n v="34"/>
    <x v="0"/>
    <s v="No"/>
    <n v="4015418.8"/>
    <n v="5257621"/>
    <n v="6.321329281187793E-2"/>
    <n v="14"/>
    <x v="0"/>
    <n v="1787591.1400000001"/>
    <n v="407"/>
    <x v="0"/>
    <x v="0"/>
    <n v="5257621"/>
    <n v="1"/>
    <n v="1"/>
    <s v="Highly Concentrated"/>
    <n v="5257621"/>
    <s v="Routine Market"/>
    <x v="0"/>
    <s v="Yes"/>
  </r>
  <r>
    <x v="15"/>
    <x v="15"/>
    <s v="Lecithins"/>
    <x v="15"/>
    <x v="0"/>
    <x v="9"/>
    <s v="Lecithin"/>
    <s v="Bakery / Chocolate / Sauces"/>
    <x v="13"/>
    <x v="1"/>
    <x v="0"/>
    <s v="X"/>
    <x v="13"/>
    <s v="Egypt"/>
    <s v="World"/>
    <s v="TOTAL CPC"/>
    <s v="TOTAL MOT"/>
    <n v="292320"/>
    <n v="1497"/>
    <n v="40"/>
    <n v="0"/>
    <n v="40"/>
    <s v="kg"/>
    <n v="40"/>
    <s v="kg"/>
    <n v="6.3855771678493602E-3"/>
    <n v="9"/>
    <x v="1"/>
    <n v="0.06"/>
    <n v="89.82"/>
    <n v="2.4"/>
    <n v="2.7891765692835096E-3"/>
    <n v="476"/>
    <n v="37.424999999999997"/>
    <n v="34"/>
    <x v="0"/>
    <s v="No"/>
    <n v="4015418.8"/>
    <n v="5257621"/>
    <n v="6.321329281187793E-2"/>
    <n v="14"/>
    <x v="0"/>
    <n v="1787591.1400000001"/>
    <n v="407"/>
    <x v="0"/>
    <x v="0"/>
    <n v="5257621"/>
    <n v="1"/>
    <n v="1"/>
    <s v="Highly Concentrated"/>
    <n v="5257621"/>
    <s v="Routine Market"/>
    <x v="0"/>
    <s v="Yes"/>
  </r>
  <r>
    <x v="15"/>
    <x v="15"/>
    <s v="Lecithins"/>
    <x v="15"/>
    <x v="0"/>
    <x v="9"/>
    <s v="Lecithin"/>
    <s v="Bakery / Chocolate / Sauces"/>
    <x v="15"/>
    <x v="1"/>
    <x v="0"/>
    <s v="X"/>
    <x v="15"/>
    <s v="Egypt"/>
    <s v="World"/>
    <s v="TOTAL CPC"/>
    <s v="TOTAL MOT"/>
    <n v="292320"/>
    <n v="1203296"/>
    <n v="786687"/>
    <n v="0"/>
    <n v="786687"/>
    <s v="kg"/>
    <n v="786687"/>
    <s v="kg"/>
    <n v="2.2441761060335613E-2"/>
    <n v="10"/>
    <x v="0"/>
    <n v="0"/>
    <n v="0"/>
    <n v="0"/>
    <n v="2.7891765692835096E-3"/>
    <n v="92"/>
    <n v="1.5295740237222681"/>
    <n v="34"/>
    <x v="0"/>
    <s v="No"/>
    <n v="4015418.8"/>
    <n v="5257621"/>
    <n v="6.321329281187793E-2"/>
    <n v="14"/>
    <x v="0"/>
    <n v="1787591.1400000001"/>
    <n v="407"/>
    <x v="0"/>
    <x v="0"/>
    <n v="5257621"/>
    <n v="1"/>
    <n v="1"/>
    <s v="Highly Concentrated"/>
    <n v="5257621"/>
    <s v="Routine Market"/>
    <x v="0"/>
    <s v="Yes"/>
  </r>
  <r>
    <x v="15"/>
    <x v="15"/>
    <s v="Lecithins"/>
    <x v="15"/>
    <x v="0"/>
    <x v="9"/>
    <s v="Lecithin"/>
    <s v="Bakery / Chocolate / Sauces"/>
    <x v="16"/>
    <x v="1"/>
    <x v="0"/>
    <s v="X"/>
    <x v="16"/>
    <s v="Egypt"/>
    <s v="World"/>
    <s v="TOTAL CPC"/>
    <s v="TOTAL MOT"/>
    <n v="292320"/>
    <n v="85993"/>
    <n v="21000"/>
    <n v="0"/>
    <n v="21000"/>
    <s v="kg"/>
    <n v="21000"/>
    <s v="kg"/>
    <n v="8.2796770445636432E-4"/>
    <n v="3"/>
    <x v="1"/>
    <n v="0.06"/>
    <n v="5159.58"/>
    <n v="1260"/>
    <n v="2.7891765692835096E-3"/>
    <n v="286"/>
    <n v="4.094904761904762"/>
    <n v="34"/>
    <x v="0"/>
    <s v="No"/>
    <n v="4015418.8"/>
    <n v="5257621"/>
    <n v="6.321329281187793E-2"/>
    <n v="14"/>
    <x v="0"/>
    <n v="1787591.1400000001"/>
    <n v="407"/>
    <x v="0"/>
    <x v="0"/>
    <n v="5257621"/>
    <n v="1"/>
    <n v="1"/>
    <s v="Highly Concentrated"/>
    <n v="5257621"/>
    <s v="Routine Market"/>
    <x v="0"/>
    <s v="Yes"/>
  </r>
  <r>
    <x v="15"/>
    <x v="15"/>
    <s v="Lecithins"/>
    <x v="15"/>
    <x v="0"/>
    <x v="9"/>
    <s v="Lecithin"/>
    <s v="Bakery / Chocolate / Sauces"/>
    <x v="20"/>
    <x v="0"/>
    <x v="0"/>
    <s v="X"/>
    <x v="20"/>
    <s v="Egypt"/>
    <s v="World"/>
    <s v="TOTAL CPC"/>
    <s v="TOTAL MOT"/>
    <n v="292320"/>
    <n v="2164"/>
    <n v="450"/>
    <n v="0"/>
    <n v="450"/>
    <s v="kg"/>
    <n v="450"/>
    <s v="kg"/>
    <n v="6.110186869383482E-3"/>
    <n v="22"/>
    <x v="0"/>
    <n v="0"/>
    <n v="0"/>
    <n v="0"/>
    <n v="2.7891765692835096E-3"/>
    <n v="469"/>
    <n v="4.8088888888888892"/>
    <n v="34"/>
    <x v="0"/>
    <s v="No"/>
    <n v="4015418.8"/>
    <n v="5257621"/>
    <n v="6.321329281187793E-2"/>
    <n v="14"/>
    <x v="0"/>
    <n v="1787591.1400000001"/>
    <n v="407"/>
    <x v="0"/>
    <x v="0"/>
    <n v="5257621"/>
    <n v="1"/>
    <n v="1"/>
    <s v="Highly Concentrated"/>
    <n v="5257621"/>
    <s v="Routine Market"/>
    <x v="0"/>
    <s v="No"/>
  </r>
  <r>
    <x v="15"/>
    <x v="15"/>
    <s v="Lecithins"/>
    <x v="15"/>
    <x v="0"/>
    <x v="9"/>
    <s v="Lecithin"/>
    <s v="Bakery / Chocolate / Sauces"/>
    <x v="17"/>
    <x v="0"/>
    <x v="0"/>
    <s v="X"/>
    <x v="17"/>
    <s v="Egypt"/>
    <s v="World"/>
    <s v="TOTAL CPC"/>
    <s v="TOTAL MOT"/>
    <n v="292320"/>
    <n v="33"/>
    <n v="25"/>
    <n v="0"/>
    <n v="25"/>
    <s v="kg"/>
    <n v="25"/>
    <s v="kg"/>
    <n v="4.7522902002533667E-2"/>
    <n v="36"/>
    <x v="1"/>
    <n v="0.1"/>
    <n v="3.3000000000000003"/>
    <n v="2.5"/>
    <n v="2.7891765692835096E-3"/>
    <n v="526"/>
    <n v="1.32"/>
    <n v="34"/>
    <x v="0"/>
    <s v="No"/>
    <n v="4015418.8"/>
    <n v="5257621"/>
    <n v="6.321329281187793E-2"/>
    <n v="14"/>
    <x v="0"/>
    <n v="1787591.1400000001"/>
    <n v="407"/>
    <x v="0"/>
    <x v="0"/>
    <n v="5257621"/>
    <n v="1"/>
    <n v="1"/>
    <s v="Highly Concentrated"/>
    <n v="5257621"/>
    <s v="Routine Market"/>
    <x v="0"/>
    <s v="No"/>
  </r>
  <r>
    <x v="15"/>
    <x v="15"/>
    <s v="Lecithins"/>
    <x v="15"/>
    <x v="0"/>
    <x v="9"/>
    <s v="Lecithin"/>
    <s v="Bakery / Chocolate / Sauces"/>
    <x v="21"/>
    <x v="1"/>
    <x v="0"/>
    <s v="X"/>
    <x v="21"/>
    <s v="Egypt"/>
    <s v="World"/>
    <s v="TOTAL CPC"/>
    <s v="TOTAL MOT"/>
    <n v="292320"/>
    <n v="119538"/>
    <n v="24000"/>
    <n v="0"/>
    <n v="24000"/>
    <s v="kg"/>
    <n v="24000"/>
    <s v="kg"/>
    <n v="1.3104801671892474E-3"/>
    <n v="6"/>
    <x v="0"/>
    <n v="0"/>
    <n v="0"/>
    <n v="0"/>
    <n v="2.7891765692835096E-3"/>
    <n v="262"/>
    <n v="4.9807499999999996"/>
    <n v="34"/>
    <x v="0"/>
    <s v="No"/>
    <n v="4015418.8"/>
    <n v="5257621"/>
    <n v="6.321329281187793E-2"/>
    <n v="14"/>
    <x v="0"/>
    <n v="1787591.1400000001"/>
    <n v="407"/>
    <x v="0"/>
    <x v="0"/>
    <n v="5257621"/>
    <n v="1"/>
    <n v="1"/>
    <s v="Highly Concentrated"/>
    <n v="5257621"/>
    <s v="Routine Market"/>
    <x v="0"/>
    <s v="Yes"/>
  </r>
  <r>
    <x v="15"/>
    <x v="15"/>
    <s v="Lecithins"/>
    <x v="15"/>
    <x v="0"/>
    <x v="9"/>
    <s v="Lecithin"/>
    <s v="Bakery / Chocolate / Sauces"/>
    <x v="18"/>
    <x v="0"/>
    <x v="0"/>
    <s v="X"/>
    <x v="18"/>
    <s v="Egypt"/>
    <s v="World"/>
    <s v="TOTAL CPC"/>
    <s v="TOTAL MOT"/>
    <n v="292320"/>
    <n v="132696"/>
    <n v="98181"/>
    <n v="0"/>
    <n v="98181"/>
    <s v="kg"/>
    <n v="98181"/>
    <s v="kg"/>
    <n v="9.425427433633813E-3"/>
    <n v="13"/>
    <x v="1"/>
    <n v="4.0000000000000008E-2"/>
    <n v="5307.8400000000011"/>
    <n v="3927.2400000000007"/>
    <n v="2.7891765692835096E-3"/>
    <n v="257"/>
    <n v="1.3515445962049684"/>
    <n v="34"/>
    <x v="0"/>
    <s v="No"/>
    <n v="4015418.8"/>
    <n v="5257621"/>
    <n v="6.321329281187793E-2"/>
    <n v="14"/>
    <x v="0"/>
    <n v="1787591.1400000001"/>
    <n v="407"/>
    <x v="0"/>
    <x v="0"/>
    <n v="5257621"/>
    <n v="1"/>
    <n v="1"/>
    <s v="Highly Concentrated"/>
    <n v="5257621"/>
    <s v="Routine Market"/>
    <x v="0"/>
    <s v="No"/>
  </r>
  <r>
    <x v="16"/>
    <x v="16"/>
    <s v="Fatty acid derivatives"/>
    <x v="16"/>
    <x v="0"/>
    <x v="9"/>
    <s v="Mono &amp; Diglycerides"/>
    <s v="Bakery / Margarine / Sauces"/>
    <x v="1"/>
    <x v="0"/>
    <x v="0"/>
    <s v="X"/>
    <x v="1"/>
    <s v="Egypt"/>
    <s v="World"/>
    <s v="TOTAL CPC"/>
    <s v="TOTAL MOT"/>
    <n v="291570"/>
    <n v="11270"/>
    <n v="1693.6"/>
    <n v="0"/>
    <n v="1694"/>
    <s v="kg"/>
    <n v="1694"/>
    <s v="kg"/>
    <n v="5.3992075088500962E-3"/>
    <n v="19"/>
    <x v="0"/>
    <n v="0"/>
    <n v="0"/>
    <n v="0"/>
    <n v="4.3846809447427443E-3"/>
    <n v="409"/>
    <n v="6.6544638639584317"/>
    <n v="34"/>
    <x v="0"/>
    <s v="No"/>
    <n v="3811780.5999999996"/>
    <n v="8265160"/>
    <n v="0.39900464236999494"/>
    <n v="17"/>
    <x v="0"/>
    <n v="2810154.4000000004"/>
    <n v="329"/>
    <x v="0"/>
    <x v="0"/>
    <n v="8265160"/>
    <n v="1"/>
    <n v="1"/>
    <s v="Highly Concentrated"/>
    <n v="8265160"/>
    <s v="Routine Market"/>
    <x v="0"/>
    <s v="No"/>
  </r>
  <r>
    <x v="16"/>
    <x v="16"/>
    <s v="Fatty acid derivatives"/>
    <x v="16"/>
    <x v="0"/>
    <x v="9"/>
    <s v="Mono &amp; Diglycerides"/>
    <s v="Bakery / Margarine / Sauces"/>
    <x v="3"/>
    <x v="0"/>
    <x v="0"/>
    <s v="X"/>
    <x v="3"/>
    <s v="Egypt"/>
    <s v="World"/>
    <s v="TOTAL CPC"/>
    <s v="TOTAL MOT"/>
    <n v="291570"/>
    <n v="290846"/>
    <n v="146019"/>
    <n v="0"/>
    <n v="146019"/>
    <s v="kg"/>
    <n v="146019"/>
    <s v="kg"/>
    <n v="6.321329281187793E-2"/>
    <n v="25"/>
    <x v="1"/>
    <n v="0.14000000000000001"/>
    <n v="40718.44"/>
    <n v="20442.660000000003"/>
    <n v="4.3846809447427443E-3"/>
    <n v="193"/>
    <n v="1.9918366787883768"/>
    <n v="34"/>
    <x v="0"/>
    <s v="No"/>
    <n v="3811780.5999999996"/>
    <n v="8265160"/>
    <n v="0.39900464236999494"/>
    <n v="17"/>
    <x v="0"/>
    <n v="2810154.4000000004"/>
    <n v="329"/>
    <x v="0"/>
    <x v="0"/>
    <n v="8265160"/>
    <n v="1"/>
    <n v="1"/>
    <s v="Highly Concentrated"/>
    <n v="8265160"/>
    <s v="Routine Market"/>
    <x v="0"/>
    <s v="No"/>
  </r>
  <r>
    <x v="16"/>
    <x v="16"/>
    <s v="Fatty acid derivatives"/>
    <x v="16"/>
    <x v="0"/>
    <x v="9"/>
    <s v="Mono &amp; Diglycerides"/>
    <s v="Bakery / Margarine / Sauces"/>
    <x v="6"/>
    <x v="0"/>
    <x v="0"/>
    <s v="X"/>
    <x v="6"/>
    <s v="Egypt"/>
    <s v="World"/>
    <s v="TOTAL CPC"/>
    <s v="TOTAL MOT"/>
    <n v="291570"/>
    <n v="272330"/>
    <n v="27570"/>
    <n v="0"/>
    <n v="27570"/>
    <s v="kg"/>
    <n v="27570"/>
    <s v="kg"/>
    <n v="1.6951290293147386E-2"/>
    <n v="15"/>
    <x v="0"/>
    <n v="0"/>
    <n v="0"/>
    <n v="0"/>
    <n v="4.3846809447427443E-3"/>
    <n v="198"/>
    <n v="9.8777656873413129"/>
    <n v="34"/>
    <x v="0"/>
    <s v="No"/>
    <n v="3811780.5999999996"/>
    <n v="8265160"/>
    <n v="0.39900464236999494"/>
    <n v="17"/>
    <x v="0"/>
    <n v="2810154.4000000004"/>
    <n v="329"/>
    <x v="0"/>
    <x v="0"/>
    <n v="8265160"/>
    <n v="1"/>
    <n v="1"/>
    <s v="Highly Concentrated"/>
    <n v="8265160"/>
    <s v="Routine Market"/>
    <x v="0"/>
    <s v="No"/>
  </r>
  <r>
    <x v="16"/>
    <x v="16"/>
    <s v="Fatty acid derivatives"/>
    <x v="16"/>
    <x v="0"/>
    <x v="9"/>
    <s v="Mono &amp; Diglycerides"/>
    <s v="Bakery / Margarine / Sauces"/>
    <x v="7"/>
    <x v="0"/>
    <x v="0"/>
    <s v="X"/>
    <x v="7"/>
    <s v="Egypt"/>
    <s v="World"/>
    <s v="TOTAL CPC"/>
    <s v="TOTAL MOT"/>
    <n v="291570"/>
    <n v="30714"/>
    <n v="4682.8"/>
    <n v="0"/>
    <n v="4683"/>
    <s v="kg"/>
    <n v="0"/>
    <s v="N/A"/>
    <n v="1.1674623358397021E-2"/>
    <n v="29"/>
    <x v="0"/>
    <n v="0"/>
    <n v="0"/>
    <n v="0"/>
    <n v="4.3846809447427443E-3"/>
    <n v="354"/>
    <n v="6.5588963867771417"/>
    <n v="34"/>
    <x v="0"/>
    <s v="No"/>
    <n v="3811780.5999999996"/>
    <n v="8265160"/>
    <n v="0.39900464236999494"/>
    <n v="17"/>
    <x v="0"/>
    <n v="2810154.4000000004"/>
    <n v="329"/>
    <x v="0"/>
    <x v="0"/>
    <n v="8265160"/>
    <n v="1"/>
    <n v="1"/>
    <s v="Highly Concentrated"/>
    <n v="8265160"/>
    <s v="Routine Market"/>
    <x v="0"/>
    <s v="No"/>
  </r>
  <r>
    <x v="16"/>
    <x v="16"/>
    <s v="Fatty acid derivatives"/>
    <x v="16"/>
    <x v="0"/>
    <x v="9"/>
    <s v="Mono &amp; Diglycerides"/>
    <s v="Bakery / Margarine / Sauces"/>
    <x v="33"/>
    <x v="1"/>
    <x v="0"/>
    <s v="X"/>
    <x v="33"/>
    <s v="Egypt"/>
    <s v="World"/>
    <s v="TOTAL CPC"/>
    <s v="TOTAL MOT"/>
    <n v="291570"/>
    <n v="11213"/>
    <n v="3700"/>
    <n v="0"/>
    <n v="3700"/>
    <s v="kg"/>
    <n v="3700"/>
    <s v="kg"/>
    <n v="7.8962835084717131E-4"/>
    <n v="4"/>
    <x v="0"/>
    <n v="0"/>
    <n v="0"/>
    <n v="0"/>
    <n v="4.3846809447427443E-3"/>
    <n v="410"/>
    <n v="3.0305405405405406"/>
    <n v="34"/>
    <x v="0"/>
    <s v="No"/>
    <n v="3811780.5999999996"/>
    <n v="8265160"/>
    <n v="0.39900464236999494"/>
    <n v="17"/>
    <x v="0"/>
    <n v="2810154.4000000004"/>
    <n v="329"/>
    <x v="0"/>
    <x v="0"/>
    <n v="8265160"/>
    <n v="1"/>
    <n v="1"/>
    <s v="Highly Concentrated"/>
    <n v="8265160"/>
    <s v="Routine Market"/>
    <x v="0"/>
    <s v="Yes"/>
  </r>
  <r>
    <x v="16"/>
    <x v="16"/>
    <s v="Fatty acid derivatives"/>
    <x v="16"/>
    <x v="0"/>
    <x v="9"/>
    <s v="Mono &amp; Diglycerides"/>
    <s v="Bakery / Margarine / Sauces"/>
    <x v="26"/>
    <x v="1"/>
    <x v="0"/>
    <s v="X"/>
    <x v="26"/>
    <s v="Egypt"/>
    <s v="World"/>
    <s v="TOTAL CPC"/>
    <s v="TOTAL MOT"/>
    <n v="291570"/>
    <n v="1278"/>
    <n v="308"/>
    <n v="0"/>
    <n v="308"/>
    <s v="kg"/>
    <n v="308"/>
    <s v="kg"/>
    <n v="2.621940701411424E-4"/>
    <n v="4"/>
    <x v="0"/>
    <n v="0"/>
    <n v="0"/>
    <n v="0"/>
    <n v="4.3846809447427443E-3"/>
    <n v="481"/>
    <n v="4.1493506493506498"/>
    <n v="34"/>
    <x v="0"/>
    <s v="No"/>
    <n v="3811780.5999999996"/>
    <n v="8265160"/>
    <n v="0.39900464236999494"/>
    <n v="17"/>
    <x v="0"/>
    <n v="2810154.4000000004"/>
    <n v="329"/>
    <x v="0"/>
    <x v="0"/>
    <n v="8265160"/>
    <n v="1"/>
    <n v="1"/>
    <s v="Highly Concentrated"/>
    <n v="8265160"/>
    <s v="Routine Market"/>
    <x v="0"/>
    <s v="Yes"/>
  </r>
  <r>
    <x v="16"/>
    <x v="16"/>
    <s v="Fatty acid derivatives"/>
    <x v="16"/>
    <x v="0"/>
    <x v="9"/>
    <s v="Mono &amp; Diglycerides"/>
    <s v="Bakery / Margarine / Sauces"/>
    <x v="27"/>
    <x v="1"/>
    <x v="0"/>
    <s v="X"/>
    <x v="27"/>
    <s v="Egypt"/>
    <s v="World"/>
    <s v="TOTAL CPC"/>
    <s v="TOTAL MOT"/>
    <n v="291570"/>
    <n v="373198"/>
    <n v="317600"/>
    <n v="0"/>
    <n v="317600"/>
    <s v="kg"/>
    <n v="317600"/>
    <s v="kg"/>
    <n v="0.39900464236999494"/>
    <n v="4"/>
    <x v="1"/>
    <n v="0.21"/>
    <n v="78371.58"/>
    <n v="66696"/>
    <n v="4.3846809447427443E-3"/>
    <n v="167"/>
    <n v="1.1750566750629723"/>
    <n v="34"/>
    <x v="0"/>
    <s v="No"/>
    <n v="3811780.5999999996"/>
    <n v="8265160"/>
    <n v="0.39900464236999494"/>
    <n v="17"/>
    <x v="0"/>
    <n v="2810154.4000000004"/>
    <n v="329"/>
    <x v="0"/>
    <x v="0"/>
    <n v="8265160"/>
    <n v="1"/>
    <n v="1"/>
    <s v="Highly Concentrated"/>
    <n v="8265160"/>
    <s v="Routine Market"/>
    <x v="0"/>
    <s v="Yes"/>
  </r>
  <r>
    <x v="16"/>
    <x v="16"/>
    <s v="Fatty acid derivatives"/>
    <x v="16"/>
    <x v="0"/>
    <x v="9"/>
    <s v="Mono &amp; Diglycerides"/>
    <s v="Bakery / Margarine / Sauces"/>
    <x v="9"/>
    <x v="1"/>
    <x v="0"/>
    <s v="X"/>
    <x v="9"/>
    <s v="Egypt"/>
    <s v="World"/>
    <s v="TOTAL CPC"/>
    <s v="TOTAL MOT"/>
    <n v="291570"/>
    <n v="324161"/>
    <n v="142620"/>
    <n v="0"/>
    <n v="142620"/>
    <s v="kg"/>
    <n v="142620"/>
    <s v="kg"/>
    <n v="1.1178535358665947E-2"/>
    <n v="8"/>
    <x v="0"/>
    <n v="0"/>
    <n v="0"/>
    <n v="0"/>
    <n v="4.3846809447427443E-3"/>
    <n v="181"/>
    <n v="2.2729000140232785"/>
    <n v="34"/>
    <x v="0"/>
    <s v="No"/>
    <n v="3811780.5999999996"/>
    <n v="8265160"/>
    <n v="0.39900464236999494"/>
    <n v="17"/>
    <x v="0"/>
    <n v="2810154.4000000004"/>
    <n v="329"/>
    <x v="0"/>
    <x v="0"/>
    <n v="8265160"/>
    <n v="1"/>
    <n v="1"/>
    <s v="Highly Concentrated"/>
    <n v="8265160"/>
    <s v="Routine Market"/>
    <x v="0"/>
    <s v="Yes"/>
  </r>
  <r>
    <x v="16"/>
    <x v="16"/>
    <s v="Fatty acid derivatives"/>
    <x v="16"/>
    <x v="0"/>
    <x v="9"/>
    <s v="Mono &amp; Diglycerides"/>
    <s v="Bakery / Margarine / Sauces"/>
    <x v="11"/>
    <x v="1"/>
    <x v="0"/>
    <s v="X"/>
    <x v="11"/>
    <s v="Egypt"/>
    <s v="World"/>
    <s v="TOTAL CPC"/>
    <s v="TOTAL MOT"/>
    <n v="291570"/>
    <n v="1050278"/>
    <n v="596520"/>
    <n v="0"/>
    <n v="596520"/>
    <s v="kg"/>
    <n v="596520"/>
    <s v="kg"/>
    <n v="0.25769345655074266"/>
    <n v="3"/>
    <x v="0"/>
    <n v="0"/>
    <n v="0"/>
    <n v="0"/>
    <n v="4.3846809447427443E-3"/>
    <n v="103"/>
    <n v="1.7606752497820692"/>
    <n v="34"/>
    <x v="0"/>
    <s v="No"/>
    <n v="3811780.5999999996"/>
    <n v="8265160"/>
    <n v="0.39900464236999494"/>
    <n v="17"/>
    <x v="0"/>
    <n v="2810154.4000000004"/>
    <n v="329"/>
    <x v="0"/>
    <x v="0"/>
    <n v="8265160"/>
    <n v="1"/>
    <n v="1"/>
    <s v="Highly Concentrated"/>
    <n v="8265160"/>
    <s v="Routine Market"/>
    <x v="0"/>
    <s v="Yes"/>
  </r>
  <r>
    <x v="16"/>
    <x v="16"/>
    <s v="Fatty acid derivatives"/>
    <x v="16"/>
    <x v="0"/>
    <x v="9"/>
    <s v="Mono &amp; Diglycerides"/>
    <s v="Bakery / Margarine / Sauces"/>
    <x v="12"/>
    <x v="0"/>
    <x v="0"/>
    <s v="X"/>
    <x v="12"/>
    <s v="Egypt"/>
    <s v="World"/>
    <s v="TOTAL CPC"/>
    <s v="TOTAL MOT"/>
    <n v="291570"/>
    <n v="14542"/>
    <n v="2606"/>
    <n v="0"/>
    <n v="2606"/>
    <s v="kg"/>
    <n v="2606"/>
    <s v="kg"/>
    <n v="1.4561232389604124E-2"/>
    <n v="26"/>
    <x v="0"/>
    <n v="0"/>
    <n v="0"/>
    <n v="0"/>
    <n v="4.3846809447427443E-3"/>
    <n v="394"/>
    <n v="5.580199539524175"/>
    <n v="34"/>
    <x v="0"/>
    <s v="No"/>
    <n v="3811780.5999999996"/>
    <n v="8265160"/>
    <n v="0.39900464236999494"/>
    <n v="17"/>
    <x v="0"/>
    <n v="2810154.4000000004"/>
    <n v="329"/>
    <x v="0"/>
    <x v="0"/>
    <n v="8265160"/>
    <n v="1"/>
    <n v="1"/>
    <s v="Highly Concentrated"/>
    <n v="8265160"/>
    <s v="Routine Market"/>
    <x v="0"/>
    <s v="No"/>
  </r>
  <r>
    <x v="16"/>
    <x v="16"/>
    <s v="Fatty acid derivatives"/>
    <x v="16"/>
    <x v="0"/>
    <x v="9"/>
    <s v="Mono &amp; Diglycerides"/>
    <s v="Bakery / Margarine / Sauces"/>
    <x v="14"/>
    <x v="1"/>
    <x v="0"/>
    <s v="X"/>
    <x v="14"/>
    <s v="Egypt"/>
    <s v="World"/>
    <s v="TOTAL CPC"/>
    <s v="TOTAL MOT"/>
    <n v="291570"/>
    <n v="1005056"/>
    <n v="497692.2"/>
    <n v="0"/>
    <n v="497692"/>
    <s v="kg"/>
    <n v="458746"/>
    <s v="kg"/>
    <n v="9.709938116315122E-3"/>
    <n v="3"/>
    <x v="0"/>
    <n v="0"/>
    <n v="0"/>
    <n v="0"/>
    <n v="4.3846809447427443E-3"/>
    <n v="107"/>
    <n v="2.0194328944677049"/>
    <n v="34"/>
    <x v="0"/>
    <s v="No"/>
    <n v="3811780.5999999996"/>
    <n v="8265160"/>
    <n v="0.39900464236999494"/>
    <n v="17"/>
    <x v="0"/>
    <n v="2810154.4000000004"/>
    <n v="329"/>
    <x v="0"/>
    <x v="0"/>
    <n v="8265160"/>
    <n v="1"/>
    <n v="1"/>
    <s v="Highly Concentrated"/>
    <n v="8265160"/>
    <s v="Routine Market"/>
    <x v="0"/>
    <s v="Yes"/>
  </r>
  <r>
    <x v="16"/>
    <x v="16"/>
    <s v="Fatty acid derivatives"/>
    <x v="16"/>
    <x v="0"/>
    <x v="9"/>
    <s v="Mono &amp; Diglycerides"/>
    <s v="Bakery / Margarine / Sauces"/>
    <x v="15"/>
    <x v="1"/>
    <x v="0"/>
    <s v="X"/>
    <x v="15"/>
    <s v="Egypt"/>
    <s v="World"/>
    <s v="TOTAL CPC"/>
    <s v="TOTAL MOT"/>
    <n v="291570"/>
    <n v="2561752"/>
    <n v="1102350"/>
    <n v="0"/>
    <n v="1102350"/>
    <s v="kg"/>
    <n v="1102350"/>
    <s v="kg"/>
    <n v="2.2441761060335613E-2"/>
    <n v="5"/>
    <x v="0"/>
    <n v="0"/>
    <n v="0"/>
    <n v="0"/>
    <n v="4.3846809447427443E-3"/>
    <n v="51"/>
    <n v="2.3239007574726722"/>
    <n v="34"/>
    <x v="0"/>
    <s v="No"/>
    <n v="3811780.5999999996"/>
    <n v="8265160"/>
    <n v="0.39900464236999494"/>
    <n v="17"/>
    <x v="0"/>
    <n v="2810154.4000000004"/>
    <n v="329"/>
    <x v="0"/>
    <x v="0"/>
    <n v="8265160"/>
    <n v="1"/>
    <n v="1"/>
    <s v="Highly Concentrated"/>
    <n v="8265160"/>
    <s v="Routine Market"/>
    <x v="0"/>
    <s v="Yes"/>
  </r>
  <r>
    <x v="16"/>
    <x v="16"/>
    <s v="Fatty acid derivatives"/>
    <x v="16"/>
    <x v="0"/>
    <x v="9"/>
    <s v="Mono &amp; Diglycerides"/>
    <s v="Bakery / Margarine / Sauces"/>
    <x v="16"/>
    <x v="1"/>
    <x v="0"/>
    <s v="X"/>
    <x v="16"/>
    <s v="Egypt"/>
    <s v="World"/>
    <s v="TOTAL CPC"/>
    <s v="TOTAL MOT"/>
    <n v="291570"/>
    <n v="29483"/>
    <n v="4293"/>
    <n v="0"/>
    <n v="4293"/>
    <s v="kg"/>
    <n v="4293"/>
    <s v="kg"/>
    <n v="8.2796770445636432E-4"/>
    <n v="5"/>
    <x v="1"/>
    <n v="0.06"/>
    <n v="1768.98"/>
    <n v="257.58"/>
    <n v="4.3846809447427443E-3"/>
    <n v="357"/>
    <n v="6.8676915909620311"/>
    <n v="34"/>
    <x v="0"/>
    <s v="No"/>
    <n v="3811780.5999999996"/>
    <n v="8265160"/>
    <n v="0.39900464236999494"/>
    <n v="17"/>
    <x v="0"/>
    <n v="2810154.4000000004"/>
    <n v="329"/>
    <x v="0"/>
    <x v="0"/>
    <n v="8265160"/>
    <n v="1"/>
    <n v="1"/>
    <s v="Highly Concentrated"/>
    <n v="8265160"/>
    <s v="Routine Market"/>
    <x v="0"/>
    <s v="Yes"/>
  </r>
  <r>
    <x v="16"/>
    <x v="16"/>
    <s v="Fatty acid derivatives"/>
    <x v="16"/>
    <x v="0"/>
    <x v="9"/>
    <s v="Mono &amp; Diglycerides"/>
    <s v="Bakery / Margarine / Sauces"/>
    <x v="20"/>
    <x v="0"/>
    <x v="0"/>
    <s v="X"/>
    <x v="20"/>
    <s v="Egypt"/>
    <s v="World"/>
    <s v="TOTAL CPC"/>
    <s v="TOTAL MOT"/>
    <n v="291570"/>
    <n v="10243"/>
    <n v="1380"/>
    <n v="0"/>
    <n v="1380"/>
    <s v="kg"/>
    <n v="1380"/>
    <s v="kg"/>
    <n v="6.110186869383482E-3"/>
    <n v="20"/>
    <x v="0"/>
    <n v="0"/>
    <n v="0"/>
    <n v="0"/>
    <n v="4.3846809447427443E-3"/>
    <n v="412"/>
    <n v="7.422463768115942"/>
    <n v="34"/>
    <x v="0"/>
    <s v="No"/>
    <n v="3811780.5999999996"/>
    <n v="8265160"/>
    <n v="0.39900464236999494"/>
    <n v="17"/>
    <x v="0"/>
    <n v="2810154.4000000004"/>
    <n v="329"/>
    <x v="0"/>
    <x v="0"/>
    <n v="8265160"/>
    <n v="1"/>
    <n v="1"/>
    <s v="Highly Concentrated"/>
    <n v="8265160"/>
    <s v="Routine Market"/>
    <x v="0"/>
    <s v="No"/>
  </r>
  <r>
    <x v="16"/>
    <x v="16"/>
    <s v="Fatty acid derivatives"/>
    <x v="16"/>
    <x v="0"/>
    <x v="9"/>
    <s v="Mono &amp; Diglycerides"/>
    <s v="Bakery / Margarine / Sauces"/>
    <x v="17"/>
    <x v="1"/>
    <x v="0"/>
    <s v="X"/>
    <x v="17"/>
    <s v="Egypt"/>
    <s v="World"/>
    <s v="TOTAL CPC"/>
    <s v="TOTAL MOT"/>
    <n v="291570"/>
    <n v="1687790"/>
    <n v="952486"/>
    <n v="0"/>
    <n v="952486"/>
    <s v="kg"/>
    <n v="952486"/>
    <s v="kg"/>
    <n v="4.7522902002533667E-2"/>
    <n v="10"/>
    <x v="1"/>
    <n v="0.1"/>
    <n v="168779"/>
    <n v="95248.6"/>
    <n v="4.3846809447427443E-3"/>
    <n v="69"/>
    <n v="1.7719840501592674"/>
    <n v="34"/>
    <x v="0"/>
    <s v="No"/>
    <n v="3811780.5999999996"/>
    <n v="8265160"/>
    <n v="0.39900464236999494"/>
    <n v="17"/>
    <x v="0"/>
    <n v="2810154.4000000004"/>
    <n v="329"/>
    <x v="0"/>
    <x v="0"/>
    <n v="8265160"/>
    <n v="1"/>
    <n v="1"/>
    <s v="Highly Concentrated"/>
    <n v="8265160"/>
    <s v="Routine Market"/>
    <x v="0"/>
    <s v="Yes"/>
  </r>
  <r>
    <x v="16"/>
    <x v="16"/>
    <s v="Fatty acid derivatives"/>
    <x v="16"/>
    <x v="0"/>
    <x v="9"/>
    <s v="Mono &amp; Diglycerides"/>
    <s v="Bakery / Margarine / Sauces"/>
    <x v="21"/>
    <x v="1"/>
    <x v="0"/>
    <s v="X"/>
    <x v="21"/>
    <s v="Egypt"/>
    <s v="World"/>
    <s v="TOTAL CPC"/>
    <s v="TOTAL MOT"/>
    <n v="291570"/>
    <n v="473406"/>
    <n v="9460"/>
    <n v="0"/>
    <n v="9460"/>
    <s v="kg"/>
    <n v="9460"/>
    <s v="kg"/>
    <n v="1.3104801671892474E-3"/>
    <n v="2"/>
    <x v="0"/>
    <n v="0"/>
    <n v="0"/>
    <n v="0"/>
    <n v="4.3846809447427443E-3"/>
    <n v="149"/>
    <n v="50.042917547568713"/>
    <n v="34"/>
    <x v="0"/>
    <s v="No"/>
    <n v="3811780.5999999996"/>
    <n v="8265160"/>
    <n v="0.39900464236999494"/>
    <n v="17"/>
    <x v="0"/>
    <n v="2810154.4000000004"/>
    <n v="329"/>
    <x v="0"/>
    <x v="0"/>
    <n v="8265160"/>
    <n v="1"/>
    <n v="1"/>
    <s v="Highly Concentrated"/>
    <n v="8265160"/>
    <s v="Routine Market"/>
    <x v="0"/>
    <s v="Yes"/>
  </r>
  <r>
    <x v="16"/>
    <x v="16"/>
    <s v="Fatty acid derivatives"/>
    <x v="16"/>
    <x v="0"/>
    <x v="9"/>
    <s v="Mono &amp; Diglycerides"/>
    <s v="Bakery / Margarine / Sauces"/>
    <x v="18"/>
    <x v="0"/>
    <x v="0"/>
    <s v="X"/>
    <x v="18"/>
    <s v="Egypt"/>
    <s v="World"/>
    <s v="TOTAL CPC"/>
    <s v="TOTAL MOT"/>
    <n v="291570"/>
    <n v="117600"/>
    <n v="800"/>
    <n v="0"/>
    <n v="800"/>
    <s v="kg"/>
    <n v="800"/>
    <s v="kg"/>
    <n v="9.425427433633813E-3"/>
    <n v="14"/>
    <x v="1"/>
    <n v="4.0000000000000008E-2"/>
    <n v="4704.0000000000009"/>
    <n v="32.000000000000007"/>
    <n v="4.3846809447427443E-3"/>
    <n v="264"/>
    <n v="147"/>
    <n v="34"/>
    <x v="0"/>
    <s v="No"/>
    <n v="3811780.5999999996"/>
    <n v="8265160"/>
    <n v="0.39900464236999494"/>
    <n v="17"/>
    <x v="0"/>
    <n v="2810154.4000000004"/>
    <n v="329"/>
    <x v="0"/>
    <x v="0"/>
    <n v="8265160"/>
    <n v="1"/>
    <n v="1"/>
    <s v="Highly Concentrated"/>
    <n v="8265160"/>
    <s v="Routine Market"/>
    <x v="0"/>
    <s v="No"/>
  </r>
  <r>
    <x v="17"/>
    <x v="17"/>
    <s v="Sugar alcohols"/>
    <x v="17"/>
    <x v="4"/>
    <x v="10"/>
    <s v="Sorbitol"/>
    <s v="Sugar-free / Confectionery"/>
    <x v="3"/>
    <x v="0"/>
    <x v="0"/>
    <s v="X"/>
    <x v="3"/>
    <s v="Egypt"/>
    <s v="World"/>
    <s v="TOTAL CPC"/>
    <s v="TOTAL MOT"/>
    <n v="290544"/>
    <n v="697074"/>
    <n v="1142290"/>
    <n v="0"/>
    <n v="1142290"/>
    <s v="kg"/>
    <n v="1142290"/>
    <s v="kg"/>
    <n v="6.321329281187793E-2"/>
    <n v="22"/>
    <x v="1"/>
    <n v="0.14000000000000001"/>
    <n v="97590.360000000015"/>
    <n v="159920.6"/>
    <n v="2.5763600003999134E-3"/>
    <n v="127"/>
    <n v="0.61024258288175504"/>
    <n v="34"/>
    <x v="0"/>
    <s v="No"/>
    <n v="6904613.2999999998"/>
    <n v="4856460"/>
    <n v="0.39900464236999494"/>
    <n v="7"/>
    <x v="0"/>
    <n v="1651196.4000000001"/>
    <n v="421"/>
    <x v="0"/>
    <x v="0"/>
    <n v="4856460"/>
    <n v="1"/>
    <n v="1"/>
    <s v="Highly Concentrated"/>
    <n v="4856460"/>
    <s v="Routine Market"/>
    <x v="0"/>
    <s v="No"/>
  </r>
  <r>
    <x v="17"/>
    <x v="17"/>
    <s v="Sugar alcohols"/>
    <x v="17"/>
    <x v="4"/>
    <x v="10"/>
    <s v="Sorbitol"/>
    <s v="Sugar-free / Confectionery"/>
    <x v="6"/>
    <x v="1"/>
    <x v="0"/>
    <s v="X"/>
    <x v="6"/>
    <s v="Egypt"/>
    <s v="World"/>
    <s v="TOTAL CPC"/>
    <s v="TOTAL MOT"/>
    <n v="290544"/>
    <n v="1462878"/>
    <n v="1030592.3"/>
    <n v="0"/>
    <n v="1030592"/>
    <s v="kg"/>
    <n v="0"/>
    <s v="N/A"/>
    <n v="1.6951290293147386E-2"/>
    <n v="4"/>
    <x v="0"/>
    <n v="0"/>
    <n v="0"/>
    <n v="0"/>
    <n v="2.5763600003999134E-3"/>
    <n v="79"/>
    <n v="1.4194536481594127"/>
    <n v="34"/>
    <x v="0"/>
    <s v="No"/>
    <n v="6904613.2999999998"/>
    <n v="4856460"/>
    <n v="0.39900464236999494"/>
    <n v="7"/>
    <x v="0"/>
    <n v="1651196.4000000001"/>
    <n v="421"/>
    <x v="0"/>
    <x v="0"/>
    <n v="4856460"/>
    <n v="1"/>
    <n v="1"/>
    <s v="Highly Concentrated"/>
    <n v="4856460"/>
    <s v="Routine Market"/>
    <x v="0"/>
    <s v="Yes"/>
  </r>
  <r>
    <x v="17"/>
    <x v="17"/>
    <s v="Sugar alcohols"/>
    <x v="17"/>
    <x v="4"/>
    <x v="10"/>
    <s v="Sorbitol"/>
    <s v="Sugar-free / Confectionery"/>
    <x v="27"/>
    <x v="1"/>
    <x v="0"/>
    <s v="X"/>
    <x v="27"/>
    <s v="Egypt"/>
    <s v="World"/>
    <s v="TOTAL CPC"/>
    <s v="TOTAL MOT"/>
    <n v="290544"/>
    <n v="83093"/>
    <n v="129600"/>
    <n v="0"/>
    <n v="129600"/>
    <s v="kg"/>
    <n v="129600"/>
    <s v="kg"/>
    <n v="0.39900464236999494"/>
    <n v="5"/>
    <x v="1"/>
    <n v="0.21"/>
    <n v="17449.53"/>
    <n v="27216"/>
    <n v="2.5763600003999134E-3"/>
    <n v="289"/>
    <n v="0.64114969135802469"/>
    <n v="34"/>
    <x v="0"/>
    <s v="No"/>
    <n v="6904613.2999999998"/>
    <n v="4856460"/>
    <n v="0.39900464236999494"/>
    <n v="7"/>
    <x v="0"/>
    <n v="1651196.4000000001"/>
    <n v="421"/>
    <x v="0"/>
    <x v="0"/>
    <n v="4856460"/>
    <n v="1"/>
    <n v="1"/>
    <s v="Highly Concentrated"/>
    <n v="4856460"/>
    <s v="Routine Market"/>
    <x v="0"/>
    <s v="Yes"/>
  </r>
  <r>
    <x v="17"/>
    <x v="17"/>
    <s v="Sugar alcohols"/>
    <x v="17"/>
    <x v="4"/>
    <x v="10"/>
    <s v="Sorbitol"/>
    <s v="Sugar-free / Confectionery"/>
    <x v="12"/>
    <x v="0"/>
    <x v="0"/>
    <s v="X"/>
    <x v="12"/>
    <s v="Egypt"/>
    <s v="World"/>
    <s v="TOTAL CPC"/>
    <s v="TOTAL MOT"/>
    <n v="290544"/>
    <n v="75383"/>
    <n v="48051"/>
    <n v="0"/>
    <n v="48051"/>
    <s v="kg"/>
    <n v="48051"/>
    <s v="kg"/>
    <n v="1.4561232389604124E-2"/>
    <n v="18"/>
    <x v="0"/>
    <n v="0"/>
    <n v="0"/>
    <n v="0"/>
    <n v="2.5763600003999134E-3"/>
    <n v="298"/>
    <n v="1.568812303594098"/>
    <n v="34"/>
    <x v="0"/>
    <s v="No"/>
    <n v="6904613.2999999998"/>
    <n v="4856460"/>
    <n v="0.39900464236999494"/>
    <n v="7"/>
    <x v="0"/>
    <n v="1651196.4000000001"/>
    <n v="421"/>
    <x v="0"/>
    <x v="0"/>
    <n v="4856460"/>
    <n v="1"/>
    <n v="1"/>
    <s v="Highly Concentrated"/>
    <n v="4856460"/>
    <s v="Routine Market"/>
    <x v="0"/>
    <s v="No"/>
  </r>
  <r>
    <x v="17"/>
    <x v="17"/>
    <s v="Sugar alcohols"/>
    <x v="17"/>
    <x v="4"/>
    <x v="10"/>
    <s v="Sorbitol"/>
    <s v="Sugar-free / Confectionery"/>
    <x v="14"/>
    <x v="0"/>
    <x v="0"/>
    <s v="X"/>
    <x v="14"/>
    <s v="Egypt"/>
    <s v="World"/>
    <s v="TOTAL CPC"/>
    <s v="TOTAL MOT"/>
    <n v="290544"/>
    <n v="8523"/>
    <n v="5500"/>
    <n v="0"/>
    <n v="5500"/>
    <s v="kg"/>
    <n v="5500"/>
    <s v="kg"/>
    <n v="9.709938116315122E-3"/>
    <n v="11"/>
    <x v="0"/>
    <n v="0"/>
    <n v="0"/>
    <n v="0"/>
    <n v="2.5763600003999134E-3"/>
    <n v="419"/>
    <n v="1.5496363636363637"/>
    <n v="34"/>
    <x v="0"/>
    <s v="No"/>
    <n v="6904613.2999999998"/>
    <n v="4856460"/>
    <n v="0.39900464236999494"/>
    <n v="7"/>
    <x v="0"/>
    <n v="1651196.4000000001"/>
    <n v="421"/>
    <x v="0"/>
    <x v="0"/>
    <n v="4856460"/>
    <n v="1"/>
    <n v="1"/>
    <s v="Highly Concentrated"/>
    <n v="4856460"/>
    <s v="Routine Market"/>
    <x v="0"/>
    <s v="No"/>
  </r>
  <r>
    <x v="17"/>
    <x v="17"/>
    <s v="Sugar alcohols"/>
    <x v="17"/>
    <x v="4"/>
    <x v="10"/>
    <s v="Sorbitol"/>
    <s v="Sugar-free / Confectionery"/>
    <x v="15"/>
    <x v="1"/>
    <x v="0"/>
    <s v="X"/>
    <x v="15"/>
    <s v="Egypt"/>
    <s v="World"/>
    <s v="TOTAL CPC"/>
    <s v="TOTAL MOT"/>
    <n v="290544"/>
    <n v="2163135"/>
    <n v="3948580"/>
    <n v="0"/>
    <n v="3948580"/>
    <s v="kg"/>
    <n v="3948580"/>
    <s v="kg"/>
    <n v="2.2441761060335613E-2"/>
    <n v="7"/>
    <x v="0"/>
    <n v="0"/>
    <n v="0"/>
    <n v="0"/>
    <n v="2.5763600003999134E-3"/>
    <n v="62"/>
    <n v="0.54782605392318251"/>
    <n v="34"/>
    <x v="0"/>
    <s v="No"/>
    <n v="6904613.2999999998"/>
    <n v="4856460"/>
    <n v="0.39900464236999494"/>
    <n v="7"/>
    <x v="0"/>
    <n v="1651196.4000000001"/>
    <n v="421"/>
    <x v="0"/>
    <x v="0"/>
    <n v="4856460"/>
    <n v="1"/>
    <n v="1"/>
    <s v="Highly Concentrated"/>
    <n v="4856460"/>
    <s v="Routine Market"/>
    <x v="0"/>
    <s v="Yes"/>
  </r>
  <r>
    <x v="17"/>
    <x v="17"/>
    <s v="Sugar alcohols"/>
    <x v="17"/>
    <x v="4"/>
    <x v="10"/>
    <s v="Sorbitol"/>
    <s v="Sugar-free / Confectionery"/>
    <x v="17"/>
    <x v="0"/>
    <x v="0"/>
    <s v="X"/>
    <x v="17"/>
    <s v="Egypt"/>
    <s v="World"/>
    <s v="TOTAL CPC"/>
    <s v="TOTAL MOT"/>
    <n v="290544"/>
    <n v="366374"/>
    <n v="600000"/>
    <n v="0"/>
    <n v="600000"/>
    <s v="kg"/>
    <n v="600000"/>
    <s v="kg"/>
    <n v="4.7522902002533667E-2"/>
    <n v="18"/>
    <x v="1"/>
    <n v="0.1"/>
    <n v="36637.4"/>
    <n v="60000"/>
    <n v="2.5763600003999134E-3"/>
    <n v="171"/>
    <n v="0.6106233333333333"/>
    <n v="34"/>
    <x v="0"/>
    <s v="No"/>
    <n v="6904613.2999999998"/>
    <n v="4856460"/>
    <n v="0.39900464236999494"/>
    <n v="7"/>
    <x v="0"/>
    <n v="1651196.4000000001"/>
    <n v="421"/>
    <x v="0"/>
    <x v="0"/>
    <n v="4856460"/>
    <n v="1"/>
    <n v="1"/>
    <s v="Highly Concentrated"/>
    <n v="4856460"/>
    <s v="Routine Market"/>
    <x v="0"/>
    <s v="No"/>
  </r>
  <r>
    <x v="18"/>
    <x v="18"/>
    <s v="Glucose and syrup"/>
    <x v="18"/>
    <x v="4"/>
    <x v="11"/>
    <s v="Glucose Syrup"/>
    <s v="Bakery / Confectionery"/>
    <x v="35"/>
    <x v="1"/>
    <x v="0"/>
    <s v="X"/>
    <x v="35"/>
    <s v="Egypt"/>
    <s v="World"/>
    <s v="TOTAL CPC"/>
    <s v="TOTAL MOT"/>
    <n v="170230"/>
    <n v="268436"/>
    <n v="325000"/>
    <n v="0"/>
    <n v="325000"/>
    <s v="kg"/>
    <n v="325000"/>
    <s v="kg"/>
    <n v="5.4237925464080154E-3"/>
    <n v="3"/>
    <x v="0"/>
    <n v="0"/>
    <n v="0"/>
    <n v="0"/>
    <n v="4.2079963121393268E-3"/>
    <n v="200"/>
    <n v="0.82595692307692303"/>
    <n v="34"/>
    <x v="0"/>
    <s v="No"/>
    <n v="12795612.5"/>
    <n v="7932108"/>
    <n v="7.6648679233989533E-2"/>
    <n v="9"/>
    <x v="0"/>
    <n v="2696916.72"/>
    <n v="346"/>
    <x v="0"/>
    <x v="0"/>
    <n v="7932108"/>
    <n v="1"/>
    <n v="1"/>
    <s v="Highly Concentrated"/>
    <n v="7932108"/>
    <s v="Routine Market"/>
    <x v="0"/>
    <s v="Yes"/>
  </r>
  <r>
    <x v="18"/>
    <x v="18"/>
    <s v="Glucose and syrup"/>
    <x v="18"/>
    <x v="4"/>
    <x v="11"/>
    <s v="Glucose Syrup"/>
    <s v="Bakery / Confectionery"/>
    <x v="3"/>
    <x v="1"/>
    <x v="0"/>
    <s v="X"/>
    <x v="3"/>
    <s v="Egypt"/>
    <s v="World"/>
    <s v="TOTAL CPC"/>
    <s v="TOTAL MOT"/>
    <n v="170230"/>
    <n v="5854935"/>
    <n v="9772806"/>
    <n v="0"/>
    <n v="9772806"/>
    <s v="kg"/>
    <n v="9772806"/>
    <s v="kg"/>
    <n v="6.321329281187793E-2"/>
    <n v="8"/>
    <x v="1"/>
    <n v="0.14000000000000001"/>
    <n v="819690.9"/>
    <n v="1368192.84"/>
    <n v="4.2079963121393268E-3"/>
    <n v="28"/>
    <n v="0.59910480163015623"/>
    <n v="34"/>
    <x v="0"/>
    <s v="No"/>
    <n v="12795612.5"/>
    <n v="7932108"/>
    <n v="7.6648679233989533E-2"/>
    <n v="9"/>
    <x v="0"/>
    <n v="2696916.72"/>
    <n v="346"/>
    <x v="0"/>
    <x v="0"/>
    <n v="7932108"/>
    <n v="1"/>
    <n v="1"/>
    <s v="Highly Concentrated"/>
    <n v="7932108"/>
    <s v="Routine Market"/>
    <x v="0"/>
    <s v="Yes"/>
  </r>
  <r>
    <x v="18"/>
    <x v="18"/>
    <s v="Glucose and syrup"/>
    <x v="18"/>
    <x v="4"/>
    <x v="11"/>
    <s v="Glucose Syrup"/>
    <s v="Bakery / Confectionery"/>
    <x v="7"/>
    <x v="0"/>
    <x v="0"/>
    <s v="X"/>
    <x v="7"/>
    <s v="Egypt"/>
    <s v="World"/>
    <s v="TOTAL CPC"/>
    <s v="TOTAL MOT"/>
    <n v="170230"/>
    <n v="174215"/>
    <n v="35404"/>
    <n v="0"/>
    <n v="35404"/>
    <s v="kg"/>
    <n v="35404"/>
    <s v="kg"/>
    <n v="1.1674623358397021E-2"/>
    <n v="17"/>
    <x v="0"/>
    <n v="0"/>
    <n v="0"/>
    <n v="0"/>
    <n v="4.2079963121393268E-3"/>
    <n v="230"/>
    <n v="4.9207716642187327"/>
    <n v="34"/>
    <x v="0"/>
    <s v="No"/>
    <n v="12795612.5"/>
    <n v="7932108"/>
    <n v="7.6648679233989533E-2"/>
    <n v="9"/>
    <x v="0"/>
    <n v="2696916.72"/>
    <n v="346"/>
    <x v="0"/>
    <x v="0"/>
    <n v="7932108"/>
    <n v="1"/>
    <n v="1"/>
    <s v="Highly Concentrated"/>
    <n v="7932108"/>
    <s v="Routine Market"/>
    <x v="0"/>
    <s v="No"/>
  </r>
  <r>
    <x v="18"/>
    <x v="18"/>
    <s v="Glucose and syrup"/>
    <x v="18"/>
    <x v="4"/>
    <x v="11"/>
    <s v="Glucose Syrup"/>
    <s v="Bakery / Confectionery"/>
    <x v="12"/>
    <x v="0"/>
    <x v="0"/>
    <s v="X"/>
    <x v="12"/>
    <s v="Egypt"/>
    <s v="World"/>
    <s v="TOTAL CPC"/>
    <s v="TOTAL MOT"/>
    <n v="170230"/>
    <n v="214001"/>
    <n v="179250"/>
    <n v="0"/>
    <n v="179250"/>
    <s v="kg"/>
    <n v="179250"/>
    <s v="kg"/>
    <n v="1.4561232389604124E-2"/>
    <n v="11"/>
    <x v="0"/>
    <n v="0"/>
    <n v="0"/>
    <n v="0"/>
    <n v="4.2079963121393268E-3"/>
    <n v="214"/>
    <n v="1.1938688981868899"/>
    <n v="34"/>
    <x v="0"/>
    <s v="No"/>
    <n v="12795612.5"/>
    <n v="7932108"/>
    <n v="7.6648679233989533E-2"/>
    <n v="9"/>
    <x v="0"/>
    <n v="2696916.72"/>
    <n v="346"/>
    <x v="0"/>
    <x v="0"/>
    <n v="7932108"/>
    <n v="1"/>
    <n v="1"/>
    <s v="Highly Concentrated"/>
    <n v="7932108"/>
    <s v="Routine Market"/>
    <x v="0"/>
    <s v="No"/>
  </r>
  <r>
    <x v="18"/>
    <x v="18"/>
    <s v="Glucose and syrup"/>
    <x v="18"/>
    <x v="4"/>
    <x v="11"/>
    <s v="Glucose Syrup"/>
    <s v="Bakery / Confectionery"/>
    <x v="15"/>
    <x v="0"/>
    <x v="0"/>
    <s v="X"/>
    <x v="15"/>
    <s v="Egypt"/>
    <s v="World"/>
    <s v="TOTAL CPC"/>
    <s v="TOTAL MOT"/>
    <n v="170230"/>
    <n v="643148"/>
    <n v="1040450"/>
    <n v="0"/>
    <n v="1040450"/>
    <s v="kg"/>
    <n v="1040450"/>
    <s v="kg"/>
    <n v="2.2441761060335613E-2"/>
    <n v="14"/>
    <x v="0"/>
    <n v="0"/>
    <n v="0"/>
    <n v="0"/>
    <n v="4.2079963121393268E-3"/>
    <n v="131"/>
    <n v="0.61814407227641888"/>
    <n v="34"/>
    <x v="0"/>
    <s v="No"/>
    <n v="12795612.5"/>
    <n v="7932108"/>
    <n v="7.6648679233989533E-2"/>
    <n v="9"/>
    <x v="0"/>
    <n v="2696916.72"/>
    <n v="346"/>
    <x v="0"/>
    <x v="0"/>
    <n v="7932108"/>
    <n v="1"/>
    <n v="1"/>
    <s v="Highly Concentrated"/>
    <n v="7932108"/>
    <s v="Routine Market"/>
    <x v="0"/>
    <s v="No"/>
  </r>
  <r>
    <x v="18"/>
    <x v="18"/>
    <s v="Glucose and syrup"/>
    <x v="18"/>
    <x v="4"/>
    <x v="11"/>
    <s v="Glucose Syrup"/>
    <s v="Bakery / Confectionery"/>
    <x v="20"/>
    <x v="0"/>
    <x v="0"/>
    <s v="X"/>
    <x v="20"/>
    <s v="Egypt"/>
    <s v="World"/>
    <s v="TOTAL CPC"/>
    <s v="TOTAL MOT"/>
    <n v="170230"/>
    <n v="89"/>
    <n v="2.5"/>
    <n v="0"/>
    <n v="3"/>
    <s v="kg"/>
    <n v="3"/>
    <s v="kg"/>
    <n v="6.110186869383482E-3"/>
    <n v="29"/>
    <x v="0"/>
    <n v="0"/>
    <n v="0"/>
    <n v="0"/>
    <n v="4.2079963121393268E-3"/>
    <n v="520"/>
    <n v="35.6"/>
    <n v="34"/>
    <x v="0"/>
    <s v="No"/>
    <n v="12795612.5"/>
    <n v="7932108"/>
    <n v="7.6648679233989533E-2"/>
    <n v="9"/>
    <x v="0"/>
    <n v="2696916.72"/>
    <n v="346"/>
    <x v="0"/>
    <x v="0"/>
    <n v="7932108"/>
    <n v="1"/>
    <n v="1"/>
    <s v="Highly Concentrated"/>
    <n v="7932108"/>
    <s v="Routine Market"/>
    <x v="0"/>
    <s v="No"/>
  </r>
  <r>
    <x v="18"/>
    <x v="18"/>
    <s v="Glucose and syrup"/>
    <x v="18"/>
    <x v="4"/>
    <x v="11"/>
    <s v="Glucose Syrup"/>
    <s v="Bakery / Confectionery"/>
    <x v="31"/>
    <x v="1"/>
    <x v="0"/>
    <s v="X"/>
    <x v="31"/>
    <s v="Egypt"/>
    <s v="World"/>
    <s v="TOTAL CPC"/>
    <s v="TOTAL MOT"/>
    <n v="170230"/>
    <n v="11347"/>
    <n v="75650"/>
    <n v="0"/>
    <n v="75650"/>
    <s v="kg"/>
    <n v="75650"/>
    <s v="kg"/>
    <n v="8.0337630087875059E-4"/>
    <n v="5"/>
    <x v="0"/>
    <n v="0"/>
    <n v="0"/>
    <n v="0"/>
    <n v="4.2079963121393268E-3"/>
    <n v="408"/>
    <n v="0.14999339061467284"/>
    <n v="34"/>
    <x v="0"/>
    <s v="No"/>
    <n v="12795612.5"/>
    <n v="7932108"/>
    <n v="7.6648679233989533E-2"/>
    <n v="9"/>
    <x v="0"/>
    <n v="2696916.72"/>
    <n v="346"/>
    <x v="0"/>
    <x v="0"/>
    <n v="7932108"/>
    <n v="1"/>
    <n v="1"/>
    <s v="Highly Concentrated"/>
    <n v="7932108"/>
    <s v="Routine Market"/>
    <x v="0"/>
    <s v="Yes"/>
  </r>
  <r>
    <x v="18"/>
    <x v="18"/>
    <s v="Glucose and syrup"/>
    <x v="18"/>
    <x v="4"/>
    <x v="11"/>
    <s v="Glucose Syrup"/>
    <s v="Bakery / Confectionery"/>
    <x v="17"/>
    <x v="0"/>
    <x v="0"/>
    <s v="X"/>
    <x v="17"/>
    <s v="Egypt"/>
    <s v="World"/>
    <s v="TOTAL CPC"/>
    <s v="TOTAL MOT"/>
    <n v="170230"/>
    <n v="586322"/>
    <n v="1127050"/>
    <n v="0"/>
    <n v="1127050"/>
    <s v="kg"/>
    <n v="1127050"/>
    <s v="kg"/>
    <n v="4.7522902002533667E-2"/>
    <n v="14"/>
    <x v="1"/>
    <n v="0.1"/>
    <n v="58632.200000000004"/>
    <n v="112705"/>
    <n v="4.2079963121393268E-3"/>
    <n v="135"/>
    <n v="0.52022714165298789"/>
    <n v="34"/>
    <x v="0"/>
    <s v="No"/>
    <n v="12795612.5"/>
    <n v="7932108"/>
    <n v="7.6648679233989533E-2"/>
    <n v="9"/>
    <x v="0"/>
    <n v="2696916.72"/>
    <n v="346"/>
    <x v="0"/>
    <x v="0"/>
    <n v="7932108"/>
    <n v="1"/>
    <n v="1"/>
    <s v="Highly Concentrated"/>
    <n v="7932108"/>
    <s v="Routine Market"/>
    <x v="0"/>
    <s v="No"/>
  </r>
  <r>
    <x v="18"/>
    <x v="18"/>
    <s v="Glucose and syrup"/>
    <x v="18"/>
    <x v="4"/>
    <x v="11"/>
    <s v="Glucose Syrup"/>
    <s v="Bakery / Confectionery"/>
    <x v="32"/>
    <x v="1"/>
    <x v="0"/>
    <s v="X"/>
    <x v="32"/>
    <s v="Egypt"/>
    <s v="World"/>
    <s v="TOTAL CPC"/>
    <s v="TOTAL MOT"/>
    <n v="170230"/>
    <n v="179615"/>
    <n v="240000"/>
    <n v="0"/>
    <n v="240000"/>
    <s v="kg"/>
    <n v="240000"/>
    <s v="kg"/>
    <n v="7.6648679233989533E-2"/>
    <n v="5"/>
    <x v="1"/>
    <n v="0.44999999999999996"/>
    <n v="80826.749999999985"/>
    <n v="107999.99999999999"/>
    <n v="4.2079963121393268E-3"/>
    <n v="227"/>
    <n v="0.74839583333333337"/>
    <n v="34"/>
    <x v="0"/>
    <s v="No"/>
    <n v="12795612.5"/>
    <n v="7932108"/>
    <n v="7.6648679233989533E-2"/>
    <n v="9"/>
    <x v="0"/>
    <n v="2696916.72"/>
    <n v="346"/>
    <x v="0"/>
    <x v="0"/>
    <n v="7932108"/>
    <n v="1"/>
    <n v="1"/>
    <s v="Highly Concentrated"/>
    <n v="7932108"/>
    <s v="Routine Market"/>
    <x v="0"/>
    <s v="Yes"/>
  </r>
  <r>
    <x v="19"/>
    <x v="19"/>
    <s v="Fructose syrups"/>
    <x v="19"/>
    <x v="4"/>
    <x v="11"/>
    <s v="Fructose Syrup"/>
    <s v="Beverages"/>
    <x v="6"/>
    <x v="0"/>
    <x v="0"/>
    <s v="X"/>
    <x v="6"/>
    <s v="Egypt"/>
    <s v="World"/>
    <s v="TOTAL CPC"/>
    <s v="TOTAL MOT"/>
    <n v="170260"/>
    <n v="4338"/>
    <n v="665"/>
    <n v="0"/>
    <n v="665"/>
    <s v="kg"/>
    <n v="665"/>
    <s v="kg"/>
    <n v="1.6951290293147386E-2"/>
    <n v="30"/>
    <x v="0"/>
    <n v="0"/>
    <n v="0"/>
    <n v="0"/>
    <n v="1.9223787971998464E-5"/>
    <n v="445"/>
    <n v="6.5233082706766918"/>
    <n v="47"/>
    <x v="1"/>
    <s v="Yes"/>
    <n v="70275"/>
    <n v="36237"/>
    <n v="4.7522902002533667E-2"/>
    <n v="2"/>
    <x v="0"/>
    <n v="17031.39"/>
    <n v="537"/>
    <x v="0"/>
    <x v="0"/>
    <n v="36237"/>
    <n v="1"/>
    <n v="1"/>
    <s v="Highly Concentrated"/>
    <n v="36237"/>
    <s v="Routine Market"/>
    <x v="0"/>
    <s v="No"/>
  </r>
  <r>
    <x v="19"/>
    <x v="19"/>
    <s v="Fructose syrups"/>
    <x v="19"/>
    <x v="4"/>
    <x v="11"/>
    <s v="Fructose Syrup"/>
    <s v="Beverages"/>
    <x v="17"/>
    <x v="0"/>
    <x v="0"/>
    <s v="X"/>
    <x v="17"/>
    <s v="Egypt"/>
    <s v="World"/>
    <s v="TOTAL CPC"/>
    <s v="TOTAL MOT"/>
    <n v="170260"/>
    <n v="31899"/>
    <n v="69610"/>
    <n v="0"/>
    <n v="69610"/>
    <s v="kg"/>
    <n v="69610"/>
    <s v="kg"/>
    <n v="4.7522902002533667E-2"/>
    <n v="28"/>
    <x v="1"/>
    <n v="0.1"/>
    <n v="3189.9"/>
    <n v="6961"/>
    <n v="1.9223787971998464E-5"/>
    <n v="352"/>
    <n v="0.45825312455107026"/>
    <n v="47"/>
    <x v="1"/>
    <s v="Yes"/>
    <n v="70275"/>
    <n v="36237"/>
    <n v="4.7522902002533667E-2"/>
    <n v="2"/>
    <x v="0"/>
    <n v="17031.39"/>
    <n v="537"/>
    <x v="0"/>
    <x v="0"/>
    <n v="36237"/>
    <n v="1"/>
    <n v="1"/>
    <s v="Highly Concentrated"/>
    <n v="36237"/>
    <s v="Routine Market"/>
    <x v="0"/>
    <s v="No"/>
  </r>
  <r>
    <x v="20"/>
    <x v="20"/>
    <s v="Amino compounds"/>
    <x v="20"/>
    <x v="4"/>
    <x v="12"/>
    <s v="Aspartame"/>
    <s v="Diet Beverages"/>
    <x v="1"/>
    <x v="1"/>
    <x v="0"/>
    <s v="X"/>
    <x v="1"/>
    <s v="Egypt"/>
    <s v="World"/>
    <s v="TOTAL CPC"/>
    <s v="TOTAL MOT"/>
    <n v="292429"/>
    <n v="81880"/>
    <n v="8113.5"/>
    <n v="0"/>
    <n v="8113"/>
    <s v="kg"/>
    <n v="8113"/>
    <s v="kg"/>
    <n v="5.3992075088500962E-3"/>
    <n v="10"/>
    <x v="0"/>
    <n v="0"/>
    <n v="0"/>
    <n v="0"/>
    <n v="7.709373456734254E-3"/>
    <n v="291"/>
    <n v="10.091822271522771"/>
    <n v="34"/>
    <x v="0"/>
    <s v="No"/>
    <n v="1740222.6"/>
    <n v="14532233"/>
    <n v="6.321329281187793E-2"/>
    <n v="16"/>
    <x v="0"/>
    <n v="4940959.2200000007"/>
    <n v="181"/>
    <x v="0"/>
    <x v="0"/>
    <n v="14532233"/>
    <n v="1"/>
    <n v="1"/>
    <s v="Highly Concentrated"/>
    <n v="14532233"/>
    <s v="Medium Opportunity"/>
    <x v="0"/>
    <s v="Yes"/>
  </r>
  <r>
    <x v="20"/>
    <x v="20"/>
    <s v="Amino compounds"/>
    <x v="20"/>
    <x v="4"/>
    <x v="12"/>
    <s v="Aspartame"/>
    <s v="Diet Beverages"/>
    <x v="3"/>
    <x v="1"/>
    <x v="0"/>
    <s v="X"/>
    <x v="3"/>
    <s v="Egypt"/>
    <s v="World"/>
    <s v="TOTAL CPC"/>
    <s v="TOTAL MOT"/>
    <n v="292429"/>
    <n v="9111258"/>
    <n v="1600111"/>
    <n v="0"/>
    <n v="1600111"/>
    <s v="kg"/>
    <n v="1600111"/>
    <s v="kg"/>
    <n v="6.321329281187793E-2"/>
    <n v="5"/>
    <x v="1"/>
    <n v="0.14000000000000001"/>
    <n v="1275576.1200000001"/>
    <n v="224015.54"/>
    <n v="7.709373456734254E-3"/>
    <n v="20"/>
    <n v="5.694141218952935"/>
    <n v="34"/>
    <x v="0"/>
    <s v="No"/>
    <n v="1740222.6"/>
    <n v="14532233"/>
    <n v="6.321329281187793E-2"/>
    <n v="16"/>
    <x v="0"/>
    <n v="4940959.2200000007"/>
    <n v="181"/>
    <x v="0"/>
    <x v="0"/>
    <n v="14532233"/>
    <n v="1"/>
    <n v="1"/>
    <s v="Highly Concentrated"/>
    <n v="14532233"/>
    <s v="Medium Opportunity"/>
    <x v="0"/>
    <s v="Yes"/>
  </r>
  <r>
    <x v="20"/>
    <x v="20"/>
    <s v="Amino compounds"/>
    <x v="20"/>
    <x v="4"/>
    <x v="12"/>
    <s v="Aspartame"/>
    <s v="Diet Beverages"/>
    <x v="6"/>
    <x v="0"/>
    <x v="0"/>
    <s v="X"/>
    <x v="6"/>
    <s v="Egypt"/>
    <s v="World"/>
    <s v="TOTAL CPC"/>
    <s v="TOTAL MOT"/>
    <n v="292429"/>
    <n v="325527"/>
    <n v="907.1"/>
    <n v="0"/>
    <n v="907"/>
    <s v="kg"/>
    <n v="0"/>
    <s v="N/A"/>
    <n v="1.6951290293147386E-2"/>
    <n v="13"/>
    <x v="0"/>
    <n v="0"/>
    <n v="0"/>
    <n v="0"/>
    <n v="7.709373456734254E-3"/>
    <n v="180"/>
    <n v="358.86561569837943"/>
    <n v="34"/>
    <x v="0"/>
    <s v="No"/>
    <n v="1740222.6"/>
    <n v="14532233"/>
    <n v="6.321329281187793E-2"/>
    <n v="16"/>
    <x v="0"/>
    <n v="4940959.2200000007"/>
    <n v="181"/>
    <x v="0"/>
    <x v="0"/>
    <n v="14532233"/>
    <n v="1"/>
    <n v="1"/>
    <s v="Highly Concentrated"/>
    <n v="14532233"/>
    <s v="Medium Opportunity"/>
    <x v="0"/>
    <s v="No"/>
  </r>
  <r>
    <x v="20"/>
    <x v="20"/>
    <s v="Amino compounds"/>
    <x v="20"/>
    <x v="4"/>
    <x v="12"/>
    <s v="Aspartame"/>
    <s v="Diet Beverages"/>
    <x v="7"/>
    <x v="0"/>
    <x v="0"/>
    <s v="X"/>
    <x v="7"/>
    <s v="Egypt"/>
    <s v="World"/>
    <s v="TOTAL CPC"/>
    <s v="TOTAL MOT"/>
    <n v="292429"/>
    <n v="272863"/>
    <n v="2367.1999999999998"/>
    <n v="0"/>
    <n v="2367"/>
    <s v="kg"/>
    <n v="0"/>
    <s v="N/A"/>
    <n v="1.1674623358397021E-2"/>
    <n v="14"/>
    <x v="0"/>
    <n v="0"/>
    <n v="0"/>
    <n v="0"/>
    <n v="7.709373456734254E-3"/>
    <n v="197"/>
    <n v="115.26824940858398"/>
    <n v="34"/>
    <x v="0"/>
    <s v="No"/>
    <n v="1740222.6"/>
    <n v="14532233"/>
    <n v="6.321329281187793E-2"/>
    <n v="16"/>
    <x v="0"/>
    <n v="4940959.2200000007"/>
    <n v="181"/>
    <x v="0"/>
    <x v="0"/>
    <n v="14532233"/>
    <n v="1"/>
    <n v="1"/>
    <s v="Highly Concentrated"/>
    <n v="14532233"/>
    <s v="Medium Opportunity"/>
    <x v="0"/>
    <s v="No"/>
  </r>
  <r>
    <x v="20"/>
    <x v="20"/>
    <s v="Amino compounds"/>
    <x v="20"/>
    <x v="4"/>
    <x v="12"/>
    <s v="Aspartame"/>
    <s v="Diet Beverages"/>
    <x v="8"/>
    <x v="1"/>
    <x v="0"/>
    <s v="X"/>
    <x v="8"/>
    <s v="Egypt"/>
    <s v="World"/>
    <s v="TOTAL CPC"/>
    <s v="TOTAL MOT"/>
    <n v="292429"/>
    <n v="1059391"/>
    <n v="53612"/>
    <n v="0"/>
    <n v="53612"/>
    <s v="kg"/>
    <n v="53612"/>
    <s v="kg"/>
    <n v="4.9588465845200368E-3"/>
    <n v="3"/>
    <x v="0"/>
    <n v="0"/>
    <n v="0"/>
    <n v="0"/>
    <n v="7.709373456734254E-3"/>
    <n v="102"/>
    <n v="19.760333507423709"/>
    <n v="34"/>
    <x v="0"/>
    <s v="No"/>
    <n v="1740222.6"/>
    <n v="14532233"/>
    <n v="6.321329281187793E-2"/>
    <n v="16"/>
    <x v="0"/>
    <n v="4940959.2200000007"/>
    <n v="181"/>
    <x v="0"/>
    <x v="0"/>
    <n v="14532233"/>
    <n v="1"/>
    <n v="1"/>
    <s v="Highly Concentrated"/>
    <n v="14532233"/>
    <s v="Medium Opportunity"/>
    <x v="0"/>
    <s v="Yes"/>
  </r>
  <r>
    <x v="20"/>
    <x v="20"/>
    <s v="Amino compounds"/>
    <x v="20"/>
    <x v="4"/>
    <x v="12"/>
    <s v="Aspartame"/>
    <s v="Diet Beverages"/>
    <x v="9"/>
    <x v="0"/>
    <x v="0"/>
    <s v="X"/>
    <x v="9"/>
    <s v="Egypt"/>
    <s v="World"/>
    <s v="TOTAL CPC"/>
    <s v="TOTAL MOT"/>
    <n v="292429"/>
    <n v="100596"/>
    <n v="525"/>
    <n v="0"/>
    <n v="525"/>
    <s v="kg"/>
    <n v="525"/>
    <s v="kg"/>
    <n v="1.1178535358665947E-2"/>
    <n v="13"/>
    <x v="0"/>
    <n v="0"/>
    <n v="0"/>
    <n v="0"/>
    <n v="7.709373456734254E-3"/>
    <n v="275"/>
    <n v="191.61142857142858"/>
    <n v="34"/>
    <x v="0"/>
    <s v="No"/>
    <n v="1740222.6"/>
    <n v="14532233"/>
    <n v="6.321329281187793E-2"/>
    <n v="16"/>
    <x v="0"/>
    <n v="4940959.2200000007"/>
    <n v="181"/>
    <x v="0"/>
    <x v="0"/>
    <n v="14532233"/>
    <n v="1"/>
    <n v="1"/>
    <s v="Highly Concentrated"/>
    <n v="14532233"/>
    <s v="Medium Opportunity"/>
    <x v="0"/>
    <s v="No"/>
  </r>
  <r>
    <x v="20"/>
    <x v="20"/>
    <s v="Amino compounds"/>
    <x v="20"/>
    <x v="4"/>
    <x v="12"/>
    <s v="Aspartame"/>
    <s v="Diet Beverages"/>
    <x v="15"/>
    <x v="1"/>
    <x v="0"/>
    <s v="X"/>
    <x v="15"/>
    <s v="Egypt"/>
    <s v="World"/>
    <s v="TOTAL CPC"/>
    <s v="TOTAL MOT"/>
    <n v="292429"/>
    <n v="2440923"/>
    <n v="21237"/>
    <n v="0"/>
    <n v="21237"/>
    <s v="kg"/>
    <n v="21237"/>
    <s v="kg"/>
    <n v="2.2441761060335613E-2"/>
    <n v="6"/>
    <x v="0"/>
    <n v="0"/>
    <n v="0"/>
    <n v="0"/>
    <n v="7.709373456734254E-3"/>
    <n v="56"/>
    <n v="114.937279276734"/>
    <n v="34"/>
    <x v="0"/>
    <s v="No"/>
    <n v="1740222.6"/>
    <n v="14532233"/>
    <n v="6.321329281187793E-2"/>
    <n v="16"/>
    <x v="0"/>
    <n v="4940959.2200000007"/>
    <n v="181"/>
    <x v="0"/>
    <x v="0"/>
    <n v="14532233"/>
    <n v="1"/>
    <n v="1"/>
    <s v="Highly Concentrated"/>
    <n v="14532233"/>
    <s v="Medium Opportunity"/>
    <x v="0"/>
    <s v="Yes"/>
  </r>
  <r>
    <x v="20"/>
    <x v="20"/>
    <s v="Amino compounds"/>
    <x v="20"/>
    <x v="4"/>
    <x v="12"/>
    <s v="Aspartame"/>
    <s v="Diet Beverages"/>
    <x v="43"/>
    <x v="1"/>
    <x v="0"/>
    <s v="X"/>
    <x v="43"/>
    <s v="Egypt"/>
    <s v="World"/>
    <s v="TOTAL CPC"/>
    <s v="TOTAL MOT"/>
    <n v="292429"/>
    <n v="1766"/>
    <n v="0"/>
    <n v="0"/>
    <n v="0"/>
    <s v="kg"/>
    <n v="0"/>
    <s v="kg"/>
    <n v="5.6395507468920406E-5"/>
    <n v="4"/>
    <x v="0"/>
    <n v="0"/>
    <n v="0"/>
    <n v="0"/>
    <n v="7.709373456734254E-3"/>
    <n v="472"/>
    <n v="0"/>
    <n v="34"/>
    <x v="0"/>
    <s v="No"/>
    <n v="1740222.6"/>
    <n v="14532233"/>
    <n v="6.321329281187793E-2"/>
    <n v="16"/>
    <x v="0"/>
    <n v="4940959.2200000007"/>
    <n v="181"/>
    <x v="0"/>
    <x v="0"/>
    <n v="14532233"/>
    <n v="1"/>
    <n v="1"/>
    <s v="Highly Concentrated"/>
    <n v="14532233"/>
    <s v="Medium Opportunity"/>
    <x v="0"/>
    <s v="Yes"/>
  </r>
  <r>
    <x v="20"/>
    <x v="20"/>
    <s v="Amino compounds"/>
    <x v="20"/>
    <x v="4"/>
    <x v="12"/>
    <s v="Aspartame"/>
    <s v="Diet Beverages"/>
    <x v="22"/>
    <x v="1"/>
    <x v="0"/>
    <s v="X"/>
    <x v="22"/>
    <s v="Egypt"/>
    <s v="World"/>
    <s v="TOTAL CPC"/>
    <s v="TOTAL MOT"/>
    <n v="292429"/>
    <n v="5657"/>
    <n v="20"/>
    <n v="0"/>
    <n v="20"/>
    <s v="kg"/>
    <n v="20"/>
    <s v="kg"/>
    <n v="1.3832724193842358E-4"/>
    <n v="5"/>
    <x v="0"/>
    <n v="0"/>
    <n v="0"/>
    <n v="0"/>
    <n v="7.709373456734254E-3"/>
    <n v="434"/>
    <n v="282.85000000000002"/>
    <n v="34"/>
    <x v="0"/>
    <s v="No"/>
    <n v="1740222.6"/>
    <n v="14532233"/>
    <n v="6.321329281187793E-2"/>
    <n v="16"/>
    <x v="0"/>
    <n v="4940959.2200000007"/>
    <n v="181"/>
    <x v="0"/>
    <x v="0"/>
    <n v="14532233"/>
    <n v="1"/>
    <n v="1"/>
    <s v="Highly Concentrated"/>
    <n v="14532233"/>
    <s v="Medium Opportunity"/>
    <x v="0"/>
    <s v="Yes"/>
  </r>
  <r>
    <x v="20"/>
    <x v="20"/>
    <s v="Amino compounds"/>
    <x v="20"/>
    <x v="4"/>
    <x v="12"/>
    <s v="Aspartame"/>
    <s v="Diet Beverages"/>
    <x v="20"/>
    <x v="0"/>
    <x v="0"/>
    <s v="X"/>
    <x v="20"/>
    <s v="Egypt"/>
    <s v="World"/>
    <s v="TOTAL CPC"/>
    <s v="TOTAL MOT"/>
    <n v="292429"/>
    <n v="234966"/>
    <n v="5674.8"/>
    <n v="0"/>
    <n v="5675"/>
    <s v="kg"/>
    <n v="5675"/>
    <s v="kg"/>
    <n v="6.110186869383482E-3"/>
    <n v="11"/>
    <x v="0"/>
    <n v="0"/>
    <n v="0"/>
    <n v="0"/>
    <n v="7.709373456734254E-3"/>
    <n v="207"/>
    <n v="41.405159653203633"/>
    <n v="34"/>
    <x v="0"/>
    <s v="No"/>
    <n v="1740222.6"/>
    <n v="14532233"/>
    <n v="6.321329281187793E-2"/>
    <n v="16"/>
    <x v="0"/>
    <n v="4940959.2200000007"/>
    <n v="181"/>
    <x v="0"/>
    <x v="0"/>
    <n v="14532233"/>
    <n v="1"/>
    <n v="1"/>
    <s v="Highly Concentrated"/>
    <n v="14532233"/>
    <s v="Medium Opportunity"/>
    <x v="0"/>
    <s v="No"/>
  </r>
  <r>
    <x v="20"/>
    <x v="20"/>
    <s v="Amino compounds"/>
    <x v="20"/>
    <x v="4"/>
    <x v="12"/>
    <s v="Aspartame"/>
    <s v="Diet Beverages"/>
    <x v="30"/>
    <x v="1"/>
    <x v="0"/>
    <s v="X"/>
    <x v="30"/>
    <s v="Egypt"/>
    <s v="World"/>
    <s v="TOTAL CPC"/>
    <s v="TOTAL MOT"/>
    <n v="292429"/>
    <n v="20629"/>
    <n v="0"/>
    <n v="0"/>
    <n v="0"/>
    <s v="N/A"/>
    <n v="0"/>
    <s v="N/A"/>
    <n v="1.1596288425054823E-4"/>
    <n v="3"/>
    <x v="0"/>
    <n v="0"/>
    <n v="0"/>
    <n v="0"/>
    <n v="7.709373456734254E-3"/>
    <n v="378"/>
    <n v="0"/>
    <n v="34"/>
    <x v="0"/>
    <s v="No"/>
    <n v="1740222.6"/>
    <n v="14532233"/>
    <n v="6.321329281187793E-2"/>
    <n v="16"/>
    <x v="0"/>
    <n v="4940959.2200000007"/>
    <n v="181"/>
    <x v="0"/>
    <x v="0"/>
    <n v="14532233"/>
    <n v="1"/>
    <n v="1"/>
    <s v="Highly Concentrated"/>
    <n v="14532233"/>
    <s v="Medium Opportunity"/>
    <x v="0"/>
    <s v="Yes"/>
  </r>
  <r>
    <x v="20"/>
    <x v="20"/>
    <s v="Amino compounds"/>
    <x v="20"/>
    <x v="4"/>
    <x v="12"/>
    <s v="Aspartame"/>
    <s v="Diet Beverages"/>
    <x v="23"/>
    <x v="1"/>
    <x v="0"/>
    <s v="X"/>
    <x v="23"/>
    <s v="Egypt"/>
    <s v="World"/>
    <s v="TOTAL CPC"/>
    <s v="TOTAL MOT"/>
    <n v="292429"/>
    <n v="249250"/>
    <n v="11"/>
    <n v="0"/>
    <n v="11"/>
    <s v="kg"/>
    <n v="11"/>
    <s v="kg"/>
    <n v="1.1630298885271862E-3"/>
    <n v="2"/>
    <x v="0"/>
    <n v="0"/>
    <n v="0"/>
    <n v="0"/>
    <n v="7.709373456734254E-3"/>
    <n v="202"/>
    <n v="22659.090909090908"/>
    <n v="34"/>
    <x v="0"/>
    <s v="No"/>
    <n v="1740222.6"/>
    <n v="14532233"/>
    <n v="6.321329281187793E-2"/>
    <n v="16"/>
    <x v="0"/>
    <n v="4940959.2200000007"/>
    <n v="181"/>
    <x v="0"/>
    <x v="0"/>
    <n v="14532233"/>
    <n v="1"/>
    <n v="1"/>
    <s v="Highly Concentrated"/>
    <n v="14532233"/>
    <s v="Medium Opportunity"/>
    <x v="0"/>
    <s v="Yes"/>
  </r>
  <r>
    <x v="20"/>
    <x v="20"/>
    <s v="Amino compounds"/>
    <x v="20"/>
    <x v="4"/>
    <x v="12"/>
    <s v="Aspartame"/>
    <s v="Diet Beverages"/>
    <x v="31"/>
    <x v="1"/>
    <x v="0"/>
    <s v="X"/>
    <x v="31"/>
    <s v="Egypt"/>
    <s v="World"/>
    <s v="TOTAL CPC"/>
    <s v="TOTAL MOT"/>
    <n v="292429"/>
    <n v="36480"/>
    <n v="1800"/>
    <n v="0"/>
    <n v="1800"/>
    <s v="kg"/>
    <n v="1800"/>
    <s v="kg"/>
    <n v="8.0337630087875059E-4"/>
    <n v="3"/>
    <x v="0"/>
    <n v="0"/>
    <n v="0"/>
    <n v="0"/>
    <n v="7.709373456734254E-3"/>
    <n v="339"/>
    <n v="20.266666666666666"/>
    <n v="34"/>
    <x v="0"/>
    <s v="No"/>
    <n v="1740222.6"/>
    <n v="14532233"/>
    <n v="6.321329281187793E-2"/>
    <n v="16"/>
    <x v="0"/>
    <n v="4940959.2200000007"/>
    <n v="181"/>
    <x v="0"/>
    <x v="0"/>
    <n v="14532233"/>
    <n v="1"/>
    <n v="1"/>
    <s v="Highly Concentrated"/>
    <n v="14532233"/>
    <s v="Medium Opportunity"/>
    <x v="0"/>
    <s v="Yes"/>
  </r>
  <r>
    <x v="20"/>
    <x v="20"/>
    <s v="Amino compounds"/>
    <x v="20"/>
    <x v="4"/>
    <x v="12"/>
    <s v="Aspartame"/>
    <s v="Diet Beverages"/>
    <x v="17"/>
    <x v="0"/>
    <x v="0"/>
    <s v="X"/>
    <x v="17"/>
    <s v="Egypt"/>
    <s v="World"/>
    <s v="TOTAL CPC"/>
    <s v="TOTAL MOT"/>
    <n v="292429"/>
    <n v="67"/>
    <n v="1"/>
    <n v="0"/>
    <n v="1"/>
    <s v="kg"/>
    <n v="1"/>
    <s v="kg"/>
    <n v="4.7522902002533667E-2"/>
    <n v="34"/>
    <x v="1"/>
    <n v="0.1"/>
    <n v="6.7"/>
    <n v="0.1"/>
    <n v="7.709373456734254E-3"/>
    <n v="522"/>
    <n v="67"/>
    <n v="34"/>
    <x v="0"/>
    <s v="No"/>
    <n v="1740222.6"/>
    <n v="14532233"/>
    <n v="6.321329281187793E-2"/>
    <n v="16"/>
    <x v="0"/>
    <n v="4940959.2200000007"/>
    <n v="181"/>
    <x v="0"/>
    <x v="0"/>
    <n v="14532233"/>
    <n v="1"/>
    <n v="1"/>
    <s v="Highly Concentrated"/>
    <n v="14532233"/>
    <s v="Medium Opportunity"/>
    <x v="0"/>
    <s v="No"/>
  </r>
  <r>
    <x v="20"/>
    <x v="20"/>
    <s v="Amino compounds"/>
    <x v="20"/>
    <x v="4"/>
    <x v="12"/>
    <s v="Aspartame"/>
    <s v="Diet Beverages"/>
    <x v="21"/>
    <x v="1"/>
    <x v="0"/>
    <s v="X"/>
    <x v="21"/>
    <s v="Egypt"/>
    <s v="World"/>
    <s v="TOTAL CPC"/>
    <s v="TOTAL MOT"/>
    <n v="292429"/>
    <n v="241699"/>
    <n v="1247"/>
    <n v="0"/>
    <n v="1247"/>
    <s v="kg"/>
    <n v="1247"/>
    <s v="kg"/>
    <n v="1.3104801671892474E-3"/>
    <n v="4"/>
    <x v="0"/>
    <n v="0"/>
    <n v="0"/>
    <n v="0"/>
    <n v="7.709373456734254E-3"/>
    <n v="205"/>
    <n v="193.82437850842021"/>
    <n v="34"/>
    <x v="0"/>
    <s v="No"/>
    <n v="1740222.6"/>
    <n v="14532233"/>
    <n v="6.321329281187793E-2"/>
    <n v="16"/>
    <x v="0"/>
    <n v="4940959.2200000007"/>
    <n v="181"/>
    <x v="0"/>
    <x v="0"/>
    <n v="14532233"/>
    <n v="1"/>
    <n v="1"/>
    <s v="Highly Concentrated"/>
    <n v="14532233"/>
    <s v="Medium Opportunity"/>
    <x v="0"/>
    <s v="Yes"/>
  </r>
  <r>
    <x v="20"/>
    <x v="20"/>
    <s v="Amino compounds"/>
    <x v="20"/>
    <x v="4"/>
    <x v="12"/>
    <s v="Aspartame"/>
    <s v="Diet Beverages"/>
    <x v="18"/>
    <x v="1"/>
    <x v="0"/>
    <s v="X"/>
    <x v="18"/>
    <s v="Egypt"/>
    <s v="World"/>
    <s v="TOTAL CPC"/>
    <s v="TOTAL MOT"/>
    <n v="292429"/>
    <n v="349281"/>
    <n v="44596"/>
    <n v="0"/>
    <n v="44596"/>
    <s v="kg"/>
    <n v="44596"/>
    <s v="kg"/>
    <n v="9.425427433633813E-3"/>
    <n v="8"/>
    <x v="1"/>
    <n v="4.0000000000000008E-2"/>
    <n v="13971.240000000003"/>
    <n v="1783.8400000000004"/>
    <n v="7.709373456734254E-3"/>
    <n v="177"/>
    <n v="7.8321149878912903"/>
    <n v="34"/>
    <x v="0"/>
    <s v="No"/>
    <n v="1740222.6"/>
    <n v="14532233"/>
    <n v="6.321329281187793E-2"/>
    <n v="16"/>
    <x v="0"/>
    <n v="4940959.2200000007"/>
    <n v="181"/>
    <x v="0"/>
    <x v="0"/>
    <n v="14532233"/>
    <n v="1"/>
    <n v="1"/>
    <s v="Highly Concentrated"/>
    <n v="14532233"/>
    <s v="Medium Opportunity"/>
    <x v="0"/>
    <s v="Yes"/>
  </r>
  <r>
    <x v="21"/>
    <x v="21"/>
    <s v="Heterocyclic compounds"/>
    <x v="21"/>
    <x v="4"/>
    <x v="12"/>
    <s v="Acesulfame-K"/>
    <s v="Diet Beverages"/>
    <x v="41"/>
    <x v="1"/>
    <x v="0"/>
    <s v="X"/>
    <x v="41"/>
    <s v="Egypt"/>
    <s v="World"/>
    <s v="TOTAL CPC"/>
    <s v="TOTAL MOT"/>
    <n v="293499"/>
    <n v="4036"/>
    <n v="4"/>
    <n v="0"/>
    <n v="4"/>
    <s v="kg"/>
    <n v="4"/>
    <s v="kg"/>
    <n v="9.4529556942970843E-5"/>
    <n v="3"/>
    <x v="0"/>
    <n v="0"/>
    <n v="0"/>
    <n v="0"/>
    <n v="2.8528600021988443E-2"/>
    <n v="448"/>
    <n v="1009"/>
    <n v="34"/>
    <x v="0"/>
    <s v="No"/>
    <n v="1293070.0000000002"/>
    <n v="53776648"/>
    <n v="0.39900464236999494"/>
    <n v="19"/>
    <x v="0"/>
    <n v="18284060.32"/>
    <n v="33"/>
    <x v="0"/>
    <x v="0"/>
    <n v="53776648"/>
    <n v="1"/>
    <n v="1"/>
    <s v="Highly Concentrated"/>
    <n v="53776648"/>
    <s v="High Opportunity"/>
    <x v="0"/>
    <s v="Yes"/>
  </r>
  <r>
    <x v="21"/>
    <x v="21"/>
    <s v="Heterocyclic compounds"/>
    <x v="21"/>
    <x v="4"/>
    <x v="12"/>
    <s v="Acesulfame-K"/>
    <s v="Diet Beverages"/>
    <x v="1"/>
    <x v="1"/>
    <x v="0"/>
    <s v="X"/>
    <x v="1"/>
    <s v="Egypt"/>
    <s v="World"/>
    <s v="TOTAL CPC"/>
    <s v="TOTAL MOT"/>
    <n v="293499"/>
    <n v="1715768"/>
    <n v="1854.1"/>
    <n v="0"/>
    <n v="1854"/>
    <s v="kg"/>
    <n v="1854"/>
    <s v="kg"/>
    <n v="5.3992075088500962E-3"/>
    <n v="2"/>
    <x v="0"/>
    <n v="0"/>
    <n v="0"/>
    <n v="0"/>
    <n v="2.8528600021988443E-2"/>
    <n v="68"/>
    <n v="925.39129496790895"/>
    <n v="34"/>
    <x v="0"/>
    <s v="No"/>
    <n v="1293070.0000000002"/>
    <n v="53776648"/>
    <n v="0.39900464236999494"/>
    <n v="19"/>
    <x v="0"/>
    <n v="18284060.32"/>
    <n v="33"/>
    <x v="0"/>
    <x v="0"/>
    <n v="53776648"/>
    <n v="1"/>
    <n v="1"/>
    <s v="Highly Concentrated"/>
    <n v="53776648"/>
    <s v="High Opportunity"/>
    <x v="0"/>
    <s v="Yes"/>
  </r>
  <r>
    <x v="21"/>
    <x v="21"/>
    <s v="Heterocyclic compounds"/>
    <x v="21"/>
    <x v="4"/>
    <x v="12"/>
    <s v="Acesulfame-K"/>
    <s v="Diet Beverages"/>
    <x v="3"/>
    <x v="0"/>
    <x v="0"/>
    <s v="X"/>
    <x v="3"/>
    <s v="Egypt"/>
    <s v="World"/>
    <s v="TOTAL CPC"/>
    <s v="TOTAL MOT"/>
    <n v="293499"/>
    <n v="17117895"/>
    <n v="546894"/>
    <n v="0"/>
    <n v="546894"/>
    <s v="kg"/>
    <n v="546894"/>
    <s v="kg"/>
    <n v="6.321329281187793E-2"/>
    <n v="1"/>
    <x v="1"/>
    <n v="0.14000000000000001"/>
    <n v="2396505.3000000003"/>
    <n v="76565.16"/>
    <n v="2.8528600021988443E-2"/>
    <n v="8"/>
    <n v="31.300206255691229"/>
    <n v="34"/>
    <x v="0"/>
    <s v="No"/>
    <n v="1293070.0000000002"/>
    <n v="53776648"/>
    <n v="0.39900464236999494"/>
    <n v="19"/>
    <x v="0"/>
    <n v="18284060.32"/>
    <n v="33"/>
    <x v="0"/>
    <x v="0"/>
    <n v="53776648"/>
    <n v="1"/>
    <n v="1"/>
    <s v="Highly Concentrated"/>
    <n v="53776648"/>
    <s v="High Opportunity"/>
    <x v="1"/>
    <s v="Yes"/>
  </r>
  <r>
    <x v="21"/>
    <x v="21"/>
    <s v="Heterocyclic compounds"/>
    <x v="21"/>
    <x v="4"/>
    <x v="12"/>
    <s v="Acesulfame-K"/>
    <s v="Diet Beverages"/>
    <x v="6"/>
    <x v="1"/>
    <x v="0"/>
    <s v="X"/>
    <x v="6"/>
    <s v="Egypt"/>
    <s v="World"/>
    <s v="TOTAL CPC"/>
    <s v="TOTAL MOT"/>
    <n v="293499"/>
    <n v="6202660"/>
    <n v="10778.8"/>
    <n v="0"/>
    <n v="10779"/>
    <s v="kg"/>
    <n v="0"/>
    <s v="N/A"/>
    <n v="1.6951290293147386E-2"/>
    <n v="2"/>
    <x v="0"/>
    <n v="0"/>
    <n v="0"/>
    <n v="0"/>
    <n v="2.8528600021988443E-2"/>
    <n v="26"/>
    <n v="575.44995732363532"/>
    <n v="34"/>
    <x v="0"/>
    <s v="No"/>
    <n v="1293070.0000000002"/>
    <n v="53776648"/>
    <n v="0.39900464236999494"/>
    <n v="19"/>
    <x v="0"/>
    <n v="18284060.32"/>
    <n v="33"/>
    <x v="0"/>
    <x v="0"/>
    <n v="53776648"/>
    <n v="1"/>
    <n v="1"/>
    <s v="Highly Concentrated"/>
    <n v="53776648"/>
    <s v="High Opportunity"/>
    <x v="0"/>
    <s v="Yes"/>
  </r>
  <r>
    <x v="21"/>
    <x v="21"/>
    <s v="Heterocyclic compounds"/>
    <x v="21"/>
    <x v="4"/>
    <x v="12"/>
    <s v="Acesulfame-K"/>
    <s v="Diet Beverages"/>
    <x v="7"/>
    <x v="0"/>
    <x v="0"/>
    <s v="X"/>
    <x v="7"/>
    <s v="Egypt"/>
    <s v="World"/>
    <s v="TOTAL CPC"/>
    <s v="TOTAL MOT"/>
    <n v="293499"/>
    <n v="3573151"/>
    <n v="168285.1"/>
    <n v="0"/>
    <n v="168285"/>
    <s v="kg"/>
    <n v="0"/>
    <s v="N/A"/>
    <n v="1.1674623358397021E-2"/>
    <n v="1"/>
    <x v="0"/>
    <n v="0"/>
    <n v="0"/>
    <n v="0"/>
    <n v="2.8528600021988443E-2"/>
    <n v="38"/>
    <n v="21.232723515034902"/>
    <n v="34"/>
    <x v="0"/>
    <s v="No"/>
    <n v="1293070.0000000002"/>
    <n v="53776648"/>
    <n v="0.39900464236999494"/>
    <n v="19"/>
    <x v="0"/>
    <n v="18284060.32"/>
    <n v="33"/>
    <x v="0"/>
    <x v="0"/>
    <n v="53776648"/>
    <n v="1"/>
    <n v="1"/>
    <s v="Highly Concentrated"/>
    <n v="53776648"/>
    <s v="High Opportunity"/>
    <x v="0"/>
    <s v="Yes"/>
  </r>
  <r>
    <x v="21"/>
    <x v="21"/>
    <s v="Heterocyclic compounds"/>
    <x v="21"/>
    <x v="4"/>
    <x v="12"/>
    <s v="Acesulfame-K"/>
    <s v="Diet Beverages"/>
    <x v="27"/>
    <x v="1"/>
    <x v="0"/>
    <s v="X"/>
    <x v="27"/>
    <s v="Egypt"/>
    <s v="World"/>
    <s v="TOTAL CPC"/>
    <s v="TOTAL MOT"/>
    <n v="293499"/>
    <n v="2088105"/>
    <n v="367300"/>
    <n v="0"/>
    <n v="367300"/>
    <s v="kg"/>
    <n v="367300"/>
    <s v="kg"/>
    <n v="0.39900464236999494"/>
    <n v="3"/>
    <x v="1"/>
    <n v="0.21"/>
    <n v="438502.05"/>
    <n v="77133"/>
    <n v="2.8528600021988443E-2"/>
    <n v="64"/>
    <n v="5.6850122515654782"/>
    <n v="34"/>
    <x v="0"/>
    <s v="No"/>
    <n v="1293070.0000000002"/>
    <n v="53776648"/>
    <n v="0.39900464236999494"/>
    <n v="19"/>
    <x v="0"/>
    <n v="18284060.32"/>
    <n v="33"/>
    <x v="0"/>
    <x v="0"/>
    <n v="53776648"/>
    <n v="1"/>
    <n v="1"/>
    <s v="Highly Concentrated"/>
    <n v="53776648"/>
    <s v="High Opportunity"/>
    <x v="0"/>
    <s v="Yes"/>
  </r>
  <r>
    <x v="21"/>
    <x v="21"/>
    <s v="Heterocyclic compounds"/>
    <x v="21"/>
    <x v="4"/>
    <x v="12"/>
    <s v="Acesulfame-K"/>
    <s v="Diet Beverages"/>
    <x v="8"/>
    <x v="1"/>
    <x v="0"/>
    <s v="X"/>
    <x v="8"/>
    <s v="Egypt"/>
    <s v="World"/>
    <s v="TOTAL CPC"/>
    <s v="TOTAL MOT"/>
    <n v="293499"/>
    <n v="1231914"/>
    <n v="65869"/>
    <n v="0"/>
    <n v="65869"/>
    <s v="kg"/>
    <n v="65869"/>
    <s v="kg"/>
    <n v="4.9588465845200368E-3"/>
    <n v="2"/>
    <x v="0"/>
    <n v="0"/>
    <n v="0"/>
    <n v="0"/>
    <n v="2.8528600021988443E-2"/>
    <n v="91"/>
    <n v="18.702485235846908"/>
    <n v="34"/>
    <x v="0"/>
    <s v="No"/>
    <n v="1293070.0000000002"/>
    <n v="53776648"/>
    <n v="0.39900464236999494"/>
    <n v="19"/>
    <x v="0"/>
    <n v="18284060.32"/>
    <n v="33"/>
    <x v="0"/>
    <x v="0"/>
    <n v="53776648"/>
    <n v="1"/>
    <n v="1"/>
    <s v="Highly Concentrated"/>
    <n v="53776648"/>
    <s v="High Opportunity"/>
    <x v="0"/>
    <s v="Yes"/>
  </r>
  <r>
    <x v="21"/>
    <x v="21"/>
    <s v="Heterocyclic compounds"/>
    <x v="21"/>
    <x v="4"/>
    <x v="12"/>
    <s v="Acesulfame-K"/>
    <s v="Diet Beverages"/>
    <x v="9"/>
    <x v="1"/>
    <x v="0"/>
    <s v="X"/>
    <x v="9"/>
    <s v="Egypt"/>
    <s v="World"/>
    <s v="TOTAL CPC"/>
    <s v="TOTAL MOT"/>
    <n v="293499"/>
    <n v="4544085"/>
    <n v="30491"/>
    <n v="0"/>
    <n v="30491"/>
    <s v="kg"/>
    <n v="30491"/>
    <s v="kg"/>
    <n v="1.1178535358665947E-2"/>
    <n v="2"/>
    <x v="0"/>
    <n v="0"/>
    <n v="0"/>
    <n v="0"/>
    <n v="2.8528600021988443E-2"/>
    <n v="34"/>
    <n v="149.03036961726411"/>
    <n v="34"/>
    <x v="0"/>
    <s v="No"/>
    <n v="1293070.0000000002"/>
    <n v="53776648"/>
    <n v="0.39900464236999494"/>
    <n v="19"/>
    <x v="0"/>
    <n v="18284060.32"/>
    <n v="33"/>
    <x v="0"/>
    <x v="0"/>
    <n v="53776648"/>
    <n v="1"/>
    <n v="1"/>
    <s v="Highly Concentrated"/>
    <n v="53776648"/>
    <s v="High Opportunity"/>
    <x v="0"/>
    <s v="Yes"/>
  </r>
  <r>
    <x v="21"/>
    <x v="21"/>
    <s v="Heterocyclic compounds"/>
    <x v="21"/>
    <x v="4"/>
    <x v="12"/>
    <s v="Acesulfame-K"/>
    <s v="Diet Beverages"/>
    <x v="37"/>
    <x v="0"/>
    <x v="0"/>
    <s v="X"/>
    <x v="37"/>
    <s v="Egypt"/>
    <s v="World"/>
    <s v="TOTAL CPC"/>
    <s v="TOTAL MOT"/>
    <n v="293499"/>
    <n v="173380"/>
    <n v="2000"/>
    <n v="0"/>
    <n v="2000"/>
    <s v="kg"/>
    <n v="2000"/>
    <s v="kg"/>
    <n v="1.4722693747111796E-4"/>
    <n v="1"/>
    <x v="0"/>
    <n v="0"/>
    <n v="0"/>
    <n v="0"/>
    <n v="2.8528600021988443E-2"/>
    <n v="231"/>
    <n v="86.69"/>
    <n v="34"/>
    <x v="0"/>
    <s v="No"/>
    <n v="1293070.0000000002"/>
    <n v="53776648"/>
    <n v="0.39900464236999494"/>
    <n v="19"/>
    <x v="0"/>
    <n v="18284060.32"/>
    <n v="33"/>
    <x v="0"/>
    <x v="0"/>
    <n v="53776648"/>
    <n v="1"/>
    <n v="1"/>
    <s v="Highly Concentrated"/>
    <n v="53776648"/>
    <s v="High Opportunity"/>
    <x v="0"/>
    <s v="Yes"/>
  </r>
  <r>
    <x v="21"/>
    <x v="21"/>
    <s v="Heterocyclic compounds"/>
    <x v="21"/>
    <x v="4"/>
    <x v="12"/>
    <s v="Acesulfame-K"/>
    <s v="Diet Beverages"/>
    <x v="10"/>
    <x v="1"/>
    <x v="0"/>
    <s v="X"/>
    <x v="10"/>
    <s v="Egypt"/>
    <s v="World"/>
    <s v="TOTAL CPC"/>
    <s v="TOTAL MOT"/>
    <n v="293499"/>
    <n v="357631"/>
    <n v="1591"/>
    <n v="0"/>
    <n v="1591"/>
    <s v="kg"/>
    <n v="1591"/>
    <s v="kg"/>
    <n v="1.389484063100993E-2"/>
    <n v="3"/>
    <x v="0"/>
    <n v="0"/>
    <n v="0"/>
    <n v="0"/>
    <n v="2.8528600021988443E-2"/>
    <n v="175"/>
    <n v="224.78378378378378"/>
    <n v="34"/>
    <x v="0"/>
    <s v="No"/>
    <n v="1293070.0000000002"/>
    <n v="53776648"/>
    <n v="0.39900464236999494"/>
    <n v="19"/>
    <x v="0"/>
    <n v="18284060.32"/>
    <n v="33"/>
    <x v="0"/>
    <x v="0"/>
    <n v="53776648"/>
    <n v="1"/>
    <n v="1"/>
    <s v="Highly Concentrated"/>
    <n v="53776648"/>
    <s v="High Opportunity"/>
    <x v="0"/>
    <s v="Yes"/>
  </r>
  <r>
    <x v="21"/>
    <x v="21"/>
    <s v="Heterocyclic compounds"/>
    <x v="21"/>
    <x v="4"/>
    <x v="12"/>
    <s v="Acesulfame-K"/>
    <s v="Diet Beverages"/>
    <x v="12"/>
    <x v="0"/>
    <x v="0"/>
    <s v="X"/>
    <x v="12"/>
    <s v="Egypt"/>
    <s v="World"/>
    <s v="TOTAL CPC"/>
    <s v="TOTAL MOT"/>
    <n v="293499"/>
    <n v="75766"/>
    <n v="1402"/>
    <n v="0"/>
    <n v="1402"/>
    <s v="kg"/>
    <n v="1402"/>
    <s v="kg"/>
    <n v="1.4561232389604124E-2"/>
    <n v="17"/>
    <x v="0"/>
    <n v="0"/>
    <n v="0"/>
    <n v="0"/>
    <n v="2.8528600021988443E-2"/>
    <n v="297"/>
    <n v="54.041369472182595"/>
    <n v="34"/>
    <x v="0"/>
    <s v="No"/>
    <n v="1293070.0000000002"/>
    <n v="53776648"/>
    <n v="0.39900464236999494"/>
    <n v="19"/>
    <x v="0"/>
    <n v="18284060.32"/>
    <n v="33"/>
    <x v="0"/>
    <x v="0"/>
    <n v="53776648"/>
    <n v="1"/>
    <n v="1"/>
    <s v="Highly Concentrated"/>
    <n v="53776648"/>
    <s v="High Opportunity"/>
    <x v="0"/>
    <s v="No"/>
  </r>
  <r>
    <x v="21"/>
    <x v="21"/>
    <s v="Heterocyclic compounds"/>
    <x v="21"/>
    <x v="4"/>
    <x v="12"/>
    <s v="Acesulfame-K"/>
    <s v="Diet Beverages"/>
    <x v="13"/>
    <x v="1"/>
    <x v="0"/>
    <s v="X"/>
    <x v="13"/>
    <s v="Egypt"/>
    <s v="World"/>
    <s v="TOTAL CPC"/>
    <s v="TOTAL MOT"/>
    <n v="293499"/>
    <n v="86733"/>
    <n v="59.1"/>
    <n v="0"/>
    <n v="59"/>
    <s v="kg"/>
    <n v="0"/>
    <s v="N/A"/>
    <n v="6.3855771678493602E-3"/>
    <n v="5"/>
    <x v="1"/>
    <n v="0.06"/>
    <n v="5203.9799999999996"/>
    <n v="3.5459999999999998"/>
    <n v="2.8528600021988443E-2"/>
    <n v="285"/>
    <n v="1467.5634517766498"/>
    <n v="34"/>
    <x v="0"/>
    <s v="No"/>
    <n v="1293070.0000000002"/>
    <n v="53776648"/>
    <n v="0.39900464236999494"/>
    <n v="19"/>
    <x v="0"/>
    <n v="18284060.32"/>
    <n v="33"/>
    <x v="0"/>
    <x v="0"/>
    <n v="53776648"/>
    <n v="1"/>
    <n v="1"/>
    <s v="Highly Concentrated"/>
    <n v="53776648"/>
    <s v="High Opportunity"/>
    <x v="0"/>
    <s v="Yes"/>
  </r>
  <r>
    <x v="21"/>
    <x v="21"/>
    <s v="Heterocyclic compounds"/>
    <x v="21"/>
    <x v="4"/>
    <x v="12"/>
    <s v="Acesulfame-K"/>
    <s v="Diet Beverages"/>
    <x v="15"/>
    <x v="0"/>
    <x v="0"/>
    <s v="X"/>
    <x v="15"/>
    <s v="Egypt"/>
    <s v="World"/>
    <s v="TOTAL CPC"/>
    <s v="TOTAL MOT"/>
    <n v="293499"/>
    <n v="13286977"/>
    <n v="92748"/>
    <n v="0"/>
    <n v="92748"/>
    <s v="kg"/>
    <n v="92748"/>
    <s v="kg"/>
    <n v="2.2441761060335613E-2"/>
    <n v="1"/>
    <x v="0"/>
    <n v="0"/>
    <n v="0"/>
    <n v="0"/>
    <n v="2.8528600021988443E-2"/>
    <n v="12"/>
    <n v="143.25890585241731"/>
    <n v="34"/>
    <x v="0"/>
    <s v="No"/>
    <n v="1293070.0000000002"/>
    <n v="53776648"/>
    <n v="0.39900464236999494"/>
    <n v="19"/>
    <x v="0"/>
    <n v="18284060.32"/>
    <n v="33"/>
    <x v="0"/>
    <x v="0"/>
    <n v="53776648"/>
    <n v="1"/>
    <n v="1"/>
    <s v="Highly Concentrated"/>
    <n v="53776648"/>
    <s v="High Opportunity"/>
    <x v="0"/>
    <s v="Yes"/>
  </r>
  <r>
    <x v="21"/>
    <x v="21"/>
    <s v="Heterocyclic compounds"/>
    <x v="21"/>
    <x v="4"/>
    <x v="12"/>
    <s v="Acesulfame-K"/>
    <s v="Diet Beverages"/>
    <x v="16"/>
    <x v="1"/>
    <x v="0"/>
    <s v="X"/>
    <x v="16"/>
    <s v="Egypt"/>
    <s v="World"/>
    <s v="TOTAL CPC"/>
    <s v="TOTAL MOT"/>
    <n v="293499"/>
    <n v="17253"/>
    <n v="0.6"/>
    <n v="0"/>
    <n v="1"/>
    <s v="kg"/>
    <n v="1"/>
    <s v="kg"/>
    <n v="8.2796770445636432E-4"/>
    <n v="6"/>
    <x v="1"/>
    <n v="0.06"/>
    <n v="1035.18"/>
    <n v="3.5999999999999997E-2"/>
    <n v="2.8528600021988443E-2"/>
    <n v="386"/>
    <n v="28755"/>
    <n v="34"/>
    <x v="0"/>
    <s v="No"/>
    <n v="1293070.0000000002"/>
    <n v="53776648"/>
    <n v="0.39900464236999494"/>
    <n v="19"/>
    <x v="0"/>
    <n v="18284060.32"/>
    <n v="33"/>
    <x v="0"/>
    <x v="0"/>
    <n v="53776648"/>
    <n v="1"/>
    <n v="1"/>
    <s v="Highly Concentrated"/>
    <n v="53776648"/>
    <s v="High Opportunity"/>
    <x v="0"/>
    <s v="Yes"/>
  </r>
  <r>
    <x v="21"/>
    <x v="21"/>
    <s v="Heterocyclic compounds"/>
    <x v="21"/>
    <x v="4"/>
    <x v="12"/>
    <s v="Acesulfame-K"/>
    <s v="Diet Beverages"/>
    <x v="20"/>
    <x v="1"/>
    <x v="0"/>
    <s v="X"/>
    <x v="20"/>
    <s v="Egypt"/>
    <s v="World"/>
    <s v="TOTAL CPC"/>
    <s v="TOTAL MOT"/>
    <n v="293499"/>
    <n v="1575907"/>
    <n v="2892.3"/>
    <n v="0"/>
    <n v="2892"/>
    <s v="kg"/>
    <n v="2892"/>
    <s v="kg"/>
    <n v="6.110186869383482E-3"/>
    <n v="3"/>
    <x v="0"/>
    <n v="0"/>
    <n v="0"/>
    <n v="0"/>
    <n v="2.8528600021988443E-2"/>
    <n v="73"/>
    <n v="544.86291186944641"/>
    <n v="34"/>
    <x v="0"/>
    <s v="No"/>
    <n v="1293070.0000000002"/>
    <n v="53776648"/>
    <n v="0.39900464236999494"/>
    <n v="19"/>
    <x v="0"/>
    <n v="18284060.32"/>
    <n v="33"/>
    <x v="0"/>
    <x v="0"/>
    <n v="53776648"/>
    <n v="1"/>
    <n v="1"/>
    <s v="Highly Concentrated"/>
    <n v="53776648"/>
    <s v="High Opportunity"/>
    <x v="0"/>
    <s v="Yes"/>
  </r>
  <r>
    <x v="21"/>
    <x v="21"/>
    <s v="Heterocyclic compounds"/>
    <x v="21"/>
    <x v="4"/>
    <x v="12"/>
    <s v="Acesulfame-K"/>
    <s v="Diet Beverages"/>
    <x v="23"/>
    <x v="0"/>
    <x v="0"/>
    <s v="X"/>
    <x v="23"/>
    <s v="Egypt"/>
    <s v="World"/>
    <s v="TOTAL CPC"/>
    <s v="TOTAL MOT"/>
    <n v="293499"/>
    <n v="1480221"/>
    <n v="131"/>
    <n v="0"/>
    <n v="131"/>
    <s v="kg"/>
    <n v="0"/>
    <s v="N/A"/>
    <n v="1.1630298885271862E-3"/>
    <n v="1"/>
    <x v="0"/>
    <n v="0"/>
    <n v="0"/>
    <n v="0"/>
    <n v="2.8528600021988443E-2"/>
    <n v="77"/>
    <n v="11299.396946564886"/>
    <n v="34"/>
    <x v="0"/>
    <s v="No"/>
    <n v="1293070.0000000002"/>
    <n v="53776648"/>
    <n v="0.39900464236999494"/>
    <n v="19"/>
    <x v="0"/>
    <n v="18284060.32"/>
    <n v="33"/>
    <x v="0"/>
    <x v="0"/>
    <n v="53776648"/>
    <n v="1"/>
    <n v="1"/>
    <s v="Highly Concentrated"/>
    <n v="53776648"/>
    <s v="High Opportunity"/>
    <x v="0"/>
    <s v="Yes"/>
  </r>
  <r>
    <x v="21"/>
    <x v="21"/>
    <s v="Heterocyclic compounds"/>
    <x v="21"/>
    <x v="4"/>
    <x v="12"/>
    <s v="Acesulfame-K"/>
    <s v="Diet Beverages"/>
    <x v="17"/>
    <x v="0"/>
    <x v="0"/>
    <s v="X"/>
    <x v="17"/>
    <s v="Egypt"/>
    <s v="World"/>
    <s v="TOTAL CPC"/>
    <s v="TOTAL MOT"/>
    <n v="293499"/>
    <n v="348"/>
    <n v="31"/>
    <n v="0"/>
    <n v="31"/>
    <s v="kg"/>
    <n v="31"/>
    <s v="kg"/>
    <n v="4.7522902002533667E-2"/>
    <n v="33"/>
    <x v="1"/>
    <n v="0.1"/>
    <n v="34.800000000000004"/>
    <n v="3.1"/>
    <n v="2.8528600021988443E-2"/>
    <n v="500"/>
    <n v="11.225806451612904"/>
    <n v="34"/>
    <x v="0"/>
    <s v="No"/>
    <n v="1293070.0000000002"/>
    <n v="53776648"/>
    <n v="0.39900464236999494"/>
    <n v="19"/>
    <x v="0"/>
    <n v="18284060.32"/>
    <n v="33"/>
    <x v="0"/>
    <x v="0"/>
    <n v="53776648"/>
    <n v="1"/>
    <n v="1"/>
    <s v="Highly Concentrated"/>
    <n v="53776648"/>
    <s v="High Opportunity"/>
    <x v="0"/>
    <s v="No"/>
  </r>
  <r>
    <x v="21"/>
    <x v="21"/>
    <s v="Heterocyclic compounds"/>
    <x v="21"/>
    <x v="4"/>
    <x v="12"/>
    <s v="Acesulfame-K"/>
    <s v="Diet Beverages"/>
    <x v="21"/>
    <x v="0"/>
    <x v="0"/>
    <s v="X"/>
    <x v="21"/>
    <s v="Egypt"/>
    <s v="World"/>
    <s v="TOTAL CPC"/>
    <s v="TOTAL MOT"/>
    <n v="293499"/>
    <n v="9523"/>
    <n v="16"/>
    <n v="0"/>
    <n v="16"/>
    <s v="kg"/>
    <n v="16"/>
    <s v="kg"/>
    <n v="1.3104801671892474E-3"/>
    <n v="13"/>
    <x v="0"/>
    <n v="0"/>
    <n v="0"/>
    <n v="0"/>
    <n v="2.8528600021988443E-2"/>
    <n v="414"/>
    <n v="595.1875"/>
    <n v="34"/>
    <x v="0"/>
    <s v="No"/>
    <n v="1293070.0000000002"/>
    <n v="53776648"/>
    <n v="0.39900464236999494"/>
    <n v="19"/>
    <x v="0"/>
    <n v="18284060.32"/>
    <n v="33"/>
    <x v="0"/>
    <x v="0"/>
    <n v="53776648"/>
    <n v="1"/>
    <n v="1"/>
    <s v="Highly Concentrated"/>
    <n v="53776648"/>
    <s v="High Opportunity"/>
    <x v="0"/>
    <s v="No"/>
  </r>
  <r>
    <x v="21"/>
    <x v="21"/>
    <s v="Heterocyclic compounds"/>
    <x v="21"/>
    <x v="4"/>
    <x v="12"/>
    <s v="Acesulfame-K"/>
    <s v="Diet Beverages"/>
    <x v="18"/>
    <x v="1"/>
    <x v="0"/>
    <s v="X"/>
    <x v="18"/>
    <s v="Egypt"/>
    <s v="World"/>
    <s v="TOTAL CPC"/>
    <s v="TOTAL MOT"/>
    <n v="293499"/>
    <n v="235295"/>
    <n v="723"/>
    <n v="0"/>
    <n v="723"/>
    <s v="kg"/>
    <n v="723"/>
    <s v="kg"/>
    <n v="9.425427433633813E-3"/>
    <n v="9"/>
    <x v="1"/>
    <n v="4.0000000000000008E-2"/>
    <n v="9411.8000000000011"/>
    <n v="28.920000000000005"/>
    <n v="2.8528600021988443E-2"/>
    <n v="206"/>
    <n v="325.44260027662517"/>
    <n v="34"/>
    <x v="0"/>
    <s v="No"/>
    <n v="1293070.0000000002"/>
    <n v="53776648"/>
    <n v="0.39900464236999494"/>
    <n v="19"/>
    <x v="0"/>
    <n v="18284060.32"/>
    <n v="33"/>
    <x v="0"/>
    <x v="0"/>
    <n v="53776648"/>
    <n v="1"/>
    <n v="1"/>
    <s v="Highly Concentrated"/>
    <n v="53776648"/>
    <s v="High Opportunity"/>
    <x v="0"/>
    <s v="Yes"/>
  </r>
  <r>
    <x v="22"/>
    <x v="22"/>
    <s v="Other sugars incl. caramel"/>
    <x v="22"/>
    <x v="3"/>
    <x v="13"/>
    <s v="Caramel Color (Class I-IV)"/>
    <s v="Beverages / Sauces"/>
    <x v="44"/>
    <x v="0"/>
    <x v="0"/>
    <s v="X"/>
    <x v="44"/>
    <s v="Egypt"/>
    <s v="World"/>
    <s v="TOTAL CPC"/>
    <s v="TOTAL MOT"/>
    <n v="170290"/>
    <n v="22372"/>
    <n v="47207.9"/>
    <n v="0"/>
    <n v="47208"/>
    <s v="kg"/>
    <n v="47208"/>
    <s v="kg"/>
    <n v="1.1868382716823955E-5"/>
    <n v="1"/>
    <x v="0"/>
    <n v="0"/>
    <n v="0"/>
    <n v="0"/>
    <n v="6.2244850394839587E-3"/>
    <n v="373"/>
    <n v="0.47390373221431159"/>
    <n v="34"/>
    <x v="0"/>
    <s v="No"/>
    <n v="12365742.6"/>
    <n v="11733206"/>
    <n v="0.25769345655074266"/>
    <n v="20"/>
    <x v="0"/>
    <n v="3989290.0400000005"/>
    <n v="241"/>
    <x v="0"/>
    <x v="0"/>
    <n v="11733206"/>
    <n v="1"/>
    <n v="1"/>
    <s v="Highly Concentrated"/>
    <n v="11733206"/>
    <s v="Routine Market"/>
    <x v="0"/>
    <s v="Yes"/>
  </r>
  <r>
    <x v="22"/>
    <x v="22"/>
    <s v="Other sugars incl. caramel"/>
    <x v="22"/>
    <x v="3"/>
    <x v="13"/>
    <s v="Caramel Color (Class I-IV)"/>
    <s v="Beverages / Sauces"/>
    <x v="1"/>
    <x v="0"/>
    <x v="0"/>
    <s v="X"/>
    <x v="1"/>
    <s v="Egypt"/>
    <s v="World"/>
    <s v="TOTAL CPC"/>
    <s v="TOTAL MOT"/>
    <n v="170290"/>
    <n v="18513"/>
    <n v="17520.7"/>
    <n v="0"/>
    <n v="17521"/>
    <s v="kg"/>
    <n v="17521"/>
    <s v="kg"/>
    <n v="5.3992075088500962E-3"/>
    <n v="17"/>
    <x v="0"/>
    <n v="0"/>
    <n v="0"/>
    <n v="0"/>
    <n v="6.2244850394839587E-3"/>
    <n v="383"/>
    <n v="1.0566358650053935"/>
    <n v="34"/>
    <x v="0"/>
    <s v="No"/>
    <n v="12365742.6"/>
    <n v="11733206"/>
    <n v="0.25769345655074266"/>
    <n v="20"/>
    <x v="0"/>
    <n v="3989290.0400000005"/>
    <n v="241"/>
    <x v="0"/>
    <x v="0"/>
    <n v="11733206"/>
    <n v="1"/>
    <n v="1"/>
    <s v="Highly Concentrated"/>
    <n v="11733206"/>
    <s v="Routine Market"/>
    <x v="0"/>
    <s v="No"/>
  </r>
  <r>
    <x v="22"/>
    <x v="22"/>
    <s v="Other sugars incl. caramel"/>
    <x v="22"/>
    <x v="3"/>
    <x v="13"/>
    <s v="Caramel Color (Class I-IV)"/>
    <s v="Beverages / Sauces"/>
    <x v="3"/>
    <x v="0"/>
    <x v="0"/>
    <s v="X"/>
    <x v="3"/>
    <s v="Egypt"/>
    <s v="World"/>
    <s v="TOTAL CPC"/>
    <s v="TOTAL MOT"/>
    <n v="170290"/>
    <n v="2089153"/>
    <n v="2820117"/>
    <n v="0"/>
    <n v="2820117"/>
    <s v="kg"/>
    <n v="2820117"/>
    <s v="kg"/>
    <n v="6.321329281187793E-2"/>
    <n v="15"/>
    <x v="1"/>
    <n v="0.14000000000000001"/>
    <n v="292481.42000000004"/>
    <n v="394816.38000000006"/>
    <n v="6.2244850394839587E-3"/>
    <n v="63"/>
    <n v="0.74080366169205036"/>
    <n v="34"/>
    <x v="0"/>
    <s v="No"/>
    <n v="12365742.6"/>
    <n v="11733206"/>
    <n v="0.25769345655074266"/>
    <n v="20"/>
    <x v="0"/>
    <n v="3989290.0400000005"/>
    <n v="241"/>
    <x v="0"/>
    <x v="0"/>
    <n v="11733206"/>
    <n v="1"/>
    <n v="1"/>
    <s v="Highly Concentrated"/>
    <n v="11733206"/>
    <s v="Routine Market"/>
    <x v="0"/>
    <s v="No"/>
  </r>
  <r>
    <x v="22"/>
    <x v="22"/>
    <s v="Other sugars incl. caramel"/>
    <x v="22"/>
    <x v="3"/>
    <x v="13"/>
    <s v="Caramel Color (Class I-IV)"/>
    <s v="Beverages / Sauces"/>
    <x v="5"/>
    <x v="1"/>
    <x v="0"/>
    <s v="X"/>
    <x v="5"/>
    <s v="Egypt"/>
    <s v="World"/>
    <s v="TOTAL CPC"/>
    <s v="TOTAL MOT"/>
    <n v="170290"/>
    <n v="11547"/>
    <n v="2100"/>
    <n v="0"/>
    <n v="2100"/>
    <s v="kg"/>
    <n v="2100"/>
    <s v="kg"/>
    <n v="4.8573207719329804E-4"/>
    <n v="7"/>
    <x v="0"/>
    <n v="0"/>
    <n v="0"/>
    <n v="0"/>
    <n v="6.2244850394839587E-3"/>
    <n v="405"/>
    <n v="5.4985714285714282"/>
    <n v="34"/>
    <x v="0"/>
    <s v="No"/>
    <n v="12365742.6"/>
    <n v="11733206"/>
    <n v="0.25769345655074266"/>
    <n v="20"/>
    <x v="0"/>
    <n v="3989290.0400000005"/>
    <n v="241"/>
    <x v="0"/>
    <x v="0"/>
    <n v="11733206"/>
    <n v="1"/>
    <n v="1"/>
    <s v="Highly Concentrated"/>
    <n v="11733206"/>
    <s v="Routine Market"/>
    <x v="0"/>
    <s v="Yes"/>
  </r>
  <r>
    <x v="22"/>
    <x v="22"/>
    <s v="Other sugars incl. caramel"/>
    <x v="22"/>
    <x v="3"/>
    <x v="13"/>
    <s v="Caramel Color (Class I-IV)"/>
    <s v="Beverages / Sauces"/>
    <x v="6"/>
    <x v="1"/>
    <x v="0"/>
    <s v="X"/>
    <x v="6"/>
    <s v="Egypt"/>
    <s v="World"/>
    <s v="TOTAL CPC"/>
    <s v="TOTAL MOT"/>
    <n v="170290"/>
    <n v="4959639"/>
    <n v="5731201"/>
    <n v="0"/>
    <n v="5731201"/>
    <s v="kg"/>
    <n v="5731201"/>
    <s v="kg"/>
    <n v="1.6951290293147386E-2"/>
    <n v="3"/>
    <x v="0"/>
    <n v="0"/>
    <n v="0"/>
    <n v="0"/>
    <n v="6.2244850394839587E-3"/>
    <n v="31"/>
    <n v="0.86537516307663964"/>
    <n v="34"/>
    <x v="0"/>
    <s v="No"/>
    <n v="12365742.6"/>
    <n v="11733206"/>
    <n v="0.25769345655074266"/>
    <n v="20"/>
    <x v="0"/>
    <n v="3989290.0400000005"/>
    <n v="241"/>
    <x v="0"/>
    <x v="0"/>
    <n v="11733206"/>
    <n v="1"/>
    <n v="1"/>
    <s v="Highly Concentrated"/>
    <n v="11733206"/>
    <s v="Routine Market"/>
    <x v="0"/>
    <s v="Yes"/>
  </r>
  <r>
    <x v="22"/>
    <x v="22"/>
    <s v="Other sugars incl. caramel"/>
    <x v="22"/>
    <x v="3"/>
    <x v="13"/>
    <s v="Caramel Color (Class I-IV)"/>
    <s v="Beverages / Sauces"/>
    <x v="7"/>
    <x v="0"/>
    <x v="0"/>
    <s v="X"/>
    <x v="7"/>
    <s v="Egypt"/>
    <s v="World"/>
    <s v="TOTAL CPC"/>
    <s v="TOTAL MOT"/>
    <n v="170290"/>
    <n v="67088"/>
    <n v="30656"/>
    <n v="0"/>
    <n v="30656"/>
    <s v="kg"/>
    <n v="30656"/>
    <s v="kg"/>
    <n v="1.1674623358397021E-2"/>
    <n v="24"/>
    <x v="0"/>
    <n v="0"/>
    <n v="0"/>
    <n v="0"/>
    <n v="6.2244850394839587E-3"/>
    <n v="308"/>
    <n v="2.1884133611691023"/>
    <n v="34"/>
    <x v="0"/>
    <s v="No"/>
    <n v="12365742.6"/>
    <n v="11733206"/>
    <n v="0.25769345655074266"/>
    <n v="20"/>
    <x v="0"/>
    <n v="3989290.0400000005"/>
    <n v="241"/>
    <x v="0"/>
    <x v="0"/>
    <n v="11733206"/>
    <n v="1"/>
    <n v="1"/>
    <s v="Highly Concentrated"/>
    <n v="11733206"/>
    <s v="Routine Market"/>
    <x v="0"/>
    <s v="No"/>
  </r>
  <r>
    <x v="22"/>
    <x v="22"/>
    <s v="Other sugars incl. caramel"/>
    <x v="22"/>
    <x v="3"/>
    <x v="13"/>
    <s v="Caramel Color (Class I-IV)"/>
    <s v="Beverages / Sauces"/>
    <x v="26"/>
    <x v="0"/>
    <x v="0"/>
    <s v="X"/>
    <x v="26"/>
    <s v="Egypt"/>
    <s v="World"/>
    <s v="TOTAL CPC"/>
    <s v="TOTAL MOT"/>
    <n v="170290"/>
    <n v="485305"/>
    <n v="170350"/>
    <n v="0"/>
    <n v="170350"/>
    <s v="kg"/>
    <n v="170350"/>
    <s v="kg"/>
    <n v="2.621940701411424E-4"/>
    <n v="1"/>
    <x v="0"/>
    <n v="0"/>
    <n v="0"/>
    <n v="0"/>
    <n v="6.2244850394839587E-3"/>
    <n v="148"/>
    <n v="2.8488699735837981"/>
    <n v="34"/>
    <x v="0"/>
    <s v="No"/>
    <n v="12365742.6"/>
    <n v="11733206"/>
    <n v="0.25769345655074266"/>
    <n v="20"/>
    <x v="0"/>
    <n v="3989290.0400000005"/>
    <n v="241"/>
    <x v="0"/>
    <x v="0"/>
    <n v="11733206"/>
    <n v="1"/>
    <n v="1"/>
    <s v="Highly Concentrated"/>
    <n v="11733206"/>
    <s v="Routine Market"/>
    <x v="0"/>
    <s v="Yes"/>
  </r>
  <r>
    <x v="22"/>
    <x v="22"/>
    <s v="Other sugars incl. caramel"/>
    <x v="22"/>
    <x v="3"/>
    <x v="13"/>
    <s v="Caramel Color (Class I-IV)"/>
    <s v="Beverages / Sauces"/>
    <x v="8"/>
    <x v="1"/>
    <x v="0"/>
    <s v="X"/>
    <x v="8"/>
    <s v="Egypt"/>
    <s v="World"/>
    <s v="TOTAL CPC"/>
    <s v="TOTAL MOT"/>
    <n v="170290"/>
    <n v="310660"/>
    <n v="162807"/>
    <n v="0"/>
    <n v="162807"/>
    <s v="kg"/>
    <n v="162807"/>
    <s v="kg"/>
    <n v="4.9588465845200368E-3"/>
    <n v="10"/>
    <x v="0"/>
    <n v="0"/>
    <n v="0"/>
    <n v="0"/>
    <n v="6.2244850394839587E-3"/>
    <n v="184"/>
    <n v="1.9081489125160467"/>
    <n v="34"/>
    <x v="0"/>
    <s v="No"/>
    <n v="12365742.6"/>
    <n v="11733206"/>
    <n v="0.25769345655074266"/>
    <n v="20"/>
    <x v="0"/>
    <n v="3989290.0400000005"/>
    <n v="241"/>
    <x v="0"/>
    <x v="0"/>
    <n v="11733206"/>
    <n v="1"/>
    <n v="1"/>
    <s v="Highly Concentrated"/>
    <n v="11733206"/>
    <s v="Routine Market"/>
    <x v="0"/>
    <s v="Yes"/>
  </r>
  <r>
    <x v="22"/>
    <x v="22"/>
    <s v="Other sugars incl. caramel"/>
    <x v="22"/>
    <x v="3"/>
    <x v="13"/>
    <s v="Caramel Color (Class I-IV)"/>
    <s v="Beverages / Sauces"/>
    <x v="11"/>
    <x v="1"/>
    <x v="0"/>
    <s v="X"/>
    <x v="11"/>
    <s v="Egypt"/>
    <s v="World"/>
    <s v="TOTAL CPC"/>
    <s v="TOTAL MOT"/>
    <n v="170290"/>
    <n v="432"/>
    <n v="535"/>
    <n v="0"/>
    <n v="535"/>
    <s v="kg"/>
    <n v="535"/>
    <s v="kg"/>
    <n v="0.25769345655074266"/>
    <n v="4"/>
    <x v="0"/>
    <n v="0"/>
    <n v="0"/>
    <n v="0"/>
    <n v="6.2244850394839587E-3"/>
    <n v="498"/>
    <n v="0.80747663551401871"/>
    <n v="34"/>
    <x v="0"/>
    <s v="No"/>
    <n v="12365742.6"/>
    <n v="11733206"/>
    <n v="0.25769345655074266"/>
    <n v="20"/>
    <x v="0"/>
    <n v="3989290.0400000005"/>
    <n v="241"/>
    <x v="0"/>
    <x v="0"/>
    <n v="11733206"/>
    <n v="1"/>
    <n v="1"/>
    <s v="Highly Concentrated"/>
    <n v="11733206"/>
    <s v="Routine Market"/>
    <x v="0"/>
    <s v="Yes"/>
  </r>
  <r>
    <x v="22"/>
    <x v="22"/>
    <s v="Other sugars incl. caramel"/>
    <x v="22"/>
    <x v="3"/>
    <x v="13"/>
    <s v="Caramel Color (Class I-IV)"/>
    <s v="Beverages / Sauces"/>
    <x v="19"/>
    <x v="1"/>
    <x v="0"/>
    <s v="X"/>
    <x v="19"/>
    <s v="Egypt"/>
    <s v="World"/>
    <s v="TOTAL CPC"/>
    <s v="TOTAL MOT"/>
    <n v="170290"/>
    <n v="847"/>
    <n v="25"/>
    <n v="0"/>
    <n v="25"/>
    <s v="kg"/>
    <n v="25"/>
    <s v="kg"/>
    <n v="1.4429559760252854E-3"/>
    <n v="5"/>
    <x v="0"/>
    <n v="0"/>
    <n v="0"/>
    <n v="0"/>
    <n v="6.2244850394839587E-3"/>
    <n v="487"/>
    <n v="33.880000000000003"/>
    <n v="34"/>
    <x v="0"/>
    <s v="No"/>
    <n v="12365742.6"/>
    <n v="11733206"/>
    <n v="0.25769345655074266"/>
    <n v="20"/>
    <x v="0"/>
    <n v="3989290.0400000005"/>
    <n v="241"/>
    <x v="0"/>
    <x v="0"/>
    <n v="11733206"/>
    <n v="1"/>
    <n v="1"/>
    <s v="Highly Concentrated"/>
    <n v="11733206"/>
    <s v="Routine Market"/>
    <x v="0"/>
    <s v="Yes"/>
  </r>
  <r>
    <x v="22"/>
    <x v="22"/>
    <s v="Other sugars incl. caramel"/>
    <x v="22"/>
    <x v="3"/>
    <x v="13"/>
    <s v="Caramel Color (Class I-IV)"/>
    <s v="Beverages / Sauces"/>
    <x v="12"/>
    <x v="0"/>
    <x v="0"/>
    <s v="X"/>
    <x v="12"/>
    <s v="Egypt"/>
    <s v="World"/>
    <s v="TOTAL CPC"/>
    <s v="TOTAL MOT"/>
    <n v="170290"/>
    <n v="34384"/>
    <n v="14162"/>
    <n v="0"/>
    <n v="14162"/>
    <s v="kg"/>
    <n v="14162"/>
    <s v="kg"/>
    <n v="1.4561232389604124E-2"/>
    <n v="23"/>
    <x v="0"/>
    <n v="0"/>
    <n v="0"/>
    <n v="0"/>
    <n v="6.2244850394839587E-3"/>
    <n v="346"/>
    <n v="2.4279056630419431"/>
    <n v="34"/>
    <x v="0"/>
    <s v="No"/>
    <n v="12365742.6"/>
    <n v="11733206"/>
    <n v="0.25769345655074266"/>
    <n v="20"/>
    <x v="0"/>
    <n v="3989290.0400000005"/>
    <n v="241"/>
    <x v="0"/>
    <x v="0"/>
    <n v="11733206"/>
    <n v="1"/>
    <n v="1"/>
    <s v="Highly Concentrated"/>
    <n v="11733206"/>
    <s v="Routine Market"/>
    <x v="0"/>
    <s v="No"/>
  </r>
  <r>
    <x v="22"/>
    <x v="22"/>
    <s v="Other sugars incl. caramel"/>
    <x v="22"/>
    <x v="3"/>
    <x v="13"/>
    <s v="Caramel Color (Class I-IV)"/>
    <s v="Beverages / Sauces"/>
    <x v="13"/>
    <x v="0"/>
    <x v="0"/>
    <s v="X"/>
    <x v="13"/>
    <s v="Egypt"/>
    <s v="World"/>
    <s v="TOTAL CPC"/>
    <s v="TOTAL MOT"/>
    <n v="170290"/>
    <n v="17"/>
    <n v="2"/>
    <n v="0"/>
    <n v="2"/>
    <s v="kg"/>
    <n v="2"/>
    <s v="kg"/>
    <n v="6.3855771678493602E-3"/>
    <n v="11"/>
    <x v="1"/>
    <n v="0.06"/>
    <n v="1.02"/>
    <n v="0.12"/>
    <n v="6.2244850394839587E-3"/>
    <n v="531"/>
    <n v="8.5"/>
    <n v="34"/>
    <x v="0"/>
    <s v="No"/>
    <n v="12365742.6"/>
    <n v="11733206"/>
    <n v="0.25769345655074266"/>
    <n v="20"/>
    <x v="0"/>
    <n v="3989290.0400000005"/>
    <n v="241"/>
    <x v="0"/>
    <x v="0"/>
    <n v="11733206"/>
    <n v="1"/>
    <n v="1"/>
    <s v="Highly Concentrated"/>
    <n v="11733206"/>
    <s v="Routine Market"/>
    <x v="0"/>
    <s v="No"/>
  </r>
  <r>
    <x v="22"/>
    <x v="22"/>
    <s v="Other sugars incl. caramel"/>
    <x v="22"/>
    <x v="3"/>
    <x v="13"/>
    <s v="Caramel Color (Class I-IV)"/>
    <s v="Beverages / Sauces"/>
    <x v="14"/>
    <x v="1"/>
    <x v="0"/>
    <s v="X"/>
    <x v="14"/>
    <s v="Egypt"/>
    <s v="World"/>
    <s v="TOTAL CPC"/>
    <s v="TOTAL MOT"/>
    <n v="170290"/>
    <n v="26510"/>
    <n v="47775"/>
    <n v="0"/>
    <n v="47775"/>
    <s v="kg"/>
    <n v="47775"/>
    <s v="kg"/>
    <n v="9.709938116315122E-3"/>
    <n v="9"/>
    <x v="0"/>
    <n v="0"/>
    <n v="0"/>
    <n v="0"/>
    <n v="6.2244850394839587E-3"/>
    <n v="364"/>
    <n v="0.55489272632129771"/>
    <n v="34"/>
    <x v="0"/>
    <s v="No"/>
    <n v="12365742.6"/>
    <n v="11733206"/>
    <n v="0.25769345655074266"/>
    <n v="20"/>
    <x v="0"/>
    <n v="3989290.0400000005"/>
    <n v="241"/>
    <x v="0"/>
    <x v="0"/>
    <n v="11733206"/>
    <n v="1"/>
    <n v="1"/>
    <s v="Highly Concentrated"/>
    <n v="11733206"/>
    <s v="Routine Market"/>
    <x v="0"/>
    <s v="Yes"/>
  </r>
  <r>
    <x v="22"/>
    <x v="22"/>
    <s v="Other sugars incl. caramel"/>
    <x v="22"/>
    <x v="3"/>
    <x v="13"/>
    <s v="Caramel Color (Class I-IV)"/>
    <s v="Beverages / Sauces"/>
    <x v="15"/>
    <x v="0"/>
    <x v="0"/>
    <s v="X"/>
    <x v="15"/>
    <s v="Egypt"/>
    <s v="World"/>
    <s v="TOTAL CPC"/>
    <s v="TOTAL MOT"/>
    <n v="170290"/>
    <n v="572542"/>
    <n v="792450"/>
    <n v="0"/>
    <n v="792450"/>
    <s v="kg"/>
    <n v="792450"/>
    <s v="kg"/>
    <n v="2.2441761060335613E-2"/>
    <n v="15"/>
    <x v="0"/>
    <n v="0"/>
    <n v="0"/>
    <n v="0"/>
    <n v="6.2244850394839587E-3"/>
    <n v="139"/>
    <n v="0.72249605653353521"/>
    <n v="34"/>
    <x v="0"/>
    <s v="No"/>
    <n v="12365742.6"/>
    <n v="11733206"/>
    <n v="0.25769345655074266"/>
    <n v="20"/>
    <x v="0"/>
    <n v="3989290.0400000005"/>
    <n v="241"/>
    <x v="0"/>
    <x v="0"/>
    <n v="11733206"/>
    <n v="1"/>
    <n v="1"/>
    <s v="Highly Concentrated"/>
    <n v="11733206"/>
    <s v="Routine Market"/>
    <x v="0"/>
    <s v="No"/>
  </r>
  <r>
    <x v="22"/>
    <x v="22"/>
    <s v="Other sugars incl. caramel"/>
    <x v="22"/>
    <x v="3"/>
    <x v="13"/>
    <s v="Caramel Color (Class I-IV)"/>
    <s v="Beverages / Sauces"/>
    <x v="45"/>
    <x v="0"/>
    <x v="0"/>
    <s v="X"/>
    <x v="45"/>
    <s v="Egypt"/>
    <s v="World"/>
    <s v="TOTAL CPC"/>
    <s v="TOTAL MOT"/>
    <n v="170290"/>
    <n v="549822"/>
    <n v="585750"/>
    <n v="0"/>
    <n v="585750"/>
    <s v="kg"/>
    <n v="585750"/>
    <s v="kg"/>
    <n v="3.4112051281327349E-4"/>
    <n v="1"/>
    <x v="0"/>
    <n v="0"/>
    <n v="0"/>
    <n v="0"/>
    <n v="6.2244850394839587E-3"/>
    <n v="141"/>
    <n v="0.93866325224071701"/>
    <n v="34"/>
    <x v="0"/>
    <s v="No"/>
    <n v="12365742.6"/>
    <n v="11733206"/>
    <n v="0.25769345655074266"/>
    <n v="20"/>
    <x v="0"/>
    <n v="3989290.0400000005"/>
    <n v="241"/>
    <x v="0"/>
    <x v="0"/>
    <n v="11733206"/>
    <n v="1"/>
    <n v="1"/>
    <s v="Highly Concentrated"/>
    <n v="11733206"/>
    <s v="Routine Market"/>
    <x v="0"/>
    <s v="Yes"/>
  </r>
  <r>
    <x v="22"/>
    <x v="22"/>
    <s v="Other sugars incl. caramel"/>
    <x v="22"/>
    <x v="3"/>
    <x v="13"/>
    <s v="Caramel Color (Class I-IV)"/>
    <s v="Beverages / Sauces"/>
    <x v="20"/>
    <x v="1"/>
    <x v="0"/>
    <s v="X"/>
    <x v="20"/>
    <s v="Egypt"/>
    <s v="World"/>
    <s v="TOTAL CPC"/>
    <s v="TOTAL MOT"/>
    <n v="170290"/>
    <n v="1002413"/>
    <n v="589050"/>
    <n v="0"/>
    <n v="589050"/>
    <s v="kg"/>
    <n v="589050"/>
    <s v="kg"/>
    <n v="6.110186869383482E-3"/>
    <n v="5"/>
    <x v="0"/>
    <n v="0"/>
    <n v="0"/>
    <n v="0"/>
    <n v="6.2244850394839587E-3"/>
    <n v="108"/>
    <n v="1.7017451829216534"/>
    <n v="34"/>
    <x v="0"/>
    <s v="No"/>
    <n v="12365742.6"/>
    <n v="11733206"/>
    <n v="0.25769345655074266"/>
    <n v="20"/>
    <x v="0"/>
    <n v="3989290.0400000005"/>
    <n v="241"/>
    <x v="0"/>
    <x v="0"/>
    <n v="11733206"/>
    <n v="1"/>
    <n v="1"/>
    <s v="Highly Concentrated"/>
    <n v="11733206"/>
    <s v="Routine Market"/>
    <x v="0"/>
    <s v="Yes"/>
  </r>
  <r>
    <x v="22"/>
    <x v="22"/>
    <s v="Other sugars incl. caramel"/>
    <x v="22"/>
    <x v="3"/>
    <x v="13"/>
    <s v="Caramel Color (Class I-IV)"/>
    <s v="Beverages / Sauces"/>
    <x v="17"/>
    <x v="0"/>
    <x v="0"/>
    <s v="X"/>
    <x v="17"/>
    <s v="Egypt"/>
    <s v="World"/>
    <s v="TOTAL CPC"/>
    <s v="TOTAL MOT"/>
    <n v="170290"/>
    <n v="725205"/>
    <n v="933590"/>
    <n v="0"/>
    <n v="933590"/>
    <s v="kg"/>
    <n v="933590"/>
    <s v="kg"/>
    <n v="4.7522902002533667E-2"/>
    <n v="12"/>
    <x v="1"/>
    <n v="0.1"/>
    <n v="72520.5"/>
    <n v="93359"/>
    <n v="6.2244850394839587E-3"/>
    <n v="122"/>
    <n v="0.77679173941451818"/>
    <n v="34"/>
    <x v="0"/>
    <s v="No"/>
    <n v="12365742.6"/>
    <n v="11733206"/>
    <n v="0.25769345655074266"/>
    <n v="20"/>
    <x v="0"/>
    <n v="3989290.0400000005"/>
    <n v="241"/>
    <x v="0"/>
    <x v="0"/>
    <n v="11733206"/>
    <n v="1"/>
    <n v="1"/>
    <s v="Highly Concentrated"/>
    <n v="11733206"/>
    <s v="Routine Market"/>
    <x v="0"/>
    <s v="No"/>
  </r>
  <r>
    <x v="22"/>
    <x v="22"/>
    <s v="Other sugars incl. caramel"/>
    <x v="22"/>
    <x v="3"/>
    <x v="13"/>
    <s v="Caramel Color (Class I-IV)"/>
    <s v="Beverages / Sauces"/>
    <x v="32"/>
    <x v="1"/>
    <x v="0"/>
    <s v="X"/>
    <x v="32"/>
    <s v="Egypt"/>
    <s v="World"/>
    <s v="TOTAL CPC"/>
    <s v="TOTAL MOT"/>
    <n v="170290"/>
    <n v="80850"/>
    <n v="110000"/>
    <n v="0"/>
    <n v="110000"/>
    <s v="kg"/>
    <n v="110000"/>
    <s v="kg"/>
    <n v="7.6648679233989533E-2"/>
    <n v="6"/>
    <x v="1"/>
    <n v="0.44999999999999996"/>
    <n v="36382.5"/>
    <n v="49499.999999999993"/>
    <n v="6.2244850394839587E-3"/>
    <n v="292"/>
    <n v="0.73499999999999999"/>
    <n v="34"/>
    <x v="0"/>
    <s v="No"/>
    <n v="12365742.6"/>
    <n v="11733206"/>
    <n v="0.25769345655074266"/>
    <n v="20"/>
    <x v="0"/>
    <n v="3989290.0400000005"/>
    <n v="241"/>
    <x v="0"/>
    <x v="0"/>
    <n v="11733206"/>
    <n v="1"/>
    <n v="1"/>
    <s v="Highly Concentrated"/>
    <n v="11733206"/>
    <s v="Routine Market"/>
    <x v="0"/>
    <s v="Yes"/>
  </r>
  <r>
    <x v="22"/>
    <x v="22"/>
    <s v="Other sugars incl. caramel"/>
    <x v="22"/>
    <x v="3"/>
    <x v="13"/>
    <s v="Caramel Color (Class I-IV)"/>
    <s v="Beverages / Sauces"/>
    <x v="21"/>
    <x v="0"/>
    <x v="0"/>
    <s v="X"/>
    <x v="21"/>
    <s v="Egypt"/>
    <s v="World"/>
    <s v="TOTAL CPC"/>
    <s v="TOTAL MOT"/>
    <n v="170290"/>
    <n v="758891"/>
    <n v="307382"/>
    <n v="0"/>
    <n v="307382"/>
    <s v="kg"/>
    <n v="307382"/>
    <s v="kg"/>
    <n v="1.3104801671892474E-3"/>
    <n v="1"/>
    <x v="0"/>
    <n v="0"/>
    <n v="0"/>
    <n v="0"/>
    <n v="6.2244850394839587E-3"/>
    <n v="116"/>
    <n v="2.4688856211489285"/>
    <n v="34"/>
    <x v="0"/>
    <s v="No"/>
    <n v="12365742.6"/>
    <n v="11733206"/>
    <n v="0.25769345655074266"/>
    <n v="20"/>
    <x v="0"/>
    <n v="3989290.0400000005"/>
    <n v="241"/>
    <x v="0"/>
    <x v="0"/>
    <n v="11733206"/>
    <n v="1"/>
    <n v="1"/>
    <s v="Highly Concentrated"/>
    <n v="11733206"/>
    <s v="Routine Market"/>
    <x v="0"/>
    <s v="Yes"/>
  </r>
  <r>
    <x v="22"/>
    <x v="22"/>
    <s v="Other sugars incl. caramel"/>
    <x v="22"/>
    <x v="3"/>
    <x v="13"/>
    <s v="Caramel Color (Class I-IV)"/>
    <s v="Beverages / Sauces"/>
    <x v="18"/>
    <x v="0"/>
    <x v="0"/>
    <s v="X"/>
    <x v="18"/>
    <s v="Egypt"/>
    <s v="World"/>
    <s v="TOTAL CPC"/>
    <s v="TOTAL MOT"/>
    <n v="170290"/>
    <n v="17016"/>
    <n v="3062"/>
    <n v="0"/>
    <n v="3062"/>
    <s v="kg"/>
    <n v="3062"/>
    <s v="kg"/>
    <n v="9.425427433633813E-3"/>
    <n v="21"/>
    <x v="1"/>
    <n v="4.0000000000000008E-2"/>
    <n v="680.6400000000001"/>
    <n v="122.48000000000002"/>
    <n v="6.2244850394839587E-3"/>
    <n v="388"/>
    <n v="5.5571521881123447"/>
    <n v="34"/>
    <x v="0"/>
    <s v="No"/>
    <n v="12365742.6"/>
    <n v="11733206"/>
    <n v="0.25769345655074266"/>
    <n v="20"/>
    <x v="0"/>
    <n v="3989290.0400000005"/>
    <n v="241"/>
    <x v="0"/>
    <x v="0"/>
    <n v="11733206"/>
    <n v="1"/>
    <n v="1"/>
    <s v="Highly Concentrated"/>
    <n v="11733206"/>
    <s v="Routine Market"/>
    <x v="0"/>
    <s v="No"/>
  </r>
  <r>
    <x v="23"/>
    <x v="23"/>
    <s v="Synthetic organic coloring matter"/>
    <x v="23"/>
    <x v="3"/>
    <x v="13"/>
    <s v="Synthetic / Nature-Identical Colors"/>
    <s v="Beverages / Dairy"/>
    <x v="1"/>
    <x v="1"/>
    <x v="0"/>
    <s v="X"/>
    <x v="1"/>
    <s v="Egypt"/>
    <s v="World"/>
    <s v="TOTAL CPC"/>
    <s v="TOTAL MOT"/>
    <n v="320419"/>
    <n v="574786"/>
    <n v="63854.1"/>
    <n v="0"/>
    <n v="63854"/>
    <s v="kg"/>
    <n v="63854"/>
    <s v="kg"/>
    <n v="5.3992075088500962E-3"/>
    <n v="5"/>
    <x v="0"/>
    <n v="0"/>
    <n v="0"/>
    <n v="0"/>
    <n v="7.9111635490056037E-3"/>
    <n v="138"/>
    <n v="9.0015519755191917"/>
    <n v="34"/>
    <x v="0"/>
    <s v="No"/>
    <n v="6791623.4000000004"/>
    <n v="14912609"/>
    <n v="6.321329281187793E-2"/>
    <n v="20"/>
    <x v="0"/>
    <n v="5070287.0600000005"/>
    <n v="161"/>
    <x v="0"/>
    <x v="0"/>
    <n v="14912609"/>
    <n v="1"/>
    <n v="1"/>
    <s v="Highly Concentrated"/>
    <n v="14912609"/>
    <s v="Medium Opportunity"/>
    <x v="0"/>
    <s v="Yes"/>
  </r>
  <r>
    <x v="23"/>
    <x v="23"/>
    <s v="Synthetic organic coloring matter"/>
    <x v="23"/>
    <x v="3"/>
    <x v="13"/>
    <s v="Synthetic / Nature-Identical Colors"/>
    <s v="Beverages / Dairy"/>
    <x v="3"/>
    <x v="0"/>
    <x v="0"/>
    <s v="X"/>
    <x v="3"/>
    <s v="Egypt"/>
    <s v="World"/>
    <s v="TOTAL CPC"/>
    <s v="TOTAL MOT"/>
    <n v="320419"/>
    <n v="1162152"/>
    <n v="886155"/>
    <n v="0"/>
    <n v="886155"/>
    <s v="kg"/>
    <n v="886155"/>
    <s v="kg"/>
    <n v="6.321329281187793E-2"/>
    <n v="20"/>
    <x v="1"/>
    <n v="0.14000000000000001"/>
    <n v="162701.28000000003"/>
    <n v="124061.70000000001"/>
    <n v="7.9111635490056037E-3"/>
    <n v="97"/>
    <n v="1.311454542376898"/>
    <n v="34"/>
    <x v="0"/>
    <s v="No"/>
    <n v="6791623.4000000004"/>
    <n v="14912609"/>
    <n v="6.321329281187793E-2"/>
    <n v="20"/>
    <x v="0"/>
    <n v="5070287.0600000005"/>
    <n v="161"/>
    <x v="0"/>
    <x v="0"/>
    <n v="14912609"/>
    <n v="1"/>
    <n v="1"/>
    <s v="Highly Concentrated"/>
    <n v="14912609"/>
    <s v="Medium Opportunity"/>
    <x v="0"/>
    <s v="No"/>
  </r>
  <r>
    <x v="23"/>
    <x v="23"/>
    <s v="Synthetic organic coloring matter"/>
    <x v="23"/>
    <x v="3"/>
    <x v="13"/>
    <s v="Synthetic / Nature-Identical Colors"/>
    <s v="Beverages / Dairy"/>
    <x v="25"/>
    <x v="1"/>
    <x v="0"/>
    <s v="X"/>
    <x v="25"/>
    <s v="Egypt"/>
    <s v="World"/>
    <s v="TOTAL CPC"/>
    <s v="TOTAL MOT"/>
    <n v="320419"/>
    <n v="15864"/>
    <n v="2100"/>
    <n v="0"/>
    <n v="2100"/>
    <s v="kg"/>
    <n v="2100"/>
    <s v="kg"/>
    <n v="4.2641562768795568E-4"/>
    <n v="5"/>
    <x v="0"/>
    <n v="0"/>
    <n v="0"/>
    <n v="0"/>
    <n v="7.9111635490056037E-3"/>
    <n v="390"/>
    <n v="7.5542857142857143"/>
    <n v="34"/>
    <x v="0"/>
    <s v="No"/>
    <n v="6791623.4000000004"/>
    <n v="14912609"/>
    <n v="6.321329281187793E-2"/>
    <n v="20"/>
    <x v="0"/>
    <n v="5070287.0600000005"/>
    <n v="161"/>
    <x v="0"/>
    <x v="0"/>
    <n v="14912609"/>
    <n v="1"/>
    <n v="1"/>
    <s v="Highly Concentrated"/>
    <n v="14912609"/>
    <s v="Medium Opportunity"/>
    <x v="0"/>
    <s v="Yes"/>
  </r>
  <r>
    <x v="23"/>
    <x v="23"/>
    <s v="Synthetic organic coloring matter"/>
    <x v="23"/>
    <x v="3"/>
    <x v="13"/>
    <s v="Synthetic / Nature-Identical Colors"/>
    <s v="Beverages / Dairy"/>
    <x v="5"/>
    <x v="1"/>
    <x v="0"/>
    <s v="X"/>
    <x v="5"/>
    <s v="Egypt"/>
    <s v="World"/>
    <s v="TOTAL CPC"/>
    <s v="TOTAL MOT"/>
    <n v="320419"/>
    <n v="160526"/>
    <n v="4411"/>
    <n v="0"/>
    <n v="4411"/>
    <s v="kg"/>
    <n v="4411"/>
    <s v="kg"/>
    <n v="4.8573207719329804E-4"/>
    <n v="3"/>
    <x v="0"/>
    <n v="0"/>
    <n v="0"/>
    <n v="0"/>
    <n v="7.9111635490056037E-3"/>
    <n v="237"/>
    <n v="36.392201314894585"/>
    <n v="34"/>
    <x v="0"/>
    <s v="No"/>
    <n v="6791623.4000000004"/>
    <n v="14912609"/>
    <n v="6.321329281187793E-2"/>
    <n v="20"/>
    <x v="0"/>
    <n v="5070287.0600000005"/>
    <n v="161"/>
    <x v="0"/>
    <x v="0"/>
    <n v="14912609"/>
    <n v="1"/>
    <n v="1"/>
    <s v="Highly Concentrated"/>
    <n v="14912609"/>
    <s v="Medium Opportunity"/>
    <x v="0"/>
    <s v="Yes"/>
  </r>
  <r>
    <x v="23"/>
    <x v="23"/>
    <s v="Synthetic organic coloring matter"/>
    <x v="23"/>
    <x v="3"/>
    <x v="13"/>
    <s v="Synthetic / Nature-Identical Colors"/>
    <s v="Beverages / Dairy"/>
    <x v="6"/>
    <x v="0"/>
    <x v="0"/>
    <s v="X"/>
    <x v="6"/>
    <s v="Egypt"/>
    <s v="World"/>
    <s v="TOTAL CPC"/>
    <s v="TOTAL MOT"/>
    <n v="320419"/>
    <n v="26282"/>
    <n v="168"/>
    <n v="0"/>
    <n v="168"/>
    <s v="kg"/>
    <n v="168"/>
    <s v="kg"/>
    <n v="1.6951290293147386E-2"/>
    <n v="24"/>
    <x v="0"/>
    <n v="0"/>
    <n v="0"/>
    <n v="0"/>
    <n v="7.9111635490056037E-3"/>
    <n v="366"/>
    <n v="156.4404761904762"/>
    <n v="34"/>
    <x v="0"/>
    <s v="No"/>
    <n v="6791623.4000000004"/>
    <n v="14912609"/>
    <n v="6.321329281187793E-2"/>
    <n v="20"/>
    <x v="0"/>
    <n v="5070287.0600000005"/>
    <n v="161"/>
    <x v="0"/>
    <x v="0"/>
    <n v="14912609"/>
    <n v="1"/>
    <n v="1"/>
    <s v="Highly Concentrated"/>
    <n v="14912609"/>
    <s v="Medium Opportunity"/>
    <x v="0"/>
    <s v="No"/>
  </r>
  <r>
    <x v="23"/>
    <x v="23"/>
    <s v="Synthetic organic coloring matter"/>
    <x v="23"/>
    <x v="3"/>
    <x v="13"/>
    <s v="Synthetic / Nature-Identical Colors"/>
    <s v="Beverages / Dairy"/>
    <x v="7"/>
    <x v="0"/>
    <x v="0"/>
    <s v="X"/>
    <x v="7"/>
    <s v="Egypt"/>
    <s v="World"/>
    <s v="TOTAL CPC"/>
    <s v="TOTAL MOT"/>
    <n v="320419"/>
    <n v="153610"/>
    <n v="10663.3"/>
    <n v="0"/>
    <n v="10663"/>
    <s v="kg"/>
    <n v="0"/>
    <s v="N/A"/>
    <n v="1.1674623358397021E-2"/>
    <n v="18"/>
    <x v="0"/>
    <n v="0"/>
    <n v="0"/>
    <n v="0"/>
    <n v="7.9111635490056037E-3"/>
    <n v="245"/>
    <n v="14.405484230960397"/>
    <n v="34"/>
    <x v="0"/>
    <s v="No"/>
    <n v="6791623.4000000004"/>
    <n v="14912609"/>
    <n v="6.321329281187793E-2"/>
    <n v="20"/>
    <x v="0"/>
    <n v="5070287.0600000005"/>
    <n v="161"/>
    <x v="0"/>
    <x v="0"/>
    <n v="14912609"/>
    <n v="1"/>
    <n v="1"/>
    <s v="Highly Concentrated"/>
    <n v="14912609"/>
    <s v="Medium Opportunity"/>
    <x v="0"/>
    <s v="No"/>
  </r>
  <r>
    <x v="23"/>
    <x v="23"/>
    <s v="Synthetic organic coloring matter"/>
    <x v="23"/>
    <x v="3"/>
    <x v="13"/>
    <s v="Synthetic / Nature-Identical Colors"/>
    <s v="Beverages / Dairy"/>
    <x v="33"/>
    <x v="0"/>
    <x v="0"/>
    <s v="X"/>
    <x v="33"/>
    <s v="Egypt"/>
    <s v="World"/>
    <s v="TOTAL CPC"/>
    <s v="TOTAL MOT"/>
    <n v="320419"/>
    <n v="1177657"/>
    <n v="401042"/>
    <n v="0"/>
    <n v="401042"/>
    <s v="kg"/>
    <n v="401042"/>
    <s v="kg"/>
    <n v="7.8962835084717131E-4"/>
    <n v="1"/>
    <x v="0"/>
    <n v="0"/>
    <n v="0"/>
    <n v="0"/>
    <n v="7.9111635490056037E-3"/>
    <n v="95"/>
    <n v="2.9364929359019754"/>
    <n v="34"/>
    <x v="0"/>
    <s v="No"/>
    <n v="6791623.4000000004"/>
    <n v="14912609"/>
    <n v="6.321329281187793E-2"/>
    <n v="20"/>
    <x v="0"/>
    <n v="5070287.0600000005"/>
    <n v="161"/>
    <x v="0"/>
    <x v="0"/>
    <n v="14912609"/>
    <n v="1"/>
    <n v="1"/>
    <s v="Highly Concentrated"/>
    <n v="14912609"/>
    <s v="Medium Opportunity"/>
    <x v="0"/>
    <s v="Yes"/>
  </r>
  <r>
    <x v="23"/>
    <x v="23"/>
    <s v="Synthetic organic coloring matter"/>
    <x v="23"/>
    <x v="3"/>
    <x v="13"/>
    <s v="Synthetic / Nature-Identical Colors"/>
    <s v="Beverages / Dairy"/>
    <x v="8"/>
    <x v="0"/>
    <x v="0"/>
    <s v="X"/>
    <x v="8"/>
    <s v="Egypt"/>
    <s v="World"/>
    <s v="TOTAL CPC"/>
    <s v="TOTAL MOT"/>
    <n v="320419"/>
    <n v="253034"/>
    <n v="8402"/>
    <n v="0"/>
    <n v="8402"/>
    <s v="kg"/>
    <n v="8402"/>
    <s v="kg"/>
    <n v="4.9588465845200368E-3"/>
    <n v="11"/>
    <x v="0"/>
    <n v="0"/>
    <n v="0"/>
    <n v="0"/>
    <n v="7.9111635490056037E-3"/>
    <n v="201"/>
    <n v="30.115924779814328"/>
    <n v="34"/>
    <x v="0"/>
    <s v="No"/>
    <n v="6791623.4000000004"/>
    <n v="14912609"/>
    <n v="6.321329281187793E-2"/>
    <n v="20"/>
    <x v="0"/>
    <n v="5070287.0600000005"/>
    <n v="161"/>
    <x v="0"/>
    <x v="0"/>
    <n v="14912609"/>
    <n v="1"/>
    <n v="1"/>
    <s v="Highly Concentrated"/>
    <n v="14912609"/>
    <s v="Medium Opportunity"/>
    <x v="0"/>
    <s v="No"/>
  </r>
  <r>
    <x v="23"/>
    <x v="23"/>
    <s v="Synthetic organic coloring matter"/>
    <x v="23"/>
    <x v="3"/>
    <x v="13"/>
    <s v="Synthetic / Nature-Identical Colors"/>
    <s v="Beverages / Dairy"/>
    <x v="9"/>
    <x v="1"/>
    <x v="0"/>
    <s v="X"/>
    <x v="9"/>
    <s v="Egypt"/>
    <s v="World"/>
    <s v="TOTAL CPC"/>
    <s v="TOTAL MOT"/>
    <n v="320419"/>
    <n v="594756"/>
    <n v="59550"/>
    <n v="0"/>
    <n v="59550"/>
    <s v="kg"/>
    <n v="59550"/>
    <s v="kg"/>
    <n v="1.1178535358665947E-2"/>
    <n v="6"/>
    <x v="0"/>
    <n v="0"/>
    <n v="0"/>
    <n v="0"/>
    <n v="7.9111635490056037E-3"/>
    <n v="133"/>
    <n v="9.9875062972292188"/>
    <n v="34"/>
    <x v="0"/>
    <s v="No"/>
    <n v="6791623.4000000004"/>
    <n v="14912609"/>
    <n v="6.321329281187793E-2"/>
    <n v="20"/>
    <x v="0"/>
    <n v="5070287.0600000005"/>
    <n v="161"/>
    <x v="0"/>
    <x v="0"/>
    <n v="14912609"/>
    <n v="1"/>
    <n v="1"/>
    <s v="Highly Concentrated"/>
    <n v="14912609"/>
    <s v="Medium Opportunity"/>
    <x v="0"/>
    <s v="Yes"/>
  </r>
  <r>
    <x v="23"/>
    <x v="23"/>
    <s v="Synthetic organic coloring matter"/>
    <x v="23"/>
    <x v="3"/>
    <x v="13"/>
    <s v="Synthetic / Nature-Identical Colors"/>
    <s v="Beverages / Dairy"/>
    <x v="42"/>
    <x v="1"/>
    <x v="0"/>
    <s v="X"/>
    <x v="42"/>
    <s v="Egypt"/>
    <s v="World"/>
    <s v="TOTAL CPC"/>
    <s v="TOTAL MOT"/>
    <n v="320419"/>
    <n v="716"/>
    <n v="30"/>
    <n v="0"/>
    <n v="30"/>
    <s v="kg"/>
    <n v="30"/>
    <s v="kg"/>
    <n v="2.8246411344990648E-3"/>
    <n v="3"/>
    <x v="0"/>
    <n v="0"/>
    <n v="0"/>
    <n v="0"/>
    <n v="7.9111635490056037E-3"/>
    <n v="490"/>
    <n v="23.866666666666667"/>
    <n v="34"/>
    <x v="0"/>
    <s v="No"/>
    <n v="6791623.4000000004"/>
    <n v="14912609"/>
    <n v="6.321329281187793E-2"/>
    <n v="20"/>
    <x v="0"/>
    <n v="5070287.0600000005"/>
    <n v="161"/>
    <x v="0"/>
    <x v="0"/>
    <n v="14912609"/>
    <n v="1"/>
    <n v="1"/>
    <s v="Highly Concentrated"/>
    <n v="14912609"/>
    <s v="Medium Opportunity"/>
    <x v="0"/>
    <s v="Yes"/>
  </r>
  <r>
    <x v="23"/>
    <x v="23"/>
    <s v="Synthetic organic coloring matter"/>
    <x v="23"/>
    <x v="3"/>
    <x v="13"/>
    <s v="Synthetic / Nature-Identical Colors"/>
    <s v="Beverages / Dairy"/>
    <x v="46"/>
    <x v="0"/>
    <x v="0"/>
    <s v="X"/>
    <x v="46"/>
    <s v="Egypt"/>
    <s v="World"/>
    <s v="TOTAL CPC"/>
    <s v="TOTAL MOT"/>
    <n v="320419"/>
    <n v="35473"/>
    <n v="883"/>
    <n v="0"/>
    <n v="883"/>
    <s v="kg"/>
    <n v="883"/>
    <s v="kg"/>
    <n v="1.9736783059034436E-5"/>
    <n v="1"/>
    <x v="0"/>
    <n v="0"/>
    <n v="0"/>
    <n v="0"/>
    <n v="7.9111635490056037E-3"/>
    <n v="342"/>
    <n v="40.173272933182332"/>
    <n v="34"/>
    <x v="0"/>
    <s v="No"/>
    <n v="6791623.4000000004"/>
    <n v="14912609"/>
    <n v="6.321329281187793E-2"/>
    <n v="20"/>
    <x v="0"/>
    <n v="5070287.0600000005"/>
    <n v="161"/>
    <x v="0"/>
    <x v="0"/>
    <n v="14912609"/>
    <n v="1"/>
    <n v="1"/>
    <s v="Highly Concentrated"/>
    <n v="14912609"/>
    <s v="Medium Opportunity"/>
    <x v="0"/>
    <s v="Yes"/>
  </r>
  <r>
    <x v="23"/>
    <x v="23"/>
    <s v="Synthetic organic coloring matter"/>
    <x v="23"/>
    <x v="3"/>
    <x v="13"/>
    <s v="Synthetic / Nature-Identical Colors"/>
    <s v="Beverages / Dairy"/>
    <x v="19"/>
    <x v="1"/>
    <x v="0"/>
    <s v="X"/>
    <x v="19"/>
    <s v="Egypt"/>
    <s v="World"/>
    <s v="TOTAL CPC"/>
    <s v="TOTAL MOT"/>
    <n v="320419"/>
    <n v="336227"/>
    <n v="187240"/>
    <n v="0"/>
    <n v="187240"/>
    <s v="kg"/>
    <n v="187240"/>
    <s v="kg"/>
    <n v="1.4429559760252854E-3"/>
    <n v="3"/>
    <x v="0"/>
    <n v="0"/>
    <n v="0"/>
    <n v="0"/>
    <n v="7.9111635490056037E-3"/>
    <n v="179"/>
    <n v="1.7957007049775688"/>
    <n v="34"/>
    <x v="0"/>
    <s v="No"/>
    <n v="6791623.4000000004"/>
    <n v="14912609"/>
    <n v="6.321329281187793E-2"/>
    <n v="20"/>
    <x v="0"/>
    <n v="5070287.0600000005"/>
    <n v="161"/>
    <x v="0"/>
    <x v="0"/>
    <n v="14912609"/>
    <n v="1"/>
    <n v="1"/>
    <s v="Highly Concentrated"/>
    <n v="14912609"/>
    <s v="Medium Opportunity"/>
    <x v="0"/>
    <s v="Yes"/>
  </r>
  <r>
    <x v="23"/>
    <x v="23"/>
    <s v="Synthetic organic coloring matter"/>
    <x v="23"/>
    <x v="3"/>
    <x v="13"/>
    <s v="Synthetic / Nature-Identical Colors"/>
    <s v="Beverages / Dairy"/>
    <x v="12"/>
    <x v="0"/>
    <x v="0"/>
    <s v="X"/>
    <x v="12"/>
    <s v="Egypt"/>
    <s v="World"/>
    <s v="TOTAL CPC"/>
    <s v="TOTAL MOT"/>
    <n v="320419"/>
    <n v="67706"/>
    <n v="2783"/>
    <n v="0"/>
    <n v="2783"/>
    <s v="kg"/>
    <n v="2783"/>
    <s v="kg"/>
    <n v="1.4561232389604124E-2"/>
    <n v="19"/>
    <x v="0"/>
    <n v="0"/>
    <n v="0"/>
    <n v="0"/>
    <n v="7.9111635490056037E-3"/>
    <n v="307"/>
    <n v="24.328422565576716"/>
    <n v="34"/>
    <x v="0"/>
    <s v="No"/>
    <n v="6791623.4000000004"/>
    <n v="14912609"/>
    <n v="6.321329281187793E-2"/>
    <n v="20"/>
    <x v="0"/>
    <n v="5070287.0600000005"/>
    <n v="161"/>
    <x v="0"/>
    <x v="0"/>
    <n v="14912609"/>
    <n v="1"/>
    <n v="1"/>
    <s v="Highly Concentrated"/>
    <n v="14912609"/>
    <s v="Medium Opportunity"/>
    <x v="0"/>
    <s v="No"/>
  </r>
  <r>
    <x v="23"/>
    <x v="23"/>
    <s v="Synthetic organic coloring matter"/>
    <x v="23"/>
    <x v="3"/>
    <x v="13"/>
    <s v="Synthetic / Nature-Identical Colors"/>
    <s v="Beverages / Dairy"/>
    <x v="15"/>
    <x v="1"/>
    <x v="0"/>
    <s v="X"/>
    <x v="15"/>
    <s v="Egypt"/>
    <s v="World"/>
    <s v="TOTAL CPC"/>
    <s v="TOTAL MOT"/>
    <n v="320419"/>
    <n v="5507193"/>
    <n v="1900004"/>
    <n v="0"/>
    <n v="1900004"/>
    <s v="kg"/>
    <n v="1900004"/>
    <s v="kg"/>
    <n v="2.2441761060335613E-2"/>
    <n v="2"/>
    <x v="0"/>
    <n v="0"/>
    <n v="0"/>
    <n v="0"/>
    <n v="7.9111635490056037E-3"/>
    <n v="29"/>
    <n v="2.8985165294388855"/>
    <n v="34"/>
    <x v="0"/>
    <s v="No"/>
    <n v="6791623.4000000004"/>
    <n v="14912609"/>
    <n v="6.321329281187793E-2"/>
    <n v="20"/>
    <x v="0"/>
    <n v="5070287.0600000005"/>
    <n v="161"/>
    <x v="0"/>
    <x v="0"/>
    <n v="14912609"/>
    <n v="1"/>
    <n v="1"/>
    <s v="Highly Concentrated"/>
    <n v="14912609"/>
    <s v="Medium Opportunity"/>
    <x v="0"/>
    <s v="Yes"/>
  </r>
  <r>
    <x v="23"/>
    <x v="23"/>
    <s v="Synthetic organic coloring matter"/>
    <x v="23"/>
    <x v="3"/>
    <x v="13"/>
    <s v="Synthetic / Nature-Identical Colors"/>
    <s v="Beverages / Dairy"/>
    <x v="22"/>
    <x v="1"/>
    <x v="0"/>
    <s v="X"/>
    <x v="22"/>
    <s v="Egypt"/>
    <s v="World"/>
    <s v="TOTAL CPC"/>
    <s v="TOTAL MOT"/>
    <n v="320419"/>
    <n v="9596"/>
    <n v="145"/>
    <n v="0"/>
    <n v="145"/>
    <s v="kg"/>
    <n v="145"/>
    <s v="kg"/>
    <n v="1.3832724193842358E-4"/>
    <n v="3"/>
    <x v="0"/>
    <n v="0"/>
    <n v="0"/>
    <n v="0"/>
    <n v="7.9111635490056037E-3"/>
    <n v="413"/>
    <n v="66.179310344827584"/>
    <n v="34"/>
    <x v="0"/>
    <s v="No"/>
    <n v="6791623.4000000004"/>
    <n v="14912609"/>
    <n v="6.321329281187793E-2"/>
    <n v="20"/>
    <x v="0"/>
    <n v="5070287.0600000005"/>
    <n v="161"/>
    <x v="0"/>
    <x v="0"/>
    <n v="14912609"/>
    <n v="1"/>
    <n v="1"/>
    <s v="Highly Concentrated"/>
    <n v="14912609"/>
    <s v="Medium Opportunity"/>
    <x v="0"/>
    <s v="Yes"/>
  </r>
  <r>
    <x v="23"/>
    <x v="23"/>
    <s v="Synthetic organic coloring matter"/>
    <x v="23"/>
    <x v="3"/>
    <x v="13"/>
    <s v="Synthetic / Nature-Identical Colors"/>
    <s v="Beverages / Dairy"/>
    <x v="20"/>
    <x v="0"/>
    <x v="0"/>
    <s v="X"/>
    <x v="20"/>
    <s v="Egypt"/>
    <s v="World"/>
    <s v="TOTAL CPC"/>
    <s v="TOTAL MOT"/>
    <n v="320419"/>
    <n v="3133368"/>
    <n v="2278100"/>
    <n v="0"/>
    <n v="2278100"/>
    <s v="kg"/>
    <n v="2278100"/>
    <s v="kg"/>
    <n v="6.110186869383482E-3"/>
    <n v="1"/>
    <x v="0"/>
    <n v="0"/>
    <n v="0"/>
    <n v="0"/>
    <n v="7.9111635490056037E-3"/>
    <n v="44"/>
    <n v="1.3754304025284227"/>
    <n v="34"/>
    <x v="0"/>
    <s v="No"/>
    <n v="6791623.4000000004"/>
    <n v="14912609"/>
    <n v="6.321329281187793E-2"/>
    <n v="20"/>
    <x v="0"/>
    <n v="5070287.0600000005"/>
    <n v="161"/>
    <x v="0"/>
    <x v="0"/>
    <n v="14912609"/>
    <n v="1"/>
    <n v="1"/>
    <s v="Highly Concentrated"/>
    <n v="14912609"/>
    <s v="Medium Opportunity"/>
    <x v="0"/>
    <s v="Yes"/>
  </r>
  <r>
    <x v="23"/>
    <x v="23"/>
    <s v="Synthetic organic coloring matter"/>
    <x v="23"/>
    <x v="3"/>
    <x v="13"/>
    <s v="Synthetic / Nature-Identical Colors"/>
    <s v="Beverages / Dairy"/>
    <x v="23"/>
    <x v="1"/>
    <x v="0"/>
    <s v="X"/>
    <x v="23"/>
    <s v="Egypt"/>
    <s v="World"/>
    <s v="TOTAL CPC"/>
    <s v="TOTAL MOT"/>
    <n v="320419"/>
    <n v="65"/>
    <n v="3"/>
    <n v="0"/>
    <n v="3"/>
    <s v="kg"/>
    <n v="3"/>
    <s v="kg"/>
    <n v="1.1630298885271862E-3"/>
    <n v="10"/>
    <x v="0"/>
    <n v="0"/>
    <n v="0"/>
    <n v="0"/>
    <n v="7.9111635490056037E-3"/>
    <n v="523"/>
    <n v="21.666666666666668"/>
    <n v="34"/>
    <x v="0"/>
    <s v="No"/>
    <n v="6791623.4000000004"/>
    <n v="14912609"/>
    <n v="6.321329281187793E-2"/>
    <n v="20"/>
    <x v="0"/>
    <n v="5070287.0600000005"/>
    <n v="161"/>
    <x v="0"/>
    <x v="0"/>
    <n v="14912609"/>
    <n v="1"/>
    <n v="1"/>
    <s v="Highly Concentrated"/>
    <n v="14912609"/>
    <s v="Medium Opportunity"/>
    <x v="0"/>
    <s v="Yes"/>
  </r>
  <r>
    <x v="23"/>
    <x v="23"/>
    <s v="Synthetic organic coloring matter"/>
    <x v="23"/>
    <x v="3"/>
    <x v="13"/>
    <s v="Synthetic / Nature-Identical Colors"/>
    <s v="Beverages / Dairy"/>
    <x v="17"/>
    <x v="0"/>
    <x v="0"/>
    <s v="X"/>
    <x v="17"/>
    <s v="Egypt"/>
    <s v="World"/>
    <s v="TOTAL CPC"/>
    <s v="TOTAL MOT"/>
    <n v="320419"/>
    <n v="1557916"/>
    <n v="979232"/>
    <n v="0"/>
    <n v="979232"/>
    <s v="kg"/>
    <n v="979232"/>
    <s v="kg"/>
    <n v="4.7522902002533667E-2"/>
    <n v="11"/>
    <x v="1"/>
    <n v="0.1"/>
    <n v="155791.6"/>
    <n v="97923.200000000012"/>
    <n v="7.9111635490056037E-3"/>
    <n v="75"/>
    <n v="1.5909569948694486"/>
    <n v="34"/>
    <x v="0"/>
    <s v="No"/>
    <n v="6791623.4000000004"/>
    <n v="14912609"/>
    <n v="6.321329281187793E-2"/>
    <n v="20"/>
    <x v="0"/>
    <n v="5070287.0600000005"/>
    <n v="161"/>
    <x v="0"/>
    <x v="0"/>
    <n v="14912609"/>
    <n v="1"/>
    <n v="1"/>
    <s v="Highly Concentrated"/>
    <n v="14912609"/>
    <s v="Medium Opportunity"/>
    <x v="0"/>
    <s v="No"/>
  </r>
  <r>
    <x v="23"/>
    <x v="23"/>
    <s v="Synthetic organic coloring matter"/>
    <x v="23"/>
    <x v="3"/>
    <x v="13"/>
    <s v="Synthetic / Nature-Identical Colors"/>
    <s v="Beverages / Dairy"/>
    <x v="21"/>
    <x v="1"/>
    <x v="0"/>
    <s v="X"/>
    <x v="21"/>
    <s v="Egypt"/>
    <s v="World"/>
    <s v="TOTAL CPC"/>
    <s v="TOTAL MOT"/>
    <n v="320419"/>
    <n v="138927"/>
    <n v="6677"/>
    <n v="0"/>
    <n v="6677"/>
    <s v="kg"/>
    <n v="6677"/>
    <s v="kg"/>
    <n v="1.3104801671892474E-3"/>
    <n v="5"/>
    <x v="0"/>
    <n v="0"/>
    <n v="0"/>
    <n v="0"/>
    <n v="7.9111635490056037E-3"/>
    <n v="253"/>
    <n v="20.806799460835705"/>
    <n v="34"/>
    <x v="0"/>
    <s v="No"/>
    <n v="6791623.4000000004"/>
    <n v="14912609"/>
    <n v="6.321329281187793E-2"/>
    <n v="20"/>
    <x v="0"/>
    <n v="5070287.0600000005"/>
    <n v="161"/>
    <x v="0"/>
    <x v="0"/>
    <n v="14912609"/>
    <n v="1"/>
    <n v="1"/>
    <s v="Highly Concentrated"/>
    <n v="14912609"/>
    <s v="Medium Opportunity"/>
    <x v="0"/>
    <s v="Yes"/>
  </r>
  <r>
    <x v="23"/>
    <x v="23"/>
    <s v="Synthetic organic coloring matter"/>
    <x v="23"/>
    <x v="3"/>
    <x v="13"/>
    <s v="Synthetic / Nature-Identical Colors"/>
    <s v="Beverages / Dairy"/>
    <x v="18"/>
    <x v="0"/>
    <x v="0"/>
    <s v="X"/>
    <x v="18"/>
    <s v="Egypt"/>
    <s v="World"/>
    <s v="TOTAL CPC"/>
    <s v="TOTAL MOT"/>
    <n v="320419"/>
    <n v="6755"/>
    <n v="181"/>
    <n v="0"/>
    <n v="181"/>
    <s v="kg"/>
    <n v="181"/>
    <s v="kg"/>
    <n v="9.425427433633813E-3"/>
    <n v="23"/>
    <x v="1"/>
    <n v="4.0000000000000008E-2"/>
    <n v="270.20000000000005"/>
    <n v="7.2400000000000011"/>
    <n v="7.9111635490056037E-3"/>
    <n v="426"/>
    <n v="37.320441988950279"/>
    <n v="34"/>
    <x v="0"/>
    <s v="No"/>
    <n v="6791623.4000000004"/>
    <n v="14912609"/>
    <n v="6.321329281187793E-2"/>
    <n v="20"/>
    <x v="0"/>
    <n v="5070287.0600000005"/>
    <n v="161"/>
    <x v="0"/>
    <x v="0"/>
    <n v="14912609"/>
    <n v="1"/>
    <n v="1"/>
    <s v="Highly Concentrated"/>
    <n v="14912609"/>
    <s v="Medium Opportunity"/>
    <x v="0"/>
    <s v="No"/>
  </r>
  <r>
    <x v="24"/>
    <x v="24"/>
    <s v="Vegetable extracts"/>
    <x v="24"/>
    <x v="3"/>
    <x v="13"/>
    <s v="Natural Extract Colors"/>
    <s v="Food Processing / Clean Label"/>
    <x v="1"/>
    <x v="0"/>
    <x v="0"/>
    <s v="X"/>
    <x v="1"/>
    <s v="Egypt"/>
    <s v="World"/>
    <s v="TOTAL CPC"/>
    <s v="TOTAL MOT"/>
    <n v="130219"/>
    <n v="96"/>
    <n v="2.5"/>
    <n v="0"/>
    <n v="3"/>
    <s v="kg"/>
    <n v="3"/>
    <s v="kg"/>
    <n v="5.3992075088500962E-3"/>
    <n v="27"/>
    <x v="0"/>
    <n v="0"/>
    <n v="0"/>
    <n v="0"/>
    <n v="6.6060467534088414E-3"/>
    <n v="518"/>
    <n v="38.4"/>
    <n v="34"/>
    <x v="0"/>
    <s v="No"/>
    <n v="502087.6"/>
    <n v="12452453"/>
    <n v="6.321329281187793E-2"/>
    <n v="20"/>
    <x v="0"/>
    <n v="4233834.0200000005"/>
    <n v="221"/>
    <x v="0"/>
    <x v="0"/>
    <n v="12452453"/>
    <n v="1"/>
    <n v="1"/>
    <s v="Highly Concentrated"/>
    <n v="12452453"/>
    <s v="Routine Market"/>
    <x v="0"/>
    <s v="No"/>
  </r>
  <r>
    <x v="24"/>
    <x v="24"/>
    <s v="Vegetable extracts"/>
    <x v="24"/>
    <x v="3"/>
    <x v="13"/>
    <s v="Natural Extract Colors"/>
    <s v="Food Processing / Clean Label"/>
    <x v="38"/>
    <x v="0"/>
    <x v="0"/>
    <s v="X"/>
    <x v="38"/>
    <s v="Egypt"/>
    <s v="World"/>
    <s v="TOTAL CPC"/>
    <s v="TOTAL MOT"/>
    <n v="130219"/>
    <n v="532939"/>
    <n v="24060.2"/>
    <n v="0"/>
    <n v="24060"/>
    <s v="kg"/>
    <n v="24060"/>
    <s v="kg"/>
    <n v="4.779968327630276E-4"/>
    <n v="1"/>
    <x v="0"/>
    <n v="0"/>
    <n v="0"/>
    <n v="0"/>
    <n v="6.6060467534088414E-3"/>
    <n v="144"/>
    <n v="22.150231502647525"/>
    <n v="34"/>
    <x v="0"/>
    <s v="No"/>
    <n v="502087.6"/>
    <n v="12452453"/>
    <n v="6.321329281187793E-2"/>
    <n v="20"/>
    <x v="0"/>
    <n v="4233834.0200000005"/>
    <n v="221"/>
    <x v="0"/>
    <x v="0"/>
    <n v="12452453"/>
    <n v="1"/>
    <n v="1"/>
    <s v="Highly Concentrated"/>
    <n v="12452453"/>
    <s v="Routine Market"/>
    <x v="0"/>
    <s v="Yes"/>
  </r>
  <r>
    <x v="24"/>
    <x v="24"/>
    <s v="Vegetable extracts"/>
    <x v="24"/>
    <x v="3"/>
    <x v="13"/>
    <s v="Natural Extract Colors"/>
    <s v="Food Processing / Clean Label"/>
    <x v="3"/>
    <x v="1"/>
    <x v="0"/>
    <s v="X"/>
    <x v="3"/>
    <s v="Egypt"/>
    <s v="World"/>
    <s v="TOTAL CPC"/>
    <s v="TOTAL MOT"/>
    <n v="130219"/>
    <n v="4547225"/>
    <n v="175422"/>
    <n v="0"/>
    <n v="175422"/>
    <s v="kg"/>
    <n v="175422"/>
    <s v="kg"/>
    <n v="6.321329281187793E-2"/>
    <n v="9"/>
    <x v="1"/>
    <n v="0.14000000000000001"/>
    <n v="636611.50000000012"/>
    <n v="24559.08"/>
    <n v="6.6060467534088414E-3"/>
    <n v="33"/>
    <n v="25.921634686641355"/>
    <n v="34"/>
    <x v="0"/>
    <s v="No"/>
    <n v="502087.6"/>
    <n v="12452453"/>
    <n v="6.321329281187793E-2"/>
    <n v="20"/>
    <x v="0"/>
    <n v="4233834.0200000005"/>
    <n v="221"/>
    <x v="0"/>
    <x v="0"/>
    <n v="12452453"/>
    <n v="1"/>
    <n v="1"/>
    <s v="Highly Concentrated"/>
    <n v="12452453"/>
    <s v="Routine Market"/>
    <x v="0"/>
    <s v="Yes"/>
  </r>
  <r>
    <x v="24"/>
    <x v="24"/>
    <s v="Vegetable extracts"/>
    <x v="24"/>
    <x v="3"/>
    <x v="13"/>
    <s v="Natural Extract Colors"/>
    <s v="Food Processing / Clean Label"/>
    <x v="6"/>
    <x v="0"/>
    <x v="0"/>
    <s v="X"/>
    <x v="6"/>
    <s v="Egypt"/>
    <s v="World"/>
    <s v="TOTAL CPC"/>
    <s v="TOTAL MOT"/>
    <n v="130219"/>
    <n v="339989"/>
    <n v="16950.400000000001"/>
    <n v="0"/>
    <n v="16950"/>
    <s v="kg"/>
    <n v="0"/>
    <s v="N/A"/>
    <n v="1.6951290293147386E-2"/>
    <n v="12"/>
    <x v="0"/>
    <n v="0"/>
    <n v="0"/>
    <n v="0"/>
    <n v="6.6060467534088414E-3"/>
    <n v="178"/>
    <n v="20.057874740419102"/>
    <n v="34"/>
    <x v="0"/>
    <s v="No"/>
    <n v="502087.6"/>
    <n v="12452453"/>
    <n v="6.321329281187793E-2"/>
    <n v="20"/>
    <x v="0"/>
    <n v="4233834.0200000005"/>
    <n v="221"/>
    <x v="0"/>
    <x v="0"/>
    <n v="12452453"/>
    <n v="1"/>
    <n v="1"/>
    <s v="Highly Concentrated"/>
    <n v="12452453"/>
    <s v="Routine Market"/>
    <x v="0"/>
    <s v="No"/>
  </r>
  <r>
    <x v="24"/>
    <x v="24"/>
    <s v="Vegetable extracts"/>
    <x v="24"/>
    <x v="3"/>
    <x v="13"/>
    <s v="Natural Extract Colors"/>
    <s v="Food Processing / Clean Label"/>
    <x v="7"/>
    <x v="1"/>
    <x v="0"/>
    <s v="X"/>
    <x v="7"/>
    <s v="Egypt"/>
    <s v="World"/>
    <s v="TOTAL CPC"/>
    <s v="TOTAL MOT"/>
    <n v="130219"/>
    <n v="1331245"/>
    <n v="97110"/>
    <n v="0"/>
    <n v="97110"/>
    <s v="kg"/>
    <n v="97110"/>
    <s v="kg"/>
    <n v="1.1674623358397021E-2"/>
    <n v="6"/>
    <x v="0"/>
    <n v="0"/>
    <n v="0"/>
    <n v="0"/>
    <n v="6.6060467534088414E-3"/>
    <n v="84"/>
    <n v="13.70862938935228"/>
    <n v="34"/>
    <x v="0"/>
    <s v="No"/>
    <n v="502087.6"/>
    <n v="12452453"/>
    <n v="6.321329281187793E-2"/>
    <n v="20"/>
    <x v="0"/>
    <n v="4233834.0200000005"/>
    <n v="221"/>
    <x v="0"/>
    <x v="0"/>
    <n v="12452453"/>
    <n v="1"/>
    <n v="1"/>
    <s v="Highly Concentrated"/>
    <n v="12452453"/>
    <s v="Routine Market"/>
    <x v="0"/>
    <s v="Yes"/>
  </r>
  <r>
    <x v="24"/>
    <x v="24"/>
    <s v="Vegetable extracts"/>
    <x v="24"/>
    <x v="3"/>
    <x v="13"/>
    <s v="Natural Extract Colors"/>
    <s v="Food Processing / Clean Label"/>
    <x v="33"/>
    <x v="1"/>
    <x v="0"/>
    <s v="X"/>
    <x v="33"/>
    <s v="Egypt"/>
    <s v="World"/>
    <s v="TOTAL CPC"/>
    <s v="TOTAL MOT"/>
    <n v="130219"/>
    <n v="59994"/>
    <n v="1864"/>
    <n v="0"/>
    <n v="1864"/>
    <s v="kg"/>
    <n v="1864"/>
    <s v="kg"/>
    <n v="7.8962835084717131E-4"/>
    <n v="3"/>
    <x v="0"/>
    <n v="0"/>
    <n v="0"/>
    <n v="0"/>
    <n v="6.6060467534088414E-3"/>
    <n v="317"/>
    <n v="32.185622317596568"/>
    <n v="34"/>
    <x v="0"/>
    <s v="No"/>
    <n v="502087.6"/>
    <n v="12452453"/>
    <n v="6.321329281187793E-2"/>
    <n v="20"/>
    <x v="0"/>
    <n v="4233834.0200000005"/>
    <n v="221"/>
    <x v="0"/>
    <x v="0"/>
    <n v="12452453"/>
    <n v="1"/>
    <n v="1"/>
    <s v="Highly Concentrated"/>
    <n v="12452453"/>
    <s v="Routine Market"/>
    <x v="0"/>
    <s v="Yes"/>
  </r>
  <r>
    <x v="24"/>
    <x v="24"/>
    <s v="Vegetable extracts"/>
    <x v="24"/>
    <x v="3"/>
    <x v="13"/>
    <s v="Natural Extract Colors"/>
    <s v="Food Processing / Clean Label"/>
    <x v="8"/>
    <x v="1"/>
    <x v="0"/>
    <s v="X"/>
    <x v="8"/>
    <s v="Egypt"/>
    <s v="World"/>
    <s v="TOTAL CPC"/>
    <s v="TOTAL MOT"/>
    <n v="130219"/>
    <n v="733901"/>
    <n v="8905"/>
    <n v="0"/>
    <n v="8905"/>
    <s v="kg"/>
    <n v="8905"/>
    <s v="kg"/>
    <n v="4.9588465845200368E-3"/>
    <n v="5"/>
    <x v="0"/>
    <n v="0"/>
    <n v="0"/>
    <n v="0"/>
    <n v="6.6060467534088414E-3"/>
    <n v="117"/>
    <n v="82.414486243683328"/>
    <n v="34"/>
    <x v="0"/>
    <s v="No"/>
    <n v="502087.6"/>
    <n v="12452453"/>
    <n v="6.321329281187793E-2"/>
    <n v="20"/>
    <x v="0"/>
    <n v="4233834.0200000005"/>
    <n v="221"/>
    <x v="0"/>
    <x v="0"/>
    <n v="12452453"/>
    <n v="1"/>
    <n v="1"/>
    <s v="Highly Concentrated"/>
    <n v="12452453"/>
    <s v="Routine Market"/>
    <x v="0"/>
    <s v="Yes"/>
  </r>
  <r>
    <x v="24"/>
    <x v="24"/>
    <s v="Vegetable extracts"/>
    <x v="24"/>
    <x v="3"/>
    <x v="13"/>
    <s v="Natural Extract Colors"/>
    <s v="Food Processing / Clean Label"/>
    <x v="9"/>
    <x v="0"/>
    <x v="0"/>
    <s v="X"/>
    <x v="9"/>
    <s v="Egypt"/>
    <s v="World"/>
    <s v="TOTAL CPC"/>
    <s v="TOTAL MOT"/>
    <n v="130219"/>
    <n v="49032"/>
    <n v="9101"/>
    <n v="0"/>
    <n v="9101"/>
    <s v="kg"/>
    <n v="9101"/>
    <s v="kg"/>
    <n v="1.1178535358665947E-2"/>
    <n v="16"/>
    <x v="0"/>
    <n v="0"/>
    <n v="0"/>
    <n v="0"/>
    <n v="6.6060467534088414E-3"/>
    <n v="326"/>
    <n v="5.3875398307878255"/>
    <n v="34"/>
    <x v="0"/>
    <s v="No"/>
    <n v="502087.6"/>
    <n v="12452453"/>
    <n v="6.321329281187793E-2"/>
    <n v="20"/>
    <x v="0"/>
    <n v="4233834.0200000005"/>
    <n v="221"/>
    <x v="0"/>
    <x v="0"/>
    <n v="12452453"/>
    <n v="1"/>
    <n v="1"/>
    <s v="Highly Concentrated"/>
    <n v="12452453"/>
    <s v="Routine Market"/>
    <x v="0"/>
    <s v="No"/>
  </r>
  <r>
    <x v="24"/>
    <x v="24"/>
    <s v="Vegetable extracts"/>
    <x v="24"/>
    <x v="3"/>
    <x v="13"/>
    <s v="Natural Extract Colors"/>
    <s v="Food Processing / Clean Label"/>
    <x v="10"/>
    <x v="1"/>
    <x v="0"/>
    <s v="X"/>
    <x v="10"/>
    <s v="Egypt"/>
    <s v="World"/>
    <s v="TOTAL CPC"/>
    <s v="TOTAL MOT"/>
    <n v="130219"/>
    <n v="156400"/>
    <n v="920"/>
    <n v="0"/>
    <n v="920"/>
    <s v="kg"/>
    <n v="920"/>
    <s v="kg"/>
    <n v="1.389484063100993E-2"/>
    <n v="5"/>
    <x v="0"/>
    <n v="0"/>
    <n v="0"/>
    <n v="0"/>
    <n v="6.6060467534088414E-3"/>
    <n v="241"/>
    <n v="170"/>
    <n v="34"/>
    <x v="0"/>
    <s v="No"/>
    <n v="502087.6"/>
    <n v="12452453"/>
    <n v="6.321329281187793E-2"/>
    <n v="20"/>
    <x v="0"/>
    <n v="4233834.0200000005"/>
    <n v="221"/>
    <x v="0"/>
    <x v="0"/>
    <n v="12452453"/>
    <n v="1"/>
    <n v="1"/>
    <s v="Highly Concentrated"/>
    <n v="12452453"/>
    <s v="Routine Market"/>
    <x v="0"/>
    <s v="Yes"/>
  </r>
  <r>
    <x v="24"/>
    <x v="24"/>
    <s v="Vegetable extracts"/>
    <x v="24"/>
    <x v="3"/>
    <x v="13"/>
    <s v="Natural Extract Colors"/>
    <s v="Food Processing / Clean Label"/>
    <x v="28"/>
    <x v="1"/>
    <x v="0"/>
    <s v="X"/>
    <x v="28"/>
    <s v="Egypt"/>
    <s v="World"/>
    <s v="TOTAL CPC"/>
    <s v="TOTAL MOT"/>
    <n v="130219"/>
    <n v="1800"/>
    <n v="37"/>
    <n v="0"/>
    <n v="37"/>
    <s v="kg"/>
    <n v="0"/>
    <s v="N/A"/>
    <n v="1.4545824499937243E-5"/>
    <n v="3"/>
    <x v="0"/>
    <n v="0"/>
    <n v="0"/>
    <n v="0"/>
    <n v="6.6060467534088414E-3"/>
    <n v="471"/>
    <n v="48.648648648648646"/>
    <n v="34"/>
    <x v="0"/>
    <s v="No"/>
    <n v="502087.6"/>
    <n v="12452453"/>
    <n v="6.321329281187793E-2"/>
    <n v="20"/>
    <x v="0"/>
    <n v="4233834.0200000005"/>
    <n v="221"/>
    <x v="0"/>
    <x v="0"/>
    <n v="12452453"/>
    <n v="1"/>
    <n v="1"/>
    <s v="Highly Concentrated"/>
    <n v="12452453"/>
    <s v="Routine Market"/>
    <x v="0"/>
    <s v="Yes"/>
  </r>
  <r>
    <x v="24"/>
    <x v="24"/>
    <s v="Vegetable extracts"/>
    <x v="24"/>
    <x v="3"/>
    <x v="13"/>
    <s v="Natural Extract Colors"/>
    <s v="Food Processing / Clean Label"/>
    <x v="12"/>
    <x v="0"/>
    <x v="0"/>
    <s v="X"/>
    <x v="12"/>
    <s v="Egypt"/>
    <s v="World"/>
    <s v="TOTAL CPC"/>
    <s v="TOTAL MOT"/>
    <n v="130219"/>
    <n v="64895"/>
    <n v="2120"/>
    <n v="0"/>
    <n v="2120"/>
    <s v="kg"/>
    <n v="2120"/>
    <s v="kg"/>
    <n v="1.4561232389604124E-2"/>
    <n v="20"/>
    <x v="0"/>
    <n v="0"/>
    <n v="0"/>
    <n v="0"/>
    <n v="6.6060467534088414E-3"/>
    <n v="311"/>
    <n v="30.610849056603772"/>
    <n v="34"/>
    <x v="0"/>
    <s v="No"/>
    <n v="502087.6"/>
    <n v="12452453"/>
    <n v="6.321329281187793E-2"/>
    <n v="20"/>
    <x v="0"/>
    <n v="4233834.0200000005"/>
    <n v="221"/>
    <x v="0"/>
    <x v="0"/>
    <n v="12452453"/>
    <n v="1"/>
    <n v="1"/>
    <s v="Highly Concentrated"/>
    <n v="12452453"/>
    <s v="Routine Market"/>
    <x v="0"/>
    <s v="No"/>
  </r>
  <r>
    <x v="24"/>
    <x v="24"/>
    <s v="Vegetable extracts"/>
    <x v="24"/>
    <x v="3"/>
    <x v="13"/>
    <s v="Natural Extract Colors"/>
    <s v="Food Processing / Clean Label"/>
    <x v="47"/>
    <x v="1"/>
    <x v="0"/>
    <s v="X"/>
    <x v="47"/>
    <s v="Egypt"/>
    <s v="World"/>
    <s v="TOTAL CPC"/>
    <s v="TOTAL MOT"/>
    <n v="130219"/>
    <n v="732"/>
    <n v="25"/>
    <n v="0"/>
    <n v="25"/>
    <s v="kg"/>
    <n v="25"/>
    <s v="kg"/>
    <n v="2.02736507199242E-5"/>
    <n v="2"/>
    <x v="0"/>
    <n v="0"/>
    <n v="0"/>
    <n v="0"/>
    <n v="6.6060467534088414E-3"/>
    <n v="489"/>
    <n v="29.28"/>
    <n v="34"/>
    <x v="0"/>
    <s v="No"/>
    <n v="502087.6"/>
    <n v="12452453"/>
    <n v="6.321329281187793E-2"/>
    <n v="20"/>
    <x v="0"/>
    <n v="4233834.0200000005"/>
    <n v="221"/>
    <x v="0"/>
    <x v="0"/>
    <n v="12452453"/>
    <n v="1"/>
    <n v="1"/>
    <s v="Highly Concentrated"/>
    <n v="12452453"/>
    <s v="Routine Market"/>
    <x v="0"/>
    <s v="Yes"/>
  </r>
  <r>
    <x v="24"/>
    <x v="24"/>
    <s v="Vegetable extracts"/>
    <x v="24"/>
    <x v="3"/>
    <x v="13"/>
    <s v="Natural Extract Colors"/>
    <s v="Food Processing / Clean Label"/>
    <x v="15"/>
    <x v="0"/>
    <x v="0"/>
    <s v="X"/>
    <x v="15"/>
    <s v="Egypt"/>
    <s v="World"/>
    <s v="TOTAL CPC"/>
    <s v="TOTAL MOT"/>
    <n v="130219"/>
    <n v="882388"/>
    <n v="88083"/>
    <n v="0"/>
    <n v="88083"/>
    <s v="kg"/>
    <n v="88083"/>
    <s v="kg"/>
    <n v="2.2441761060335613E-2"/>
    <n v="12"/>
    <x v="0"/>
    <n v="0"/>
    <n v="0"/>
    <n v="0"/>
    <n v="6.6060467534088414E-3"/>
    <n v="110"/>
    <n v="10.017687862584154"/>
    <n v="34"/>
    <x v="0"/>
    <s v="No"/>
    <n v="502087.6"/>
    <n v="12452453"/>
    <n v="6.321329281187793E-2"/>
    <n v="20"/>
    <x v="0"/>
    <n v="4233834.0200000005"/>
    <n v="221"/>
    <x v="0"/>
    <x v="0"/>
    <n v="12452453"/>
    <n v="1"/>
    <n v="1"/>
    <s v="Highly Concentrated"/>
    <n v="12452453"/>
    <s v="Routine Market"/>
    <x v="0"/>
    <s v="No"/>
  </r>
  <r>
    <x v="24"/>
    <x v="24"/>
    <s v="Vegetable extracts"/>
    <x v="24"/>
    <x v="3"/>
    <x v="13"/>
    <s v="Natural Extract Colors"/>
    <s v="Food Processing / Clean Label"/>
    <x v="16"/>
    <x v="1"/>
    <x v="0"/>
    <s v="X"/>
    <x v="16"/>
    <s v="Egypt"/>
    <s v="World"/>
    <s v="TOTAL CPC"/>
    <s v="TOTAL MOT"/>
    <n v="130219"/>
    <n v="69026"/>
    <n v="8.5"/>
    <n v="0"/>
    <n v="9"/>
    <s v="kg"/>
    <n v="9"/>
    <s v="kg"/>
    <n v="8.2796770445636432E-4"/>
    <n v="4"/>
    <x v="1"/>
    <n v="0.06"/>
    <n v="4141.5599999999995"/>
    <n v="0.51"/>
    <n v="6.6060467534088414E-3"/>
    <n v="305"/>
    <n v="8120.7058823529414"/>
    <n v="34"/>
    <x v="0"/>
    <s v="No"/>
    <n v="502087.6"/>
    <n v="12452453"/>
    <n v="6.321329281187793E-2"/>
    <n v="20"/>
    <x v="0"/>
    <n v="4233834.0200000005"/>
    <n v="221"/>
    <x v="0"/>
    <x v="0"/>
    <n v="12452453"/>
    <n v="1"/>
    <n v="1"/>
    <s v="Highly Concentrated"/>
    <n v="12452453"/>
    <s v="Routine Market"/>
    <x v="0"/>
    <s v="Yes"/>
  </r>
  <r>
    <x v="24"/>
    <x v="24"/>
    <s v="Vegetable extracts"/>
    <x v="24"/>
    <x v="3"/>
    <x v="13"/>
    <s v="Natural Extract Colors"/>
    <s v="Food Processing / Clean Label"/>
    <x v="43"/>
    <x v="0"/>
    <x v="0"/>
    <s v="X"/>
    <x v="43"/>
    <s v="Egypt"/>
    <s v="World"/>
    <s v="TOTAL CPC"/>
    <s v="TOTAL MOT"/>
    <n v="130219"/>
    <n v="80465"/>
    <n v="4815"/>
    <n v="0"/>
    <n v="4815"/>
    <s v="kg"/>
    <n v="4815"/>
    <s v="kg"/>
    <n v="5.6395507468920406E-5"/>
    <n v="1"/>
    <x v="0"/>
    <n v="0"/>
    <n v="0"/>
    <n v="0"/>
    <n v="6.6060467534088414E-3"/>
    <n v="293"/>
    <n v="16.711318795430945"/>
    <n v="34"/>
    <x v="0"/>
    <s v="No"/>
    <n v="502087.6"/>
    <n v="12452453"/>
    <n v="6.321329281187793E-2"/>
    <n v="20"/>
    <x v="0"/>
    <n v="4233834.0200000005"/>
    <n v="221"/>
    <x v="0"/>
    <x v="0"/>
    <n v="12452453"/>
    <n v="1"/>
    <n v="1"/>
    <s v="Highly Concentrated"/>
    <n v="12452453"/>
    <s v="Routine Market"/>
    <x v="0"/>
    <s v="Yes"/>
  </r>
  <r>
    <x v="24"/>
    <x v="24"/>
    <s v="Vegetable extracts"/>
    <x v="24"/>
    <x v="3"/>
    <x v="13"/>
    <s v="Natural Extract Colors"/>
    <s v="Food Processing / Clean Label"/>
    <x v="20"/>
    <x v="1"/>
    <x v="0"/>
    <s v="X"/>
    <x v="20"/>
    <s v="Egypt"/>
    <s v="World"/>
    <s v="TOTAL CPC"/>
    <s v="TOTAL MOT"/>
    <n v="130219"/>
    <n v="1242614"/>
    <n v="4522"/>
    <n v="0"/>
    <n v="4522"/>
    <s v="kg"/>
    <n v="4522"/>
    <s v="kg"/>
    <n v="6.110186869383482E-3"/>
    <n v="4"/>
    <x v="0"/>
    <n v="0"/>
    <n v="0"/>
    <n v="0"/>
    <n v="6.6060467534088414E-3"/>
    <n v="90"/>
    <n v="274.79301194161877"/>
    <n v="34"/>
    <x v="0"/>
    <s v="No"/>
    <n v="502087.6"/>
    <n v="12452453"/>
    <n v="6.321329281187793E-2"/>
    <n v="20"/>
    <x v="0"/>
    <n v="4233834.0200000005"/>
    <n v="221"/>
    <x v="0"/>
    <x v="0"/>
    <n v="12452453"/>
    <n v="1"/>
    <n v="1"/>
    <s v="Highly Concentrated"/>
    <n v="12452453"/>
    <s v="Routine Market"/>
    <x v="0"/>
    <s v="Yes"/>
  </r>
  <r>
    <x v="24"/>
    <x v="24"/>
    <s v="Vegetable extracts"/>
    <x v="24"/>
    <x v="3"/>
    <x v="13"/>
    <s v="Natural Extract Colors"/>
    <s v="Food Processing / Clean Label"/>
    <x v="23"/>
    <x v="1"/>
    <x v="0"/>
    <s v="X"/>
    <x v="23"/>
    <s v="Egypt"/>
    <s v="World"/>
    <s v="TOTAL CPC"/>
    <s v="TOTAL MOT"/>
    <n v="130219"/>
    <n v="28274"/>
    <n v="393"/>
    <n v="0"/>
    <n v="393"/>
    <s v="kg"/>
    <n v="393"/>
    <s v="kg"/>
    <n v="1.1630298885271862E-3"/>
    <n v="7"/>
    <x v="0"/>
    <n v="0"/>
    <n v="0"/>
    <n v="0"/>
    <n v="6.6060467534088414E-3"/>
    <n v="360"/>
    <n v="71.944020356234091"/>
    <n v="34"/>
    <x v="0"/>
    <s v="No"/>
    <n v="502087.6"/>
    <n v="12452453"/>
    <n v="6.321329281187793E-2"/>
    <n v="20"/>
    <x v="0"/>
    <n v="4233834.0200000005"/>
    <n v="221"/>
    <x v="0"/>
    <x v="0"/>
    <n v="12452453"/>
    <n v="1"/>
    <n v="1"/>
    <s v="Highly Concentrated"/>
    <n v="12452453"/>
    <s v="Routine Market"/>
    <x v="0"/>
    <s v="Yes"/>
  </r>
  <r>
    <x v="24"/>
    <x v="24"/>
    <s v="Vegetable extracts"/>
    <x v="24"/>
    <x v="3"/>
    <x v="13"/>
    <s v="Natural Extract Colors"/>
    <s v="Food Processing / Clean Label"/>
    <x v="17"/>
    <x v="0"/>
    <x v="0"/>
    <s v="X"/>
    <x v="17"/>
    <s v="Egypt"/>
    <s v="World"/>
    <s v="TOTAL CPC"/>
    <s v="TOTAL MOT"/>
    <n v="130219"/>
    <n v="9479"/>
    <n v="131"/>
    <n v="0"/>
    <n v="131"/>
    <s v="kg"/>
    <n v="131"/>
    <s v="kg"/>
    <n v="4.7522902002533667E-2"/>
    <n v="30"/>
    <x v="1"/>
    <n v="0.1"/>
    <n v="947.90000000000009"/>
    <n v="13.100000000000001"/>
    <n v="6.6060467534088414E-3"/>
    <n v="415"/>
    <n v="72.358778625954201"/>
    <n v="34"/>
    <x v="0"/>
    <s v="No"/>
    <n v="502087.6"/>
    <n v="12452453"/>
    <n v="6.321329281187793E-2"/>
    <n v="20"/>
    <x v="0"/>
    <n v="4233834.0200000005"/>
    <n v="221"/>
    <x v="0"/>
    <x v="0"/>
    <n v="12452453"/>
    <n v="1"/>
    <n v="1"/>
    <s v="Highly Concentrated"/>
    <n v="12452453"/>
    <s v="Routine Market"/>
    <x v="0"/>
    <s v="No"/>
  </r>
  <r>
    <x v="24"/>
    <x v="24"/>
    <s v="Vegetable extracts"/>
    <x v="24"/>
    <x v="3"/>
    <x v="13"/>
    <s v="Natural Extract Colors"/>
    <s v="Food Processing / Clean Label"/>
    <x v="21"/>
    <x v="0"/>
    <x v="0"/>
    <s v="X"/>
    <x v="21"/>
    <s v="Egypt"/>
    <s v="World"/>
    <s v="TOTAL CPC"/>
    <s v="TOTAL MOT"/>
    <n v="130219"/>
    <n v="2222"/>
    <n v="211"/>
    <n v="0"/>
    <n v="211"/>
    <s v="kg"/>
    <n v="211"/>
    <s v="kg"/>
    <n v="1.3104801671892474E-3"/>
    <n v="19"/>
    <x v="0"/>
    <n v="0"/>
    <n v="0"/>
    <n v="0"/>
    <n v="6.6060467534088414E-3"/>
    <n v="468"/>
    <n v="10.530805687203792"/>
    <n v="34"/>
    <x v="0"/>
    <s v="No"/>
    <n v="502087.6"/>
    <n v="12452453"/>
    <n v="6.321329281187793E-2"/>
    <n v="20"/>
    <x v="0"/>
    <n v="4233834.0200000005"/>
    <n v="221"/>
    <x v="0"/>
    <x v="0"/>
    <n v="12452453"/>
    <n v="1"/>
    <n v="1"/>
    <s v="Highly Concentrated"/>
    <n v="12452453"/>
    <s v="Routine Market"/>
    <x v="0"/>
    <s v="No"/>
  </r>
  <r>
    <x v="24"/>
    <x v="24"/>
    <s v="Vegetable extracts"/>
    <x v="24"/>
    <x v="3"/>
    <x v="13"/>
    <s v="Natural Extract Colors"/>
    <s v="Food Processing / Clean Label"/>
    <x v="18"/>
    <x v="1"/>
    <x v="0"/>
    <s v="X"/>
    <x v="18"/>
    <s v="Egypt"/>
    <s v="World"/>
    <s v="TOTAL CPC"/>
    <s v="TOTAL MOT"/>
    <n v="130219"/>
    <n v="2319737"/>
    <n v="67407"/>
    <n v="0"/>
    <n v="67407"/>
    <s v="kg"/>
    <n v="67407"/>
    <s v="kg"/>
    <n v="9.425427433633813E-3"/>
    <n v="3"/>
    <x v="1"/>
    <n v="4.0000000000000008E-2"/>
    <n v="92789.480000000025"/>
    <n v="2696.2800000000007"/>
    <n v="6.6060467534088414E-3"/>
    <n v="59"/>
    <n v="34.413888765261767"/>
    <n v="34"/>
    <x v="0"/>
    <s v="No"/>
    <n v="502087.6"/>
    <n v="12452453"/>
    <n v="6.321329281187793E-2"/>
    <n v="20"/>
    <x v="0"/>
    <n v="4233834.0200000005"/>
    <n v="221"/>
    <x v="0"/>
    <x v="0"/>
    <n v="12452453"/>
    <n v="1"/>
    <n v="1"/>
    <s v="Highly Concentrated"/>
    <n v="12452453"/>
    <s v="Routine Market"/>
    <x v="0"/>
    <s v="Yes"/>
  </r>
  <r>
    <x v="25"/>
    <x v="25"/>
    <s v="Mustard seeds"/>
    <x v="25"/>
    <x v="5"/>
    <x v="14"/>
    <s v="Oil &amp; Condiment Seeds"/>
    <s v="Sauces / Condiments"/>
    <x v="15"/>
    <x v="0"/>
    <x v="0"/>
    <s v="X"/>
    <x v="15"/>
    <s v="Egypt"/>
    <s v="World"/>
    <s v="TOTAL CPC"/>
    <s v="TOTAL MOT"/>
    <n v="120750"/>
    <n v="35178"/>
    <n v="42000"/>
    <n v="0"/>
    <n v="42000"/>
    <s v="kg"/>
    <n v="42000"/>
    <s v="kg"/>
    <n v="2.2441761060335613E-2"/>
    <n v="29"/>
    <x v="0"/>
    <n v="0"/>
    <n v="0"/>
    <n v="0"/>
    <n v="1.8661986733972514E-5"/>
    <n v="343"/>
    <n v="0.83757142857142852"/>
    <n v="34"/>
    <x v="0"/>
    <s v="No"/>
    <n v="42000"/>
    <n v="35178"/>
    <n v="2.2441761060335613E-2"/>
    <n v="1"/>
    <x v="1"/>
    <n v="11960.52"/>
    <n v="539"/>
    <x v="0"/>
    <x v="0"/>
    <n v="35178"/>
    <n v="1"/>
    <n v="1"/>
    <s v="Highly Concentrated"/>
    <n v="35178"/>
    <s v="Routine Market"/>
    <x v="0"/>
    <s v="No"/>
  </r>
  <r>
    <x v="26"/>
    <x v="26"/>
    <s v="Flour of dried vegetables"/>
    <x v="26"/>
    <x v="5"/>
    <x v="14"/>
    <s v="Processed Spice Powders"/>
    <s v="Sauces / Dressings"/>
    <x v="48"/>
    <x v="0"/>
    <x v="0"/>
    <s v="X"/>
    <x v="48"/>
    <s v="Egypt"/>
    <s v="World"/>
    <s v="TOTAL CPC"/>
    <s v="TOTAL MOT"/>
    <n v="110630"/>
    <n v="1015"/>
    <n v="1000"/>
    <n v="0"/>
    <n v="1000"/>
    <s v="kg"/>
    <n v="1000"/>
    <s v="kg"/>
    <n v="5.3845916581335217E-7"/>
    <n v="1"/>
    <x v="0"/>
    <n v="0"/>
    <n v="0"/>
    <n v="0"/>
    <n v="1.6343959812769123E-4"/>
    <n v="485"/>
    <n v="1.0149999999999999"/>
    <n v="34"/>
    <x v="0"/>
    <s v="No"/>
    <n v="61902"/>
    <n v="308085"/>
    <n v="2.2441761060335613E-2"/>
    <n v="7"/>
    <x v="0"/>
    <n v="104748.90000000001"/>
    <n v="519"/>
    <x v="0"/>
    <x v="0"/>
    <n v="308085"/>
    <n v="1"/>
    <n v="1"/>
    <s v="Highly Concentrated"/>
    <n v="308085"/>
    <s v="Routine Market"/>
    <x v="0"/>
    <s v="Yes"/>
  </r>
  <r>
    <x v="26"/>
    <x v="26"/>
    <s v="Flour of dried vegetables"/>
    <x v="26"/>
    <x v="5"/>
    <x v="14"/>
    <s v="Processed Spice Powders"/>
    <s v="Sauces / Dressings"/>
    <x v="49"/>
    <x v="1"/>
    <x v="0"/>
    <s v="X"/>
    <x v="49"/>
    <s v="Egypt"/>
    <s v="World"/>
    <s v="TOTAL CPC"/>
    <s v="TOTAL MOT"/>
    <n v="110630"/>
    <n v="781"/>
    <n v="354"/>
    <n v="0"/>
    <n v="354"/>
    <s v="kg"/>
    <n v="354"/>
    <s v="kg"/>
    <n v="8.2233059401702185E-6"/>
    <n v="4"/>
    <x v="0"/>
    <n v="0"/>
    <n v="0"/>
    <n v="0"/>
    <n v="1.6343959812769123E-4"/>
    <n v="488"/>
    <n v="2.2062146892655368"/>
    <n v="34"/>
    <x v="0"/>
    <s v="No"/>
    <n v="61902"/>
    <n v="308085"/>
    <n v="2.2441761060335613E-2"/>
    <n v="7"/>
    <x v="0"/>
    <n v="104748.90000000001"/>
    <n v="519"/>
    <x v="0"/>
    <x v="0"/>
    <n v="308085"/>
    <n v="1"/>
    <n v="1"/>
    <s v="Highly Concentrated"/>
    <n v="308085"/>
    <s v="Routine Market"/>
    <x v="0"/>
    <s v="Yes"/>
  </r>
  <r>
    <x v="26"/>
    <x v="26"/>
    <s v="Flour of dried vegetables"/>
    <x v="26"/>
    <x v="5"/>
    <x v="14"/>
    <s v="Processed Spice Powders"/>
    <s v="Sauces / Dressings"/>
    <x v="12"/>
    <x v="0"/>
    <x v="0"/>
    <s v="X"/>
    <x v="12"/>
    <s v="Egypt"/>
    <s v="World"/>
    <s v="TOTAL CPC"/>
    <s v="TOTAL MOT"/>
    <n v="110630"/>
    <n v="32795"/>
    <n v="4262"/>
    <n v="0"/>
    <n v="4262"/>
    <s v="kg"/>
    <n v="4262"/>
    <s v="kg"/>
    <n v="1.4561232389604124E-2"/>
    <n v="24"/>
    <x v="0"/>
    <n v="0"/>
    <n v="0"/>
    <n v="0"/>
    <n v="1.6343959812769123E-4"/>
    <n v="349"/>
    <n v="7.6947442515251057"/>
    <n v="34"/>
    <x v="0"/>
    <s v="No"/>
    <n v="61902"/>
    <n v="308085"/>
    <n v="2.2441761060335613E-2"/>
    <n v="7"/>
    <x v="0"/>
    <n v="104748.90000000001"/>
    <n v="519"/>
    <x v="0"/>
    <x v="0"/>
    <n v="308085"/>
    <n v="1"/>
    <n v="1"/>
    <s v="Highly Concentrated"/>
    <n v="308085"/>
    <s v="Routine Market"/>
    <x v="0"/>
    <s v="No"/>
  </r>
  <r>
    <x v="26"/>
    <x v="26"/>
    <s v="Flour of dried vegetables"/>
    <x v="26"/>
    <x v="5"/>
    <x v="14"/>
    <s v="Processed Spice Powders"/>
    <s v="Sauces / Dressings"/>
    <x v="13"/>
    <x v="1"/>
    <x v="0"/>
    <s v="X"/>
    <x v="13"/>
    <s v="Egypt"/>
    <s v="World"/>
    <s v="TOTAL CPC"/>
    <s v="TOTAL MOT"/>
    <n v="110630"/>
    <n v="3613"/>
    <n v="2000"/>
    <n v="0"/>
    <n v="2000"/>
    <s v="kg"/>
    <n v="2000"/>
    <s v="kg"/>
    <n v="6.3855771678493602E-3"/>
    <n v="8"/>
    <x v="1"/>
    <n v="0.06"/>
    <n v="216.78"/>
    <n v="120"/>
    <n v="1.6343959812769123E-4"/>
    <n v="451"/>
    <n v="1.8065"/>
    <n v="34"/>
    <x v="0"/>
    <s v="No"/>
    <n v="61902"/>
    <n v="308085"/>
    <n v="2.2441761060335613E-2"/>
    <n v="7"/>
    <x v="0"/>
    <n v="104748.90000000001"/>
    <n v="519"/>
    <x v="0"/>
    <x v="0"/>
    <n v="308085"/>
    <n v="1"/>
    <n v="1"/>
    <s v="Highly Concentrated"/>
    <n v="308085"/>
    <s v="Routine Market"/>
    <x v="0"/>
    <s v="Yes"/>
  </r>
  <r>
    <x v="26"/>
    <x v="26"/>
    <s v="Flour of dried vegetables"/>
    <x v="26"/>
    <x v="5"/>
    <x v="14"/>
    <s v="Processed Spice Powders"/>
    <s v="Sauces / Dressings"/>
    <x v="14"/>
    <x v="1"/>
    <x v="0"/>
    <s v="X"/>
    <x v="14"/>
    <s v="Egypt"/>
    <s v="World"/>
    <s v="TOTAL CPC"/>
    <s v="TOTAL MOT"/>
    <n v="110630"/>
    <n v="131211"/>
    <n v="27646"/>
    <n v="0"/>
    <n v="27646"/>
    <s v="kg"/>
    <n v="27646"/>
    <s v="kg"/>
    <n v="9.709938116315122E-3"/>
    <n v="7"/>
    <x v="0"/>
    <n v="0"/>
    <n v="0"/>
    <n v="0"/>
    <n v="1.6343959812769123E-4"/>
    <n v="258"/>
    <n v="4.7461115532084204"/>
    <n v="34"/>
    <x v="0"/>
    <s v="No"/>
    <n v="61902"/>
    <n v="308085"/>
    <n v="2.2441761060335613E-2"/>
    <n v="7"/>
    <x v="0"/>
    <n v="104748.90000000001"/>
    <n v="519"/>
    <x v="0"/>
    <x v="0"/>
    <n v="308085"/>
    <n v="1"/>
    <n v="1"/>
    <s v="Highly Concentrated"/>
    <n v="308085"/>
    <s v="Routine Market"/>
    <x v="0"/>
    <s v="Yes"/>
  </r>
  <r>
    <x v="26"/>
    <x v="26"/>
    <s v="Flour of dried vegetables"/>
    <x v="26"/>
    <x v="5"/>
    <x v="14"/>
    <s v="Processed Spice Powders"/>
    <s v="Sauces / Dressings"/>
    <x v="15"/>
    <x v="0"/>
    <x v="0"/>
    <s v="X"/>
    <x v="15"/>
    <s v="Egypt"/>
    <s v="World"/>
    <s v="TOTAL CPC"/>
    <s v="TOTAL MOT"/>
    <n v="110630"/>
    <n v="334"/>
    <n v="40"/>
    <n v="0"/>
    <n v="40"/>
    <s v="kg"/>
    <n v="40"/>
    <s v="kg"/>
    <n v="2.2441761060335613E-2"/>
    <n v="36"/>
    <x v="0"/>
    <n v="0"/>
    <n v="0"/>
    <n v="0"/>
    <n v="1.6343959812769123E-4"/>
    <n v="501"/>
    <n v="8.35"/>
    <n v="34"/>
    <x v="0"/>
    <s v="No"/>
    <n v="61902"/>
    <n v="308085"/>
    <n v="2.2441761060335613E-2"/>
    <n v="7"/>
    <x v="0"/>
    <n v="104748.90000000001"/>
    <n v="519"/>
    <x v="0"/>
    <x v="0"/>
    <n v="308085"/>
    <n v="1"/>
    <n v="1"/>
    <s v="Highly Concentrated"/>
    <n v="308085"/>
    <s v="Routine Market"/>
    <x v="0"/>
    <s v="No"/>
  </r>
  <r>
    <x v="26"/>
    <x v="26"/>
    <s v="Flour of dried vegetables"/>
    <x v="26"/>
    <x v="5"/>
    <x v="14"/>
    <s v="Processed Spice Powders"/>
    <s v="Sauces / Dressings"/>
    <x v="20"/>
    <x v="0"/>
    <x v="0"/>
    <s v="X"/>
    <x v="20"/>
    <s v="Egypt"/>
    <s v="World"/>
    <s v="TOTAL CPC"/>
    <s v="TOTAL MOT"/>
    <n v="110630"/>
    <n v="138336"/>
    <n v="26600"/>
    <n v="0"/>
    <n v="26600"/>
    <s v="kg"/>
    <n v="26600"/>
    <s v="kg"/>
    <n v="6.110186869383482E-3"/>
    <n v="13"/>
    <x v="0"/>
    <n v="0"/>
    <n v="0"/>
    <n v="0"/>
    <n v="1.6343959812769123E-4"/>
    <n v="254"/>
    <n v="5.2006015037593984"/>
    <n v="34"/>
    <x v="0"/>
    <s v="No"/>
    <n v="61902"/>
    <n v="308085"/>
    <n v="2.2441761060335613E-2"/>
    <n v="7"/>
    <x v="0"/>
    <n v="104748.90000000001"/>
    <n v="519"/>
    <x v="0"/>
    <x v="0"/>
    <n v="308085"/>
    <n v="1"/>
    <n v="1"/>
    <s v="Highly Concentrated"/>
    <n v="308085"/>
    <s v="Routine Market"/>
    <x v="0"/>
    <s v="No"/>
  </r>
  <r>
    <x v="27"/>
    <x v="27"/>
    <s v="Tomatoes prepared or preserved otherwise than by vinegar"/>
    <x v="27"/>
    <x v="6"/>
    <x v="15"/>
    <s v="Industrial Tomato Paste (28-38 Brix)"/>
    <s v="Sauces Manufacturing"/>
    <x v="3"/>
    <x v="1"/>
    <x v="0"/>
    <s v="X"/>
    <x v="3"/>
    <s v="Egypt"/>
    <s v="World"/>
    <s v="TOTAL CPC"/>
    <s v="TOTAL MOT"/>
    <n v="200290"/>
    <n v="4225728"/>
    <n v="3836978"/>
    <n v="0"/>
    <n v="3836978"/>
    <s v="kg"/>
    <n v="3836978"/>
    <s v="kg"/>
    <n v="6.321329281187793E-2"/>
    <n v="10"/>
    <x v="1"/>
    <n v="0.14000000000000001"/>
    <n v="591601.92000000004"/>
    <n v="537176.92000000004"/>
    <n v="5.8462426743280359E-3"/>
    <n v="36"/>
    <n v="1.1013167133092763"/>
    <n v="34"/>
    <x v="0"/>
    <s v="No"/>
    <n v="10652116.4"/>
    <n v="11020216"/>
    <n v="6.321329281187793E-2"/>
    <n v="11"/>
    <x v="0"/>
    <n v="3746873.4400000004"/>
    <n v="280"/>
    <x v="0"/>
    <x v="0"/>
    <n v="11020216"/>
    <n v="1"/>
    <n v="1"/>
    <s v="Highly Concentrated"/>
    <n v="11020216"/>
    <s v="Routine Market"/>
    <x v="0"/>
    <s v="Yes"/>
  </r>
  <r>
    <x v="27"/>
    <x v="27"/>
    <s v="Tomatoes prepared or preserved otherwise than by vinegar"/>
    <x v="27"/>
    <x v="6"/>
    <x v="15"/>
    <s v="Industrial Tomato Paste (28-38 Brix)"/>
    <s v="Sauces Manufacturing"/>
    <x v="7"/>
    <x v="0"/>
    <x v="0"/>
    <s v="X"/>
    <x v="7"/>
    <s v="Egypt"/>
    <s v="World"/>
    <s v="TOTAL CPC"/>
    <s v="TOTAL MOT"/>
    <n v="200290"/>
    <n v="77939"/>
    <n v="9200"/>
    <n v="0"/>
    <n v="9200"/>
    <s v="kg"/>
    <n v="9200"/>
    <s v="kg"/>
    <n v="1.1674623358397021E-2"/>
    <n v="23"/>
    <x v="0"/>
    <n v="0"/>
    <n v="0"/>
    <n v="0"/>
    <n v="5.8462426743280359E-3"/>
    <n v="294"/>
    <n v="8.4716304347826092"/>
    <n v="34"/>
    <x v="0"/>
    <s v="No"/>
    <n v="10652116.4"/>
    <n v="11020216"/>
    <n v="6.321329281187793E-2"/>
    <n v="11"/>
    <x v="0"/>
    <n v="3746873.4400000004"/>
    <n v="280"/>
    <x v="0"/>
    <x v="0"/>
    <n v="11020216"/>
    <n v="1"/>
    <n v="1"/>
    <s v="Highly Concentrated"/>
    <n v="11020216"/>
    <s v="Routine Market"/>
    <x v="0"/>
    <s v="No"/>
  </r>
  <r>
    <x v="27"/>
    <x v="27"/>
    <s v="Tomatoes prepared or preserved otherwise than by vinegar"/>
    <x v="27"/>
    <x v="6"/>
    <x v="15"/>
    <s v="Industrial Tomato Paste (28-38 Brix)"/>
    <s v="Sauces Manufacturing"/>
    <x v="33"/>
    <x v="1"/>
    <x v="0"/>
    <s v="X"/>
    <x v="33"/>
    <s v="Egypt"/>
    <s v="World"/>
    <s v="TOTAL CPC"/>
    <s v="TOTAL MOT"/>
    <n v="200290"/>
    <n v="231300"/>
    <n v="120680"/>
    <n v="0"/>
    <n v="120680"/>
    <s v="kg"/>
    <n v="120680"/>
    <s v="kg"/>
    <n v="7.8962835084717131E-4"/>
    <n v="2"/>
    <x v="0"/>
    <n v="0"/>
    <n v="0"/>
    <n v="0"/>
    <n v="5.8462426743280359E-3"/>
    <n v="208"/>
    <n v="1.9166390454093469"/>
    <n v="34"/>
    <x v="0"/>
    <s v="No"/>
    <n v="10652116.4"/>
    <n v="11020216"/>
    <n v="6.321329281187793E-2"/>
    <n v="11"/>
    <x v="0"/>
    <n v="3746873.4400000004"/>
    <n v="280"/>
    <x v="0"/>
    <x v="0"/>
    <n v="11020216"/>
    <n v="1"/>
    <n v="1"/>
    <s v="Highly Concentrated"/>
    <n v="11020216"/>
    <s v="Routine Market"/>
    <x v="0"/>
    <s v="Yes"/>
  </r>
  <r>
    <x v="27"/>
    <x v="27"/>
    <s v="Tomatoes prepared or preserved otherwise than by vinegar"/>
    <x v="27"/>
    <x v="6"/>
    <x v="15"/>
    <s v="Industrial Tomato Paste (28-38 Brix)"/>
    <s v="Sauces Manufacturing"/>
    <x v="26"/>
    <x v="1"/>
    <x v="0"/>
    <s v="X"/>
    <x v="26"/>
    <s v="Egypt"/>
    <s v="World"/>
    <s v="TOTAL CPC"/>
    <s v="TOTAL MOT"/>
    <n v="200290"/>
    <n v="270"/>
    <n v="25"/>
    <n v="0"/>
    <n v="25"/>
    <s v="kg"/>
    <n v="25"/>
    <s v="kg"/>
    <n v="2.621940701411424E-4"/>
    <n v="5"/>
    <x v="0"/>
    <n v="0"/>
    <n v="0"/>
    <n v="0"/>
    <n v="5.8462426743280359E-3"/>
    <n v="504"/>
    <n v="10.8"/>
    <n v="34"/>
    <x v="0"/>
    <s v="No"/>
    <n v="10652116.4"/>
    <n v="11020216"/>
    <n v="6.321329281187793E-2"/>
    <n v="11"/>
    <x v="0"/>
    <n v="3746873.4400000004"/>
    <n v="280"/>
    <x v="0"/>
    <x v="0"/>
    <n v="11020216"/>
    <n v="1"/>
    <n v="1"/>
    <s v="Highly Concentrated"/>
    <n v="11020216"/>
    <s v="Routine Market"/>
    <x v="0"/>
    <s v="Yes"/>
  </r>
  <r>
    <x v="27"/>
    <x v="27"/>
    <s v="Tomatoes prepared or preserved otherwise than by vinegar"/>
    <x v="27"/>
    <x v="6"/>
    <x v="15"/>
    <s v="Industrial Tomato Paste (28-38 Brix)"/>
    <s v="Sauces Manufacturing"/>
    <x v="9"/>
    <x v="0"/>
    <x v="0"/>
    <s v="X"/>
    <x v="9"/>
    <s v="Egypt"/>
    <s v="World"/>
    <s v="TOTAL CPC"/>
    <s v="TOTAL MOT"/>
    <n v="200290"/>
    <n v="94644"/>
    <n v="62188"/>
    <n v="0"/>
    <n v="62188"/>
    <s v="kg"/>
    <n v="62188"/>
    <s v="kg"/>
    <n v="1.1178535358665947E-2"/>
    <n v="14"/>
    <x v="0"/>
    <n v="0"/>
    <n v="0"/>
    <n v="0"/>
    <n v="5.8462426743280359E-3"/>
    <n v="278"/>
    <n v="1.5219013314465812"/>
    <n v="34"/>
    <x v="0"/>
    <s v="No"/>
    <n v="10652116.4"/>
    <n v="11020216"/>
    <n v="6.321329281187793E-2"/>
    <n v="11"/>
    <x v="0"/>
    <n v="3746873.4400000004"/>
    <n v="280"/>
    <x v="0"/>
    <x v="0"/>
    <n v="11020216"/>
    <n v="1"/>
    <n v="1"/>
    <s v="Highly Concentrated"/>
    <n v="11020216"/>
    <s v="Routine Market"/>
    <x v="0"/>
    <s v="No"/>
  </r>
  <r>
    <x v="27"/>
    <x v="27"/>
    <s v="Tomatoes prepared or preserved otherwise than by vinegar"/>
    <x v="27"/>
    <x v="6"/>
    <x v="15"/>
    <s v="Industrial Tomato Paste (28-38 Brix)"/>
    <s v="Sauces Manufacturing"/>
    <x v="19"/>
    <x v="1"/>
    <x v="0"/>
    <s v="X"/>
    <x v="19"/>
    <s v="Egypt"/>
    <s v="World"/>
    <s v="TOTAL CPC"/>
    <s v="TOTAL MOT"/>
    <n v="200290"/>
    <n v="78"/>
    <n v="7.4"/>
    <n v="0"/>
    <n v="7"/>
    <s v="kg"/>
    <n v="7"/>
    <s v="kg"/>
    <n v="1.4429559760252854E-3"/>
    <n v="8"/>
    <x v="0"/>
    <n v="0"/>
    <n v="0"/>
    <n v="0"/>
    <n v="5.8462426743280359E-3"/>
    <n v="521"/>
    <n v="10.54054054054054"/>
    <n v="34"/>
    <x v="0"/>
    <s v="No"/>
    <n v="10652116.4"/>
    <n v="11020216"/>
    <n v="6.321329281187793E-2"/>
    <n v="11"/>
    <x v="0"/>
    <n v="3746873.4400000004"/>
    <n v="280"/>
    <x v="0"/>
    <x v="0"/>
    <n v="11020216"/>
    <n v="1"/>
    <n v="1"/>
    <s v="Highly Concentrated"/>
    <n v="11020216"/>
    <s v="Routine Market"/>
    <x v="0"/>
    <s v="Yes"/>
  </r>
  <r>
    <x v="27"/>
    <x v="27"/>
    <s v="Tomatoes prepared or preserved otherwise than by vinegar"/>
    <x v="27"/>
    <x v="6"/>
    <x v="15"/>
    <s v="Industrial Tomato Paste (28-38 Brix)"/>
    <s v="Sauces Manufacturing"/>
    <x v="15"/>
    <x v="0"/>
    <x v="0"/>
    <s v="X"/>
    <x v="15"/>
    <s v="Egypt"/>
    <s v="World"/>
    <s v="TOTAL CPC"/>
    <s v="TOTAL MOT"/>
    <n v="200290"/>
    <n v="194081"/>
    <n v="40000"/>
    <n v="0"/>
    <n v="40000"/>
    <s v="kg"/>
    <n v="40000"/>
    <s v="kg"/>
    <n v="2.2441761060335613E-2"/>
    <n v="20"/>
    <x v="0"/>
    <n v="0"/>
    <n v="0"/>
    <n v="0"/>
    <n v="5.8462426743280359E-3"/>
    <n v="221"/>
    <n v="4.8520250000000003"/>
    <n v="34"/>
    <x v="0"/>
    <s v="No"/>
    <n v="10652116.4"/>
    <n v="11020216"/>
    <n v="6.321329281187793E-2"/>
    <n v="11"/>
    <x v="0"/>
    <n v="3746873.4400000004"/>
    <n v="280"/>
    <x v="0"/>
    <x v="0"/>
    <n v="11020216"/>
    <n v="1"/>
    <n v="1"/>
    <s v="Highly Concentrated"/>
    <n v="11020216"/>
    <s v="Routine Market"/>
    <x v="0"/>
    <s v="No"/>
  </r>
  <r>
    <x v="27"/>
    <x v="27"/>
    <s v="Tomatoes prepared or preserved otherwise than by vinegar"/>
    <x v="27"/>
    <x v="6"/>
    <x v="15"/>
    <s v="Industrial Tomato Paste (28-38 Brix)"/>
    <s v="Sauces Manufacturing"/>
    <x v="20"/>
    <x v="1"/>
    <x v="0"/>
    <s v="X"/>
    <x v="20"/>
    <s v="Egypt"/>
    <s v="World"/>
    <s v="TOTAL CPC"/>
    <s v="TOTAL MOT"/>
    <n v="200290"/>
    <n v="422757"/>
    <n v="189869"/>
    <n v="0"/>
    <n v="189869"/>
    <s v="kg"/>
    <n v="189869"/>
    <s v="kg"/>
    <n v="6.110186869383482E-3"/>
    <n v="7"/>
    <x v="0"/>
    <n v="0"/>
    <n v="0"/>
    <n v="0"/>
    <n v="5.8462426743280359E-3"/>
    <n v="158"/>
    <n v="2.2265720049086477"/>
    <n v="34"/>
    <x v="0"/>
    <s v="No"/>
    <n v="10652116.4"/>
    <n v="11020216"/>
    <n v="6.321329281187793E-2"/>
    <n v="11"/>
    <x v="0"/>
    <n v="3746873.4400000004"/>
    <n v="280"/>
    <x v="0"/>
    <x v="0"/>
    <n v="11020216"/>
    <n v="1"/>
    <n v="1"/>
    <s v="Highly Concentrated"/>
    <n v="11020216"/>
    <s v="Routine Market"/>
    <x v="0"/>
    <s v="Yes"/>
  </r>
  <r>
    <x v="27"/>
    <x v="27"/>
    <s v="Tomatoes prepared or preserved otherwise than by vinegar"/>
    <x v="27"/>
    <x v="6"/>
    <x v="15"/>
    <s v="Industrial Tomato Paste (28-38 Brix)"/>
    <s v="Sauces Manufacturing"/>
    <x v="17"/>
    <x v="1"/>
    <x v="0"/>
    <s v="X"/>
    <x v="17"/>
    <s v="Egypt"/>
    <s v="World"/>
    <s v="TOTAL CPC"/>
    <s v="TOTAL MOT"/>
    <n v="200290"/>
    <n v="3562982"/>
    <n v="2636222"/>
    <n v="0"/>
    <n v="2636222"/>
    <s v="kg"/>
    <n v="2636222"/>
    <s v="kg"/>
    <n v="4.7522902002533667E-2"/>
    <n v="6"/>
    <x v="1"/>
    <n v="0.1"/>
    <n v="356298.2"/>
    <n v="263622.2"/>
    <n v="5.8462426743280359E-3"/>
    <n v="39"/>
    <n v="1.3515485418147637"/>
    <n v="34"/>
    <x v="0"/>
    <s v="No"/>
    <n v="10652116.4"/>
    <n v="11020216"/>
    <n v="6.321329281187793E-2"/>
    <n v="11"/>
    <x v="0"/>
    <n v="3746873.4400000004"/>
    <n v="280"/>
    <x v="0"/>
    <x v="0"/>
    <n v="11020216"/>
    <n v="1"/>
    <n v="1"/>
    <s v="Highly Concentrated"/>
    <n v="11020216"/>
    <s v="Routine Market"/>
    <x v="0"/>
    <s v="Yes"/>
  </r>
  <r>
    <x v="27"/>
    <x v="27"/>
    <s v="Tomatoes prepared or preserved otherwise than by vinegar"/>
    <x v="27"/>
    <x v="6"/>
    <x v="15"/>
    <s v="Industrial Tomato Paste (28-38 Brix)"/>
    <s v="Sauces Manufacturing"/>
    <x v="21"/>
    <x v="1"/>
    <x v="0"/>
    <s v="X"/>
    <x v="21"/>
    <s v="Egypt"/>
    <s v="World"/>
    <s v="TOTAL CPC"/>
    <s v="TOTAL MOT"/>
    <n v="200290"/>
    <n v="32146"/>
    <n v="18400"/>
    <n v="0"/>
    <n v="18400"/>
    <s v="kg"/>
    <n v="18400"/>
    <s v="kg"/>
    <n v="1.3104801671892474E-3"/>
    <n v="10"/>
    <x v="0"/>
    <n v="0"/>
    <n v="0"/>
    <n v="0"/>
    <n v="5.8462426743280359E-3"/>
    <n v="351"/>
    <n v="1.7470652173913044"/>
    <n v="34"/>
    <x v="0"/>
    <s v="No"/>
    <n v="10652116.4"/>
    <n v="11020216"/>
    <n v="6.321329281187793E-2"/>
    <n v="11"/>
    <x v="0"/>
    <n v="3746873.4400000004"/>
    <n v="280"/>
    <x v="0"/>
    <x v="0"/>
    <n v="11020216"/>
    <n v="1"/>
    <n v="1"/>
    <s v="Highly Concentrated"/>
    <n v="11020216"/>
    <s v="Routine Market"/>
    <x v="0"/>
    <s v="Yes"/>
  </r>
  <r>
    <x v="27"/>
    <x v="27"/>
    <s v="Tomatoes prepared or preserved otherwise than by vinegar"/>
    <x v="27"/>
    <x v="6"/>
    <x v="15"/>
    <s v="Industrial Tomato Paste (28-38 Brix)"/>
    <s v="Sauces Manufacturing"/>
    <x v="18"/>
    <x v="1"/>
    <x v="0"/>
    <s v="X"/>
    <x v="18"/>
    <s v="Egypt"/>
    <s v="World"/>
    <s v="TOTAL CPC"/>
    <s v="TOTAL MOT"/>
    <n v="200290"/>
    <n v="2178291"/>
    <n v="3738547"/>
    <n v="0"/>
    <n v="3738547"/>
    <s v="kg"/>
    <n v="3738547"/>
    <s v="kg"/>
    <n v="9.425427433633813E-3"/>
    <n v="4"/>
    <x v="1"/>
    <n v="4.0000000000000008E-2"/>
    <n v="87131.640000000014"/>
    <n v="149541.88000000003"/>
    <n v="5.8462426743280359E-3"/>
    <n v="61"/>
    <n v="0.58265711250921814"/>
    <n v="34"/>
    <x v="0"/>
    <s v="No"/>
    <n v="10652116.4"/>
    <n v="11020216"/>
    <n v="6.321329281187793E-2"/>
    <n v="11"/>
    <x v="0"/>
    <n v="3746873.4400000004"/>
    <n v="280"/>
    <x v="0"/>
    <x v="0"/>
    <n v="11020216"/>
    <n v="1"/>
    <n v="1"/>
    <s v="Highly Concentrated"/>
    <n v="11020216"/>
    <s v="Routine Market"/>
    <x v="0"/>
    <s v="Yes"/>
  </r>
  <r>
    <x v="28"/>
    <x v="28"/>
    <s v="Cane or beet sugar, refined"/>
    <x v="28"/>
    <x v="4"/>
    <x v="11"/>
    <s v="Refined Sugar"/>
    <s v="Beverages / Confectionery / Sauces"/>
    <x v="41"/>
    <x v="0"/>
    <x v="0"/>
    <s v="X"/>
    <x v="41"/>
    <s v="Egypt"/>
    <s v="World"/>
    <s v="TOTAL CPC"/>
    <s v="TOTAL MOT"/>
    <n v="170199"/>
    <n v="138016"/>
    <n v="184000"/>
    <n v="0"/>
    <n v="184000"/>
    <s v="kg"/>
    <n v="184000"/>
    <s v="kg"/>
    <n v="9.4529556942970843E-5"/>
    <n v="1"/>
    <x v="0"/>
    <n v="0"/>
    <n v="0"/>
    <n v="0"/>
    <n v="2.7420426655669069E-2"/>
    <n v="255"/>
    <n v="0.75008695652173918"/>
    <n v="34"/>
    <x v="0"/>
    <s v="No"/>
    <n v="76921435.099999994"/>
    <n v="51687732"/>
    <n v="7.6648679233989533E-2"/>
    <n v="17"/>
    <x v="0"/>
    <n v="17573828.880000003"/>
    <n v="52"/>
    <x v="0"/>
    <x v="0"/>
    <n v="51687732"/>
    <n v="1"/>
    <n v="1"/>
    <s v="Highly Concentrated"/>
    <n v="51687732"/>
    <s v="High Opportunity"/>
    <x v="0"/>
    <s v="Yes"/>
  </r>
  <r>
    <x v="28"/>
    <x v="28"/>
    <s v="Cane or beet sugar, refined"/>
    <x v="28"/>
    <x v="4"/>
    <x v="11"/>
    <s v="Refined Sugar"/>
    <s v="Beverages / Confectionery / Sauces"/>
    <x v="1"/>
    <x v="0"/>
    <x v="0"/>
    <s v="X"/>
    <x v="1"/>
    <s v="Egypt"/>
    <s v="World"/>
    <s v="TOTAL CPC"/>
    <s v="TOTAL MOT"/>
    <n v="170199"/>
    <n v="4730996"/>
    <n v="7100310"/>
    <n v="0"/>
    <n v="7100310"/>
    <s v="kg"/>
    <n v="7100310"/>
    <s v="kg"/>
    <n v="5.3992075088500962E-3"/>
    <n v="1"/>
    <x v="0"/>
    <n v="0"/>
    <n v="0"/>
    <n v="0"/>
    <n v="2.7420426655669069E-2"/>
    <n v="32"/>
    <n v="0.66630837245134367"/>
    <n v="34"/>
    <x v="0"/>
    <s v="No"/>
    <n v="76921435.099999994"/>
    <n v="51687732"/>
    <n v="7.6648679233989533E-2"/>
    <n v="17"/>
    <x v="0"/>
    <n v="17573828.880000003"/>
    <n v="52"/>
    <x v="0"/>
    <x v="0"/>
    <n v="51687732"/>
    <n v="1"/>
    <n v="1"/>
    <s v="Highly Concentrated"/>
    <n v="51687732"/>
    <s v="High Opportunity"/>
    <x v="0"/>
    <s v="Yes"/>
  </r>
  <r>
    <x v="28"/>
    <x v="28"/>
    <s v="Cane or beet sugar, refined"/>
    <x v="28"/>
    <x v="4"/>
    <x v="11"/>
    <s v="Refined Sugar"/>
    <s v="Beverages / Confectionery / Sauces"/>
    <x v="3"/>
    <x v="0"/>
    <x v="0"/>
    <s v="X"/>
    <x v="3"/>
    <s v="Egypt"/>
    <s v="World"/>
    <s v="TOTAL CPC"/>
    <s v="TOTAL MOT"/>
    <n v="170199"/>
    <n v="1320"/>
    <n v="543"/>
    <n v="0"/>
    <n v="543"/>
    <s v="kg"/>
    <n v="543"/>
    <s v="kg"/>
    <n v="6.321329281187793E-2"/>
    <n v="35"/>
    <x v="1"/>
    <n v="0.14000000000000001"/>
    <n v="184.8"/>
    <n v="76.02000000000001"/>
    <n v="2.7420426655669069E-2"/>
    <n v="480"/>
    <n v="2.430939226519337"/>
    <n v="34"/>
    <x v="0"/>
    <s v="No"/>
    <n v="76921435.099999994"/>
    <n v="51687732"/>
    <n v="7.6648679233989533E-2"/>
    <n v="17"/>
    <x v="0"/>
    <n v="17573828.880000003"/>
    <n v="52"/>
    <x v="0"/>
    <x v="0"/>
    <n v="51687732"/>
    <n v="1"/>
    <n v="1"/>
    <s v="Highly Concentrated"/>
    <n v="51687732"/>
    <s v="High Opportunity"/>
    <x v="0"/>
    <s v="No"/>
  </r>
  <r>
    <x v="28"/>
    <x v="28"/>
    <s v="Cane or beet sugar, refined"/>
    <x v="28"/>
    <x v="4"/>
    <x v="11"/>
    <s v="Refined Sugar"/>
    <s v="Beverages / Confectionery / Sauces"/>
    <x v="6"/>
    <x v="0"/>
    <x v="0"/>
    <s v="X"/>
    <x v="6"/>
    <s v="Egypt"/>
    <s v="World"/>
    <s v="TOTAL CPC"/>
    <s v="TOTAL MOT"/>
    <n v="170199"/>
    <n v="11048426"/>
    <n v="17134970"/>
    <n v="0"/>
    <n v="17134970"/>
    <s v="kg"/>
    <n v="17134970"/>
    <s v="kg"/>
    <n v="1.6951290293147386E-2"/>
    <n v="1"/>
    <x v="0"/>
    <n v="0"/>
    <n v="0"/>
    <n v="0"/>
    <n v="2.7420426655669069E-2"/>
    <n v="16"/>
    <n v="0.64478817295857538"/>
    <n v="34"/>
    <x v="0"/>
    <s v="No"/>
    <n v="76921435.099999994"/>
    <n v="51687732"/>
    <n v="7.6648679233989533E-2"/>
    <n v="17"/>
    <x v="0"/>
    <n v="17573828.880000003"/>
    <n v="52"/>
    <x v="0"/>
    <x v="0"/>
    <n v="51687732"/>
    <n v="1"/>
    <n v="1"/>
    <s v="Highly Concentrated"/>
    <n v="51687732"/>
    <s v="High Opportunity"/>
    <x v="0"/>
    <s v="Yes"/>
  </r>
  <r>
    <x v="28"/>
    <x v="28"/>
    <s v="Cane or beet sugar, refined"/>
    <x v="28"/>
    <x v="4"/>
    <x v="11"/>
    <s v="Refined Sugar"/>
    <s v="Beverages / Confectionery / Sauces"/>
    <x v="7"/>
    <x v="1"/>
    <x v="0"/>
    <s v="X"/>
    <x v="7"/>
    <s v="Egypt"/>
    <s v="World"/>
    <s v="TOTAL CPC"/>
    <s v="TOTAL MOT"/>
    <n v="170199"/>
    <n v="1294750"/>
    <n v="2494522.1"/>
    <n v="0"/>
    <n v="2494522"/>
    <s v="kg"/>
    <n v="0"/>
    <s v="N/A"/>
    <n v="1.1674623358397021E-2"/>
    <n v="7"/>
    <x v="0"/>
    <n v="0"/>
    <n v="0"/>
    <n v="0"/>
    <n v="2.7420426655669069E-2"/>
    <n v="86"/>
    <n v="0.51903729375658769"/>
    <n v="34"/>
    <x v="0"/>
    <s v="No"/>
    <n v="76921435.099999994"/>
    <n v="51687732"/>
    <n v="7.6648679233989533E-2"/>
    <n v="17"/>
    <x v="0"/>
    <n v="17573828.880000003"/>
    <n v="52"/>
    <x v="0"/>
    <x v="0"/>
    <n v="51687732"/>
    <n v="1"/>
    <n v="1"/>
    <s v="Highly Concentrated"/>
    <n v="51687732"/>
    <s v="High Opportunity"/>
    <x v="0"/>
    <s v="Yes"/>
  </r>
  <r>
    <x v="28"/>
    <x v="28"/>
    <s v="Cane or beet sugar, refined"/>
    <x v="28"/>
    <x v="4"/>
    <x v="11"/>
    <s v="Refined Sugar"/>
    <s v="Beverages / Confectionery / Sauces"/>
    <x v="49"/>
    <x v="1"/>
    <x v="0"/>
    <s v="X"/>
    <x v="49"/>
    <s v="Egypt"/>
    <s v="World"/>
    <s v="TOTAL CPC"/>
    <s v="TOTAL MOT"/>
    <n v="170199"/>
    <n v="4131"/>
    <n v="48200"/>
    <n v="0"/>
    <n v="48200"/>
    <s v="kg"/>
    <n v="48200"/>
    <s v="kg"/>
    <n v="8.2233059401702185E-6"/>
    <n v="2"/>
    <x v="0"/>
    <n v="0"/>
    <n v="0"/>
    <n v="0"/>
    <n v="2.7420426655669069E-2"/>
    <n v="447"/>
    <n v="8.5705394190871365E-2"/>
    <n v="34"/>
    <x v="0"/>
    <s v="No"/>
    <n v="76921435.099999994"/>
    <n v="51687732"/>
    <n v="7.6648679233989533E-2"/>
    <n v="17"/>
    <x v="0"/>
    <n v="17573828.880000003"/>
    <n v="52"/>
    <x v="0"/>
    <x v="0"/>
    <n v="51687732"/>
    <n v="1"/>
    <n v="1"/>
    <s v="Highly Concentrated"/>
    <n v="51687732"/>
    <s v="High Opportunity"/>
    <x v="0"/>
    <s v="Yes"/>
  </r>
  <r>
    <x v="28"/>
    <x v="28"/>
    <s v="Cane or beet sugar, refined"/>
    <x v="28"/>
    <x v="4"/>
    <x v="11"/>
    <s v="Refined Sugar"/>
    <s v="Beverages / Confectionery / Sauces"/>
    <x v="12"/>
    <x v="1"/>
    <x v="0"/>
    <s v="X"/>
    <x v="12"/>
    <s v="Egypt"/>
    <s v="World"/>
    <s v="TOTAL CPC"/>
    <s v="TOTAL MOT"/>
    <n v="170199"/>
    <n v="7600040"/>
    <n v="10416748"/>
    <n v="0"/>
    <n v="10416748"/>
    <s v="kg"/>
    <n v="10416748"/>
    <s v="kg"/>
    <n v="1.4561232389604124E-2"/>
    <n v="2"/>
    <x v="0"/>
    <n v="0"/>
    <n v="0"/>
    <n v="0"/>
    <n v="2.7420426655669069E-2"/>
    <n v="23"/>
    <n v="0.72959814329769712"/>
    <n v="34"/>
    <x v="0"/>
    <s v="No"/>
    <n v="76921435.099999994"/>
    <n v="51687732"/>
    <n v="7.6648679233989533E-2"/>
    <n v="17"/>
    <x v="0"/>
    <n v="17573828.880000003"/>
    <n v="52"/>
    <x v="0"/>
    <x v="0"/>
    <n v="51687732"/>
    <n v="1"/>
    <n v="1"/>
    <s v="Highly Concentrated"/>
    <n v="51687732"/>
    <s v="High Opportunity"/>
    <x v="0"/>
    <s v="Yes"/>
  </r>
  <r>
    <x v="28"/>
    <x v="28"/>
    <s v="Cane or beet sugar, refined"/>
    <x v="28"/>
    <x v="4"/>
    <x v="11"/>
    <s v="Refined Sugar"/>
    <s v="Beverages / Confectionery / Sauces"/>
    <x v="13"/>
    <x v="0"/>
    <x v="0"/>
    <s v="X"/>
    <x v="13"/>
    <s v="Egypt"/>
    <s v="World"/>
    <s v="TOTAL CPC"/>
    <s v="TOTAL MOT"/>
    <n v="170199"/>
    <n v="10245344"/>
    <n v="16784250"/>
    <n v="0"/>
    <n v="16784250"/>
    <s v="kg"/>
    <n v="16784250"/>
    <s v="kg"/>
    <n v="6.3855771678493602E-3"/>
    <n v="1"/>
    <x v="1"/>
    <n v="0.06"/>
    <n v="614720.64"/>
    <n v="1007055"/>
    <n v="2.7420426655669069E-2"/>
    <n v="17"/>
    <n v="0.61041416804444648"/>
    <n v="34"/>
    <x v="0"/>
    <s v="No"/>
    <n v="76921435.099999994"/>
    <n v="51687732"/>
    <n v="7.6648679233989533E-2"/>
    <n v="17"/>
    <x v="0"/>
    <n v="17573828.880000003"/>
    <n v="52"/>
    <x v="0"/>
    <x v="0"/>
    <n v="51687732"/>
    <n v="1"/>
    <n v="1"/>
    <s v="Highly Concentrated"/>
    <n v="51687732"/>
    <s v="High Opportunity"/>
    <x v="0"/>
    <s v="Yes"/>
  </r>
  <r>
    <x v="28"/>
    <x v="28"/>
    <s v="Cane or beet sugar, refined"/>
    <x v="28"/>
    <x v="4"/>
    <x v="11"/>
    <s v="Refined Sugar"/>
    <s v="Beverages / Confectionery / Sauces"/>
    <x v="14"/>
    <x v="0"/>
    <x v="0"/>
    <s v="X"/>
    <x v="14"/>
    <s v="Egypt"/>
    <s v="World"/>
    <s v="TOTAL CPC"/>
    <s v="TOTAL MOT"/>
    <n v="170199"/>
    <n v="12849626"/>
    <n v="17764842"/>
    <n v="0"/>
    <n v="17764842"/>
    <s v="kg"/>
    <n v="17764842"/>
    <s v="kg"/>
    <n v="9.709938116315122E-3"/>
    <n v="1"/>
    <x v="0"/>
    <n v="0"/>
    <n v="0"/>
    <n v="0"/>
    <n v="2.7420426655669069E-2"/>
    <n v="13"/>
    <n v="0.72331777563797073"/>
    <n v="34"/>
    <x v="0"/>
    <s v="No"/>
    <n v="76921435.099999994"/>
    <n v="51687732"/>
    <n v="7.6648679233989533E-2"/>
    <n v="17"/>
    <x v="0"/>
    <n v="17573828.880000003"/>
    <n v="52"/>
    <x v="0"/>
    <x v="0"/>
    <n v="51687732"/>
    <n v="1"/>
    <n v="1"/>
    <s v="Highly Concentrated"/>
    <n v="51687732"/>
    <s v="High Opportunity"/>
    <x v="0"/>
    <s v="Yes"/>
  </r>
  <r>
    <x v="28"/>
    <x v="28"/>
    <s v="Cane or beet sugar, refined"/>
    <x v="28"/>
    <x v="4"/>
    <x v="11"/>
    <s v="Refined Sugar"/>
    <s v="Beverages / Confectionery / Sauces"/>
    <x v="15"/>
    <x v="0"/>
    <x v="0"/>
    <s v="X"/>
    <x v="15"/>
    <s v="Egypt"/>
    <s v="World"/>
    <s v="TOTAL CPC"/>
    <s v="TOTAL MOT"/>
    <n v="170199"/>
    <n v="29"/>
    <n v="10"/>
    <n v="0"/>
    <n v="10"/>
    <s v="kg"/>
    <n v="10"/>
    <s v="kg"/>
    <n v="2.2441761060335613E-2"/>
    <n v="38"/>
    <x v="0"/>
    <n v="0"/>
    <n v="0"/>
    <n v="0"/>
    <n v="2.7420426655669069E-2"/>
    <n v="528"/>
    <n v="2.9"/>
    <n v="34"/>
    <x v="0"/>
    <s v="No"/>
    <n v="76921435.099999994"/>
    <n v="51687732"/>
    <n v="7.6648679233989533E-2"/>
    <n v="17"/>
    <x v="0"/>
    <n v="17573828.880000003"/>
    <n v="52"/>
    <x v="0"/>
    <x v="0"/>
    <n v="51687732"/>
    <n v="1"/>
    <n v="1"/>
    <s v="Highly Concentrated"/>
    <n v="51687732"/>
    <s v="High Opportunity"/>
    <x v="0"/>
    <s v="No"/>
  </r>
  <r>
    <x v="28"/>
    <x v="28"/>
    <s v="Cane or beet sugar, refined"/>
    <x v="28"/>
    <x v="4"/>
    <x v="11"/>
    <s v="Refined Sugar"/>
    <s v="Beverages / Confectionery / Sauces"/>
    <x v="20"/>
    <x v="0"/>
    <x v="0"/>
    <s v="X"/>
    <x v="20"/>
    <s v="Egypt"/>
    <s v="World"/>
    <s v="TOTAL CPC"/>
    <s v="TOTAL MOT"/>
    <n v="170199"/>
    <n v="139"/>
    <n v="18"/>
    <n v="0"/>
    <n v="18"/>
    <s v="kg"/>
    <n v="18"/>
    <s v="kg"/>
    <n v="6.110186869383482E-3"/>
    <n v="28"/>
    <x v="0"/>
    <n v="0"/>
    <n v="0"/>
    <n v="0"/>
    <n v="2.7420426655669069E-2"/>
    <n v="514"/>
    <n v="7.7222222222222223"/>
    <n v="34"/>
    <x v="0"/>
    <s v="No"/>
    <n v="76921435.099999994"/>
    <n v="51687732"/>
    <n v="7.6648679233989533E-2"/>
    <n v="17"/>
    <x v="0"/>
    <n v="17573828.880000003"/>
    <n v="52"/>
    <x v="0"/>
    <x v="0"/>
    <n v="51687732"/>
    <n v="1"/>
    <n v="1"/>
    <s v="Highly Concentrated"/>
    <n v="51687732"/>
    <s v="High Opportunity"/>
    <x v="0"/>
    <s v="No"/>
  </r>
  <r>
    <x v="28"/>
    <x v="28"/>
    <s v="Cane or beet sugar, refined"/>
    <x v="28"/>
    <x v="4"/>
    <x v="11"/>
    <s v="Refined Sugar"/>
    <s v="Beverages / Confectionery / Sauces"/>
    <x v="23"/>
    <x v="1"/>
    <x v="0"/>
    <s v="X"/>
    <x v="23"/>
    <s v="Egypt"/>
    <s v="World"/>
    <s v="TOTAL CPC"/>
    <s v="TOTAL MOT"/>
    <n v="170199"/>
    <n v="157233"/>
    <n v="82500"/>
    <n v="0"/>
    <n v="82500"/>
    <s v="kg"/>
    <n v="82500"/>
    <s v="kg"/>
    <n v="1.1630298885271862E-3"/>
    <n v="4"/>
    <x v="0"/>
    <n v="0"/>
    <n v="0"/>
    <n v="0"/>
    <n v="2.7420426655669069E-2"/>
    <n v="240"/>
    <n v="1.9058545454545455"/>
    <n v="34"/>
    <x v="0"/>
    <s v="No"/>
    <n v="76921435.099999994"/>
    <n v="51687732"/>
    <n v="7.6648679233989533E-2"/>
    <n v="17"/>
    <x v="0"/>
    <n v="17573828.880000003"/>
    <n v="52"/>
    <x v="0"/>
    <x v="0"/>
    <n v="51687732"/>
    <n v="1"/>
    <n v="1"/>
    <s v="Highly Concentrated"/>
    <n v="51687732"/>
    <s v="High Opportunity"/>
    <x v="0"/>
    <s v="Yes"/>
  </r>
  <r>
    <x v="28"/>
    <x v="28"/>
    <s v="Cane or beet sugar, refined"/>
    <x v="28"/>
    <x v="4"/>
    <x v="11"/>
    <s v="Refined Sugar"/>
    <s v="Beverages / Confectionery / Sauces"/>
    <x v="17"/>
    <x v="0"/>
    <x v="0"/>
    <s v="X"/>
    <x v="17"/>
    <s v="Egypt"/>
    <s v="World"/>
    <s v="TOTAL CPC"/>
    <s v="TOTAL MOT"/>
    <n v="170199"/>
    <n v="508499"/>
    <n v="550185"/>
    <n v="0"/>
    <n v="550185"/>
    <s v="kg"/>
    <n v="550185"/>
    <s v="kg"/>
    <n v="4.7522902002533667E-2"/>
    <n v="15"/>
    <x v="1"/>
    <n v="0.1"/>
    <n v="50849.9"/>
    <n v="55018.5"/>
    <n v="2.7420426655669069E-2"/>
    <n v="147"/>
    <n v="0.92423275807228478"/>
    <n v="34"/>
    <x v="0"/>
    <s v="No"/>
    <n v="76921435.099999994"/>
    <n v="51687732"/>
    <n v="7.6648679233989533E-2"/>
    <n v="17"/>
    <x v="0"/>
    <n v="17573828.880000003"/>
    <n v="52"/>
    <x v="0"/>
    <x v="0"/>
    <n v="51687732"/>
    <n v="1"/>
    <n v="1"/>
    <s v="Highly Concentrated"/>
    <n v="51687732"/>
    <s v="High Opportunity"/>
    <x v="0"/>
    <s v="No"/>
  </r>
  <r>
    <x v="28"/>
    <x v="28"/>
    <s v="Cane or beet sugar, refined"/>
    <x v="28"/>
    <x v="4"/>
    <x v="11"/>
    <s v="Refined Sugar"/>
    <s v="Beverages / Confectionery / Sauces"/>
    <x v="50"/>
    <x v="0"/>
    <x v="0"/>
    <s v="X"/>
    <x v="50"/>
    <s v="Egypt"/>
    <s v="World"/>
    <s v="TOTAL CPC"/>
    <s v="TOTAL MOT"/>
    <n v="170199"/>
    <n v="1605559"/>
    <n v="1597130"/>
    <n v="0"/>
    <n v="1597130"/>
    <s v="kg"/>
    <n v="1597130"/>
    <s v="kg"/>
    <n v="8.5175168453607863E-4"/>
    <n v="1"/>
    <x v="0"/>
    <n v="0"/>
    <n v="0"/>
    <n v="0"/>
    <n v="2.7420426655669069E-2"/>
    <n v="71"/>
    <n v="1.0052775916800762"/>
    <n v="34"/>
    <x v="0"/>
    <s v="No"/>
    <n v="76921435.099999994"/>
    <n v="51687732"/>
    <n v="7.6648679233989533E-2"/>
    <n v="17"/>
    <x v="0"/>
    <n v="17573828.880000003"/>
    <n v="52"/>
    <x v="0"/>
    <x v="0"/>
    <n v="51687732"/>
    <n v="1"/>
    <n v="1"/>
    <s v="Highly Concentrated"/>
    <n v="51687732"/>
    <s v="High Opportunity"/>
    <x v="0"/>
    <s v="Yes"/>
  </r>
  <r>
    <x v="28"/>
    <x v="28"/>
    <s v="Cane or beet sugar, refined"/>
    <x v="28"/>
    <x v="4"/>
    <x v="11"/>
    <s v="Refined Sugar"/>
    <s v="Beverages / Confectionery / Sauces"/>
    <x v="32"/>
    <x v="1"/>
    <x v="0"/>
    <s v="X"/>
    <x v="32"/>
    <s v="Egypt"/>
    <s v="World"/>
    <s v="TOTAL CPC"/>
    <s v="TOTAL MOT"/>
    <n v="170199"/>
    <n v="1438636"/>
    <n v="2723650"/>
    <n v="0"/>
    <n v="2723650"/>
    <s v="kg"/>
    <n v="2723650"/>
    <s v="kg"/>
    <n v="7.6648679233989533E-2"/>
    <n v="3"/>
    <x v="1"/>
    <n v="0.44999999999999996"/>
    <n v="647386.19999999995"/>
    <n v="1225642.4999999998"/>
    <n v="2.7420426655669069E-2"/>
    <n v="80"/>
    <n v="0.52820149431828611"/>
    <n v="34"/>
    <x v="0"/>
    <s v="No"/>
    <n v="76921435.099999994"/>
    <n v="51687732"/>
    <n v="7.6648679233989533E-2"/>
    <n v="17"/>
    <x v="0"/>
    <n v="17573828.880000003"/>
    <n v="52"/>
    <x v="0"/>
    <x v="0"/>
    <n v="51687732"/>
    <n v="1"/>
    <n v="1"/>
    <s v="Highly Concentrated"/>
    <n v="51687732"/>
    <s v="High Opportunity"/>
    <x v="0"/>
    <s v="Yes"/>
  </r>
  <r>
    <x v="28"/>
    <x v="28"/>
    <s v="Cane or beet sugar, refined"/>
    <x v="28"/>
    <x v="4"/>
    <x v="11"/>
    <s v="Refined Sugar"/>
    <s v="Beverages / Confectionery / Sauces"/>
    <x v="21"/>
    <x v="1"/>
    <x v="0"/>
    <s v="X"/>
    <x v="21"/>
    <s v="Egypt"/>
    <s v="World"/>
    <s v="TOTAL CPC"/>
    <s v="TOTAL MOT"/>
    <n v="170199"/>
    <n v="62260"/>
    <n v="38400"/>
    <n v="0"/>
    <n v="38400"/>
    <s v="kg"/>
    <n v="38400"/>
    <s v="kg"/>
    <n v="1.3104801671892474E-3"/>
    <n v="8"/>
    <x v="0"/>
    <n v="0"/>
    <n v="0"/>
    <n v="0"/>
    <n v="2.7420426655669069E-2"/>
    <n v="315"/>
    <n v="1.6213541666666667"/>
    <n v="34"/>
    <x v="0"/>
    <s v="No"/>
    <n v="76921435.099999994"/>
    <n v="51687732"/>
    <n v="7.6648679233989533E-2"/>
    <n v="17"/>
    <x v="0"/>
    <n v="17573828.880000003"/>
    <n v="52"/>
    <x v="0"/>
    <x v="0"/>
    <n v="51687732"/>
    <n v="1"/>
    <n v="1"/>
    <s v="Highly Concentrated"/>
    <n v="51687732"/>
    <s v="High Opportunity"/>
    <x v="0"/>
    <s v="Yes"/>
  </r>
  <r>
    <x v="28"/>
    <x v="28"/>
    <s v="Cane or beet sugar, refined"/>
    <x v="28"/>
    <x v="4"/>
    <x v="11"/>
    <s v="Refined Sugar"/>
    <s v="Beverages / Confectionery / Sauces"/>
    <x v="18"/>
    <x v="0"/>
    <x v="0"/>
    <s v="X"/>
    <x v="18"/>
    <s v="Egypt"/>
    <s v="World"/>
    <s v="TOTAL CPC"/>
    <s v="TOTAL MOT"/>
    <n v="170199"/>
    <n v="2728"/>
    <n v="1157"/>
    <n v="0"/>
    <n v="1157"/>
    <s v="kg"/>
    <n v="1157"/>
    <s v="kg"/>
    <n v="9.425427433633813E-3"/>
    <n v="27"/>
    <x v="1"/>
    <n v="4.0000000000000008E-2"/>
    <n v="109.12000000000002"/>
    <n v="46.280000000000008"/>
    <n v="2.7420426655669069E-2"/>
    <n v="463"/>
    <n v="2.3578219533275715"/>
    <n v="34"/>
    <x v="0"/>
    <s v="No"/>
    <n v="76921435.099999994"/>
    <n v="51687732"/>
    <n v="7.6648679233989533E-2"/>
    <n v="17"/>
    <x v="0"/>
    <n v="17573828.880000003"/>
    <n v="52"/>
    <x v="0"/>
    <x v="0"/>
    <n v="51687732"/>
    <n v="1"/>
    <n v="1"/>
    <s v="Highly Concentrated"/>
    <n v="51687732"/>
    <s v="High Opportunity"/>
    <x v="0"/>
    <s v="No"/>
  </r>
  <r>
    <x v="29"/>
    <x v="29"/>
    <s v="Cane sugar, raw"/>
    <x v="29"/>
    <x v="4"/>
    <x v="11"/>
    <s v="Raw Sugar Refining"/>
    <s v="Beverages / Industrial Use"/>
    <x v="49"/>
    <x v="1"/>
    <x v="0"/>
    <s v="X"/>
    <x v="49"/>
    <s v="Egypt"/>
    <s v="World"/>
    <s v="TOTAL CPC"/>
    <s v="TOTAL MOT"/>
    <n v="170113"/>
    <n v="3509"/>
    <n v="42100"/>
    <n v="0"/>
    <n v="42100"/>
    <s v="kg"/>
    <n v="42100"/>
    <s v="kg"/>
    <n v="8.2233059401702185E-6"/>
    <n v="3"/>
    <x v="0"/>
    <n v="0"/>
    <n v="0"/>
    <n v="0"/>
    <n v="2.9290056613681573E-5"/>
    <n v="453"/>
    <n v="8.334916864608076E-2"/>
    <n v="47"/>
    <x v="1"/>
    <s v="Yes"/>
    <n v="42300"/>
    <n v="55212"/>
    <n v="2.2441761060335613E-2"/>
    <n v="3"/>
    <x v="0"/>
    <n v="25949.64"/>
    <n v="534"/>
    <x v="0"/>
    <x v="0"/>
    <n v="55212"/>
    <n v="1"/>
    <n v="1"/>
    <s v="Highly Concentrated"/>
    <n v="55212"/>
    <s v="Routine Market"/>
    <x v="0"/>
    <s v="Yes"/>
  </r>
  <r>
    <x v="29"/>
    <x v="29"/>
    <s v="Cane sugar, raw"/>
    <x v="29"/>
    <x v="4"/>
    <x v="11"/>
    <s v="Raw Sugar Refining"/>
    <s v="Beverages / Industrial Use"/>
    <x v="51"/>
    <x v="0"/>
    <x v="0"/>
    <s v="X"/>
    <x v="51"/>
    <s v="Egypt"/>
    <s v="World"/>
    <s v="TOTAL CPC"/>
    <s v="TOTAL MOT"/>
    <n v="170113"/>
    <n v="51529"/>
    <n v="0"/>
    <n v="0"/>
    <n v="44209"/>
    <s v="kg"/>
    <n v="44209"/>
    <s v="kg"/>
    <n v="2.733621906915884E-5"/>
    <n v="1"/>
    <x v="0"/>
    <n v="0"/>
    <n v="0"/>
    <n v="0"/>
    <n v="2.9290056613681573E-5"/>
    <n v="322"/>
    <n v="0"/>
    <n v="47"/>
    <x v="1"/>
    <s v="Yes"/>
    <n v="42300"/>
    <n v="55212"/>
    <n v="2.2441761060335613E-2"/>
    <n v="3"/>
    <x v="0"/>
    <n v="25949.64"/>
    <n v="534"/>
    <x v="0"/>
    <x v="0"/>
    <n v="55212"/>
    <n v="1"/>
    <n v="1"/>
    <s v="Highly Concentrated"/>
    <n v="55212"/>
    <s v="Routine Market"/>
    <x v="0"/>
    <s v="Yes"/>
  </r>
  <r>
    <x v="29"/>
    <x v="29"/>
    <s v="Cane sugar, raw"/>
    <x v="29"/>
    <x v="4"/>
    <x v="11"/>
    <s v="Raw Sugar Refining"/>
    <s v="Beverages / Industrial Use"/>
    <x v="15"/>
    <x v="0"/>
    <x v="0"/>
    <s v="X"/>
    <x v="15"/>
    <s v="Egypt"/>
    <s v="World"/>
    <s v="TOTAL CPC"/>
    <s v="TOTAL MOT"/>
    <n v="170113"/>
    <n v="174"/>
    <n v="200"/>
    <n v="0"/>
    <n v="200"/>
    <s v="kg"/>
    <n v="200"/>
    <s v="kg"/>
    <n v="2.2441761060335613E-2"/>
    <n v="37"/>
    <x v="0"/>
    <n v="0"/>
    <n v="0"/>
    <n v="0"/>
    <n v="2.9290056613681573E-5"/>
    <n v="510"/>
    <n v="0.87"/>
    <n v="47"/>
    <x v="1"/>
    <s v="Yes"/>
    <n v="42300"/>
    <n v="55212"/>
    <n v="2.2441761060335613E-2"/>
    <n v="3"/>
    <x v="0"/>
    <n v="25949.64"/>
    <n v="534"/>
    <x v="0"/>
    <x v="0"/>
    <n v="55212"/>
    <n v="1"/>
    <n v="1"/>
    <s v="Highly Concentrated"/>
    <n v="55212"/>
    <s v="Routine Market"/>
    <x v="0"/>
    <s v="No"/>
  </r>
  <r>
    <x v="30"/>
    <x v="30"/>
    <s v="Wheat flour"/>
    <x v="30"/>
    <x v="5"/>
    <x v="16"/>
    <s v="Milled Wheat Flour"/>
    <s v="Bakery / Noodles / Sauces"/>
    <x v="1"/>
    <x v="0"/>
    <x v="0"/>
    <s v="X"/>
    <x v="1"/>
    <s v="Egypt"/>
    <s v="World"/>
    <s v="TOTAL CPC"/>
    <s v="TOTAL MOT"/>
    <n v="110100"/>
    <n v="567"/>
    <n v="591.79999999999995"/>
    <n v="0"/>
    <n v="592"/>
    <s v="kg"/>
    <n v="0"/>
    <s v="N/A"/>
    <n v="5.3992075088500962E-3"/>
    <n v="24"/>
    <x v="0"/>
    <n v="0"/>
    <n v="0"/>
    <n v="0"/>
    <n v="6.9002247674976556E-3"/>
    <n v="496"/>
    <n v="0.95809395065900649"/>
    <n v="34"/>
    <x v="0"/>
    <s v="No"/>
    <n v="26881115.800000001"/>
    <n v="13006981"/>
    <n v="6.321329281187793E-2"/>
    <n v="12"/>
    <x v="0"/>
    <n v="4422373.54"/>
    <n v="197"/>
    <x v="0"/>
    <x v="0"/>
    <n v="13006981"/>
    <n v="1"/>
    <n v="1"/>
    <s v="Highly Concentrated"/>
    <n v="13006981"/>
    <s v="Medium Opportunity"/>
    <x v="0"/>
    <s v="No"/>
  </r>
  <r>
    <x v="30"/>
    <x v="30"/>
    <s v="Wheat flour"/>
    <x v="30"/>
    <x v="5"/>
    <x v="16"/>
    <s v="Milled Wheat Flour"/>
    <s v="Bakery / Noodles / Sauces"/>
    <x v="24"/>
    <x v="1"/>
    <x v="0"/>
    <s v="X"/>
    <x v="24"/>
    <s v="Egypt"/>
    <s v="World"/>
    <s v="TOTAL CPC"/>
    <s v="TOTAL MOT"/>
    <n v="110100"/>
    <n v="132"/>
    <n v="50"/>
    <n v="0"/>
    <n v="50"/>
    <s v="kg"/>
    <n v="50"/>
    <s v="kg"/>
    <n v="1.3771095818184687E-3"/>
    <n v="3"/>
    <x v="0"/>
    <n v="0"/>
    <n v="0"/>
    <n v="0"/>
    <n v="6.9002247674976556E-3"/>
    <n v="515"/>
    <n v="2.64"/>
    <n v="34"/>
    <x v="0"/>
    <s v="No"/>
    <n v="26881115.800000001"/>
    <n v="13006981"/>
    <n v="6.321329281187793E-2"/>
    <n v="12"/>
    <x v="0"/>
    <n v="4422373.54"/>
    <n v="197"/>
    <x v="0"/>
    <x v="0"/>
    <n v="13006981"/>
    <n v="1"/>
    <n v="1"/>
    <s v="Highly Concentrated"/>
    <n v="13006981"/>
    <s v="Medium Opportunity"/>
    <x v="0"/>
    <s v="Yes"/>
  </r>
  <r>
    <x v="30"/>
    <x v="30"/>
    <s v="Wheat flour"/>
    <x v="30"/>
    <x v="5"/>
    <x v="16"/>
    <s v="Milled Wheat Flour"/>
    <s v="Bakery / Noodles / Sauces"/>
    <x v="3"/>
    <x v="0"/>
    <x v="0"/>
    <s v="X"/>
    <x v="3"/>
    <s v="Egypt"/>
    <s v="World"/>
    <s v="TOTAL CPC"/>
    <s v="TOTAL MOT"/>
    <n v="110100"/>
    <n v="296191"/>
    <n v="450000"/>
    <n v="0"/>
    <n v="450000"/>
    <s v="kg"/>
    <n v="450000"/>
    <s v="kg"/>
    <n v="6.321329281187793E-2"/>
    <n v="24"/>
    <x v="1"/>
    <n v="0.14000000000000001"/>
    <n v="41466.740000000005"/>
    <n v="63000.000000000007"/>
    <n v="6.9002247674976556E-3"/>
    <n v="191"/>
    <n v="0.65820222222222224"/>
    <n v="34"/>
    <x v="0"/>
    <s v="No"/>
    <n v="26881115.800000001"/>
    <n v="13006981"/>
    <n v="6.321329281187793E-2"/>
    <n v="12"/>
    <x v="0"/>
    <n v="4422373.54"/>
    <n v="197"/>
    <x v="0"/>
    <x v="0"/>
    <n v="13006981"/>
    <n v="1"/>
    <n v="1"/>
    <s v="Highly Concentrated"/>
    <n v="13006981"/>
    <s v="Medium Opportunity"/>
    <x v="0"/>
    <s v="No"/>
  </r>
  <r>
    <x v="30"/>
    <x v="30"/>
    <s v="Wheat flour"/>
    <x v="30"/>
    <x v="5"/>
    <x v="16"/>
    <s v="Milled Wheat Flour"/>
    <s v="Bakery / Noodles / Sauces"/>
    <x v="52"/>
    <x v="0"/>
    <x v="0"/>
    <s v="X"/>
    <x v="52"/>
    <s v="Egypt"/>
    <s v="World"/>
    <s v="TOTAL CPC"/>
    <s v="TOTAL MOT"/>
    <n v="110100"/>
    <n v="159381"/>
    <n v="400000"/>
    <n v="0"/>
    <n v="400000"/>
    <s v="kg"/>
    <n v="400000"/>
    <s v="kg"/>
    <n v="8.4551882075367362E-5"/>
    <n v="1"/>
    <x v="0"/>
    <n v="0"/>
    <n v="0"/>
    <n v="0"/>
    <n v="6.9002247674976556E-3"/>
    <n v="238"/>
    <n v="0.39845249999999999"/>
    <n v="34"/>
    <x v="0"/>
    <s v="No"/>
    <n v="26881115.800000001"/>
    <n v="13006981"/>
    <n v="6.321329281187793E-2"/>
    <n v="12"/>
    <x v="0"/>
    <n v="4422373.54"/>
    <n v="197"/>
    <x v="0"/>
    <x v="0"/>
    <n v="13006981"/>
    <n v="1"/>
    <n v="1"/>
    <s v="Highly Concentrated"/>
    <n v="13006981"/>
    <s v="Medium Opportunity"/>
    <x v="0"/>
    <s v="Yes"/>
  </r>
  <r>
    <x v="30"/>
    <x v="30"/>
    <s v="Wheat flour"/>
    <x v="30"/>
    <x v="5"/>
    <x v="16"/>
    <s v="Milled Wheat Flour"/>
    <s v="Bakery / Noodles / Sauces"/>
    <x v="53"/>
    <x v="0"/>
    <x v="0"/>
    <s v="X"/>
    <x v="53"/>
    <s v="Egypt"/>
    <s v="World"/>
    <s v="TOTAL CPC"/>
    <s v="TOTAL MOT"/>
    <n v="110100"/>
    <n v="24135"/>
    <n v="54128"/>
    <n v="0"/>
    <n v="54128"/>
    <s v="kg"/>
    <n v="54128"/>
    <s v="kg"/>
    <n v="1.2803657110251482E-5"/>
    <n v="1"/>
    <x v="0"/>
    <n v="0"/>
    <n v="0"/>
    <n v="0"/>
    <n v="6.9002247674976556E-3"/>
    <n v="370"/>
    <n v="0.44588752586461722"/>
    <n v="34"/>
    <x v="0"/>
    <s v="No"/>
    <n v="26881115.800000001"/>
    <n v="13006981"/>
    <n v="6.321329281187793E-2"/>
    <n v="12"/>
    <x v="0"/>
    <n v="4422373.54"/>
    <n v="197"/>
    <x v="0"/>
    <x v="0"/>
    <n v="13006981"/>
    <n v="1"/>
    <n v="1"/>
    <s v="Highly Concentrated"/>
    <n v="13006981"/>
    <s v="Medium Opportunity"/>
    <x v="0"/>
    <s v="Yes"/>
  </r>
  <r>
    <x v="30"/>
    <x v="30"/>
    <s v="Wheat flour"/>
    <x v="30"/>
    <x v="5"/>
    <x v="16"/>
    <s v="Milled Wheat Flour"/>
    <s v="Bakery / Noodles / Sauces"/>
    <x v="6"/>
    <x v="1"/>
    <x v="0"/>
    <s v="X"/>
    <x v="6"/>
    <s v="Egypt"/>
    <s v="World"/>
    <s v="TOTAL CPC"/>
    <s v="TOTAL MOT"/>
    <n v="110100"/>
    <n v="726930"/>
    <n v="820466"/>
    <n v="0"/>
    <n v="820466"/>
    <s v="kg"/>
    <n v="820466"/>
    <s v="kg"/>
    <n v="1.6951290293147386E-2"/>
    <n v="8"/>
    <x v="0"/>
    <n v="0"/>
    <n v="0"/>
    <n v="0"/>
    <n v="6.9002247674976556E-3"/>
    <n v="120"/>
    <n v="0.88599649467497743"/>
    <n v="34"/>
    <x v="0"/>
    <s v="No"/>
    <n v="26881115.800000001"/>
    <n v="13006981"/>
    <n v="6.321329281187793E-2"/>
    <n v="12"/>
    <x v="0"/>
    <n v="4422373.54"/>
    <n v="197"/>
    <x v="0"/>
    <x v="0"/>
    <n v="13006981"/>
    <n v="1"/>
    <n v="1"/>
    <s v="Highly Concentrated"/>
    <n v="13006981"/>
    <s v="Medium Opportunity"/>
    <x v="0"/>
    <s v="Yes"/>
  </r>
  <r>
    <x v="30"/>
    <x v="30"/>
    <s v="Wheat flour"/>
    <x v="30"/>
    <x v="5"/>
    <x v="16"/>
    <s v="Milled Wheat Flour"/>
    <s v="Bakery / Noodles / Sauces"/>
    <x v="7"/>
    <x v="0"/>
    <x v="0"/>
    <s v="X"/>
    <x v="7"/>
    <s v="Egypt"/>
    <s v="World"/>
    <s v="TOTAL CPC"/>
    <s v="TOTAL MOT"/>
    <n v="110100"/>
    <n v="637"/>
    <n v="1045"/>
    <n v="0"/>
    <n v="1045"/>
    <s v="kg"/>
    <n v="1045"/>
    <s v="kg"/>
    <n v="1.1674623358397021E-2"/>
    <n v="32"/>
    <x v="0"/>
    <n v="0"/>
    <n v="0"/>
    <n v="0"/>
    <n v="6.9002247674976556E-3"/>
    <n v="493"/>
    <n v="0.60956937799043065"/>
    <n v="34"/>
    <x v="0"/>
    <s v="No"/>
    <n v="26881115.800000001"/>
    <n v="13006981"/>
    <n v="6.321329281187793E-2"/>
    <n v="12"/>
    <x v="0"/>
    <n v="4422373.54"/>
    <n v="197"/>
    <x v="0"/>
    <x v="0"/>
    <n v="13006981"/>
    <n v="1"/>
    <n v="1"/>
    <s v="Highly Concentrated"/>
    <n v="13006981"/>
    <s v="Medium Opportunity"/>
    <x v="0"/>
    <s v="No"/>
  </r>
  <r>
    <x v="30"/>
    <x v="30"/>
    <s v="Wheat flour"/>
    <x v="30"/>
    <x v="5"/>
    <x v="16"/>
    <s v="Milled Wheat Flour"/>
    <s v="Bakery / Noodles / Sauces"/>
    <x v="9"/>
    <x v="1"/>
    <x v="0"/>
    <s v="X"/>
    <x v="9"/>
    <s v="Egypt"/>
    <s v="World"/>
    <s v="TOTAL CPC"/>
    <s v="TOTAL MOT"/>
    <n v="110100"/>
    <n v="681544"/>
    <n v="943435"/>
    <n v="0"/>
    <n v="943435"/>
    <s v="kg"/>
    <n v="943435"/>
    <s v="kg"/>
    <n v="1.1178535358665947E-2"/>
    <n v="5"/>
    <x v="0"/>
    <n v="0"/>
    <n v="0"/>
    <n v="0"/>
    <n v="6.9002247674976556E-3"/>
    <n v="129"/>
    <n v="0.72240694907439307"/>
    <n v="34"/>
    <x v="0"/>
    <s v="No"/>
    <n v="26881115.800000001"/>
    <n v="13006981"/>
    <n v="6.321329281187793E-2"/>
    <n v="12"/>
    <x v="0"/>
    <n v="4422373.54"/>
    <n v="197"/>
    <x v="0"/>
    <x v="0"/>
    <n v="13006981"/>
    <n v="1"/>
    <n v="1"/>
    <s v="Highly Concentrated"/>
    <n v="13006981"/>
    <s v="Medium Opportunity"/>
    <x v="0"/>
    <s v="Yes"/>
  </r>
  <r>
    <x v="30"/>
    <x v="30"/>
    <s v="Wheat flour"/>
    <x v="30"/>
    <x v="5"/>
    <x v="16"/>
    <s v="Milled Wheat Flour"/>
    <s v="Bakery / Noodles / Sauces"/>
    <x v="46"/>
    <x v="1"/>
    <x v="0"/>
    <s v="X"/>
    <x v="46"/>
    <s v="Egypt"/>
    <s v="World"/>
    <s v="TOTAL CPC"/>
    <s v="TOTAL MOT"/>
    <n v="110100"/>
    <n v="1731"/>
    <n v="2250"/>
    <n v="0"/>
    <n v="2250"/>
    <s v="kg"/>
    <n v="2250"/>
    <s v="kg"/>
    <n v="1.9736783059034436E-5"/>
    <n v="2"/>
    <x v="0"/>
    <n v="0"/>
    <n v="0"/>
    <n v="0"/>
    <n v="6.9002247674976556E-3"/>
    <n v="473"/>
    <n v="0.76933333333333331"/>
    <n v="34"/>
    <x v="0"/>
    <s v="No"/>
    <n v="26881115.800000001"/>
    <n v="13006981"/>
    <n v="6.321329281187793E-2"/>
    <n v="12"/>
    <x v="0"/>
    <n v="4422373.54"/>
    <n v="197"/>
    <x v="0"/>
    <x v="0"/>
    <n v="13006981"/>
    <n v="1"/>
    <n v="1"/>
    <s v="Highly Concentrated"/>
    <n v="13006981"/>
    <s v="Medium Opportunity"/>
    <x v="0"/>
    <s v="Yes"/>
  </r>
  <r>
    <x v="30"/>
    <x v="30"/>
    <s v="Wheat flour"/>
    <x v="30"/>
    <x v="5"/>
    <x v="16"/>
    <s v="Milled Wheat Flour"/>
    <s v="Bakery / Noodles / Sauces"/>
    <x v="19"/>
    <x v="1"/>
    <x v="0"/>
    <s v="X"/>
    <x v="19"/>
    <s v="Egypt"/>
    <s v="World"/>
    <s v="TOTAL CPC"/>
    <s v="TOTAL MOT"/>
    <n v="110100"/>
    <n v="131"/>
    <n v="50"/>
    <n v="0"/>
    <n v="50"/>
    <s v="kg"/>
    <n v="50"/>
    <s v="kg"/>
    <n v="1.4429559760252854E-3"/>
    <n v="7"/>
    <x v="0"/>
    <n v="0"/>
    <n v="0"/>
    <n v="0"/>
    <n v="6.9002247674976556E-3"/>
    <n v="516"/>
    <n v="2.62"/>
    <n v="34"/>
    <x v="0"/>
    <s v="No"/>
    <n v="26881115.800000001"/>
    <n v="13006981"/>
    <n v="6.321329281187793E-2"/>
    <n v="12"/>
    <x v="0"/>
    <n v="4422373.54"/>
    <n v="197"/>
    <x v="0"/>
    <x v="0"/>
    <n v="13006981"/>
    <n v="1"/>
    <n v="1"/>
    <s v="Highly Concentrated"/>
    <n v="13006981"/>
    <s v="Medium Opportunity"/>
    <x v="0"/>
    <s v="Yes"/>
  </r>
  <r>
    <x v="30"/>
    <x v="30"/>
    <s v="Wheat flour"/>
    <x v="30"/>
    <x v="5"/>
    <x v="16"/>
    <s v="Milled Wheat Flour"/>
    <s v="Bakery / Noodles / Sauces"/>
    <x v="47"/>
    <x v="0"/>
    <x v="0"/>
    <s v="X"/>
    <x v="47"/>
    <s v="Egypt"/>
    <s v="World"/>
    <s v="TOTAL CPC"/>
    <s v="TOTAL MOT"/>
    <n v="110100"/>
    <n v="37484"/>
    <n v="189700"/>
    <n v="0"/>
    <n v="189700"/>
    <s v="kg"/>
    <n v="189700"/>
    <s v="kg"/>
    <n v="2.02736507199242E-5"/>
    <n v="1"/>
    <x v="0"/>
    <n v="0"/>
    <n v="0"/>
    <n v="0"/>
    <n v="6.9002247674976556E-3"/>
    <n v="335"/>
    <n v="0.1975962045334739"/>
    <n v="34"/>
    <x v="0"/>
    <s v="No"/>
    <n v="26881115.800000001"/>
    <n v="13006981"/>
    <n v="6.321329281187793E-2"/>
    <n v="12"/>
    <x v="0"/>
    <n v="4422373.54"/>
    <n v="197"/>
    <x v="0"/>
    <x v="0"/>
    <n v="13006981"/>
    <n v="1"/>
    <n v="1"/>
    <s v="Highly Concentrated"/>
    <n v="13006981"/>
    <s v="Medium Opportunity"/>
    <x v="0"/>
    <s v="Yes"/>
  </r>
  <r>
    <x v="30"/>
    <x v="30"/>
    <s v="Wheat flour"/>
    <x v="30"/>
    <x v="5"/>
    <x v="16"/>
    <s v="Milled Wheat Flour"/>
    <s v="Bakery / Noodles / Sauces"/>
    <x v="17"/>
    <x v="1"/>
    <x v="0"/>
    <s v="X"/>
    <x v="17"/>
    <s v="Egypt"/>
    <s v="World"/>
    <s v="TOTAL CPC"/>
    <s v="TOTAL MOT"/>
    <n v="110100"/>
    <n v="11078118"/>
    <n v="24019400"/>
    <n v="0"/>
    <n v="24019400"/>
    <s v="kg"/>
    <n v="24019400"/>
    <s v="kg"/>
    <n v="4.7522902002533667E-2"/>
    <n v="3"/>
    <x v="1"/>
    <n v="0.1"/>
    <n v="1107811.8"/>
    <n v="2401940"/>
    <n v="6.9002247674976556E-3"/>
    <n v="15"/>
    <n v="0.46121543419069583"/>
    <n v="34"/>
    <x v="0"/>
    <s v="No"/>
    <n v="26881115.800000001"/>
    <n v="13006981"/>
    <n v="6.321329281187793E-2"/>
    <n v="12"/>
    <x v="0"/>
    <n v="4422373.54"/>
    <n v="197"/>
    <x v="0"/>
    <x v="0"/>
    <n v="13006981"/>
    <n v="1"/>
    <n v="1"/>
    <s v="Highly Concentrated"/>
    <n v="13006981"/>
    <s v="Medium Opportunity"/>
    <x v="0"/>
    <s v="Yes"/>
  </r>
  <r>
    <x v="31"/>
    <x v="31"/>
    <s v="Maize (corn) starch"/>
    <x v="31"/>
    <x v="0"/>
    <x v="17"/>
    <s v="Native Corn Starch"/>
    <s v="Sauces / Dairy / Confectionery"/>
    <x v="1"/>
    <x v="0"/>
    <x v="0"/>
    <s v="X"/>
    <x v="1"/>
    <s v="Egypt"/>
    <s v="World"/>
    <s v="TOTAL CPC"/>
    <s v="TOTAL MOT"/>
    <n v="110812"/>
    <n v="15513"/>
    <n v="21000"/>
    <n v="0"/>
    <n v="21000"/>
    <s v="kg"/>
    <n v="21000"/>
    <s v="kg"/>
    <n v="5.3992075088500962E-3"/>
    <n v="18"/>
    <x v="0"/>
    <n v="0"/>
    <n v="0"/>
    <n v="0"/>
    <n v="1.6194193894443242E-3"/>
    <n v="392"/>
    <n v="0.73871428571428577"/>
    <n v="34"/>
    <x v="0"/>
    <s v="No"/>
    <n v="7001540"/>
    <n v="3052619"/>
    <n v="6.321329281187793E-2"/>
    <n v="12"/>
    <x v="0"/>
    <n v="1037890.4600000001"/>
    <n v="442"/>
    <x v="0"/>
    <x v="0"/>
    <n v="3052619"/>
    <n v="1"/>
    <n v="1"/>
    <s v="Highly Concentrated"/>
    <n v="3052619"/>
    <s v="Routine Market"/>
    <x v="0"/>
    <s v="No"/>
  </r>
  <r>
    <x v="31"/>
    <x v="31"/>
    <s v="Maize (corn) starch"/>
    <x v="31"/>
    <x v="0"/>
    <x v="17"/>
    <s v="Native Corn Starch"/>
    <s v="Sauces / Dairy / Confectionery"/>
    <x v="35"/>
    <x v="1"/>
    <x v="0"/>
    <s v="X"/>
    <x v="35"/>
    <s v="Egypt"/>
    <s v="World"/>
    <s v="TOTAL CPC"/>
    <s v="TOTAL MOT"/>
    <n v="110812"/>
    <n v="194079"/>
    <n v="460000"/>
    <n v="0"/>
    <n v="460000"/>
    <s v="kg"/>
    <n v="460000"/>
    <s v="kg"/>
    <n v="5.4237925464080154E-3"/>
    <n v="5"/>
    <x v="0"/>
    <n v="0"/>
    <n v="0"/>
    <n v="0"/>
    <n v="1.6194193894443242E-3"/>
    <n v="222"/>
    <n v="0.42191086956521739"/>
    <n v="34"/>
    <x v="0"/>
    <s v="No"/>
    <n v="7001540"/>
    <n v="3052619"/>
    <n v="6.321329281187793E-2"/>
    <n v="12"/>
    <x v="0"/>
    <n v="1037890.4600000001"/>
    <n v="442"/>
    <x v="0"/>
    <x v="0"/>
    <n v="3052619"/>
    <n v="1"/>
    <n v="1"/>
    <s v="Highly Concentrated"/>
    <n v="3052619"/>
    <s v="Routine Market"/>
    <x v="0"/>
    <s v="Yes"/>
  </r>
  <r>
    <x v="31"/>
    <x v="31"/>
    <s v="Maize (corn) starch"/>
    <x v="31"/>
    <x v="0"/>
    <x v="17"/>
    <s v="Native Corn Starch"/>
    <s v="Sauces / Dairy / Confectionery"/>
    <x v="3"/>
    <x v="0"/>
    <x v="0"/>
    <s v="X"/>
    <x v="3"/>
    <s v="Egypt"/>
    <s v="World"/>
    <s v="TOTAL CPC"/>
    <s v="TOTAL MOT"/>
    <n v="110812"/>
    <n v="7449"/>
    <n v="19500"/>
    <n v="0"/>
    <n v="19500"/>
    <s v="kg"/>
    <n v="19500"/>
    <s v="kg"/>
    <n v="6.321329281187793E-2"/>
    <n v="33"/>
    <x v="1"/>
    <n v="0.14000000000000001"/>
    <n v="1042.8600000000001"/>
    <n v="2730.0000000000005"/>
    <n v="1.6194193894443242E-3"/>
    <n v="424"/>
    <n v="0.38200000000000001"/>
    <n v="34"/>
    <x v="0"/>
    <s v="No"/>
    <n v="7001540"/>
    <n v="3052619"/>
    <n v="6.321329281187793E-2"/>
    <n v="12"/>
    <x v="0"/>
    <n v="1037890.4600000001"/>
    <n v="442"/>
    <x v="0"/>
    <x v="0"/>
    <n v="3052619"/>
    <n v="1"/>
    <n v="1"/>
    <s v="Highly Concentrated"/>
    <n v="3052619"/>
    <s v="Routine Market"/>
    <x v="0"/>
    <s v="No"/>
  </r>
  <r>
    <x v="31"/>
    <x v="31"/>
    <s v="Maize (corn) starch"/>
    <x v="31"/>
    <x v="0"/>
    <x v="17"/>
    <s v="Native Corn Starch"/>
    <s v="Sauces / Dairy / Confectionery"/>
    <x v="6"/>
    <x v="0"/>
    <x v="0"/>
    <s v="X"/>
    <x v="6"/>
    <s v="Egypt"/>
    <s v="World"/>
    <s v="TOTAL CPC"/>
    <s v="TOTAL MOT"/>
    <n v="110812"/>
    <n v="9457"/>
    <n v="3464"/>
    <n v="0"/>
    <n v="3464"/>
    <s v="kg"/>
    <n v="3464"/>
    <s v="kg"/>
    <n v="1.6951290293147386E-2"/>
    <n v="28"/>
    <x v="0"/>
    <n v="0"/>
    <n v="0"/>
    <n v="0"/>
    <n v="1.6194193894443242E-3"/>
    <n v="416"/>
    <n v="2.7300808314087761"/>
    <n v="34"/>
    <x v="0"/>
    <s v="No"/>
    <n v="7001540"/>
    <n v="3052619"/>
    <n v="6.321329281187793E-2"/>
    <n v="12"/>
    <x v="0"/>
    <n v="1037890.4600000001"/>
    <n v="442"/>
    <x v="0"/>
    <x v="0"/>
    <n v="3052619"/>
    <n v="1"/>
    <n v="1"/>
    <s v="Highly Concentrated"/>
    <n v="3052619"/>
    <s v="Routine Market"/>
    <x v="0"/>
    <s v="No"/>
  </r>
  <r>
    <x v="31"/>
    <x v="31"/>
    <s v="Maize (corn) starch"/>
    <x v="31"/>
    <x v="0"/>
    <x v="17"/>
    <s v="Native Corn Starch"/>
    <s v="Sauces / Dairy / Confectionery"/>
    <x v="54"/>
    <x v="0"/>
    <x v="0"/>
    <s v="X"/>
    <x v="54"/>
    <s v="Egypt"/>
    <s v="World"/>
    <s v="TOTAL CPC"/>
    <s v="TOTAL MOT"/>
    <n v="110812"/>
    <n v="21000"/>
    <n v="25875"/>
    <n v="0"/>
    <n v="25875"/>
    <s v="kg"/>
    <n v="25875"/>
    <s v="kg"/>
    <n v="1.1140534465103837E-5"/>
    <n v="1"/>
    <x v="1"/>
    <n v="0.44999999999999996"/>
    <n v="9449.9999999999982"/>
    <n v="11643.749999999998"/>
    <n v="1.6194193894443242E-3"/>
    <n v="376"/>
    <n v="0.81159420289855078"/>
    <n v="34"/>
    <x v="0"/>
    <s v="No"/>
    <n v="7001540"/>
    <n v="3052619"/>
    <n v="6.321329281187793E-2"/>
    <n v="12"/>
    <x v="0"/>
    <n v="1037890.4600000001"/>
    <n v="442"/>
    <x v="0"/>
    <x v="0"/>
    <n v="3052619"/>
    <n v="1"/>
    <n v="1"/>
    <s v="Highly Concentrated"/>
    <n v="3052619"/>
    <s v="Routine Market"/>
    <x v="0"/>
    <s v="Yes"/>
  </r>
  <r>
    <x v="31"/>
    <x v="31"/>
    <s v="Maize (corn) starch"/>
    <x v="31"/>
    <x v="0"/>
    <x v="17"/>
    <s v="Native Corn Starch"/>
    <s v="Sauces / Dairy / Confectionery"/>
    <x v="12"/>
    <x v="0"/>
    <x v="0"/>
    <s v="X"/>
    <x v="12"/>
    <s v="Egypt"/>
    <s v="World"/>
    <s v="TOTAL CPC"/>
    <s v="TOTAL MOT"/>
    <n v="110812"/>
    <n v="143832"/>
    <n v="79681"/>
    <n v="0"/>
    <n v="79681"/>
    <s v="kg"/>
    <n v="79681"/>
    <s v="kg"/>
    <n v="1.4561232389604124E-2"/>
    <n v="13"/>
    <x v="0"/>
    <n v="0"/>
    <n v="0"/>
    <n v="0"/>
    <n v="1.6194193894443242E-3"/>
    <n v="250"/>
    <n v="1.8050978275875051"/>
    <n v="34"/>
    <x v="0"/>
    <s v="No"/>
    <n v="7001540"/>
    <n v="3052619"/>
    <n v="6.321329281187793E-2"/>
    <n v="12"/>
    <x v="0"/>
    <n v="1037890.4600000001"/>
    <n v="442"/>
    <x v="0"/>
    <x v="0"/>
    <n v="3052619"/>
    <n v="1"/>
    <n v="1"/>
    <s v="Highly Concentrated"/>
    <n v="3052619"/>
    <s v="Routine Market"/>
    <x v="0"/>
    <s v="No"/>
  </r>
  <r>
    <x v="31"/>
    <x v="31"/>
    <s v="Maize (corn) starch"/>
    <x v="31"/>
    <x v="0"/>
    <x v="17"/>
    <s v="Native Corn Starch"/>
    <s v="Sauces / Dairy / Confectionery"/>
    <x v="29"/>
    <x v="1"/>
    <x v="0"/>
    <s v="X"/>
    <x v="29"/>
    <s v="Egypt"/>
    <s v="World"/>
    <s v="TOTAL CPC"/>
    <s v="TOTAL MOT"/>
    <n v="110812"/>
    <n v="6221"/>
    <n v="10000"/>
    <n v="0"/>
    <n v="10000"/>
    <s v="kg"/>
    <n v="10000"/>
    <s v="kg"/>
    <n v="3.82286909668397E-4"/>
    <n v="4"/>
    <x v="0"/>
    <n v="0"/>
    <n v="0"/>
    <n v="0"/>
    <n v="1.6194193894443242E-3"/>
    <n v="431"/>
    <n v="0.62209999999999999"/>
    <n v="34"/>
    <x v="0"/>
    <s v="No"/>
    <n v="7001540"/>
    <n v="3052619"/>
    <n v="6.321329281187793E-2"/>
    <n v="12"/>
    <x v="0"/>
    <n v="1037890.4600000001"/>
    <n v="442"/>
    <x v="0"/>
    <x v="0"/>
    <n v="3052619"/>
    <n v="1"/>
    <n v="1"/>
    <s v="Highly Concentrated"/>
    <n v="3052619"/>
    <s v="Routine Market"/>
    <x v="0"/>
    <s v="Yes"/>
  </r>
  <r>
    <x v="31"/>
    <x v="31"/>
    <s v="Maize (corn) starch"/>
    <x v="31"/>
    <x v="0"/>
    <x v="17"/>
    <s v="Native Corn Starch"/>
    <s v="Sauces / Dairy / Confectionery"/>
    <x v="55"/>
    <x v="0"/>
    <x v="0"/>
    <s v="X"/>
    <x v="55"/>
    <s v="Egypt"/>
    <s v="World"/>
    <s v="TOTAL CPC"/>
    <s v="TOTAL MOT"/>
    <n v="110812"/>
    <n v="74524"/>
    <n v="200000"/>
    <n v="0"/>
    <n v="200000"/>
    <s v="kg"/>
    <n v="200000"/>
    <s v="kg"/>
    <n v="3.953510430844754E-5"/>
    <n v="1"/>
    <x v="0"/>
    <n v="0"/>
    <n v="0"/>
    <n v="0"/>
    <n v="1.6194193894443242E-3"/>
    <n v="300"/>
    <n v="0.37262000000000001"/>
    <n v="34"/>
    <x v="0"/>
    <s v="No"/>
    <n v="7001540"/>
    <n v="3052619"/>
    <n v="6.321329281187793E-2"/>
    <n v="12"/>
    <x v="0"/>
    <n v="1037890.4600000001"/>
    <n v="442"/>
    <x v="0"/>
    <x v="0"/>
    <n v="3052619"/>
    <n v="1"/>
    <n v="1"/>
    <s v="Highly Concentrated"/>
    <n v="3052619"/>
    <s v="Routine Market"/>
    <x v="0"/>
    <s v="Yes"/>
  </r>
  <r>
    <x v="31"/>
    <x v="31"/>
    <s v="Maize (corn) starch"/>
    <x v="31"/>
    <x v="0"/>
    <x v="17"/>
    <s v="Native Corn Starch"/>
    <s v="Sauces / Dairy / Confectionery"/>
    <x v="15"/>
    <x v="0"/>
    <x v="0"/>
    <s v="X"/>
    <x v="15"/>
    <s v="Egypt"/>
    <s v="World"/>
    <s v="TOTAL CPC"/>
    <s v="TOTAL MOT"/>
    <n v="110812"/>
    <n v="75206"/>
    <n v="106196"/>
    <n v="0"/>
    <n v="106196"/>
    <s v="kg"/>
    <n v="106196"/>
    <s v="kg"/>
    <n v="2.2441761060335613E-2"/>
    <n v="25"/>
    <x v="0"/>
    <n v="0"/>
    <n v="0"/>
    <n v="0"/>
    <n v="1.6194193894443242E-3"/>
    <n v="299"/>
    <n v="0.70818109909977778"/>
    <n v="34"/>
    <x v="0"/>
    <s v="No"/>
    <n v="7001540"/>
    <n v="3052619"/>
    <n v="6.321329281187793E-2"/>
    <n v="12"/>
    <x v="0"/>
    <n v="1037890.4600000001"/>
    <n v="442"/>
    <x v="0"/>
    <x v="0"/>
    <n v="3052619"/>
    <n v="1"/>
    <n v="1"/>
    <s v="Highly Concentrated"/>
    <n v="3052619"/>
    <s v="Routine Market"/>
    <x v="0"/>
    <s v="No"/>
  </r>
  <r>
    <x v="31"/>
    <x v="31"/>
    <s v="Maize (corn) starch"/>
    <x v="31"/>
    <x v="0"/>
    <x v="17"/>
    <s v="Native Corn Starch"/>
    <s v="Sauces / Dairy / Confectionery"/>
    <x v="22"/>
    <x v="1"/>
    <x v="0"/>
    <s v="X"/>
    <x v="22"/>
    <s v="Egypt"/>
    <s v="World"/>
    <s v="TOTAL CPC"/>
    <s v="TOTAL MOT"/>
    <n v="110812"/>
    <n v="5443"/>
    <n v="3000"/>
    <n v="0"/>
    <n v="3000"/>
    <s v="kg"/>
    <n v="3000"/>
    <s v="kg"/>
    <n v="1.3832724193842358E-4"/>
    <n v="6"/>
    <x v="0"/>
    <n v="0"/>
    <n v="0"/>
    <n v="0"/>
    <n v="1.6194193894443242E-3"/>
    <n v="438"/>
    <n v="1.8143333333333334"/>
    <n v="34"/>
    <x v="0"/>
    <s v="No"/>
    <n v="7001540"/>
    <n v="3052619"/>
    <n v="6.321329281187793E-2"/>
    <n v="12"/>
    <x v="0"/>
    <n v="1037890.4600000001"/>
    <n v="442"/>
    <x v="0"/>
    <x v="0"/>
    <n v="3052619"/>
    <n v="1"/>
    <n v="1"/>
    <s v="Highly Concentrated"/>
    <n v="3052619"/>
    <s v="Routine Market"/>
    <x v="0"/>
    <s v="Yes"/>
  </r>
  <r>
    <x v="31"/>
    <x v="31"/>
    <s v="Maize (corn) starch"/>
    <x v="31"/>
    <x v="0"/>
    <x v="17"/>
    <s v="Native Corn Starch"/>
    <s v="Sauces / Dairy / Confectionery"/>
    <x v="17"/>
    <x v="1"/>
    <x v="0"/>
    <s v="X"/>
    <x v="17"/>
    <s v="Egypt"/>
    <s v="World"/>
    <s v="TOTAL CPC"/>
    <s v="TOTAL MOT"/>
    <n v="110812"/>
    <n v="2496811"/>
    <n v="6071914"/>
    <n v="0"/>
    <n v="6071914"/>
    <s v="kg"/>
    <n v="6071914"/>
    <s v="kg"/>
    <n v="4.7522902002533667E-2"/>
    <n v="9"/>
    <x v="1"/>
    <n v="0.1"/>
    <n v="249681.1"/>
    <n v="607191.4"/>
    <n v="1.6194193894443242E-3"/>
    <n v="54"/>
    <n v="0.41120658164789553"/>
    <n v="34"/>
    <x v="0"/>
    <s v="No"/>
    <n v="7001540"/>
    <n v="3052619"/>
    <n v="6.321329281187793E-2"/>
    <n v="12"/>
    <x v="0"/>
    <n v="1037890.4600000001"/>
    <n v="442"/>
    <x v="0"/>
    <x v="0"/>
    <n v="3052619"/>
    <n v="1"/>
    <n v="1"/>
    <s v="Highly Concentrated"/>
    <n v="3052619"/>
    <s v="Routine Market"/>
    <x v="0"/>
    <s v="Yes"/>
  </r>
  <r>
    <x v="31"/>
    <x v="31"/>
    <s v="Maize (corn) starch"/>
    <x v="31"/>
    <x v="0"/>
    <x v="17"/>
    <s v="Native Corn Starch"/>
    <s v="Sauces / Dairy / Confectionery"/>
    <x v="18"/>
    <x v="0"/>
    <x v="0"/>
    <s v="X"/>
    <x v="18"/>
    <s v="Egypt"/>
    <s v="World"/>
    <s v="TOTAL CPC"/>
    <s v="TOTAL MOT"/>
    <n v="110812"/>
    <n v="3084"/>
    <n v="910"/>
    <n v="0"/>
    <n v="910"/>
    <s v="kg"/>
    <n v="910"/>
    <s v="kg"/>
    <n v="9.425427433633813E-3"/>
    <n v="26"/>
    <x v="1"/>
    <n v="4.0000000000000008E-2"/>
    <n v="123.36000000000003"/>
    <n v="36.400000000000006"/>
    <n v="1.6194193894443242E-3"/>
    <n v="459"/>
    <n v="3.389010989010989"/>
    <n v="34"/>
    <x v="0"/>
    <s v="No"/>
    <n v="7001540"/>
    <n v="3052619"/>
    <n v="6.321329281187793E-2"/>
    <n v="12"/>
    <x v="0"/>
    <n v="1037890.4600000001"/>
    <n v="442"/>
    <x v="0"/>
    <x v="0"/>
    <n v="3052619"/>
    <n v="1"/>
    <n v="1"/>
    <s v="Highly Concentrated"/>
    <n v="3052619"/>
    <s v="Routine Market"/>
    <x v="0"/>
    <s v="No"/>
  </r>
  <r>
    <x v="32"/>
    <x v="32"/>
    <s v="Potato starch"/>
    <x v="32"/>
    <x v="0"/>
    <x v="17"/>
    <s v="Native Potato Starch"/>
    <s v="Sauces / Processed Food"/>
    <x v="1"/>
    <x v="1"/>
    <x v="0"/>
    <s v="X"/>
    <x v="1"/>
    <s v="Egypt"/>
    <s v="World"/>
    <s v="TOTAL CPC"/>
    <s v="TOTAL MOT"/>
    <n v="110813"/>
    <n v="302622"/>
    <n v="372751"/>
    <n v="0"/>
    <n v="372751"/>
    <s v="kg"/>
    <n v="372751"/>
    <s v="kg"/>
    <n v="5.3992075088500962E-3"/>
    <n v="6"/>
    <x v="0"/>
    <n v="0"/>
    <n v="0"/>
    <n v="0"/>
    <n v="2.3561731722151892E-3"/>
    <n v="188"/>
    <n v="0.81186100104359216"/>
    <n v="17"/>
    <x v="2"/>
    <s v="No"/>
    <n v="4625188"/>
    <n v="4441406"/>
    <n v="6.321329281187793E-2"/>
    <n v="11"/>
    <x v="0"/>
    <n v="755039.02"/>
    <n v="454"/>
    <x v="0"/>
    <x v="0"/>
    <n v="4441406"/>
    <n v="1"/>
    <n v="1"/>
    <s v="Highly Concentrated"/>
    <n v="4441406"/>
    <s v="Routine Market"/>
    <x v="0"/>
    <s v="Yes"/>
  </r>
  <r>
    <x v="32"/>
    <x v="32"/>
    <s v="Potato starch"/>
    <x v="32"/>
    <x v="0"/>
    <x v="17"/>
    <s v="Native Potato Starch"/>
    <s v="Sauces / Processed Food"/>
    <x v="3"/>
    <x v="0"/>
    <x v="0"/>
    <s v="X"/>
    <x v="3"/>
    <s v="Egypt"/>
    <s v="World"/>
    <s v="TOTAL CPC"/>
    <s v="TOTAL MOT"/>
    <n v="110813"/>
    <n v="28986"/>
    <n v="23501"/>
    <n v="0"/>
    <n v="23501"/>
    <s v="kg"/>
    <n v="23501"/>
    <s v="kg"/>
    <n v="6.321329281187793E-2"/>
    <n v="32"/>
    <x v="1"/>
    <n v="0.14000000000000001"/>
    <n v="4058.0400000000004"/>
    <n v="3290.1400000000003"/>
    <n v="2.3561731722151892E-3"/>
    <n v="358"/>
    <n v="1.2333943236458023"/>
    <n v="17"/>
    <x v="2"/>
    <s v="No"/>
    <n v="4625188"/>
    <n v="4441406"/>
    <n v="6.321329281187793E-2"/>
    <n v="11"/>
    <x v="0"/>
    <n v="755039.02"/>
    <n v="454"/>
    <x v="0"/>
    <x v="0"/>
    <n v="4441406"/>
    <n v="1"/>
    <n v="1"/>
    <s v="Highly Concentrated"/>
    <n v="4441406"/>
    <s v="Routine Market"/>
    <x v="0"/>
    <s v="No"/>
  </r>
  <r>
    <x v="32"/>
    <x v="32"/>
    <s v="Potato starch"/>
    <x v="32"/>
    <x v="0"/>
    <x v="17"/>
    <s v="Native Potato Starch"/>
    <s v="Sauces / Processed Food"/>
    <x v="25"/>
    <x v="0"/>
    <x v="0"/>
    <s v="X"/>
    <x v="25"/>
    <s v="Egypt"/>
    <s v="World"/>
    <s v="TOTAL CPC"/>
    <s v="TOTAL MOT"/>
    <n v="110813"/>
    <n v="391702"/>
    <n v="391000"/>
    <n v="0"/>
    <n v="391000"/>
    <s v="kg"/>
    <n v="391000"/>
    <s v="kg"/>
    <n v="4.2641562768795568E-4"/>
    <n v="1"/>
    <x v="0"/>
    <n v="0"/>
    <n v="0"/>
    <n v="0"/>
    <n v="2.3561731722151892E-3"/>
    <n v="162"/>
    <n v="1.0017953964194373"/>
    <n v="17"/>
    <x v="2"/>
    <s v="No"/>
    <n v="4625188"/>
    <n v="4441406"/>
    <n v="6.321329281187793E-2"/>
    <n v="11"/>
    <x v="0"/>
    <n v="755039.02"/>
    <n v="454"/>
    <x v="0"/>
    <x v="0"/>
    <n v="4441406"/>
    <n v="1"/>
    <n v="1"/>
    <s v="Highly Concentrated"/>
    <n v="4441406"/>
    <s v="Routine Market"/>
    <x v="0"/>
    <s v="Yes"/>
  </r>
  <r>
    <x v="32"/>
    <x v="32"/>
    <s v="Potato starch"/>
    <x v="32"/>
    <x v="0"/>
    <x v="17"/>
    <s v="Native Potato Starch"/>
    <s v="Sauces / Processed Food"/>
    <x v="6"/>
    <x v="0"/>
    <x v="0"/>
    <s v="X"/>
    <x v="6"/>
    <s v="Egypt"/>
    <s v="World"/>
    <s v="TOTAL CPC"/>
    <s v="TOTAL MOT"/>
    <n v="110813"/>
    <n v="203387"/>
    <n v="236250"/>
    <n v="0"/>
    <n v="236250"/>
    <s v="kg"/>
    <n v="236250"/>
    <s v="kg"/>
    <n v="1.6951290293147386E-2"/>
    <n v="18"/>
    <x v="0"/>
    <n v="0"/>
    <n v="0"/>
    <n v="0"/>
    <n v="2.3561731722151892E-3"/>
    <n v="219"/>
    <n v="0.86089735449735449"/>
    <n v="17"/>
    <x v="2"/>
    <s v="No"/>
    <n v="4625188"/>
    <n v="4441406"/>
    <n v="6.321329281187793E-2"/>
    <n v="11"/>
    <x v="0"/>
    <n v="755039.02"/>
    <n v="454"/>
    <x v="0"/>
    <x v="0"/>
    <n v="4441406"/>
    <n v="1"/>
    <n v="1"/>
    <s v="Highly Concentrated"/>
    <n v="4441406"/>
    <s v="Routine Market"/>
    <x v="0"/>
    <s v="No"/>
  </r>
  <r>
    <x v="32"/>
    <x v="32"/>
    <s v="Potato starch"/>
    <x v="32"/>
    <x v="0"/>
    <x v="17"/>
    <s v="Native Potato Starch"/>
    <s v="Sauces / Processed Food"/>
    <x v="7"/>
    <x v="0"/>
    <x v="0"/>
    <s v="X"/>
    <x v="7"/>
    <s v="Egypt"/>
    <s v="World"/>
    <s v="TOTAL CPC"/>
    <s v="TOTAL MOT"/>
    <n v="110813"/>
    <n v="323248"/>
    <n v="314000"/>
    <n v="0"/>
    <n v="314000"/>
    <s v="kg"/>
    <n v="314000"/>
    <s v="kg"/>
    <n v="1.1674623358397021E-2"/>
    <n v="13"/>
    <x v="0"/>
    <n v="0"/>
    <n v="0"/>
    <n v="0"/>
    <n v="2.3561731722151892E-3"/>
    <n v="182"/>
    <n v="1.0294522292993631"/>
    <n v="17"/>
    <x v="2"/>
    <s v="No"/>
    <n v="4625188"/>
    <n v="4441406"/>
    <n v="6.321329281187793E-2"/>
    <n v="11"/>
    <x v="0"/>
    <n v="755039.02"/>
    <n v="454"/>
    <x v="0"/>
    <x v="0"/>
    <n v="4441406"/>
    <n v="1"/>
    <n v="1"/>
    <s v="Highly Concentrated"/>
    <n v="4441406"/>
    <s v="Routine Market"/>
    <x v="0"/>
    <s v="No"/>
  </r>
  <r>
    <x v="32"/>
    <x v="32"/>
    <s v="Potato starch"/>
    <x v="32"/>
    <x v="0"/>
    <x v="17"/>
    <s v="Native Potato Starch"/>
    <s v="Sauces / Processed Food"/>
    <x v="12"/>
    <x v="1"/>
    <x v="0"/>
    <s v="X"/>
    <x v="12"/>
    <s v="Egypt"/>
    <s v="World"/>
    <s v="TOTAL CPC"/>
    <s v="TOTAL MOT"/>
    <n v="110813"/>
    <n v="1735040"/>
    <n v="1766180"/>
    <n v="0"/>
    <n v="1766180"/>
    <s v="kg"/>
    <n v="1766180"/>
    <s v="kg"/>
    <n v="1.4561232389604124E-2"/>
    <n v="4"/>
    <x v="0"/>
    <n v="0"/>
    <n v="0"/>
    <n v="0"/>
    <n v="2.3561731722151892E-3"/>
    <n v="67"/>
    <n v="0.9823687279892197"/>
    <n v="17"/>
    <x v="2"/>
    <s v="No"/>
    <n v="4625188"/>
    <n v="4441406"/>
    <n v="6.321329281187793E-2"/>
    <n v="11"/>
    <x v="0"/>
    <n v="755039.02"/>
    <n v="454"/>
    <x v="0"/>
    <x v="0"/>
    <n v="4441406"/>
    <n v="1"/>
    <n v="1"/>
    <s v="Highly Concentrated"/>
    <n v="4441406"/>
    <s v="Routine Market"/>
    <x v="0"/>
    <s v="Yes"/>
  </r>
  <r>
    <x v="32"/>
    <x v="32"/>
    <s v="Potato starch"/>
    <x v="32"/>
    <x v="0"/>
    <x v="17"/>
    <s v="Native Potato Starch"/>
    <s v="Sauces / Processed Food"/>
    <x v="13"/>
    <x v="1"/>
    <x v="0"/>
    <s v="X"/>
    <x v="13"/>
    <s v="Egypt"/>
    <s v="World"/>
    <s v="TOTAL CPC"/>
    <s v="TOTAL MOT"/>
    <n v="110813"/>
    <n v="1247057"/>
    <n v="1287000"/>
    <n v="0"/>
    <n v="1287000"/>
    <s v="kg"/>
    <n v="1287000"/>
    <s v="kg"/>
    <n v="6.3855771678493602E-3"/>
    <n v="2"/>
    <x v="1"/>
    <n v="0.06"/>
    <n v="74823.42"/>
    <n v="77220"/>
    <n v="2.3561731722151892E-3"/>
    <n v="88"/>
    <n v="0.968964257964258"/>
    <n v="17"/>
    <x v="2"/>
    <s v="No"/>
    <n v="4625188"/>
    <n v="4441406"/>
    <n v="6.321329281187793E-2"/>
    <n v="11"/>
    <x v="0"/>
    <n v="755039.02"/>
    <n v="454"/>
    <x v="0"/>
    <x v="0"/>
    <n v="4441406"/>
    <n v="1"/>
    <n v="1"/>
    <s v="Highly Concentrated"/>
    <n v="4441406"/>
    <s v="Routine Market"/>
    <x v="0"/>
    <s v="Yes"/>
  </r>
  <r>
    <x v="32"/>
    <x v="32"/>
    <s v="Potato starch"/>
    <x v="32"/>
    <x v="0"/>
    <x v="17"/>
    <s v="Native Potato Starch"/>
    <s v="Sauces / Processed Food"/>
    <x v="15"/>
    <x v="0"/>
    <x v="0"/>
    <s v="X"/>
    <x v="15"/>
    <s v="Egypt"/>
    <s v="World"/>
    <s v="TOTAL CPC"/>
    <s v="TOTAL MOT"/>
    <n v="110813"/>
    <n v="76728"/>
    <n v="100000"/>
    <n v="0"/>
    <n v="100000"/>
    <s v="kg"/>
    <n v="100000"/>
    <s v="kg"/>
    <n v="2.2441761060335613E-2"/>
    <n v="24"/>
    <x v="0"/>
    <n v="0"/>
    <n v="0"/>
    <n v="0"/>
    <n v="2.3561731722151892E-3"/>
    <n v="296"/>
    <n v="0.76727999999999996"/>
    <n v="17"/>
    <x v="2"/>
    <s v="No"/>
    <n v="4625188"/>
    <n v="4441406"/>
    <n v="6.321329281187793E-2"/>
    <n v="11"/>
    <x v="0"/>
    <n v="755039.02"/>
    <n v="454"/>
    <x v="0"/>
    <x v="0"/>
    <n v="4441406"/>
    <n v="1"/>
    <n v="1"/>
    <s v="Highly Concentrated"/>
    <n v="4441406"/>
    <s v="Routine Market"/>
    <x v="0"/>
    <s v="No"/>
  </r>
  <r>
    <x v="32"/>
    <x v="32"/>
    <s v="Potato starch"/>
    <x v="32"/>
    <x v="0"/>
    <x v="17"/>
    <s v="Native Potato Starch"/>
    <s v="Sauces / Processed Food"/>
    <x v="20"/>
    <x v="0"/>
    <x v="0"/>
    <s v="X"/>
    <x v="20"/>
    <s v="Egypt"/>
    <s v="World"/>
    <s v="TOTAL CPC"/>
    <s v="TOTAL MOT"/>
    <n v="110813"/>
    <n v="25490"/>
    <n v="22500"/>
    <n v="0"/>
    <n v="22500"/>
    <s v="kg"/>
    <n v="22500"/>
    <s v="kg"/>
    <n v="6.110186869383482E-3"/>
    <n v="16"/>
    <x v="0"/>
    <n v="0"/>
    <n v="0"/>
    <n v="0"/>
    <n v="2.3561731722151892E-3"/>
    <n v="368"/>
    <n v="1.1328888888888888"/>
    <n v="17"/>
    <x v="2"/>
    <s v="No"/>
    <n v="4625188"/>
    <n v="4441406"/>
    <n v="6.321329281187793E-2"/>
    <n v="11"/>
    <x v="0"/>
    <n v="755039.02"/>
    <n v="454"/>
    <x v="0"/>
    <x v="0"/>
    <n v="4441406"/>
    <n v="1"/>
    <n v="1"/>
    <s v="Highly Concentrated"/>
    <n v="4441406"/>
    <s v="Routine Market"/>
    <x v="0"/>
    <s v="No"/>
  </r>
  <r>
    <x v="32"/>
    <x v="32"/>
    <s v="Potato starch"/>
    <x v="32"/>
    <x v="0"/>
    <x v="17"/>
    <s v="Native Potato Starch"/>
    <s v="Sauces / Processed Food"/>
    <x v="30"/>
    <x v="1"/>
    <x v="0"/>
    <s v="X"/>
    <x v="30"/>
    <s v="Egypt"/>
    <s v="World"/>
    <s v="TOTAL CPC"/>
    <s v="TOTAL MOT"/>
    <n v="110813"/>
    <n v="73526"/>
    <n v="80000"/>
    <n v="0"/>
    <n v="80000"/>
    <s v="kg"/>
    <n v="80000"/>
    <s v="kg"/>
    <n v="1.1596288425054823E-4"/>
    <n v="2"/>
    <x v="0"/>
    <n v="0"/>
    <n v="0"/>
    <n v="0"/>
    <n v="2.3561731722151892E-3"/>
    <n v="301"/>
    <n v="0.91907499999999998"/>
    <n v="17"/>
    <x v="2"/>
    <s v="No"/>
    <n v="4625188"/>
    <n v="4441406"/>
    <n v="6.321329281187793E-2"/>
    <n v="11"/>
    <x v="0"/>
    <n v="755039.02"/>
    <n v="454"/>
    <x v="0"/>
    <x v="0"/>
    <n v="4441406"/>
    <n v="1"/>
    <n v="1"/>
    <s v="Highly Concentrated"/>
    <n v="4441406"/>
    <s v="Routine Market"/>
    <x v="0"/>
    <s v="Yes"/>
  </r>
  <r>
    <x v="32"/>
    <x v="32"/>
    <s v="Potato starch"/>
    <x v="32"/>
    <x v="0"/>
    <x v="17"/>
    <s v="Native Potato Starch"/>
    <s v="Sauces / Processed Food"/>
    <x v="17"/>
    <x v="0"/>
    <x v="0"/>
    <s v="X"/>
    <x v="17"/>
    <s v="Egypt"/>
    <s v="World"/>
    <s v="TOTAL CPC"/>
    <s v="TOTAL MOT"/>
    <n v="110813"/>
    <n v="33620"/>
    <n v="32006"/>
    <n v="0"/>
    <n v="32006"/>
    <s v="kg"/>
    <n v="32006"/>
    <s v="kg"/>
    <n v="4.7522902002533667E-2"/>
    <n v="27"/>
    <x v="1"/>
    <n v="0.1"/>
    <n v="3362"/>
    <n v="3200.6000000000004"/>
    <n v="2.3561731722151892E-3"/>
    <n v="348"/>
    <n v="1.050428044741611"/>
    <n v="17"/>
    <x v="2"/>
    <s v="No"/>
    <n v="4625188"/>
    <n v="4441406"/>
    <n v="6.321329281187793E-2"/>
    <n v="11"/>
    <x v="0"/>
    <n v="755039.02"/>
    <n v="454"/>
    <x v="0"/>
    <x v="0"/>
    <n v="4441406"/>
    <n v="1"/>
    <n v="1"/>
    <s v="Highly Concentrated"/>
    <n v="4441406"/>
    <s v="Routine Market"/>
    <x v="0"/>
    <s v="No"/>
  </r>
  <r>
    <x v="33"/>
    <x v="33"/>
    <s v="Palm oil, refined"/>
    <x v="33"/>
    <x v="5"/>
    <x v="18"/>
    <s v="Refined Vegetable Oils"/>
    <s v="Snacks / Margarine / Sauces"/>
    <x v="26"/>
    <x v="1"/>
    <x v="0"/>
    <s v="X"/>
    <x v="26"/>
    <s v="Egypt"/>
    <s v="World"/>
    <s v="TOTAL CPC"/>
    <s v="TOTAL MOT"/>
    <n v="151190"/>
    <n v="11"/>
    <n v="2"/>
    <n v="0"/>
    <n v="2"/>
    <s v="kg"/>
    <n v="2"/>
    <s v="kg"/>
    <n v="2.621940701411424E-4"/>
    <n v="6"/>
    <x v="0"/>
    <n v="0"/>
    <n v="0"/>
    <n v="0"/>
    <n v="0.60345218393960753"/>
    <n v="535"/>
    <n v="5.5"/>
    <n v="34"/>
    <x v="0"/>
    <s v="No"/>
    <n v="1231357279"/>
    <n v="1137512379"/>
    <n v="0.39900464236999494"/>
    <n v="7"/>
    <x v="0"/>
    <n v="386754208.86000001"/>
    <n v="1"/>
    <x v="1"/>
    <x v="1"/>
    <n v="1137512379"/>
    <n v="1"/>
    <n v="1"/>
    <s v="Highly Concentrated"/>
    <n v="1137512379"/>
    <s v="High Opportunity"/>
    <x v="0"/>
    <s v="Yes"/>
  </r>
  <r>
    <x v="33"/>
    <x v="33"/>
    <s v="Palm oil, refined"/>
    <x v="33"/>
    <x v="5"/>
    <x v="18"/>
    <s v="Refined Vegetable Oils"/>
    <s v="Snacks / Margarine / Sauces"/>
    <x v="27"/>
    <x v="0"/>
    <x v="0"/>
    <s v="X"/>
    <x v="27"/>
    <s v="Egypt"/>
    <s v="World"/>
    <s v="TOTAL CPC"/>
    <s v="TOTAL MOT"/>
    <n v="151190"/>
    <n v="732148285"/>
    <n v="792174000"/>
    <n v="0"/>
    <n v="792174000"/>
    <s v="kg"/>
    <n v="792174000"/>
    <s v="kg"/>
    <n v="0.39900464236999494"/>
    <n v="1"/>
    <x v="1"/>
    <n v="0.21"/>
    <n v="153751139.84999999"/>
    <n v="166356540"/>
    <n v="0.60345218393960753"/>
    <n v="1"/>
    <n v="0.92422660299378667"/>
    <n v="34"/>
    <x v="0"/>
    <s v="No"/>
    <n v="1231357279"/>
    <n v="1137512379"/>
    <n v="0.39900464236999494"/>
    <n v="7"/>
    <x v="0"/>
    <n v="386754208.86000001"/>
    <n v="1"/>
    <x v="1"/>
    <x v="1"/>
    <n v="1137512379"/>
    <n v="1"/>
    <n v="1"/>
    <s v="Highly Concentrated"/>
    <n v="1137512379"/>
    <s v="High Opportunity"/>
    <x v="1"/>
    <s v="Yes"/>
  </r>
  <r>
    <x v="33"/>
    <x v="33"/>
    <s v="Palm oil, refined"/>
    <x v="33"/>
    <x v="5"/>
    <x v="18"/>
    <s v="Refined Vegetable Oils"/>
    <s v="Snacks / Margarine / Sauces"/>
    <x v="49"/>
    <x v="0"/>
    <x v="0"/>
    <s v="X"/>
    <x v="49"/>
    <s v="Egypt"/>
    <s v="World"/>
    <s v="TOTAL CPC"/>
    <s v="TOTAL MOT"/>
    <n v="151190"/>
    <n v="6722"/>
    <n v="3500"/>
    <n v="0"/>
    <n v="3500"/>
    <s v="kg"/>
    <n v="3500"/>
    <s v="kg"/>
    <n v="8.2233059401702185E-6"/>
    <n v="1"/>
    <x v="0"/>
    <n v="0"/>
    <n v="0"/>
    <n v="0"/>
    <n v="0.60345218393960753"/>
    <n v="427"/>
    <n v="1.9205714285714286"/>
    <n v="34"/>
    <x v="0"/>
    <s v="No"/>
    <n v="1231357279"/>
    <n v="1137512379"/>
    <n v="0.39900464236999494"/>
    <n v="7"/>
    <x v="0"/>
    <n v="386754208.86000001"/>
    <n v="1"/>
    <x v="1"/>
    <x v="1"/>
    <n v="1137512379"/>
    <n v="1"/>
    <n v="1"/>
    <s v="Highly Concentrated"/>
    <n v="1137512379"/>
    <s v="High Opportunity"/>
    <x v="0"/>
    <s v="Yes"/>
  </r>
  <r>
    <x v="33"/>
    <x v="33"/>
    <s v="Palm oil, refined"/>
    <x v="33"/>
    <x v="5"/>
    <x v="18"/>
    <s v="Refined Vegetable Oils"/>
    <s v="Snacks / Margarine / Sauces"/>
    <x v="11"/>
    <x v="0"/>
    <x v="0"/>
    <s v="X"/>
    <x v="11"/>
    <s v="Egypt"/>
    <s v="World"/>
    <s v="TOTAL CPC"/>
    <s v="TOTAL MOT"/>
    <n v="151190"/>
    <n v="404248322"/>
    <n v="438614510"/>
    <n v="0"/>
    <n v="438614510"/>
    <s v="kg"/>
    <n v="438615"/>
    <s v="1000 KG"/>
    <n v="0.25769345655074266"/>
    <n v="1"/>
    <x v="0"/>
    <n v="0"/>
    <n v="0"/>
    <n v="0"/>
    <n v="0.60345218393960753"/>
    <n v="2"/>
    <n v="0.92164831026679894"/>
    <n v="34"/>
    <x v="0"/>
    <s v="No"/>
    <n v="1231357279"/>
    <n v="1137512379"/>
    <n v="0.39900464236999494"/>
    <n v="7"/>
    <x v="0"/>
    <n v="386754208.86000001"/>
    <n v="1"/>
    <x v="1"/>
    <x v="1"/>
    <n v="1137512379"/>
    <n v="1"/>
    <n v="1"/>
    <s v="Highly Concentrated"/>
    <n v="1137512379"/>
    <s v="High Opportunity"/>
    <x v="1"/>
    <s v="Yes"/>
  </r>
  <r>
    <x v="33"/>
    <x v="33"/>
    <s v="Palm oil, refined"/>
    <x v="33"/>
    <x v="5"/>
    <x v="18"/>
    <s v="Refined Vegetable Oils"/>
    <s v="Snacks / Margarine / Sauces"/>
    <x v="12"/>
    <x v="1"/>
    <x v="0"/>
    <s v="X"/>
    <x v="12"/>
    <s v="Egypt"/>
    <s v="World"/>
    <s v="TOTAL CPC"/>
    <s v="TOTAL MOT"/>
    <n v="151190"/>
    <n v="383469"/>
    <n v="135227"/>
    <n v="0"/>
    <n v="135227"/>
    <s v="kg"/>
    <n v="135227"/>
    <s v="kg"/>
    <n v="1.4561232389604124E-2"/>
    <n v="8"/>
    <x v="0"/>
    <n v="0"/>
    <n v="0"/>
    <n v="0"/>
    <n v="0.60345218393960753"/>
    <n v="163"/>
    <n v="2.8357428620024105"/>
    <n v="34"/>
    <x v="0"/>
    <s v="No"/>
    <n v="1231357279"/>
    <n v="1137512379"/>
    <n v="0.39900464236999494"/>
    <n v="7"/>
    <x v="0"/>
    <n v="386754208.86000001"/>
    <n v="1"/>
    <x v="1"/>
    <x v="1"/>
    <n v="1137512379"/>
    <n v="1"/>
    <n v="1"/>
    <s v="Highly Concentrated"/>
    <n v="1137512379"/>
    <s v="High Opportunity"/>
    <x v="0"/>
    <s v="Yes"/>
  </r>
  <r>
    <x v="33"/>
    <x v="33"/>
    <s v="Palm oil, refined"/>
    <x v="33"/>
    <x v="5"/>
    <x v="18"/>
    <s v="Refined Vegetable Oils"/>
    <s v="Snacks / Margarine / Sauces"/>
    <x v="14"/>
    <x v="1"/>
    <x v="0"/>
    <s v="X"/>
    <x v="14"/>
    <s v="Egypt"/>
    <s v="World"/>
    <s v="TOTAL CPC"/>
    <s v="TOTAL MOT"/>
    <n v="151190"/>
    <n v="725570"/>
    <n v="430040"/>
    <n v="0"/>
    <n v="430040"/>
    <s v="kg"/>
    <n v="430040"/>
    <s v="kg"/>
    <n v="9.709938116315122E-3"/>
    <n v="4"/>
    <x v="0"/>
    <n v="0"/>
    <n v="0"/>
    <n v="0"/>
    <n v="0.60345218393960753"/>
    <n v="121"/>
    <n v="1.687215142777416"/>
    <n v="34"/>
    <x v="0"/>
    <s v="No"/>
    <n v="1231357279"/>
    <n v="1137512379"/>
    <n v="0.39900464236999494"/>
    <n v="7"/>
    <x v="0"/>
    <n v="386754208.86000001"/>
    <n v="1"/>
    <x v="1"/>
    <x v="1"/>
    <n v="1137512379"/>
    <n v="1"/>
    <n v="1"/>
    <s v="Highly Concentrated"/>
    <n v="1137512379"/>
    <s v="High Opportunity"/>
    <x v="0"/>
    <s v="Yes"/>
  </r>
  <r>
    <x v="33"/>
    <x v="33"/>
    <s v="Palm oil, refined"/>
    <x v="33"/>
    <x v="5"/>
    <x v="18"/>
    <s v="Refined Vegetable Oils"/>
    <s v="Snacks / Margarine / Sauces"/>
    <x v="16"/>
    <x v="1"/>
    <x v="0"/>
    <s v="X"/>
    <x v="16"/>
    <s v="Egypt"/>
    <s v="World"/>
    <s v="TOTAL CPC"/>
    <s v="TOTAL MOT"/>
    <n v="151190"/>
    <n v="0"/>
    <n v="0"/>
    <n v="0"/>
    <n v="0"/>
    <s v="N/A"/>
    <n v="2"/>
    <s v="1000 KG"/>
    <n v="8.2796770445636432E-4"/>
    <n v="8"/>
    <x v="1"/>
    <n v="0.06"/>
    <n v="0"/>
    <n v="0"/>
    <n v="0.60345218393960753"/>
    <n v="539"/>
    <n v="0"/>
    <n v="34"/>
    <x v="0"/>
    <s v="No"/>
    <n v="1231357279"/>
    <n v="1137512379"/>
    <n v="0.39900464236999494"/>
    <n v="7"/>
    <x v="0"/>
    <n v="386754208.86000001"/>
    <n v="1"/>
    <x v="1"/>
    <x v="1"/>
    <n v="1137512379"/>
    <n v="1"/>
    <n v="1"/>
    <s v="Highly Concentrated"/>
    <n v="1137512379"/>
    <s v="High Opportunity"/>
    <x v="0"/>
    <s v="Yes"/>
  </r>
  <r>
    <x v="34"/>
    <x v="34"/>
    <s v="Soybean oil, crude"/>
    <x v="34"/>
    <x v="5"/>
    <x v="18"/>
    <s v="Crude Vegetable Oils"/>
    <s v="Food Manufacturing"/>
    <x v="9"/>
    <x v="0"/>
    <x v="0"/>
    <s v="X"/>
    <x v="9"/>
    <s v="Egypt"/>
    <s v="World"/>
    <s v="TOTAL CPC"/>
    <s v="TOTAL MOT"/>
    <n v="150710"/>
    <n v="11487932"/>
    <n v="11600000"/>
    <n v="0"/>
    <n v="11600000"/>
    <s v="kg"/>
    <n v="11600000"/>
    <s v="kg"/>
    <n v="1.1178535358665947E-2"/>
    <n v="1"/>
    <x v="0"/>
    <n v="0"/>
    <n v="0"/>
    <n v="0"/>
    <n v="2.5692076181228242E-2"/>
    <n v="14"/>
    <n v="0.99033896551724143"/>
    <n v="22"/>
    <x v="2"/>
    <s v="No"/>
    <n v="51144350"/>
    <n v="48429777"/>
    <n v="7.6648679233989533E-2"/>
    <n v="4"/>
    <x v="0"/>
    <n v="10654550.939999999"/>
    <n v="69"/>
    <x v="0"/>
    <x v="0"/>
    <n v="48429777"/>
    <n v="1"/>
    <n v="1"/>
    <s v="Highly Concentrated"/>
    <n v="48429777"/>
    <s v="Medium Opportunity"/>
    <x v="0"/>
    <s v="Yes"/>
  </r>
  <r>
    <x v="34"/>
    <x v="34"/>
    <s v="Soybean oil, crude"/>
    <x v="34"/>
    <x v="5"/>
    <x v="18"/>
    <s v="Crude Vegetable Oils"/>
    <s v="Food Manufacturing"/>
    <x v="17"/>
    <x v="0"/>
    <x v="0"/>
    <s v="X"/>
    <x v="17"/>
    <s v="Egypt"/>
    <s v="World"/>
    <s v="TOTAL CPC"/>
    <s v="TOTAL MOT"/>
    <n v="150710"/>
    <n v="27549750"/>
    <n v="29945000"/>
    <n v="0"/>
    <n v="29945000"/>
    <s v="kg"/>
    <n v="29945000"/>
    <s v="kg"/>
    <n v="4.7522902002533667E-2"/>
    <n v="1"/>
    <x v="1"/>
    <n v="0.1"/>
    <n v="2754975"/>
    <n v="2994500"/>
    <n v="2.5692076181228242E-2"/>
    <n v="5"/>
    <n v="0.92001168809484057"/>
    <n v="22"/>
    <x v="2"/>
    <s v="No"/>
    <n v="51144350"/>
    <n v="48429777"/>
    <n v="7.6648679233989533E-2"/>
    <n v="4"/>
    <x v="0"/>
    <n v="10654550.939999999"/>
    <n v="69"/>
    <x v="0"/>
    <x v="0"/>
    <n v="48429777"/>
    <n v="1"/>
    <n v="1"/>
    <s v="Highly Concentrated"/>
    <n v="48429777"/>
    <s v="Medium Opportunity"/>
    <x v="1"/>
    <s v="Yes"/>
  </r>
  <r>
    <x v="34"/>
    <x v="34"/>
    <s v="Soybean oil, crude"/>
    <x v="34"/>
    <x v="5"/>
    <x v="18"/>
    <s v="Crude Vegetable Oils"/>
    <s v="Food Manufacturing"/>
    <x v="32"/>
    <x v="1"/>
    <x v="0"/>
    <s v="X"/>
    <x v="32"/>
    <s v="Egypt"/>
    <s v="World"/>
    <s v="TOTAL CPC"/>
    <s v="TOTAL MOT"/>
    <n v="150710"/>
    <n v="2027337"/>
    <n v="2608600"/>
    <n v="0"/>
    <n v="2608600"/>
    <s v="kg"/>
    <n v="2608600"/>
    <s v="kg"/>
    <n v="7.6648679233989533E-2"/>
    <n v="2"/>
    <x v="1"/>
    <n v="0.44999999999999996"/>
    <n v="912301.64999999991"/>
    <n v="1173870"/>
    <n v="2.5692076181228242E-2"/>
    <n v="65"/>
    <n v="0.77717434639270111"/>
    <n v="22"/>
    <x v="2"/>
    <s v="No"/>
    <n v="51144350"/>
    <n v="48429777"/>
    <n v="7.6648679233989533E-2"/>
    <n v="4"/>
    <x v="0"/>
    <n v="10654550.939999999"/>
    <n v="69"/>
    <x v="0"/>
    <x v="0"/>
    <n v="48429777"/>
    <n v="1"/>
    <n v="1"/>
    <s v="Highly Concentrated"/>
    <n v="48429777"/>
    <s v="Medium Opportunity"/>
    <x v="0"/>
    <s v="Yes"/>
  </r>
  <r>
    <x v="34"/>
    <x v="34"/>
    <s v="Soybean oil, crude"/>
    <x v="34"/>
    <x v="5"/>
    <x v="18"/>
    <s v="Crude Vegetable Oils"/>
    <s v="Food Manufacturing"/>
    <x v="18"/>
    <x v="0"/>
    <x v="0"/>
    <s v="X"/>
    <x v="18"/>
    <s v="Egypt"/>
    <s v="World"/>
    <s v="TOTAL CPC"/>
    <s v="TOTAL MOT"/>
    <n v="150710"/>
    <n v="7364758"/>
    <n v="6990750"/>
    <n v="0"/>
    <n v="6990750"/>
    <s v="kg"/>
    <n v="6990750"/>
    <s v="kg"/>
    <n v="9.425427433633813E-3"/>
    <n v="1"/>
    <x v="1"/>
    <n v="4.0000000000000008E-2"/>
    <n v="294590.32000000007"/>
    <n v="279630.00000000006"/>
    <n v="2.5692076181228242E-2"/>
    <n v="24"/>
    <n v="1.0535004112577335"/>
    <n v="22"/>
    <x v="2"/>
    <s v="No"/>
    <n v="51144350"/>
    <n v="48429777"/>
    <n v="7.6648679233989533E-2"/>
    <n v="4"/>
    <x v="0"/>
    <n v="10654550.939999999"/>
    <n v="69"/>
    <x v="0"/>
    <x v="0"/>
    <n v="48429777"/>
    <n v="1"/>
    <n v="1"/>
    <s v="Highly Concentrated"/>
    <n v="48429777"/>
    <s v="Medium Opportunity"/>
    <x v="0"/>
    <s v="Yes"/>
  </r>
  <r>
    <x v="35"/>
    <x v="35"/>
    <s v="Soybean oil, refined"/>
    <x v="35"/>
    <x v="5"/>
    <x v="18"/>
    <s v="Refined Vegetable Oils"/>
    <s v="Sauces / Industrial Use"/>
    <x v="7"/>
    <x v="0"/>
    <x v="0"/>
    <s v="X"/>
    <x v="7"/>
    <s v="Egypt"/>
    <s v="World"/>
    <s v="TOTAL CPC"/>
    <s v="TOTAL MOT"/>
    <n v="150790"/>
    <n v="27192"/>
    <n v="8964"/>
    <n v="0"/>
    <n v="8964"/>
    <s v="kg"/>
    <n v="8964"/>
    <s v="kg"/>
    <n v="1.1674623358397021E-2"/>
    <n v="30"/>
    <x v="0"/>
    <n v="0"/>
    <n v="0"/>
    <n v="0"/>
    <n v="8.5948162394993717E-5"/>
    <n v="363"/>
    <n v="3.0334672021419009"/>
    <n v="39"/>
    <x v="0"/>
    <s v="Yes"/>
    <n v="109474"/>
    <n v="162013"/>
    <n v="1.4561232389604124E-2"/>
    <n v="4"/>
    <x v="0"/>
    <n v="63185.07"/>
    <n v="526"/>
    <x v="0"/>
    <x v="0"/>
    <n v="162013"/>
    <n v="1"/>
    <n v="1"/>
    <s v="Highly Concentrated"/>
    <n v="162013"/>
    <s v="Routine Market"/>
    <x v="0"/>
    <s v="No"/>
  </r>
  <r>
    <x v="35"/>
    <x v="35"/>
    <s v="Soybean oil, refined"/>
    <x v="35"/>
    <x v="5"/>
    <x v="18"/>
    <s v="Refined Vegetable Oils"/>
    <s v="Sauces / Industrial Use"/>
    <x v="42"/>
    <x v="1"/>
    <x v="0"/>
    <s v="X"/>
    <x v="42"/>
    <s v="Egypt"/>
    <s v="World"/>
    <s v="TOTAL CPC"/>
    <s v="TOTAL MOT"/>
    <n v="150790"/>
    <n v="47380"/>
    <n v="43530"/>
    <n v="0"/>
    <n v="43530"/>
    <s v="kg"/>
    <n v="43530"/>
    <s v="kg"/>
    <n v="2.8246411344990648E-3"/>
    <n v="2"/>
    <x v="0"/>
    <n v="0"/>
    <n v="0"/>
    <n v="0"/>
    <n v="8.5948162394993717E-5"/>
    <n v="327"/>
    <n v="1.0884447507466115"/>
    <n v="39"/>
    <x v="0"/>
    <s v="Yes"/>
    <n v="109474"/>
    <n v="162013"/>
    <n v="1.4561232389604124E-2"/>
    <n v="4"/>
    <x v="0"/>
    <n v="63185.07"/>
    <n v="526"/>
    <x v="0"/>
    <x v="0"/>
    <n v="162013"/>
    <n v="1"/>
    <n v="1"/>
    <s v="Highly Concentrated"/>
    <n v="162013"/>
    <s v="Routine Market"/>
    <x v="0"/>
    <s v="Yes"/>
  </r>
  <r>
    <x v="35"/>
    <x v="35"/>
    <s v="Soybean oil, refined"/>
    <x v="35"/>
    <x v="5"/>
    <x v="18"/>
    <s v="Refined Vegetable Oils"/>
    <s v="Sauces / Industrial Use"/>
    <x v="49"/>
    <x v="1"/>
    <x v="0"/>
    <s v="X"/>
    <x v="49"/>
    <s v="Egypt"/>
    <s v="World"/>
    <s v="TOTAL CPC"/>
    <s v="TOTAL MOT"/>
    <n v="150790"/>
    <n v="195"/>
    <n v="80"/>
    <n v="0"/>
    <n v="80"/>
    <s v="kg"/>
    <n v="80"/>
    <s v="kg"/>
    <n v="8.2233059401702185E-6"/>
    <n v="5"/>
    <x v="0"/>
    <n v="0"/>
    <n v="0"/>
    <n v="0"/>
    <n v="8.5948162394993717E-5"/>
    <n v="508"/>
    <n v="2.4375"/>
    <n v="39"/>
    <x v="0"/>
    <s v="Yes"/>
    <n v="109474"/>
    <n v="162013"/>
    <n v="1.4561232389604124E-2"/>
    <n v="4"/>
    <x v="0"/>
    <n v="63185.07"/>
    <n v="526"/>
    <x v="0"/>
    <x v="0"/>
    <n v="162013"/>
    <n v="1"/>
    <n v="1"/>
    <s v="Highly Concentrated"/>
    <n v="162013"/>
    <s v="Routine Market"/>
    <x v="0"/>
    <s v="Yes"/>
  </r>
  <r>
    <x v="35"/>
    <x v="35"/>
    <s v="Soybean oil, refined"/>
    <x v="35"/>
    <x v="5"/>
    <x v="18"/>
    <s v="Refined Vegetable Oils"/>
    <s v="Sauces / Industrial Use"/>
    <x v="12"/>
    <x v="0"/>
    <x v="0"/>
    <s v="X"/>
    <x v="12"/>
    <s v="Egypt"/>
    <s v="World"/>
    <s v="TOTAL CPC"/>
    <s v="TOTAL MOT"/>
    <n v="150790"/>
    <n v="87246"/>
    <n v="56900"/>
    <n v="0"/>
    <n v="56900"/>
    <s v="kg"/>
    <n v="56900"/>
    <s v="kg"/>
    <n v="1.4561232389604124E-2"/>
    <n v="16"/>
    <x v="0"/>
    <n v="0"/>
    <n v="0"/>
    <n v="0"/>
    <n v="8.5948162394993717E-5"/>
    <n v="284"/>
    <n v="1.5333216168717048"/>
    <n v="39"/>
    <x v="0"/>
    <s v="Yes"/>
    <n v="109474"/>
    <n v="162013"/>
    <n v="1.4561232389604124E-2"/>
    <n v="4"/>
    <x v="0"/>
    <n v="63185.07"/>
    <n v="526"/>
    <x v="0"/>
    <x v="0"/>
    <n v="162013"/>
    <n v="1"/>
    <n v="1"/>
    <s v="Highly Concentrated"/>
    <n v="162013"/>
    <s v="Routine Market"/>
    <x v="0"/>
    <s v="No"/>
  </r>
  <r>
    <x v="36"/>
    <x v="36"/>
    <s v="Sunflower oil"/>
    <x v="36"/>
    <x v="5"/>
    <x v="18"/>
    <s v="Refined Seed Oils"/>
    <s v="Snacks / Sauces / Frying"/>
    <x v="35"/>
    <x v="0"/>
    <x v="0"/>
    <s v="X"/>
    <x v="35"/>
    <s v="Egypt"/>
    <s v="World"/>
    <s v="TOTAL CPC"/>
    <s v="TOTAL MOT"/>
    <n v="151211"/>
    <n v="8822678"/>
    <n v="9999920"/>
    <n v="0"/>
    <n v="9999920"/>
    <s v="kg"/>
    <n v="9999920"/>
    <s v="kg"/>
    <n v="5.4237925464080154E-3"/>
    <n v="1"/>
    <x v="0"/>
    <n v="0"/>
    <n v="0"/>
    <n v="0"/>
    <n v="9.1907853375793033E-2"/>
    <n v="21"/>
    <n v="0.88227485819886564"/>
    <n v="34"/>
    <x v="0"/>
    <s v="No"/>
    <n v="224152755"/>
    <n v="173247067"/>
    <n v="7.6648679233989533E-2"/>
    <n v="7"/>
    <x v="0"/>
    <n v="58904002.780000001"/>
    <n v="8"/>
    <x v="1"/>
    <x v="2"/>
    <n v="173247067"/>
    <n v="1"/>
    <n v="1"/>
    <s v="Highly Concentrated"/>
    <n v="173247067"/>
    <s v="High Opportunity"/>
    <x v="0"/>
    <s v="Yes"/>
  </r>
  <r>
    <x v="36"/>
    <x v="36"/>
    <s v="Sunflower oil"/>
    <x v="36"/>
    <x v="5"/>
    <x v="18"/>
    <s v="Refined Seed Oils"/>
    <s v="Snacks / Sauces / Frying"/>
    <x v="6"/>
    <x v="0"/>
    <x v="0"/>
    <s v="X"/>
    <x v="6"/>
    <s v="Egypt"/>
    <s v="World"/>
    <s v="TOTAL CPC"/>
    <s v="TOTAL MOT"/>
    <n v="151211"/>
    <n v="1200"/>
    <n v="25"/>
    <n v="0"/>
    <n v="25"/>
    <s v="kg"/>
    <n v="25"/>
    <s v="kg"/>
    <n v="1.6951290293147386E-2"/>
    <n v="33"/>
    <x v="0"/>
    <n v="0"/>
    <n v="0"/>
    <n v="0"/>
    <n v="9.1907853375793033E-2"/>
    <n v="482"/>
    <n v="48"/>
    <n v="34"/>
    <x v="0"/>
    <s v="No"/>
    <n v="224152755"/>
    <n v="173247067"/>
    <n v="7.6648679233989533E-2"/>
    <n v="7"/>
    <x v="0"/>
    <n v="58904002.780000001"/>
    <n v="8"/>
    <x v="1"/>
    <x v="2"/>
    <n v="173247067"/>
    <n v="1"/>
    <n v="1"/>
    <s v="Highly Concentrated"/>
    <n v="173247067"/>
    <s v="High Opportunity"/>
    <x v="0"/>
    <s v="No"/>
  </r>
  <r>
    <x v="36"/>
    <x v="36"/>
    <s v="Sunflower oil"/>
    <x v="36"/>
    <x v="5"/>
    <x v="18"/>
    <s v="Refined Seed Oils"/>
    <s v="Snacks / Sauces / Frying"/>
    <x v="49"/>
    <x v="1"/>
    <x v="0"/>
    <s v="X"/>
    <x v="49"/>
    <s v="Egypt"/>
    <s v="World"/>
    <s v="TOTAL CPC"/>
    <s v="TOTAL MOT"/>
    <n v="151211"/>
    <n v="163"/>
    <n v="180"/>
    <n v="0"/>
    <n v="180"/>
    <s v="kg"/>
    <n v="180"/>
    <s v="kg"/>
    <n v="8.2233059401702185E-6"/>
    <n v="6"/>
    <x v="0"/>
    <n v="0"/>
    <n v="0"/>
    <n v="0"/>
    <n v="9.1907853375793033E-2"/>
    <n v="511"/>
    <n v="0.90555555555555556"/>
    <n v="34"/>
    <x v="0"/>
    <s v="No"/>
    <n v="224152755"/>
    <n v="173247067"/>
    <n v="7.6648679233989533E-2"/>
    <n v="7"/>
    <x v="0"/>
    <n v="58904002.780000001"/>
    <n v="8"/>
    <x v="1"/>
    <x v="2"/>
    <n v="173247067"/>
    <n v="1"/>
    <n v="1"/>
    <s v="Highly Concentrated"/>
    <n v="173247067"/>
    <s v="High Opportunity"/>
    <x v="0"/>
    <s v="Yes"/>
  </r>
  <r>
    <x v="36"/>
    <x v="36"/>
    <s v="Sunflower oil"/>
    <x v="36"/>
    <x v="5"/>
    <x v="18"/>
    <s v="Refined Seed Oils"/>
    <s v="Snacks / Sauces / Frying"/>
    <x v="10"/>
    <x v="0"/>
    <x v="0"/>
    <s v="X"/>
    <x v="10"/>
    <s v="Egypt"/>
    <s v="World"/>
    <s v="TOTAL CPC"/>
    <s v="TOTAL MOT"/>
    <n v="151211"/>
    <n v="23972652"/>
    <n v="29258650"/>
    <n v="0"/>
    <n v="29258650"/>
    <s v="kg"/>
    <n v="29258650"/>
    <s v="kg"/>
    <n v="1.389484063100993E-2"/>
    <n v="1"/>
    <x v="0"/>
    <n v="0"/>
    <n v="0"/>
    <n v="0"/>
    <n v="9.1907853375793033E-2"/>
    <n v="6"/>
    <n v="0.81933554692373023"/>
    <n v="34"/>
    <x v="0"/>
    <s v="No"/>
    <n v="224152755"/>
    <n v="173247067"/>
    <n v="7.6648679233989533E-2"/>
    <n v="7"/>
    <x v="0"/>
    <n v="58904002.780000001"/>
    <n v="8"/>
    <x v="1"/>
    <x v="2"/>
    <n v="173247067"/>
    <n v="1"/>
    <n v="1"/>
    <s v="Highly Concentrated"/>
    <n v="173247067"/>
    <s v="High Opportunity"/>
    <x v="1"/>
    <s v="Yes"/>
  </r>
  <r>
    <x v="36"/>
    <x v="36"/>
    <s v="Sunflower oil"/>
    <x v="36"/>
    <x v="5"/>
    <x v="18"/>
    <s v="Refined Seed Oils"/>
    <s v="Snacks / Sauces / Frying"/>
    <x v="14"/>
    <x v="1"/>
    <x v="0"/>
    <s v="X"/>
    <x v="14"/>
    <s v="Egypt"/>
    <s v="World"/>
    <s v="TOTAL CPC"/>
    <s v="TOTAL MOT"/>
    <n v="151211"/>
    <n v="120579"/>
    <n v="82940"/>
    <n v="0"/>
    <n v="82940"/>
    <s v="kg"/>
    <n v="82940"/>
    <s v="kg"/>
    <n v="9.709938116315122E-3"/>
    <n v="8"/>
    <x v="0"/>
    <n v="0"/>
    <n v="0"/>
    <n v="0"/>
    <n v="9.1907853375793033E-2"/>
    <n v="261"/>
    <n v="1.4538099831203279"/>
    <n v="34"/>
    <x v="0"/>
    <s v="No"/>
    <n v="224152755"/>
    <n v="173247067"/>
    <n v="7.6648679233989533E-2"/>
    <n v="7"/>
    <x v="0"/>
    <n v="58904002.780000001"/>
    <n v="8"/>
    <x v="1"/>
    <x v="2"/>
    <n v="173247067"/>
    <n v="1"/>
    <n v="1"/>
    <s v="Highly Concentrated"/>
    <n v="173247067"/>
    <s v="High Opportunity"/>
    <x v="0"/>
    <s v="Yes"/>
  </r>
  <r>
    <x v="36"/>
    <x v="36"/>
    <s v="Sunflower oil"/>
    <x v="36"/>
    <x v="5"/>
    <x v="18"/>
    <s v="Refined Seed Oils"/>
    <s v="Snacks / Sauces / Frying"/>
    <x v="17"/>
    <x v="0"/>
    <x v="0"/>
    <s v="X"/>
    <x v="17"/>
    <s v="Egypt"/>
    <s v="World"/>
    <s v="TOTAL CPC"/>
    <s v="TOTAL MOT"/>
    <n v="151211"/>
    <n v="48"/>
    <n v="40"/>
    <n v="0"/>
    <n v="40"/>
    <s v="kg"/>
    <n v="40"/>
    <s v="kg"/>
    <n v="4.7522902002533667E-2"/>
    <n v="35"/>
    <x v="1"/>
    <n v="0.1"/>
    <n v="4.8000000000000007"/>
    <n v="4"/>
    <n v="9.1907853375793033E-2"/>
    <n v="525"/>
    <n v="1.2"/>
    <n v="34"/>
    <x v="0"/>
    <s v="No"/>
    <n v="224152755"/>
    <n v="173247067"/>
    <n v="7.6648679233989533E-2"/>
    <n v="7"/>
    <x v="0"/>
    <n v="58904002.780000001"/>
    <n v="8"/>
    <x v="1"/>
    <x v="2"/>
    <n v="173247067"/>
    <n v="1"/>
    <n v="1"/>
    <s v="Highly Concentrated"/>
    <n v="173247067"/>
    <s v="High Opportunity"/>
    <x v="0"/>
    <s v="No"/>
  </r>
  <r>
    <x v="36"/>
    <x v="36"/>
    <s v="Sunflower oil"/>
    <x v="36"/>
    <x v="5"/>
    <x v="18"/>
    <s v="Refined Seed Oils"/>
    <s v="Snacks / Sauces / Frying"/>
    <x v="32"/>
    <x v="0"/>
    <x v="0"/>
    <s v="X"/>
    <x v="32"/>
    <s v="Egypt"/>
    <s v="World"/>
    <s v="TOTAL CPC"/>
    <s v="TOTAL MOT"/>
    <n v="151211"/>
    <n v="140329747"/>
    <n v="184811000"/>
    <n v="0"/>
    <n v="184811000"/>
    <s v="kg"/>
    <n v="184811000"/>
    <s v="kg"/>
    <n v="7.6648679233989533E-2"/>
    <n v="1"/>
    <x v="1"/>
    <n v="0.44999999999999996"/>
    <n v="63148386.149999991"/>
    <n v="83164949.999999985"/>
    <n v="9.1907853375793033E-2"/>
    <n v="3"/>
    <n v="0.75931490549804936"/>
    <n v="34"/>
    <x v="0"/>
    <s v="No"/>
    <n v="224152755"/>
    <n v="173247067"/>
    <n v="7.6648679233989533E-2"/>
    <n v="7"/>
    <x v="0"/>
    <n v="58904002.780000001"/>
    <n v="8"/>
    <x v="1"/>
    <x v="2"/>
    <n v="173247067"/>
    <n v="1"/>
    <n v="1"/>
    <s v="Highly Concentrated"/>
    <n v="173247067"/>
    <s v="High Opportunity"/>
    <x v="1"/>
    <s v="Yes"/>
  </r>
  <r>
    <x v="37"/>
    <x v="37"/>
    <s v="Hydrogenated vegetable oils"/>
    <x v="37"/>
    <x v="0"/>
    <x v="19"/>
    <s v="Industrial Shortening"/>
    <s v="Bakery / Margarine"/>
    <x v="1"/>
    <x v="0"/>
    <x v="0"/>
    <s v="X"/>
    <x v="1"/>
    <s v="Egypt"/>
    <s v="World"/>
    <s v="TOTAL CPC"/>
    <s v="TOTAL MOT"/>
    <n v="151620"/>
    <n v="5687"/>
    <n v="1580"/>
    <n v="0"/>
    <n v="1580"/>
    <s v="kg"/>
    <n v="1580"/>
    <s v="kg"/>
    <n v="5.3992075088500962E-3"/>
    <n v="21"/>
    <x v="0"/>
    <n v="0"/>
    <n v="0"/>
    <n v="0"/>
    <n v="5.4275292938682683E-2"/>
    <n v="433"/>
    <n v="3.599367088607595"/>
    <n v="34"/>
    <x v="0"/>
    <s v="No"/>
    <n v="80054906"/>
    <n v="102309378"/>
    <n v="0.39900464236999494"/>
    <n v="18"/>
    <x v="0"/>
    <n v="34785188.520000003"/>
    <n v="15"/>
    <x v="2"/>
    <x v="2"/>
    <n v="102309378"/>
    <n v="1"/>
    <n v="1"/>
    <s v="Highly Concentrated"/>
    <n v="102309378"/>
    <s v="High Opportunity"/>
    <x v="0"/>
    <s v="No"/>
  </r>
  <r>
    <x v="37"/>
    <x v="37"/>
    <s v="Hydrogenated vegetable oils"/>
    <x v="37"/>
    <x v="0"/>
    <x v="19"/>
    <s v="Industrial Shortening"/>
    <s v="Bakery / Margarine"/>
    <x v="3"/>
    <x v="0"/>
    <x v="0"/>
    <s v="X"/>
    <x v="3"/>
    <s v="Egypt"/>
    <s v="World"/>
    <s v="TOTAL CPC"/>
    <s v="TOTAL MOT"/>
    <n v="151620"/>
    <n v="708"/>
    <n v="25"/>
    <n v="0"/>
    <n v="25"/>
    <s v="kg"/>
    <n v="25"/>
    <s v="kg"/>
    <n v="6.321329281187793E-2"/>
    <n v="36"/>
    <x v="1"/>
    <n v="0.14000000000000001"/>
    <n v="99.12"/>
    <n v="3.5000000000000004"/>
    <n v="5.4275292938682683E-2"/>
    <n v="491"/>
    <n v="28.32"/>
    <n v="34"/>
    <x v="0"/>
    <s v="No"/>
    <n v="80054906"/>
    <n v="102309378"/>
    <n v="0.39900464236999494"/>
    <n v="18"/>
    <x v="0"/>
    <n v="34785188.520000003"/>
    <n v="15"/>
    <x v="2"/>
    <x v="2"/>
    <n v="102309378"/>
    <n v="1"/>
    <n v="1"/>
    <s v="Highly Concentrated"/>
    <n v="102309378"/>
    <s v="High Opportunity"/>
    <x v="0"/>
    <s v="No"/>
  </r>
  <r>
    <x v="37"/>
    <x v="37"/>
    <s v="Hydrogenated vegetable oils"/>
    <x v="37"/>
    <x v="0"/>
    <x v="19"/>
    <s v="Industrial Shortening"/>
    <s v="Bakery / Margarine"/>
    <x v="5"/>
    <x v="1"/>
    <x v="0"/>
    <s v="X"/>
    <x v="5"/>
    <s v="Egypt"/>
    <s v="World"/>
    <s v="TOTAL CPC"/>
    <s v="TOTAL MOT"/>
    <n v="151620"/>
    <n v="317503"/>
    <n v="70730"/>
    <n v="0"/>
    <n v="70730"/>
    <s v="kg"/>
    <n v="70730"/>
    <s v="kg"/>
    <n v="4.8573207719329804E-4"/>
    <n v="2"/>
    <x v="0"/>
    <n v="0"/>
    <n v="0"/>
    <n v="0"/>
    <n v="5.4275292938682683E-2"/>
    <n v="183"/>
    <n v="4.4889438710589564"/>
    <n v="34"/>
    <x v="0"/>
    <s v="No"/>
    <n v="80054906"/>
    <n v="102309378"/>
    <n v="0.39900464236999494"/>
    <n v="18"/>
    <x v="0"/>
    <n v="34785188.520000003"/>
    <n v="15"/>
    <x v="2"/>
    <x v="2"/>
    <n v="102309378"/>
    <n v="1"/>
    <n v="1"/>
    <s v="Highly Concentrated"/>
    <n v="102309378"/>
    <s v="High Opportunity"/>
    <x v="0"/>
    <s v="Yes"/>
  </r>
  <r>
    <x v="37"/>
    <x v="37"/>
    <s v="Hydrogenated vegetable oils"/>
    <x v="37"/>
    <x v="0"/>
    <x v="19"/>
    <s v="Industrial Shortening"/>
    <s v="Bakery / Margarine"/>
    <x v="6"/>
    <x v="1"/>
    <x v="0"/>
    <s v="X"/>
    <x v="6"/>
    <s v="Egypt"/>
    <s v="World"/>
    <s v="TOTAL CPC"/>
    <s v="TOTAL MOT"/>
    <n v="151620"/>
    <n v="1352247"/>
    <n v="236543"/>
    <n v="0"/>
    <n v="236543"/>
    <s v="kg"/>
    <n v="236543"/>
    <s v="kg"/>
    <n v="1.6951290293147386E-2"/>
    <n v="5"/>
    <x v="0"/>
    <n v="0"/>
    <n v="0"/>
    <n v="0"/>
    <n v="5.4275292938682683E-2"/>
    <n v="83"/>
    <n v="5.7167068989570611"/>
    <n v="34"/>
    <x v="0"/>
    <s v="No"/>
    <n v="80054906"/>
    <n v="102309378"/>
    <n v="0.39900464236999494"/>
    <n v="18"/>
    <x v="0"/>
    <n v="34785188.520000003"/>
    <n v="15"/>
    <x v="2"/>
    <x v="2"/>
    <n v="102309378"/>
    <n v="1"/>
    <n v="1"/>
    <s v="Highly Concentrated"/>
    <n v="102309378"/>
    <s v="High Opportunity"/>
    <x v="0"/>
    <s v="Yes"/>
  </r>
  <r>
    <x v="37"/>
    <x v="37"/>
    <s v="Hydrogenated vegetable oils"/>
    <x v="37"/>
    <x v="0"/>
    <x v="19"/>
    <s v="Industrial Shortening"/>
    <s v="Bakery / Margarine"/>
    <x v="7"/>
    <x v="1"/>
    <x v="0"/>
    <s v="X"/>
    <x v="7"/>
    <s v="Egypt"/>
    <s v="World"/>
    <s v="TOTAL CPC"/>
    <s v="TOTAL MOT"/>
    <n v="151620"/>
    <n v="796106"/>
    <n v="110984"/>
    <n v="0"/>
    <n v="110984"/>
    <s v="kg"/>
    <n v="110984"/>
    <s v="kg"/>
    <n v="1.1674623358397021E-2"/>
    <n v="9"/>
    <x v="0"/>
    <n v="0"/>
    <n v="0"/>
    <n v="0"/>
    <n v="5.4275292938682683E-2"/>
    <n v="114"/>
    <n v="7.1731600951488499"/>
    <n v="34"/>
    <x v="0"/>
    <s v="No"/>
    <n v="80054906"/>
    <n v="102309378"/>
    <n v="0.39900464236999494"/>
    <n v="18"/>
    <x v="0"/>
    <n v="34785188.520000003"/>
    <n v="15"/>
    <x v="2"/>
    <x v="2"/>
    <n v="102309378"/>
    <n v="1"/>
    <n v="1"/>
    <s v="Highly Concentrated"/>
    <n v="102309378"/>
    <s v="High Opportunity"/>
    <x v="0"/>
    <s v="Yes"/>
  </r>
  <r>
    <x v="37"/>
    <x v="37"/>
    <s v="Hydrogenated vegetable oils"/>
    <x v="37"/>
    <x v="0"/>
    <x v="19"/>
    <s v="Industrial Shortening"/>
    <s v="Bakery / Margarine"/>
    <x v="27"/>
    <x v="1"/>
    <x v="0"/>
    <s v="X"/>
    <x v="27"/>
    <s v="Egypt"/>
    <s v="World"/>
    <s v="TOTAL CPC"/>
    <s v="TOTAL MOT"/>
    <n v="151620"/>
    <n v="17335950"/>
    <n v="13133000"/>
    <n v="0"/>
    <n v="13133000"/>
    <s v="kg"/>
    <n v="13133000"/>
    <s v="kg"/>
    <n v="0.39900464236999494"/>
    <n v="2"/>
    <x v="1"/>
    <n v="0.21"/>
    <n v="3640549.5"/>
    <n v="2757930"/>
    <n v="5.4275292938682683E-2"/>
    <n v="7"/>
    <n v="1.3200296961851823"/>
    <n v="34"/>
    <x v="0"/>
    <s v="No"/>
    <n v="80054906"/>
    <n v="102309378"/>
    <n v="0.39900464236999494"/>
    <n v="18"/>
    <x v="0"/>
    <n v="34785188.520000003"/>
    <n v="15"/>
    <x v="2"/>
    <x v="2"/>
    <n v="102309378"/>
    <n v="1"/>
    <n v="1"/>
    <s v="Highly Concentrated"/>
    <n v="102309378"/>
    <s v="High Opportunity"/>
    <x v="1"/>
    <s v="Yes"/>
  </r>
  <r>
    <x v="37"/>
    <x v="37"/>
    <s v="Hydrogenated vegetable oils"/>
    <x v="37"/>
    <x v="0"/>
    <x v="19"/>
    <s v="Industrial Shortening"/>
    <s v="Bakery / Margarine"/>
    <x v="9"/>
    <x v="0"/>
    <x v="0"/>
    <s v="X"/>
    <x v="9"/>
    <s v="Egypt"/>
    <s v="World"/>
    <s v="TOTAL CPC"/>
    <s v="TOTAL MOT"/>
    <n v="151620"/>
    <n v="119031"/>
    <n v="56840"/>
    <n v="0"/>
    <n v="56840"/>
    <s v="kg"/>
    <n v="56840"/>
    <s v="kg"/>
    <n v="1.1178535358665947E-2"/>
    <n v="12"/>
    <x v="0"/>
    <n v="0"/>
    <n v="0"/>
    <n v="0"/>
    <n v="5.4275292938682683E-2"/>
    <n v="263"/>
    <n v="2.0941414496833217"/>
    <n v="34"/>
    <x v="0"/>
    <s v="No"/>
    <n v="80054906"/>
    <n v="102309378"/>
    <n v="0.39900464236999494"/>
    <n v="18"/>
    <x v="0"/>
    <n v="34785188.520000003"/>
    <n v="15"/>
    <x v="2"/>
    <x v="2"/>
    <n v="102309378"/>
    <n v="1"/>
    <n v="1"/>
    <s v="Highly Concentrated"/>
    <n v="102309378"/>
    <s v="High Opportunity"/>
    <x v="0"/>
    <s v="No"/>
  </r>
  <r>
    <x v="37"/>
    <x v="37"/>
    <s v="Hydrogenated vegetable oils"/>
    <x v="37"/>
    <x v="0"/>
    <x v="19"/>
    <s v="Industrial Shortening"/>
    <s v="Bakery / Margarine"/>
    <x v="10"/>
    <x v="1"/>
    <x v="0"/>
    <s v="X"/>
    <x v="10"/>
    <s v="Egypt"/>
    <s v="World"/>
    <s v="TOTAL CPC"/>
    <s v="TOTAL MOT"/>
    <n v="151620"/>
    <n v="5981"/>
    <n v="1600"/>
    <n v="0"/>
    <n v="1600"/>
    <s v="kg"/>
    <n v="1600"/>
    <s v="kg"/>
    <n v="1.389484063100993E-2"/>
    <n v="7"/>
    <x v="0"/>
    <n v="0"/>
    <n v="0"/>
    <n v="0"/>
    <n v="5.4275292938682683E-2"/>
    <n v="432"/>
    <n v="3.7381250000000001"/>
    <n v="34"/>
    <x v="0"/>
    <s v="No"/>
    <n v="80054906"/>
    <n v="102309378"/>
    <n v="0.39900464236999494"/>
    <n v="18"/>
    <x v="0"/>
    <n v="34785188.520000003"/>
    <n v="15"/>
    <x v="2"/>
    <x v="2"/>
    <n v="102309378"/>
    <n v="1"/>
    <n v="1"/>
    <s v="Highly Concentrated"/>
    <n v="102309378"/>
    <s v="High Opportunity"/>
    <x v="0"/>
    <s v="Yes"/>
  </r>
  <r>
    <x v="37"/>
    <x v="37"/>
    <s v="Hydrogenated vegetable oils"/>
    <x v="37"/>
    <x v="0"/>
    <x v="19"/>
    <s v="Industrial Shortening"/>
    <s v="Bakery / Margarine"/>
    <x v="11"/>
    <x v="1"/>
    <x v="0"/>
    <s v="X"/>
    <x v="11"/>
    <s v="Egypt"/>
    <s v="World"/>
    <s v="TOTAL CPC"/>
    <s v="TOTAL MOT"/>
    <n v="151620"/>
    <n v="80455158"/>
    <n v="65575375"/>
    <n v="0"/>
    <n v="65575375"/>
    <s v="kg"/>
    <n v="0"/>
    <s v="N/A"/>
    <n v="0.25769345655074266"/>
    <n v="2"/>
    <x v="0"/>
    <n v="0"/>
    <n v="0"/>
    <n v="0"/>
    <n v="5.4275292938682683E-2"/>
    <n v="4"/>
    <n v="1.2269111385180793"/>
    <n v="34"/>
    <x v="0"/>
    <s v="No"/>
    <n v="80054906"/>
    <n v="102309378"/>
    <n v="0.39900464236999494"/>
    <n v="18"/>
    <x v="0"/>
    <n v="34785188.520000003"/>
    <n v="15"/>
    <x v="2"/>
    <x v="2"/>
    <n v="102309378"/>
    <n v="1"/>
    <n v="1"/>
    <s v="Highly Concentrated"/>
    <n v="102309378"/>
    <s v="High Opportunity"/>
    <x v="1"/>
    <s v="Yes"/>
  </r>
  <r>
    <x v="37"/>
    <x v="37"/>
    <s v="Hydrogenated vegetable oils"/>
    <x v="37"/>
    <x v="0"/>
    <x v="19"/>
    <s v="Industrial Shortening"/>
    <s v="Bakery / Margarine"/>
    <x v="19"/>
    <x v="1"/>
    <x v="0"/>
    <s v="X"/>
    <x v="19"/>
    <s v="Egypt"/>
    <s v="World"/>
    <s v="TOTAL CPC"/>
    <s v="TOTAL MOT"/>
    <n v="151620"/>
    <n v="8871"/>
    <n v="1200"/>
    <n v="0"/>
    <n v="1200"/>
    <s v="kg"/>
    <n v="1200"/>
    <s v="kg"/>
    <n v="1.4429559760252854E-3"/>
    <n v="4"/>
    <x v="0"/>
    <n v="0"/>
    <n v="0"/>
    <n v="0"/>
    <n v="5.4275292938682683E-2"/>
    <n v="417"/>
    <n v="7.3925000000000001"/>
    <n v="34"/>
    <x v="0"/>
    <s v="No"/>
    <n v="80054906"/>
    <n v="102309378"/>
    <n v="0.39900464236999494"/>
    <n v="18"/>
    <x v="0"/>
    <n v="34785188.520000003"/>
    <n v="15"/>
    <x v="2"/>
    <x v="2"/>
    <n v="102309378"/>
    <n v="1"/>
    <n v="1"/>
    <s v="Highly Concentrated"/>
    <n v="102309378"/>
    <s v="High Opportunity"/>
    <x v="0"/>
    <s v="Yes"/>
  </r>
  <r>
    <x v="37"/>
    <x v="37"/>
    <s v="Hydrogenated vegetable oils"/>
    <x v="37"/>
    <x v="0"/>
    <x v="19"/>
    <s v="Industrial Shortening"/>
    <s v="Bakery / Margarine"/>
    <x v="12"/>
    <x v="0"/>
    <x v="0"/>
    <s v="X"/>
    <x v="12"/>
    <s v="Egypt"/>
    <s v="World"/>
    <s v="TOTAL CPC"/>
    <s v="TOTAL MOT"/>
    <n v="151620"/>
    <n v="108461"/>
    <n v="25807"/>
    <n v="0"/>
    <n v="25807"/>
    <s v="kg"/>
    <n v="25807"/>
    <s v="kg"/>
    <n v="1.4561232389604124E-2"/>
    <n v="14"/>
    <x v="0"/>
    <n v="0"/>
    <n v="0"/>
    <n v="0"/>
    <n v="5.4275292938682683E-2"/>
    <n v="270"/>
    <n v="4.202774441043128"/>
    <n v="34"/>
    <x v="0"/>
    <s v="No"/>
    <n v="80054906"/>
    <n v="102309378"/>
    <n v="0.39900464236999494"/>
    <n v="18"/>
    <x v="0"/>
    <n v="34785188.520000003"/>
    <n v="15"/>
    <x v="2"/>
    <x v="2"/>
    <n v="102309378"/>
    <n v="1"/>
    <n v="1"/>
    <s v="Highly Concentrated"/>
    <n v="102309378"/>
    <s v="High Opportunity"/>
    <x v="0"/>
    <s v="No"/>
  </r>
  <r>
    <x v="37"/>
    <x v="37"/>
    <s v="Hydrogenated vegetable oils"/>
    <x v="37"/>
    <x v="0"/>
    <x v="19"/>
    <s v="Industrial Shortening"/>
    <s v="Bakery / Margarine"/>
    <x v="14"/>
    <x v="1"/>
    <x v="0"/>
    <s v="X"/>
    <x v="14"/>
    <s v="Egypt"/>
    <s v="World"/>
    <s v="TOTAL CPC"/>
    <s v="TOTAL MOT"/>
    <n v="151620"/>
    <n v="375578"/>
    <n v="318456"/>
    <n v="0"/>
    <n v="318456"/>
    <s v="kg"/>
    <n v="318456"/>
    <s v="kg"/>
    <n v="9.709938116315122E-3"/>
    <n v="5"/>
    <x v="0"/>
    <n v="0"/>
    <n v="0"/>
    <n v="0"/>
    <n v="5.4275292938682683E-2"/>
    <n v="166"/>
    <n v="1.179371718541965"/>
    <n v="34"/>
    <x v="0"/>
    <s v="No"/>
    <n v="80054906"/>
    <n v="102309378"/>
    <n v="0.39900464236999494"/>
    <n v="18"/>
    <x v="0"/>
    <n v="34785188.520000003"/>
    <n v="15"/>
    <x v="2"/>
    <x v="2"/>
    <n v="102309378"/>
    <n v="1"/>
    <n v="1"/>
    <s v="Highly Concentrated"/>
    <n v="102309378"/>
    <s v="High Opportunity"/>
    <x v="0"/>
    <s v="Yes"/>
  </r>
  <r>
    <x v="37"/>
    <x v="37"/>
    <s v="Hydrogenated vegetable oils"/>
    <x v="37"/>
    <x v="0"/>
    <x v="19"/>
    <s v="Industrial Shortening"/>
    <s v="Bakery / Margarine"/>
    <x v="15"/>
    <x v="0"/>
    <x v="0"/>
    <s v="X"/>
    <x v="15"/>
    <s v="Egypt"/>
    <s v="World"/>
    <s v="TOTAL CPC"/>
    <s v="TOTAL MOT"/>
    <n v="151620"/>
    <n v="380121"/>
    <n v="206390"/>
    <n v="0"/>
    <n v="206390"/>
    <s v="kg"/>
    <n v="206390"/>
    <s v="kg"/>
    <n v="2.2441761060335613E-2"/>
    <n v="18"/>
    <x v="0"/>
    <n v="0"/>
    <n v="0"/>
    <n v="0"/>
    <n v="5.4275292938682683E-2"/>
    <n v="164"/>
    <n v="1.8417607442221038"/>
    <n v="34"/>
    <x v="0"/>
    <s v="No"/>
    <n v="80054906"/>
    <n v="102309378"/>
    <n v="0.39900464236999494"/>
    <n v="18"/>
    <x v="0"/>
    <n v="34785188.520000003"/>
    <n v="15"/>
    <x v="2"/>
    <x v="2"/>
    <n v="102309378"/>
    <n v="1"/>
    <n v="1"/>
    <s v="Highly Concentrated"/>
    <n v="102309378"/>
    <s v="High Opportunity"/>
    <x v="0"/>
    <s v="No"/>
  </r>
  <r>
    <x v="37"/>
    <x v="37"/>
    <s v="Hydrogenated vegetable oils"/>
    <x v="37"/>
    <x v="0"/>
    <x v="19"/>
    <s v="Industrial Shortening"/>
    <s v="Bakery / Margarine"/>
    <x v="43"/>
    <x v="1"/>
    <x v="0"/>
    <s v="X"/>
    <x v="43"/>
    <s v="Egypt"/>
    <s v="World"/>
    <s v="TOTAL CPC"/>
    <s v="TOTAL MOT"/>
    <n v="151620"/>
    <n v="21804"/>
    <n v="14270"/>
    <n v="0"/>
    <n v="14270"/>
    <s v="kg"/>
    <n v="14270"/>
    <s v="kg"/>
    <n v="5.6395507468920406E-5"/>
    <n v="2"/>
    <x v="0"/>
    <n v="0"/>
    <n v="0"/>
    <n v="0"/>
    <n v="5.4275292938682683E-2"/>
    <n v="374"/>
    <n v="1.5279607568325158"/>
    <n v="34"/>
    <x v="0"/>
    <s v="No"/>
    <n v="80054906"/>
    <n v="102309378"/>
    <n v="0.39900464236999494"/>
    <n v="18"/>
    <x v="0"/>
    <n v="34785188.520000003"/>
    <n v="15"/>
    <x v="2"/>
    <x v="2"/>
    <n v="102309378"/>
    <n v="1"/>
    <n v="1"/>
    <s v="Highly Concentrated"/>
    <n v="102309378"/>
    <s v="High Opportunity"/>
    <x v="0"/>
    <s v="Yes"/>
  </r>
  <r>
    <x v="37"/>
    <x v="37"/>
    <s v="Hydrogenated vegetable oils"/>
    <x v="37"/>
    <x v="0"/>
    <x v="19"/>
    <s v="Industrial Shortening"/>
    <s v="Bakery / Margarine"/>
    <x v="20"/>
    <x v="1"/>
    <x v="0"/>
    <s v="X"/>
    <x v="20"/>
    <s v="Egypt"/>
    <s v="World"/>
    <s v="TOTAL CPC"/>
    <s v="TOTAL MOT"/>
    <n v="151620"/>
    <n v="304876"/>
    <n v="65590"/>
    <n v="0"/>
    <n v="65590"/>
    <s v="kg"/>
    <n v="65590"/>
    <s v="kg"/>
    <n v="6.110186869383482E-3"/>
    <n v="10"/>
    <x v="0"/>
    <n v="0"/>
    <n v="0"/>
    <n v="0"/>
    <n v="5.4275292938682683E-2"/>
    <n v="186"/>
    <n v="4.6482085683793262"/>
    <n v="34"/>
    <x v="0"/>
    <s v="No"/>
    <n v="80054906"/>
    <n v="102309378"/>
    <n v="0.39900464236999494"/>
    <n v="18"/>
    <x v="0"/>
    <n v="34785188.520000003"/>
    <n v="15"/>
    <x v="2"/>
    <x v="2"/>
    <n v="102309378"/>
    <n v="1"/>
    <n v="1"/>
    <s v="Highly Concentrated"/>
    <n v="102309378"/>
    <s v="High Opportunity"/>
    <x v="0"/>
    <s v="Yes"/>
  </r>
  <r>
    <x v="37"/>
    <x v="37"/>
    <s v="Hydrogenated vegetable oils"/>
    <x v="37"/>
    <x v="0"/>
    <x v="19"/>
    <s v="Industrial Shortening"/>
    <s v="Bakery / Margarine"/>
    <x v="30"/>
    <x v="0"/>
    <x v="0"/>
    <s v="X"/>
    <x v="30"/>
    <s v="Egypt"/>
    <s v="World"/>
    <s v="TOTAL CPC"/>
    <s v="TOTAL MOT"/>
    <n v="151620"/>
    <n v="105605"/>
    <n v="45000"/>
    <n v="0"/>
    <n v="45000"/>
    <s v="kg"/>
    <n v="45000"/>
    <s v="kg"/>
    <n v="1.1596288425054823E-4"/>
    <n v="1"/>
    <x v="0"/>
    <n v="0"/>
    <n v="0"/>
    <n v="0"/>
    <n v="5.4275292938682683E-2"/>
    <n v="273"/>
    <n v="2.3467777777777776"/>
    <n v="34"/>
    <x v="0"/>
    <s v="No"/>
    <n v="80054906"/>
    <n v="102309378"/>
    <n v="0.39900464236999494"/>
    <n v="18"/>
    <x v="0"/>
    <n v="34785188.520000003"/>
    <n v="15"/>
    <x v="2"/>
    <x v="2"/>
    <n v="102309378"/>
    <n v="1"/>
    <n v="1"/>
    <s v="Highly Concentrated"/>
    <n v="102309378"/>
    <s v="High Opportunity"/>
    <x v="0"/>
    <s v="Yes"/>
  </r>
  <r>
    <x v="37"/>
    <x v="37"/>
    <s v="Hydrogenated vegetable oils"/>
    <x v="37"/>
    <x v="0"/>
    <x v="19"/>
    <s v="Industrial Shortening"/>
    <s v="Bakery / Margarine"/>
    <x v="17"/>
    <x v="0"/>
    <x v="0"/>
    <s v="X"/>
    <x v="17"/>
    <s v="Egypt"/>
    <s v="World"/>
    <s v="TOTAL CPC"/>
    <s v="TOTAL MOT"/>
    <n v="151620"/>
    <n v="189273"/>
    <n v="118450"/>
    <n v="0"/>
    <n v="118450"/>
    <s v="kg"/>
    <n v="118450"/>
    <s v="kg"/>
    <n v="4.7522902002533667E-2"/>
    <n v="21"/>
    <x v="1"/>
    <n v="0.1"/>
    <n v="18927.3"/>
    <n v="11845"/>
    <n v="5.4275292938682683E-2"/>
    <n v="223"/>
    <n v="1.5979147319544111"/>
    <n v="34"/>
    <x v="0"/>
    <s v="No"/>
    <n v="80054906"/>
    <n v="102309378"/>
    <n v="0.39900464236999494"/>
    <n v="18"/>
    <x v="0"/>
    <n v="34785188.520000003"/>
    <n v="15"/>
    <x v="2"/>
    <x v="2"/>
    <n v="102309378"/>
    <n v="1"/>
    <n v="1"/>
    <s v="Highly Concentrated"/>
    <n v="102309378"/>
    <s v="High Opportunity"/>
    <x v="0"/>
    <s v="No"/>
  </r>
  <r>
    <x v="37"/>
    <x v="37"/>
    <s v="Hydrogenated vegetable oils"/>
    <x v="37"/>
    <x v="0"/>
    <x v="19"/>
    <s v="Industrial Shortening"/>
    <s v="Bakery / Margarine"/>
    <x v="18"/>
    <x v="1"/>
    <x v="0"/>
    <s v="X"/>
    <x v="18"/>
    <s v="Egypt"/>
    <s v="World"/>
    <s v="TOTAL CPC"/>
    <s v="TOTAL MOT"/>
    <n v="151620"/>
    <n v="426418"/>
    <n v="73066"/>
    <n v="0"/>
    <n v="73066"/>
    <s v="kg"/>
    <n v="73066"/>
    <s v="kg"/>
    <n v="9.425427433633813E-3"/>
    <n v="6"/>
    <x v="1"/>
    <n v="4.0000000000000008E-2"/>
    <n v="17056.720000000005"/>
    <n v="2922.6400000000008"/>
    <n v="5.4275292938682683E-2"/>
    <n v="157"/>
    <n v="5.836066022500205"/>
    <n v="34"/>
    <x v="0"/>
    <s v="No"/>
    <n v="80054906"/>
    <n v="102309378"/>
    <n v="0.39900464236999494"/>
    <n v="18"/>
    <x v="0"/>
    <n v="34785188.520000003"/>
    <n v="15"/>
    <x v="2"/>
    <x v="2"/>
    <n v="102309378"/>
    <n v="1"/>
    <n v="1"/>
    <s v="Highly Concentrated"/>
    <n v="102309378"/>
    <s v="High Opportunity"/>
    <x v="0"/>
    <s v="Yes"/>
  </r>
  <r>
    <x v="38"/>
    <x v="38"/>
    <s v="Lactose"/>
    <x v="38"/>
    <x v="7"/>
    <x v="20"/>
    <s v="Lactose Powder"/>
    <s v="Confectionery / Pharma"/>
    <x v="3"/>
    <x v="0"/>
    <x v="0"/>
    <s v="X"/>
    <x v="3"/>
    <s v="Egypt"/>
    <s v="World"/>
    <s v="TOTAL CPC"/>
    <s v="TOTAL MOT"/>
    <n v="170211"/>
    <n v="3150"/>
    <n v="150"/>
    <n v="0"/>
    <n v="150"/>
    <s v="kg"/>
    <n v="150"/>
    <s v="kg"/>
    <n v="6.321329281187793E-2"/>
    <n v="34"/>
    <x v="1"/>
    <n v="0.14000000000000001"/>
    <n v="441.00000000000006"/>
    <n v="21.000000000000004"/>
    <n v="5.139731729118439E-3"/>
    <n v="457"/>
    <n v="21"/>
    <n v="34"/>
    <x v="0"/>
    <s v="No"/>
    <n v="5242717.7"/>
    <n v="9688437"/>
    <n v="6.321329281187793E-2"/>
    <n v="11"/>
    <x v="0"/>
    <n v="3294068.58"/>
    <n v="304"/>
    <x v="0"/>
    <x v="0"/>
    <n v="9688437"/>
    <n v="1"/>
    <n v="1"/>
    <s v="Highly Concentrated"/>
    <n v="9688437"/>
    <s v="Routine Market"/>
    <x v="0"/>
    <s v="No"/>
  </r>
  <r>
    <x v="38"/>
    <x v="38"/>
    <s v="Lactose"/>
    <x v="38"/>
    <x v="7"/>
    <x v="20"/>
    <s v="Lactose Powder"/>
    <s v="Confectionery / Pharma"/>
    <x v="6"/>
    <x v="1"/>
    <x v="0"/>
    <s v="X"/>
    <x v="6"/>
    <s v="Egypt"/>
    <s v="World"/>
    <s v="TOTAL CPC"/>
    <s v="TOTAL MOT"/>
    <n v="170211"/>
    <n v="861139"/>
    <n v="570925"/>
    <n v="0"/>
    <n v="570925"/>
    <s v="kg"/>
    <n v="570925"/>
    <s v="kg"/>
    <n v="1.6951290293147386E-2"/>
    <n v="7"/>
    <x v="0"/>
    <n v="0"/>
    <n v="0"/>
    <n v="0"/>
    <n v="5.139731729118439E-3"/>
    <n v="112"/>
    <n v="1.5083224591671411"/>
    <n v="34"/>
    <x v="0"/>
    <s v="No"/>
    <n v="5242717.7"/>
    <n v="9688437"/>
    <n v="6.321329281187793E-2"/>
    <n v="11"/>
    <x v="0"/>
    <n v="3294068.58"/>
    <n v="304"/>
    <x v="0"/>
    <x v="0"/>
    <n v="9688437"/>
    <n v="1"/>
    <n v="1"/>
    <s v="Highly Concentrated"/>
    <n v="9688437"/>
    <s v="Routine Market"/>
    <x v="0"/>
    <s v="Yes"/>
  </r>
  <r>
    <x v="38"/>
    <x v="38"/>
    <s v="Lactose"/>
    <x v="38"/>
    <x v="7"/>
    <x v="20"/>
    <s v="Lactose Powder"/>
    <s v="Confectionery / Pharma"/>
    <x v="7"/>
    <x v="1"/>
    <x v="0"/>
    <s v="X"/>
    <x v="7"/>
    <s v="Egypt"/>
    <s v="World"/>
    <s v="TOTAL CPC"/>
    <s v="TOTAL MOT"/>
    <n v="170211"/>
    <n v="1463602"/>
    <n v="527932.19999999995"/>
    <n v="0"/>
    <n v="527932"/>
    <s v="kg"/>
    <n v="0"/>
    <s v="N/A"/>
    <n v="1.1674623358397021E-2"/>
    <n v="5"/>
    <x v="0"/>
    <n v="0"/>
    <n v="0"/>
    <n v="0"/>
    <n v="5.139731729118439E-3"/>
    <n v="78"/>
    <n v="2.7723294771563474"/>
    <n v="34"/>
    <x v="0"/>
    <s v="No"/>
    <n v="5242717.7"/>
    <n v="9688437"/>
    <n v="6.321329281187793E-2"/>
    <n v="11"/>
    <x v="0"/>
    <n v="3294068.58"/>
    <n v="304"/>
    <x v="0"/>
    <x v="0"/>
    <n v="9688437"/>
    <n v="1"/>
    <n v="1"/>
    <s v="Highly Concentrated"/>
    <n v="9688437"/>
    <s v="Routine Market"/>
    <x v="0"/>
    <s v="Yes"/>
  </r>
  <r>
    <x v="38"/>
    <x v="38"/>
    <s v="Lactose"/>
    <x v="38"/>
    <x v="7"/>
    <x v="20"/>
    <s v="Lactose Powder"/>
    <s v="Confectionery / Pharma"/>
    <x v="56"/>
    <x v="0"/>
    <x v="0"/>
    <s v="X"/>
    <x v="56"/>
    <s v="Egypt"/>
    <s v="World"/>
    <s v="TOTAL CPC"/>
    <s v="TOTAL MOT"/>
    <n v="170211"/>
    <n v="517215"/>
    <n v="700000"/>
    <n v="0"/>
    <n v="700000"/>
    <s v="kg"/>
    <n v="700000"/>
    <s v="kg"/>
    <n v="2.7438340635088957E-4"/>
    <n v="1"/>
    <x v="0"/>
    <n v="0"/>
    <n v="0"/>
    <n v="0"/>
    <n v="5.139731729118439E-3"/>
    <n v="145"/>
    <n v="0.73887857142857138"/>
    <n v="34"/>
    <x v="0"/>
    <s v="No"/>
    <n v="5242717.7"/>
    <n v="9688437"/>
    <n v="6.321329281187793E-2"/>
    <n v="11"/>
    <x v="0"/>
    <n v="3294068.58"/>
    <n v="304"/>
    <x v="0"/>
    <x v="0"/>
    <n v="9688437"/>
    <n v="1"/>
    <n v="1"/>
    <s v="Highly Concentrated"/>
    <n v="9688437"/>
    <s v="Routine Market"/>
    <x v="0"/>
    <s v="Yes"/>
  </r>
  <r>
    <x v="38"/>
    <x v="38"/>
    <s v="Lactose"/>
    <x v="38"/>
    <x v="7"/>
    <x v="20"/>
    <s v="Lactose Powder"/>
    <s v="Confectionery / Pharma"/>
    <x v="12"/>
    <x v="1"/>
    <x v="0"/>
    <s v="X"/>
    <x v="12"/>
    <s v="Egypt"/>
    <s v="World"/>
    <s v="TOTAL CPC"/>
    <s v="TOTAL MOT"/>
    <n v="170211"/>
    <n v="2910829"/>
    <n v="781573"/>
    <n v="0"/>
    <n v="781573"/>
    <s v="kg"/>
    <n v="781573"/>
    <s v="kg"/>
    <n v="1.4561232389604124E-2"/>
    <n v="3"/>
    <x v="0"/>
    <n v="0"/>
    <n v="0"/>
    <n v="0"/>
    <n v="5.139731729118439E-3"/>
    <n v="46"/>
    <n v="3.7243213365866015"/>
    <n v="34"/>
    <x v="0"/>
    <s v="No"/>
    <n v="5242717.7"/>
    <n v="9688437"/>
    <n v="6.321329281187793E-2"/>
    <n v="11"/>
    <x v="0"/>
    <n v="3294068.58"/>
    <n v="304"/>
    <x v="0"/>
    <x v="0"/>
    <n v="9688437"/>
    <n v="1"/>
    <n v="1"/>
    <s v="Highly Concentrated"/>
    <n v="9688437"/>
    <s v="Routine Market"/>
    <x v="0"/>
    <s v="Yes"/>
  </r>
  <r>
    <x v="38"/>
    <x v="38"/>
    <s v="Lactose"/>
    <x v="38"/>
    <x v="7"/>
    <x v="20"/>
    <s v="Lactose Powder"/>
    <s v="Confectionery / Pharma"/>
    <x v="15"/>
    <x v="0"/>
    <x v="0"/>
    <s v="X"/>
    <x v="15"/>
    <s v="Egypt"/>
    <s v="World"/>
    <s v="TOTAL CPC"/>
    <s v="TOTAL MOT"/>
    <n v="170211"/>
    <n v="1075728"/>
    <n v="472038"/>
    <n v="0"/>
    <n v="472038"/>
    <s v="kg"/>
    <n v="472038"/>
    <s v="kg"/>
    <n v="2.2441761060335613E-2"/>
    <n v="11"/>
    <x v="0"/>
    <n v="0"/>
    <n v="0"/>
    <n v="0"/>
    <n v="5.139731729118439E-3"/>
    <n v="100"/>
    <n v="2.2789012748973598"/>
    <n v="34"/>
    <x v="0"/>
    <s v="No"/>
    <n v="5242717.7"/>
    <n v="9688437"/>
    <n v="6.321329281187793E-2"/>
    <n v="11"/>
    <x v="0"/>
    <n v="3294068.58"/>
    <n v="304"/>
    <x v="0"/>
    <x v="0"/>
    <n v="9688437"/>
    <n v="1"/>
    <n v="1"/>
    <s v="Highly Concentrated"/>
    <n v="9688437"/>
    <s v="Routine Market"/>
    <x v="0"/>
    <s v="No"/>
  </r>
  <r>
    <x v="38"/>
    <x v="38"/>
    <s v="Lactose"/>
    <x v="38"/>
    <x v="7"/>
    <x v="20"/>
    <s v="Lactose Powder"/>
    <s v="Confectionery / Pharma"/>
    <x v="45"/>
    <x v="1"/>
    <x v="0"/>
    <s v="X"/>
    <x v="45"/>
    <s v="Egypt"/>
    <s v="World"/>
    <s v="TOTAL CPC"/>
    <s v="TOTAL MOT"/>
    <n v="170211"/>
    <n v="93193"/>
    <n v="123000"/>
    <n v="0"/>
    <n v="123000"/>
    <s v="kg"/>
    <n v="123000"/>
    <s v="kg"/>
    <n v="3.4112051281327349E-4"/>
    <n v="2"/>
    <x v="0"/>
    <n v="0"/>
    <n v="0"/>
    <n v="0"/>
    <n v="5.139731729118439E-3"/>
    <n v="279"/>
    <n v="0.75766666666666671"/>
    <n v="34"/>
    <x v="0"/>
    <s v="No"/>
    <n v="5242717.7"/>
    <n v="9688437"/>
    <n v="6.321329281187793E-2"/>
    <n v="11"/>
    <x v="0"/>
    <n v="3294068.58"/>
    <n v="304"/>
    <x v="0"/>
    <x v="0"/>
    <n v="9688437"/>
    <n v="1"/>
    <n v="1"/>
    <s v="Highly Concentrated"/>
    <n v="9688437"/>
    <s v="Routine Market"/>
    <x v="0"/>
    <s v="Yes"/>
  </r>
  <r>
    <x v="38"/>
    <x v="38"/>
    <s v="Lactose"/>
    <x v="38"/>
    <x v="7"/>
    <x v="20"/>
    <s v="Lactose Powder"/>
    <s v="Confectionery / Pharma"/>
    <x v="20"/>
    <x v="0"/>
    <x v="0"/>
    <s v="X"/>
    <x v="20"/>
    <s v="Egypt"/>
    <s v="World"/>
    <s v="TOTAL CPC"/>
    <s v="TOTAL MOT"/>
    <n v="170211"/>
    <n v="159"/>
    <n v="1.5"/>
    <n v="0"/>
    <n v="2"/>
    <s v="kg"/>
    <n v="2"/>
    <s v="kg"/>
    <n v="6.110186869383482E-3"/>
    <n v="27"/>
    <x v="0"/>
    <n v="0"/>
    <n v="0"/>
    <n v="0"/>
    <n v="5.139731729118439E-3"/>
    <n v="512"/>
    <n v="106"/>
    <n v="34"/>
    <x v="0"/>
    <s v="No"/>
    <n v="5242717.7"/>
    <n v="9688437"/>
    <n v="6.321329281187793E-2"/>
    <n v="11"/>
    <x v="0"/>
    <n v="3294068.58"/>
    <n v="304"/>
    <x v="0"/>
    <x v="0"/>
    <n v="9688437"/>
    <n v="1"/>
    <n v="1"/>
    <s v="Highly Concentrated"/>
    <n v="9688437"/>
    <s v="Routine Market"/>
    <x v="0"/>
    <s v="No"/>
  </r>
  <r>
    <x v="38"/>
    <x v="38"/>
    <s v="Lactose"/>
    <x v="38"/>
    <x v="7"/>
    <x v="20"/>
    <s v="Lactose Powder"/>
    <s v="Confectionery / Pharma"/>
    <x v="17"/>
    <x v="0"/>
    <x v="0"/>
    <s v="X"/>
    <x v="17"/>
    <s v="Egypt"/>
    <s v="World"/>
    <s v="TOTAL CPC"/>
    <s v="TOTAL MOT"/>
    <n v="170211"/>
    <n v="360701"/>
    <n v="322000"/>
    <n v="0"/>
    <n v="322000"/>
    <s v="kg"/>
    <n v="322000"/>
    <s v="kg"/>
    <n v="4.7522902002533667E-2"/>
    <n v="19"/>
    <x v="1"/>
    <n v="0.1"/>
    <n v="36070.1"/>
    <n v="32200"/>
    <n v="5.139731729118439E-3"/>
    <n v="174"/>
    <n v="1.1201894409937889"/>
    <n v="34"/>
    <x v="0"/>
    <s v="No"/>
    <n v="5242717.7"/>
    <n v="9688437"/>
    <n v="6.321329281187793E-2"/>
    <n v="11"/>
    <x v="0"/>
    <n v="3294068.58"/>
    <n v="304"/>
    <x v="0"/>
    <x v="0"/>
    <n v="9688437"/>
    <n v="1"/>
    <n v="1"/>
    <s v="Highly Concentrated"/>
    <n v="9688437"/>
    <s v="Routine Market"/>
    <x v="0"/>
    <s v="No"/>
  </r>
  <r>
    <x v="38"/>
    <x v="38"/>
    <s v="Lactose"/>
    <x v="38"/>
    <x v="7"/>
    <x v="20"/>
    <s v="Lactose Powder"/>
    <s v="Confectionery / Pharma"/>
    <x v="21"/>
    <x v="1"/>
    <x v="0"/>
    <s v="X"/>
    <x v="21"/>
    <s v="Egypt"/>
    <s v="World"/>
    <s v="TOTAL CPC"/>
    <s v="TOTAL MOT"/>
    <n v="170211"/>
    <n v="82367"/>
    <n v="101000"/>
    <n v="0"/>
    <n v="101000"/>
    <s v="kg"/>
    <n v="101000"/>
    <s v="kg"/>
    <n v="1.3104801671892474E-3"/>
    <n v="7"/>
    <x v="0"/>
    <n v="0"/>
    <n v="0"/>
    <n v="0"/>
    <n v="5.139731729118439E-3"/>
    <n v="290"/>
    <n v="0.81551485148514846"/>
    <n v="34"/>
    <x v="0"/>
    <s v="No"/>
    <n v="5242717.7"/>
    <n v="9688437"/>
    <n v="6.321329281187793E-2"/>
    <n v="11"/>
    <x v="0"/>
    <n v="3294068.58"/>
    <n v="304"/>
    <x v="0"/>
    <x v="0"/>
    <n v="9688437"/>
    <n v="1"/>
    <n v="1"/>
    <s v="Highly Concentrated"/>
    <n v="9688437"/>
    <s v="Routine Market"/>
    <x v="0"/>
    <s v="Yes"/>
  </r>
  <r>
    <x v="38"/>
    <x v="38"/>
    <s v="Lactose"/>
    <x v="38"/>
    <x v="7"/>
    <x v="20"/>
    <s v="Lactose Powder"/>
    <s v="Confectionery / Pharma"/>
    <x v="18"/>
    <x v="1"/>
    <x v="0"/>
    <s v="X"/>
    <x v="18"/>
    <s v="Egypt"/>
    <s v="World"/>
    <s v="TOTAL CPC"/>
    <s v="TOTAL MOT"/>
    <n v="170211"/>
    <n v="2320354"/>
    <n v="1644098"/>
    <n v="0"/>
    <n v="1644098"/>
    <s v="kg"/>
    <n v="1644098"/>
    <s v="kg"/>
    <n v="9.425427433633813E-3"/>
    <n v="2"/>
    <x v="1"/>
    <n v="4.0000000000000008E-2"/>
    <n v="92814.160000000018"/>
    <n v="65763.920000000013"/>
    <n v="5.139731729118439E-3"/>
    <n v="58"/>
    <n v="1.4113234125946263"/>
    <n v="34"/>
    <x v="0"/>
    <s v="No"/>
    <n v="5242717.7"/>
    <n v="9688437"/>
    <n v="6.321329281187793E-2"/>
    <n v="11"/>
    <x v="0"/>
    <n v="3294068.58"/>
    <n v="304"/>
    <x v="0"/>
    <x v="0"/>
    <n v="9688437"/>
    <n v="1"/>
    <n v="1"/>
    <s v="Highly Concentrated"/>
    <n v="9688437"/>
    <s v="Routine Market"/>
    <x v="0"/>
    <s v="Yes"/>
  </r>
  <r>
    <x v="39"/>
    <x v="39"/>
    <s v="Salt (sodium chloride)"/>
    <x v="39"/>
    <x v="3"/>
    <x v="21"/>
    <s v="Food Grade Salt"/>
    <s v="All Food Processing"/>
    <x v="1"/>
    <x v="0"/>
    <x v="0"/>
    <s v="X"/>
    <x v="1"/>
    <s v="Egypt"/>
    <s v="World"/>
    <s v="TOTAL CPC"/>
    <s v="TOTAL MOT"/>
    <n v="250100"/>
    <n v="281"/>
    <n v="44.1"/>
    <n v="0"/>
    <n v="44"/>
    <s v="kg"/>
    <n v="44"/>
    <s v="kg"/>
    <n v="5.3992075088500962E-3"/>
    <n v="26"/>
    <x v="0"/>
    <n v="0"/>
    <n v="0"/>
    <n v="0"/>
    <n v="8.6467417401395793E-4"/>
    <n v="503"/>
    <n v="6.3718820861678003"/>
    <n v="34"/>
    <x v="0"/>
    <s v="No"/>
    <n v="3061947"/>
    <n v="1629918"/>
    <n v="6.321329281187793E-2"/>
    <n v="19"/>
    <x v="0"/>
    <n v="554172.12"/>
    <n v="488"/>
    <x v="0"/>
    <x v="0"/>
    <n v="1629918"/>
    <n v="1"/>
    <n v="1"/>
    <s v="Highly Concentrated"/>
    <n v="1629918"/>
    <s v="Routine Market"/>
    <x v="0"/>
    <s v="No"/>
  </r>
  <r>
    <x v="39"/>
    <x v="39"/>
    <s v="Salt (sodium chloride)"/>
    <x v="39"/>
    <x v="3"/>
    <x v="21"/>
    <s v="Food Grade Salt"/>
    <s v="All Food Processing"/>
    <x v="35"/>
    <x v="1"/>
    <x v="0"/>
    <s v="X"/>
    <x v="35"/>
    <s v="Egypt"/>
    <s v="World"/>
    <s v="TOTAL CPC"/>
    <s v="TOTAL MOT"/>
    <n v="250100"/>
    <n v="10690"/>
    <n v="19510"/>
    <n v="0"/>
    <n v="19510"/>
    <s v="kg"/>
    <n v="19510"/>
    <s v="kg"/>
    <n v="5.4237925464080154E-3"/>
    <n v="6"/>
    <x v="0"/>
    <n v="0"/>
    <n v="0"/>
    <n v="0"/>
    <n v="8.6467417401395793E-4"/>
    <n v="411"/>
    <n v="0.54792414146591495"/>
    <n v="34"/>
    <x v="0"/>
    <s v="No"/>
    <n v="3061947"/>
    <n v="1629918"/>
    <n v="6.321329281187793E-2"/>
    <n v="19"/>
    <x v="0"/>
    <n v="554172.12"/>
    <n v="488"/>
    <x v="0"/>
    <x v="0"/>
    <n v="1629918"/>
    <n v="1"/>
    <n v="1"/>
    <s v="Highly Concentrated"/>
    <n v="1629918"/>
    <s v="Routine Market"/>
    <x v="0"/>
    <s v="Yes"/>
  </r>
  <r>
    <x v="39"/>
    <x v="39"/>
    <s v="Salt (sodium chloride)"/>
    <x v="39"/>
    <x v="3"/>
    <x v="21"/>
    <s v="Food Grade Salt"/>
    <s v="All Food Processing"/>
    <x v="2"/>
    <x v="1"/>
    <x v="0"/>
    <s v="X"/>
    <x v="2"/>
    <s v="Egypt"/>
    <s v="World"/>
    <s v="TOTAL CPC"/>
    <s v="TOTAL MOT"/>
    <n v="250100"/>
    <n v="17"/>
    <n v="451.1"/>
    <n v="0"/>
    <n v="451"/>
    <s v="kg"/>
    <n v="0"/>
    <s v="kg"/>
    <n v="1.2732039388690099E-7"/>
    <n v="3"/>
    <x v="0"/>
    <n v="0"/>
    <n v="0"/>
    <n v="0"/>
    <n v="8.6467417401395793E-4"/>
    <n v="532"/>
    <n v="3.7685657282199067E-2"/>
    <n v="34"/>
    <x v="0"/>
    <s v="No"/>
    <n v="3061947"/>
    <n v="1629918"/>
    <n v="6.321329281187793E-2"/>
    <n v="19"/>
    <x v="0"/>
    <n v="554172.12"/>
    <n v="488"/>
    <x v="0"/>
    <x v="0"/>
    <n v="1629918"/>
    <n v="1"/>
    <n v="1"/>
    <s v="Highly Concentrated"/>
    <n v="1629918"/>
    <s v="Routine Market"/>
    <x v="0"/>
    <s v="Yes"/>
  </r>
  <r>
    <x v="39"/>
    <x v="39"/>
    <s v="Salt (sodium chloride)"/>
    <x v="39"/>
    <x v="3"/>
    <x v="21"/>
    <s v="Food Grade Salt"/>
    <s v="All Food Processing"/>
    <x v="3"/>
    <x v="0"/>
    <x v="0"/>
    <s v="X"/>
    <x v="3"/>
    <s v="Egypt"/>
    <s v="World"/>
    <s v="TOTAL CPC"/>
    <s v="TOTAL MOT"/>
    <n v="250100"/>
    <n v="116879"/>
    <n v="184547.9"/>
    <n v="0"/>
    <n v="184548"/>
    <s v="kg"/>
    <n v="175700"/>
    <s v="kg"/>
    <n v="6.321329281187793E-2"/>
    <n v="30"/>
    <x v="1"/>
    <n v="0.14000000000000001"/>
    <n v="16363.060000000001"/>
    <n v="25836.706000000002"/>
    <n v="8.6467417401395793E-4"/>
    <n v="265"/>
    <n v="0.63332609040796461"/>
    <n v="34"/>
    <x v="0"/>
    <s v="No"/>
    <n v="3061947"/>
    <n v="1629918"/>
    <n v="6.321329281187793E-2"/>
    <n v="19"/>
    <x v="0"/>
    <n v="554172.12"/>
    <n v="488"/>
    <x v="0"/>
    <x v="0"/>
    <n v="1629918"/>
    <n v="1"/>
    <n v="1"/>
    <s v="Highly Concentrated"/>
    <n v="1629918"/>
    <s v="Routine Market"/>
    <x v="0"/>
    <s v="No"/>
  </r>
  <r>
    <x v="39"/>
    <x v="39"/>
    <s v="Salt (sodium chloride)"/>
    <x v="39"/>
    <x v="3"/>
    <x v="21"/>
    <s v="Food Grade Salt"/>
    <s v="All Food Processing"/>
    <x v="25"/>
    <x v="1"/>
    <x v="0"/>
    <s v="X"/>
    <x v="25"/>
    <s v="Egypt"/>
    <s v="World"/>
    <s v="TOTAL CPC"/>
    <s v="TOTAL MOT"/>
    <n v="250100"/>
    <n v="70811"/>
    <n v="136300"/>
    <n v="0"/>
    <n v="136300"/>
    <s v="kg"/>
    <n v="136300"/>
    <s v="kg"/>
    <n v="4.2641562768795568E-4"/>
    <n v="3"/>
    <x v="0"/>
    <n v="0"/>
    <n v="0"/>
    <n v="0"/>
    <n v="8.6467417401395793E-4"/>
    <n v="303"/>
    <n v="0.51952311078503299"/>
    <n v="34"/>
    <x v="0"/>
    <s v="No"/>
    <n v="3061947"/>
    <n v="1629918"/>
    <n v="6.321329281187793E-2"/>
    <n v="19"/>
    <x v="0"/>
    <n v="554172.12"/>
    <n v="488"/>
    <x v="0"/>
    <x v="0"/>
    <n v="1629918"/>
    <n v="1"/>
    <n v="1"/>
    <s v="Highly Concentrated"/>
    <n v="1629918"/>
    <s v="Routine Market"/>
    <x v="0"/>
    <s v="Yes"/>
  </r>
  <r>
    <x v="39"/>
    <x v="39"/>
    <s v="Salt (sodium chloride)"/>
    <x v="39"/>
    <x v="3"/>
    <x v="21"/>
    <s v="Food Grade Salt"/>
    <s v="All Food Processing"/>
    <x v="6"/>
    <x v="0"/>
    <x v="0"/>
    <s v="X"/>
    <x v="6"/>
    <s v="Egypt"/>
    <s v="World"/>
    <s v="TOTAL CPC"/>
    <s v="TOTAL MOT"/>
    <n v="250100"/>
    <n v="25191"/>
    <n v="10066"/>
    <n v="0"/>
    <n v="10066"/>
    <s v="kg"/>
    <n v="10066"/>
    <s v="kg"/>
    <n v="1.6951290293147386E-2"/>
    <n v="25"/>
    <x v="0"/>
    <n v="0"/>
    <n v="0"/>
    <n v="0"/>
    <n v="8.6467417401395793E-4"/>
    <n v="369"/>
    <n v="2.5025829525134116"/>
    <n v="34"/>
    <x v="0"/>
    <s v="No"/>
    <n v="3061947"/>
    <n v="1629918"/>
    <n v="6.321329281187793E-2"/>
    <n v="19"/>
    <x v="0"/>
    <n v="554172.12"/>
    <n v="488"/>
    <x v="0"/>
    <x v="0"/>
    <n v="1629918"/>
    <n v="1"/>
    <n v="1"/>
    <s v="Highly Concentrated"/>
    <n v="1629918"/>
    <s v="Routine Market"/>
    <x v="0"/>
    <s v="No"/>
  </r>
  <r>
    <x v="39"/>
    <x v="39"/>
    <s v="Salt (sodium chloride)"/>
    <x v="39"/>
    <x v="3"/>
    <x v="21"/>
    <s v="Food Grade Salt"/>
    <s v="All Food Processing"/>
    <x v="7"/>
    <x v="0"/>
    <x v="0"/>
    <s v="X"/>
    <x v="7"/>
    <s v="Egypt"/>
    <s v="World"/>
    <s v="TOTAL CPC"/>
    <s v="TOTAL MOT"/>
    <n v="250100"/>
    <n v="149200"/>
    <n v="365509"/>
    <n v="0"/>
    <n v="365509"/>
    <s v="kg"/>
    <n v="365509"/>
    <s v="kg"/>
    <n v="1.1674623358397021E-2"/>
    <n v="19"/>
    <x v="0"/>
    <n v="0"/>
    <n v="0"/>
    <n v="0"/>
    <n v="8.6467417401395793E-4"/>
    <n v="248"/>
    <n v="0.40819788295226656"/>
    <n v="34"/>
    <x v="0"/>
    <s v="No"/>
    <n v="3061947"/>
    <n v="1629918"/>
    <n v="6.321329281187793E-2"/>
    <n v="19"/>
    <x v="0"/>
    <n v="554172.12"/>
    <n v="488"/>
    <x v="0"/>
    <x v="0"/>
    <n v="1629918"/>
    <n v="1"/>
    <n v="1"/>
    <s v="Highly Concentrated"/>
    <n v="1629918"/>
    <s v="Routine Market"/>
    <x v="0"/>
    <s v="No"/>
  </r>
  <r>
    <x v="39"/>
    <x v="39"/>
    <s v="Salt (sodium chloride)"/>
    <x v="39"/>
    <x v="3"/>
    <x v="21"/>
    <s v="Food Grade Salt"/>
    <s v="All Food Processing"/>
    <x v="8"/>
    <x v="1"/>
    <x v="0"/>
    <s v="X"/>
    <x v="8"/>
    <s v="Egypt"/>
    <s v="World"/>
    <s v="TOTAL CPC"/>
    <s v="TOTAL MOT"/>
    <n v="250100"/>
    <n v="461074"/>
    <n v="53907"/>
    <n v="0"/>
    <n v="53907"/>
    <s v="kg"/>
    <n v="53907"/>
    <s v="kg"/>
    <n v="4.9588465845200368E-3"/>
    <n v="8"/>
    <x v="0"/>
    <n v="0"/>
    <n v="0"/>
    <n v="0"/>
    <n v="8.6467417401395793E-4"/>
    <n v="152"/>
    <n v="8.553137811415958"/>
    <n v="34"/>
    <x v="0"/>
    <s v="No"/>
    <n v="3061947"/>
    <n v="1629918"/>
    <n v="6.321329281187793E-2"/>
    <n v="19"/>
    <x v="0"/>
    <n v="554172.12"/>
    <n v="488"/>
    <x v="0"/>
    <x v="0"/>
    <n v="1629918"/>
    <n v="1"/>
    <n v="1"/>
    <s v="Highly Concentrated"/>
    <n v="1629918"/>
    <s v="Routine Market"/>
    <x v="0"/>
    <s v="Yes"/>
  </r>
  <r>
    <x v="39"/>
    <x v="39"/>
    <s v="Salt (sodium chloride)"/>
    <x v="39"/>
    <x v="3"/>
    <x v="21"/>
    <s v="Food Grade Salt"/>
    <s v="All Food Processing"/>
    <x v="9"/>
    <x v="0"/>
    <x v="0"/>
    <s v="X"/>
    <x v="9"/>
    <s v="Egypt"/>
    <s v="World"/>
    <s v="TOTAL CPC"/>
    <s v="TOTAL MOT"/>
    <n v="250100"/>
    <n v="2490"/>
    <n v="5040"/>
    <n v="0"/>
    <n v="5040"/>
    <s v="kg"/>
    <n v="5040"/>
    <s v="kg"/>
    <n v="1.1178535358665947E-2"/>
    <n v="22"/>
    <x v="0"/>
    <n v="0"/>
    <n v="0"/>
    <n v="0"/>
    <n v="8.6467417401395793E-4"/>
    <n v="464"/>
    <n v="0.49404761904761907"/>
    <n v="34"/>
    <x v="0"/>
    <s v="No"/>
    <n v="3061947"/>
    <n v="1629918"/>
    <n v="6.321329281187793E-2"/>
    <n v="19"/>
    <x v="0"/>
    <n v="554172.12"/>
    <n v="488"/>
    <x v="0"/>
    <x v="0"/>
    <n v="1629918"/>
    <n v="1"/>
    <n v="1"/>
    <s v="Highly Concentrated"/>
    <n v="1629918"/>
    <s v="Routine Market"/>
    <x v="0"/>
    <s v="No"/>
  </r>
  <r>
    <x v="39"/>
    <x v="39"/>
    <s v="Salt (sodium chloride)"/>
    <x v="39"/>
    <x v="3"/>
    <x v="21"/>
    <s v="Food Grade Salt"/>
    <s v="All Food Processing"/>
    <x v="29"/>
    <x v="1"/>
    <x v="0"/>
    <s v="X"/>
    <x v="29"/>
    <s v="Egypt"/>
    <s v="World"/>
    <s v="TOTAL CPC"/>
    <s v="TOTAL MOT"/>
    <n v="250100"/>
    <n v="155663"/>
    <n v="713000"/>
    <n v="0"/>
    <n v="713000"/>
    <s v="kg"/>
    <n v="713"/>
    <s v="1000 KG"/>
    <n v="3.82286909668397E-4"/>
    <n v="3"/>
    <x v="0"/>
    <n v="0"/>
    <n v="0"/>
    <n v="0"/>
    <n v="8.6467417401395793E-4"/>
    <n v="243"/>
    <n v="0.2183211781206171"/>
    <n v="34"/>
    <x v="0"/>
    <s v="No"/>
    <n v="3061947"/>
    <n v="1629918"/>
    <n v="6.321329281187793E-2"/>
    <n v="19"/>
    <x v="0"/>
    <n v="554172.12"/>
    <n v="488"/>
    <x v="0"/>
    <x v="0"/>
    <n v="1629918"/>
    <n v="1"/>
    <n v="1"/>
    <s v="Highly Concentrated"/>
    <n v="1629918"/>
    <s v="Routine Market"/>
    <x v="0"/>
    <s v="Yes"/>
  </r>
  <r>
    <x v="39"/>
    <x v="39"/>
    <s v="Salt (sodium chloride)"/>
    <x v="39"/>
    <x v="3"/>
    <x v="21"/>
    <s v="Food Grade Salt"/>
    <s v="All Food Processing"/>
    <x v="13"/>
    <x v="1"/>
    <x v="0"/>
    <s v="X"/>
    <x v="13"/>
    <s v="Egypt"/>
    <s v="World"/>
    <s v="TOTAL CPC"/>
    <s v="TOTAL MOT"/>
    <n v="250100"/>
    <n v="108250"/>
    <n v="136151"/>
    <n v="0"/>
    <n v="136151"/>
    <s v="kg"/>
    <n v="136151"/>
    <s v="kg"/>
    <n v="6.3855771678493602E-3"/>
    <n v="4"/>
    <x v="1"/>
    <n v="0.06"/>
    <n v="6495"/>
    <n v="8169.0599999999995"/>
    <n v="8.6467417401395793E-4"/>
    <n v="271"/>
    <n v="0.79507311734765074"/>
    <n v="34"/>
    <x v="0"/>
    <s v="No"/>
    <n v="3061947"/>
    <n v="1629918"/>
    <n v="6.321329281187793E-2"/>
    <n v="19"/>
    <x v="0"/>
    <n v="554172.12"/>
    <n v="488"/>
    <x v="0"/>
    <x v="0"/>
    <n v="1629918"/>
    <n v="1"/>
    <n v="1"/>
    <s v="Highly Concentrated"/>
    <n v="1629918"/>
    <s v="Routine Market"/>
    <x v="0"/>
    <s v="Yes"/>
  </r>
  <r>
    <x v="39"/>
    <x v="39"/>
    <s v="Salt (sodium chloride)"/>
    <x v="39"/>
    <x v="3"/>
    <x v="21"/>
    <s v="Food Grade Salt"/>
    <s v="All Food Processing"/>
    <x v="57"/>
    <x v="0"/>
    <x v="0"/>
    <s v="X"/>
    <x v="57"/>
    <s v="Egypt"/>
    <s v="World"/>
    <s v="TOTAL CPC"/>
    <s v="TOTAL MOT"/>
    <n v="250100"/>
    <n v="8473"/>
    <n v="1752"/>
    <n v="0"/>
    <n v="1752"/>
    <s v="kg"/>
    <n v="1752"/>
    <s v="kg"/>
    <n v="4.4949404058488006E-6"/>
    <n v="1"/>
    <x v="0"/>
    <n v="0"/>
    <n v="0"/>
    <n v="0"/>
    <n v="8.6467417401395793E-4"/>
    <n v="420"/>
    <n v="4.8361872146118721"/>
    <n v="34"/>
    <x v="0"/>
    <s v="No"/>
    <n v="3061947"/>
    <n v="1629918"/>
    <n v="6.321329281187793E-2"/>
    <n v="19"/>
    <x v="0"/>
    <n v="554172.12"/>
    <n v="488"/>
    <x v="0"/>
    <x v="0"/>
    <n v="1629918"/>
    <n v="1"/>
    <n v="1"/>
    <s v="Highly Concentrated"/>
    <n v="1629918"/>
    <s v="Routine Market"/>
    <x v="0"/>
    <s v="Yes"/>
  </r>
  <r>
    <x v="39"/>
    <x v="39"/>
    <s v="Salt (sodium chloride)"/>
    <x v="39"/>
    <x v="3"/>
    <x v="21"/>
    <s v="Food Grade Salt"/>
    <s v="All Food Processing"/>
    <x v="14"/>
    <x v="0"/>
    <x v="0"/>
    <s v="X"/>
    <x v="14"/>
    <s v="Egypt"/>
    <s v="World"/>
    <s v="TOTAL CPC"/>
    <s v="TOTAL MOT"/>
    <n v="250100"/>
    <n v="960"/>
    <n v="185"/>
    <n v="0"/>
    <n v="185"/>
    <s v="kg"/>
    <n v="185"/>
    <s v="kg"/>
    <n v="9.709938116315122E-3"/>
    <n v="14"/>
    <x v="0"/>
    <n v="0"/>
    <n v="0"/>
    <n v="0"/>
    <n v="8.6467417401395793E-4"/>
    <n v="486"/>
    <n v="5.1891891891891895"/>
    <n v="34"/>
    <x v="0"/>
    <s v="No"/>
    <n v="3061947"/>
    <n v="1629918"/>
    <n v="6.321329281187793E-2"/>
    <n v="19"/>
    <x v="0"/>
    <n v="554172.12"/>
    <n v="488"/>
    <x v="0"/>
    <x v="0"/>
    <n v="1629918"/>
    <n v="1"/>
    <n v="1"/>
    <s v="Highly Concentrated"/>
    <n v="1629918"/>
    <s v="Routine Market"/>
    <x v="0"/>
    <s v="No"/>
  </r>
  <r>
    <x v="39"/>
    <x v="39"/>
    <s v="Salt (sodium chloride)"/>
    <x v="39"/>
    <x v="3"/>
    <x v="21"/>
    <s v="Food Grade Salt"/>
    <s v="All Food Processing"/>
    <x v="15"/>
    <x v="0"/>
    <x v="0"/>
    <s v="X"/>
    <x v="15"/>
    <s v="Egypt"/>
    <s v="World"/>
    <s v="TOTAL CPC"/>
    <s v="TOTAL MOT"/>
    <n v="250100"/>
    <n v="13318"/>
    <n v="20135"/>
    <n v="0"/>
    <n v="20135"/>
    <s v="kg"/>
    <n v="20135"/>
    <s v="kg"/>
    <n v="2.2441761060335613E-2"/>
    <n v="34"/>
    <x v="0"/>
    <n v="0"/>
    <n v="0"/>
    <n v="0"/>
    <n v="8.6467417401395793E-4"/>
    <n v="399"/>
    <n v="0.66143531164638691"/>
    <n v="34"/>
    <x v="0"/>
    <s v="No"/>
    <n v="3061947"/>
    <n v="1629918"/>
    <n v="6.321329281187793E-2"/>
    <n v="19"/>
    <x v="0"/>
    <n v="554172.12"/>
    <n v="488"/>
    <x v="0"/>
    <x v="0"/>
    <n v="1629918"/>
    <n v="1"/>
    <n v="1"/>
    <s v="Highly Concentrated"/>
    <n v="1629918"/>
    <s v="Routine Market"/>
    <x v="0"/>
    <s v="No"/>
  </r>
  <r>
    <x v="39"/>
    <x v="39"/>
    <s v="Salt (sodium chloride)"/>
    <x v="39"/>
    <x v="3"/>
    <x v="21"/>
    <s v="Food Grade Salt"/>
    <s v="All Food Processing"/>
    <x v="22"/>
    <x v="1"/>
    <x v="0"/>
    <s v="X"/>
    <x v="22"/>
    <s v="Egypt"/>
    <s v="World"/>
    <s v="TOTAL CPC"/>
    <s v="TOTAL MOT"/>
    <n v="250100"/>
    <n v="155"/>
    <n v="71.900000000000006"/>
    <n v="0"/>
    <n v="72"/>
    <s v="kg"/>
    <n v="72"/>
    <s v="kg"/>
    <n v="1.3832724193842358E-4"/>
    <n v="7"/>
    <x v="0"/>
    <n v="0"/>
    <n v="0"/>
    <n v="0"/>
    <n v="8.6467417401395793E-4"/>
    <n v="513"/>
    <n v="2.1557719054242002"/>
    <n v="34"/>
    <x v="0"/>
    <s v="No"/>
    <n v="3061947"/>
    <n v="1629918"/>
    <n v="6.321329281187793E-2"/>
    <n v="19"/>
    <x v="0"/>
    <n v="554172.12"/>
    <n v="488"/>
    <x v="0"/>
    <x v="0"/>
    <n v="1629918"/>
    <n v="1"/>
    <n v="1"/>
    <s v="Highly Concentrated"/>
    <n v="1629918"/>
    <s v="Routine Market"/>
    <x v="0"/>
    <s v="Yes"/>
  </r>
  <r>
    <x v="39"/>
    <x v="39"/>
    <s v="Salt (sodium chloride)"/>
    <x v="39"/>
    <x v="3"/>
    <x v="21"/>
    <s v="Food Grade Salt"/>
    <s v="All Food Processing"/>
    <x v="20"/>
    <x v="0"/>
    <x v="0"/>
    <s v="X"/>
    <x v="20"/>
    <s v="Egypt"/>
    <s v="World"/>
    <s v="TOTAL CPC"/>
    <s v="TOTAL MOT"/>
    <n v="250100"/>
    <n v="412"/>
    <n v="48"/>
    <n v="0"/>
    <n v="48"/>
    <s v="kg"/>
    <n v="48"/>
    <s v="kg"/>
    <n v="6.110186869383482E-3"/>
    <n v="26"/>
    <x v="0"/>
    <n v="0"/>
    <n v="0"/>
    <n v="0"/>
    <n v="8.6467417401395793E-4"/>
    <n v="499"/>
    <n v="8.5833333333333339"/>
    <n v="34"/>
    <x v="0"/>
    <s v="No"/>
    <n v="3061947"/>
    <n v="1629918"/>
    <n v="6.321329281187793E-2"/>
    <n v="19"/>
    <x v="0"/>
    <n v="554172.12"/>
    <n v="488"/>
    <x v="0"/>
    <x v="0"/>
    <n v="1629918"/>
    <n v="1"/>
    <n v="1"/>
    <s v="Highly Concentrated"/>
    <n v="1629918"/>
    <s v="Routine Market"/>
    <x v="0"/>
    <s v="No"/>
  </r>
  <r>
    <x v="39"/>
    <x v="39"/>
    <s v="Salt (sodium chloride)"/>
    <x v="39"/>
    <x v="3"/>
    <x v="21"/>
    <s v="Food Grade Salt"/>
    <s v="All Food Processing"/>
    <x v="17"/>
    <x v="0"/>
    <x v="0"/>
    <s v="X"/>
    <x v="17"/>
    <s v="Egypt"/>
    <s v="World"/>
    <s v="TOTAL CPC"/>
    <s v="TOTAL MOT"/>
    <n v="250100"/>
    <n v="470691"/>
    <n v="1393819"/>
    <n v="0"/>
    <n v="1393819"/>
    <s v="kg"/>
    <n v="1393819"/>
    <s v="kg"/>
    <n v="4.7522902002533667E-2"/>
    <n v="16"/>
    <x v="1"/>
    <n v="0.1"/>
    <n v="47069.100000000006"/>
    <n v="139381.9"/>
    <n v="8.6467417401395793E-4"/>
    <n v="150"/>
    <n v="0.33769879733308272"/>
    <n v="34"/>
    <x v="0"/>
    <s v="No"/>
    <n v="3061947"/>
    <n v="1629918"/>
    <n v="6.321329281187793E-2"/>
    <n v="19"/>
    <x v="0"/>
    <n v="554172.12"/>
    <n v="488"/>
    <x v="0"/>
    <x v="0"/>
    <n v="1629918"/>
    <n v="1"/>
    <n v="1"/>
    <s v="Highly Concentrated"/>
    <n v="1629918"/>
    <s v="Routine Market"/>
    <x v="0"/>
    <s v="No"/>
  </r>
  <r>
    <x v="39"/>
    <x v="39"/>
    <s v="Salt (sodium chloride)"/>
    <x v="39"/>
    <x v="3"/>
    <x v="21"/>
    <s v="Food Grade Salt"/>
    <s v="All Food Processing"/>
    <x v="21"/>
    <x v="0"/>
    <x v="0"/>
    <s v="X"/>
    <x v="21"/>
    <s v="Egypt"/>
    <s v="World"/>
    <s v="TOTAL CPC"/>
    <s v="TOTAL MOT"/>
    <n v="250100"/>
    <n v="14341"/>
    <n v="2410"/>
    <n v="0"/>
    <n v="2410"/>
    <s v="kg"/>
    <n v="2410"/>
    <s v="kg"/>
    <n v="1.3104801671892474E-3"/>
    <n v="12"/>
    <x v="0"/>
    <n v="0"/>
    <n v="0"/>
    <n v="0"/>
    <n v="8.6467417401395793E-4"/>
    <n v="396"/>
    <n v="5.9506224066390043"/>
    <n v="34"/>
    <x v="0"/>
    <s v="No"/>
    <n v="3061947"/>
    <n v="1629918"/>
    <n v="6.321329281187793E-2"/>
    <n v="19"/>
    <x v="0"/>
    <n v="554172.12"/>
    <n v="488"/>
    <x v="0"/>
    <x v="0"/>
    <n v="1629918"/>
    <n v="1"/>
    <n v="1"/>
    <s v="Highly Concentrated"/>
    <n v="1629918"/>
    <s v="Routine Market"/>
    <x v="0"/>
    <s v="No"/>
  </r>
  <r>
    <x v="39"/>
    <x v="39"/>
    <s v="Salt (sodium chloride)"/>
    <x v="39"/>
    <x v="3"/>
    <x v="21"/>
    <s v="Food Grade Salt"/>
    <s v="All Food Processing"/>
    <x v="18"/>
    <x v="0"/>
    <x v="0"/>
    <s v="X"/>
    <x v="18"/>
    <s v="Egypt"/>
    <s v="World"/>
    <s v="TOTAL CPC"/>
    <s v="TOTAL MOT"/>
    <n v="250100"/>
    <n v="21022"/>
    <n v="19000"/>
    <n v="0"/>
    <n v="19000"/>
    <s v="kg"/>
    <n v="19"/>
    <s v="1000 KG"/>
    <n v="9.425427433633813E-3"/>
    <n v="20"/>
    <x v="1"/>
    <n v="4.0000000000000008E-2"/>
    <n v="840.88000000000011"/>
    <n v="760.00000000000011"/>
    <n v="8.6467417401395793E-4"/>
    <n v="375"/>
    <n v="1.106421052631579"/>
    <n v="34"/>
    <x v="0"/>
    <s v="No"/>
    <n v="3061947"/>
    <n v="1629918"/>
    <n v="6.321329281187793E-2"/>
    <n v="19"/>
    <x v="0"/>
    <n v="554172.12"/>
    <n v="488"/>
    <x v="0"/>
    <x v="0"/>
    <n v="1629918"/>
    <n v="1"/>
    <n v="1"/>
    <s v="Highly Concentrated"/>
    <n v="1629918"/>
    <s v="Routine Market"/>
    <x v="0"/>
    <s v="No"/>
  </r>
  <r>
    <x v="40"/>
    <x v="40"/>
    <s v="Sodium bicarbonate"/>
    <x v="40"/>
    <x v="3"/>
    <x v="22"/>
    <s v="Baking Soda"/>
    <s v="Bakery / Snacks"/>
    <x v="1"/>
    <x v="0"/>
    <x v="0"/>
    <s v="X"/>
    <x v="1"/>
    <s v="Egypt"/>
    <s v="World"/>
    <s v="TOTAL CPC"/>
    <s v="TOTAL MOT"/>
    <n v="283630"/>
    <n v="65470"/>
    <n v="79363.399999999994"/>
    <n v="0"/>
    <n v="79363"/>
    <s v="kg"/>
    <n v="79363"/>
    <s v="kg"/>
    <n v="5.3992075088500962E-3"/>
    <n v="11"/>
    <x v="0"/>
    <n v="0"/>
    <n v="0"/>
    <n v="0"/>
    <n v="5.8344475008376964E-3"/>
    <n v="309"/>
    <n v="0.82493945571888305"/>
    <n v="34"/>
    <x v="0"/>
    <s v="No"/>
    <n v="34391318.399999999"/>
    <n v="10997982"/>
    <n v="6.321329281187793E-2"/>
    <n v="13"/>
    <x v="0"/>
    <n v="3739313.8800000004"/>
    <n v="291"/>
    <x v="0"/>
    <x v="0"/>
    <n v="10997982"/>
    <n v="1"/>
    <n v="1"/>
    <s v="Highly Concentrated"/>
    <n v="10997982"/>
    <s v="Routine Market"/>
    <x v="0"/>
    <s v="No"/>
  </r>
  <r>
    <x v="40"/>
    <x v="40"/>
    <s v="Sodium bicarbonate"/>
    <x v="40"/>
    <x v="3"/>
    <x v="22"/>
    <s v="Baking Soda"/>
    <s v="Bakery / Snacks"/>
    <x v="24"/>
    <x v="1"/>
    <x v="0"/>
    <s v="X"/>
    <x v="24"/>
    <s v="Egypt"/>
    <s v="World"/>
    <s v="TOTAL CPC"/>
    <s v="TOTAL MOT"/>
    <n v="283630"/>
    <n v="15"/>
    <n v="5"/>
    <n v="0"/>
    <n v="5"/>
    <s v="kg"/>
    <n v="5"/>
    <s v="kg"/>
    <n v="1.3771095818184687E-3"/>
    <n v="4"/>
    <x v="0"/>
    <n v="0"/>
    <n v="0"/>
    <n v="0"/>
    <n v="5.8344475008376964E-3"/>
    <n v="534"/>
    <n v="3"/>
    <n v="34"/>
    <x v="0"/>
    <s v="No"/>
    <n v="34391318.399999999"/>
    <n v="10997982"/>
    <n v="6.321329281187793E-2"/>
    <n v="13"/>
    <x v="0"/>
    <n v="3739313.8800000004"/>
    <n v="291"/>
    <x v="0"/>
    <x v="0"/>
    <n v="10997982"/>
    <n v="1"/>
    <n v="1"/>
    <s v="Highly Concentrated"/>
    <n v="10997982"/>
    <s v="Routine Market"/>
    <x v="0"/>
    <s v="Yes"/>
  </r>
  <r>
    <x v="40"/>
    <x v="40"/>
    <s v="Sodium bicarbonate"/>
    <x v="40"/>
    <x v="3"/>
    <x v="22"/>
    <s v="Baking Soda"/>
    <s v="Bakery / Snacks"/>
    <x v="35"/>
    <x v="1"/>
    <x v="0"/>
    <s v="X"/>
    <x v="35"/>
    <s v="Egypt"/>
    <s v="World"/>
    <s v="TOTAL CPC"/>
    <s v="TOTAL MOT"/>
    <n v="283630"/>
    <n v="204636"/>
    <n v="691600"/>
    <n v="0"/>
    <n v="691600"/>
    <s v="kg"/>
    <n v="691600"/>
    <s v="kg"/>
    <n v="5.4237925464080154E-3"/>
    <n v="4"/>
    <x v="0"/>
    <n v="0"/>
    <n v="0"/>
    <n v="0"/>
    <n v="5.8344475008376964E-3"/>
    <n v="218"/>
    <n v="0.29588779641411223"/>
    <n v="34"/>
    <x v="0"/>
    <s v="No"/>
    <n v="34391318.399999999"/>
    <n v="10997982"/>
    <n v="6.321329281187793E-2"/>
    <n v="13"/>
    <x v="0"/>
    <n v="3739313.8800000004"/>
    <n v="291"/>
    <x v="0"/>
    <x v="0"/>
    <n v="10997982"/>
    <n v="1"/>
    <n v="1"/>
    <s v="Highly Concentrated"/>
    <n v="10997982"/>
    <s v="Routine Market"/>
    <x v="0"/>
    <s v="Yes"/>
  </r>
  <r>
    <x v="40"/>
    <x v="40"/>
    <s v="Sodium bicarbonate"/>
    <x v="40"/>
    <x v="3"/>
    <x v="22"/>
    <s v="Baking Soda"/>
    <s v="Bakery / Snacks"/>
    <x v="3"/>
    <x v="0"/>
    <x v="0"/>
    <s v="X"/>
    <x v="3"/>
    <s v="Egypt"/>
    <s v="World"/>
    <s v="TOTAL CPC"/>
    <s v="TOTAL MOT"/>
    <n v="283630"/>
    <n v="277230"/>
    <n v="1020927"/>
    <n v="0"/>
    <n v="1020927"/>
    <s v="kg"/>
    <n v="1020927"/>
    <s v="kg"/>
    <n v="6.321329281187793E-2"/>
    <n v="26"/>
    <x v="1"/>
    <n v="0.14000000000000001"/>
    <n v="38812.200000000004"/>
    <n v="142929.78000000003"/>
    <n v="5.8344475008376964E-3"/>
    <n v="196"/>
    <n v="0.27154732904507373"/>
    <n v="34"/>
    <x v="0"/>
    <s v="No"/>
    <n v="34391318.399999999"/>
    <n v="10997982"/>
    <n v="6.321329281187793E-2"/>
    <n v="13"/>
    <x v="0"/>
    <n v="3739313.8800000004"/>
    <n v="291"/>
    <x v="0"/>
    <x v="0"/>
    <n v="10997982"/>
    <n v="1"/>
    <n v="1"/>
    <s v="Highly Concentrated"/>
    <n v="10997982"/>
    <s v="Routine Market"/>
    <x v="0"/>
    <s v="No"/>
  </r>
  <r>
    <x v="40"/>
    <x v="40"/>
    <s v="Sodium bicarbonate"/>
    <x v="40"/>
    <x v="3"/>
    <x v="22"/>
    <s v="Baking Soda"/>
    <s v="Bakery / Snacks"/>
    <x v="25"/>
    <x v="1"/>
    <x v="0"/>
    <s v="X"/>
    <x v="25"/>
    <s v="Egypt"/>
    <s v="World"/>
    <s v="TOTAL CPC"/>
    <s v="TOTAL MOT"/>
    <n v="283630"/>
    <n v="22560"/>
    <n v="17625"/>
    <n v="0"/>
    <n v="17625"/>
    <s v="kg"/>
    <n v="17625"/>
    <s v="kg"/>
    <n v="4.2641562768795568E-4"/>
    <n v="4"/>
    <x v="0"/>
    <n v="0"/>
    <n v="0"/>
    <n v="0"/>
    <n v="5.8344475008376964E-3"/>
    <n v="372"/>
    <n v="1.28"/>
    <n v="34"/>
    <x v="0"/>
    <s v="No"/>
    <n v="34391318.399999999"/>
    <n v="10997982"/>
    <n v="6.321329281187793E-2"/>
    <n v="13"/>
    <x v="0"/>
    <n v="3739313.8800000004"/>
    <n v="291"/>
    <x v="0"/>
    <x v="0"/>
    <n v="10997982"/>
    <n v="1"/>
    <n v="1"/>
    <s v="Highly Concentrated"/>
    <n v="10997982"/>
    <s v="Routine Market"/>
    <x v="0"/>
    <s v="Yes"/>
  </r>
  <r>
    <x v="40"/>
    <x v="40"/>
    <s v="Sodium bicarbonate"/>
    <x v="40"/>
    <x v="3"/>
    <x v="22"/>
    <s v="Baking Soda"/>
    <s v="Bakery / Snacks"/>
    <x v="6"/>
    <x v="0"/>
    <x v="0"/>
    <s v="X"/>
    <x v="6"/>
    <s v="Egypt"/>
    <s v="World"/>
    <s v="TOTAL CPC"/>
    <s v="TOTAL MOT"/>
    <n v="283630"/>
    <n v="20578"/>
    <n v="17798"/>
    <n v="0"/>
    <n v="17798"/>
    <s v="kg"/>
    <n v="17798"/>
    <s v="kg"/>
    <n v="1.6951290293147386E-2"/>
    <n v="26"/>
    <x v="0"/>
    <n v="0"/>
    <n v="0"/>
    <n v="0"/>
    <n v="5.8344475008376964E-3"/>
    <n v="379"/>
    <n v="1.1561973255421958"/>
    <n v="34"/>
    <x v="0"/>
    <s v="No"/>
    <n v="34391318.399999999"/>
    <n v="10997982"/>
    <n v="6.321329281187793E-2"/>
    <n v="13"/>
    <x v="0"/>
    <n v="3739313.8800000004"/>
    <n v="291"/>
    <x v="0"/>
    <x v="0"/>
    <n v="10997982"/>
    <n v="1"/>
    <n v="1"/>
    <s v="Highly Concentrated"/>
    <n v="10997982"/>
    <s v="Routine Market"/>
    <x v="0"/>
    <s v="No"/>
  </r>
  <r>
    <x v="40"/>
    <x v="40"/>
    <s v="Sodium bicarbonate"/>
    <x v="40"/>
    <x v="3"/>
    <x v="22"/>
    <s v="Baking Soda"/>
    <s v="Bakery / Snacks"/>
    <x v="7"/>
    <x v="1"/>
    <x v="0"/>
    <s v="X"/>
    <x v="7"/>
    <s v="Egypt"/>
    <s v="World"/>
    <s v="TOTAL CPC"/>
    <s v="TOTAL MOT"/>
    <n v="283630"/>
    <n v="1036663"/>
    <n v="1490907"/>
    <n v="0"/>
    <n v="1490907"/>
    <s v="kg"/>
    <n v="1490907"/>
    <s v="kg"/>
    <n v="1.1674623358397021E-2"/>
    <n v="8"/>
    <x v="0"/>
    <n v="0"/>
    <n v="0"/>
    <n v="0"/>
    <n v="5.8344475008376964E-3"/>
    <n v="104"/>
    <n v="0.69532371905155721"/>
    <n v="34"/>
    <x v="0"/>
    <s v="No"/>
    <n v="34391318.399999999"/>
    <n v="10997982"/>
    <n v="6.321329281187793E-2"/>
    <n v="13"/>
    <x v="0"/>
    <n v="3739313.8800000004"/>
    <n v="291"/>
    <x v="0"/>
    <x v="0"/>
    <n v="10997982"/>
    <n v="1"/>
    <n v="1"/>
    <s v="Highly Concentrated"/>
    <n v="10997982"/>
    <s v="Routine Market"/>
    <x v="0"/>
    <s v="Yes"/>
  </r>
  <r>
    <x v="40"/>
    <x v="40"/>
    <s v="Sodium bicarbonate"/>
    <x v="40"/>
    <x v="3"/>
    <x v="22"/>
    <s v="Baking Soda"/>
    <s v="Bakery / Snacks"/>
    <x v="8"/>
    <x v="0"/>
    <x v="0"/>
    <s v="X"/>
    <x v="8"/>
    <s v="Egypt"/>
    <s v="World"/>
    <s v="TOTAL CPC"/>
    <s v="TOTAL MOT"/>
    <n v="283630"/>
    <n v="100288"/>
    <n v="0"/>
    <n v="0"/>
    <n v="0"/>
    <s v="N/A"/>
    <n v="267"/>
    <s v="kg"/>
    <n v="4.9588465845200368E-3"/>
    <n v="13"/>
    <x v="0"/>
    <n v="0"/>
    <n v="0"/>
    <n v="0"/>
    <n v="5.8344475008376964E-3"/>
    <n v="276"/>
    <n v="0"/>
    <n v="34"/>
    <x v="0"/>
    <s v="No"/>
    <n v="34391318.399999999"/>
    <n v="10997982"/>
    <n v="6.321329281187793E-2"/>
    <n v="13"/>
    <x v="0"/>
    <n v="3739313.8800000004"/>
    <n v="291"/>
    <x v="0"/>
    <x v="0"/>
    <n v="10997982"/>
    <n v="1"/>
    <n v="1"/>
    <s v="Highly Concentrated"/>
    <n v="10997982"/>
    <s v="Routine Market"/>
    <x v="0"/>
    <s v="No"/>
  </r>
  <r>
    <x v="40"/>
    <x v="40"/>
    <s v="Sodium bicarbonate"/>
    <x v="40"/>
    <x v="3"/>
    <x v="22"/>
    <s v="Baking Soda"/>
    <s v="Bakery / Snacks"/>
    <x v="12"/>
    <x v="0"/>
    <x v="0"/>
    <s v="X"/>
    <x v="12"/>
    <s v="Egypt"/>
    <s v="World"/>
    <s v="TOTAL CPC"/>
    <s v="TOTAL MOT"/>
    <n v="283630"/>
    <n v="246"/>
    <n v="126"/>
    <n v="0"/>
    <n v="126"/>
    <s v="kg"/>
    <n v="126"/>
    <s v="kg"/>
    <n v="1.4561232389604124E-2"/>
    <n v="31"/>
    <x v="0"/>
    <n v="0"/>
    <n v="0"/>
    <n v="0"/>
    <n v="5.8344475008376964E-3"/>
    <n v="506"/>
    <n v="1.9523809523809523"/>
    <n v="34"/>
    <x v="0"/>
    <s v="No"/>
    <n v="34391318.399999999"/>
    <n v="10997982"/>
    <n v="6.321329281187793E-2"/>
    <n v="13"/>
    <x v="0"/>
    <n v="3739313.8800000004"/>
    <n v="291"/>
    <x v="0"/>
    <x v="0"/>
    <n v="10997982"/>
    <n v="1"/>
    <n v="1"/>
    <s v="Highly Concentrated"/>
    <n v="10997982"/>
    <s v="Routine Market"/>
    <x v="0"/>
    <s v="No"/>
  </r>
  <r>
    <x v="40"/>
    <x v="40"/>
    <s v="Sodium bicarbonate"/>
    <x v="40"/>
    <x v="3"/>
    <x v="22"/>
    <s v="Baking Soda"/>
    <s v="Bakery / Snacks"/>
    <x v="15"/>
    <x v="0"/>
    <x v="0"/>
    <s v="X"/>
    <x v="15"/>
    <s v="Egypt"/>
    <s v="World"/>
    <s v="TOTAL CPC"/>
    <s v="TOTAL MOT"/>
    <n v="283630"/>
    <n v="143376"/>
    <n v="203350"/>
    <n v="0"/>
    <n v="203350"/>
    <s v="kg"/>
    <n v="203350"/>
    <s v="kg"/>
    <n v="2.2441761060335613E-2"/>
    <n v="21"/>
    <x v="0"/>
    <n v="0"/>
    <n v="0"/>
    <n v="0"/>
    <n v="5.8344475008376964E-3"/>
    <n v="251"/>
    <n v="0.70507007622326034"/>
    <n v="34"/>
    <x v="0"/>
    <s v="No"/>
    <n v="34391318.399999999"/>
    <n v="10997982"/>
    <n v="6.321329281187793E-2"/>
    <n v="13"/>
    <x v="0"/>
    <n v="3739313.8800000004"/>
    <n v="291"/>
    <x v="0"/>
    <x v="0"/>
    <n v="10997982"/>
    <n v="1"/>
    <n v="1"/>
    <s v="Highly Concentrated"/>
    <n v="10997982"/>
    <s v="Routine Market"/>
    <x v="0"/>
    <s v="No"/>
  </r>
  <r>
    <x v="40"/>
    <x v="40"/>
    <s v="Sodium bicarbonate"/>
    <x v="40"/>
    <x v="3"/>
    <x v="22"/>
    <s v="Baking Soda"/>
    <s v="Bakery / Snacks"/>
    <x v="16"/>
    <x v="0"/>
    <x v="0"/>
    <s v="X"/>
    <x v="16"/>
    <s v="Egypt"/>
    <s v="World"/>
    <s v="TOTAL CPC"/>
    <s v="TOTAL MOT"/>
    <n v="283630"/>
    <n v="1243565"/>
    <n v="1801830"/>
    <n v="0"/>
    <n v="1801830"/>
    <s v="kg"/>
    <n v="1801830"/>
    <s v="kg"/>
    <n v="8.2796770445636432E-4"/>
    <n v="1"/>
    <x v="1"/>
    <n v="0.06"/>
    <n v="74613.899999999994"/>
    <n v="108109.8"/>
    <n v="5.8344475008376964E-3"/>
    <n v="89"/>
    <n v="0.69016777387433892"/>
    <n v="34"/>
    <x v="0"/>
    <s v="No"/>
    <n v="34391318.399999999"/>
    <n v="10997982"/>
    <n v="6.321329281187793E-2"/>
    <n v="13"/>
    <x v="0"/>
    <n v="3739313.8800000004"/>
    <n v="291"/>
    <x v="0"/>
    <x v="0"/>
    <n v="10997982"/>
    <n v="1"/>
    <n v="1"/>
    <s v="Highly Concentrated"/>
    <n v="10997982"/>
    <s v="Routine Market"/>
    <x v="0"/>
    <s v="Yes"/>
  </r>
  <r>
    <x v="40"/>
    <x v="40"/>
    <s v="Sodium bicarbonate"/>
    <x v="40"/>
    <x v="3"/>
    <x v="22"/>
    <s v="Baking Soda"/>
    <s v="Bakery / Snacks"/>
    <x v="31"/>
    <x v="1"/>
    <x v="0"/>
    <s v="X"/>
    <x v="31"/>
    <s v="Egypt"/>
    <s v="World"/>
    <s v="TOTAL CPC"/>
    <s v="TOTAL MOT"/>
    <n v="283630"/>
    <n v="28839"/>
    <n v="49000"/>
    <n v="0"/>
    <n v="49000"/>
    <s v="kg"/>
    <n v="49000"/>
    <s v="kg"/>
    <n v="8.0337630087875059E-4"/>
    <n v="4"/>
    <x v="0"/>
    <n v="0"/>
    <n v="0"/>
    <n v="0"/>
    <n v="5.8344475008376964E-3"/>
    <n v="359"/>
    <n v="0.58855102040816332"/>
    <n v="34"/>
    <x v="0"/>
    <s v="No"/>
    <n v="34391318.399999999"/>
    <n v="10997982"/>
    <n v="6.321329281187793E-2"/>
    <n v="13"/>
    <x v="0"/>
    <n v="3739313.8800000004"/>
    <n v="291"/>
    <x v="0"/>
    <x v="0"/>
    <n v="10997982"/>
    <n v="1"/>
    <n v="1"/>
    <s v="Highly Concentrated"/>
    <n v="10997982"/>
    <s v="Routine Market"/>
    <x v="0"/>
    <s v="Yes"/>
  </r>
  <r>
    <x v="40"/>
    <x v="40"/>
    <s v="Sodium bicarbonate"/>
    <x v="40"/>
    <x v="3"/>
    <x v="22"/>
    <s v="Baking Soda"/>
    <s v="Bakery / Snacks"/>
    <x v="17"/>
    <x v="1"/>
    <x v="0"/>
    <s v="X"/>
    <x v="17"/>
    <s v="Egypt"/>
    <s v="World"/>
    <s v="TOTAL CPC"/>
    <s v="TOTAL MOT"/>
    <n v="283630"/>
    <n v="7854516"/>
    <n v="29018787"/>
    <n v="0"/>
    <n v="29018787"/>
    <s v="kg"/>
    <n v="29018787"/>
    <s v="kg"/>
    <n v="4.7522902002533667E-2"/>
    <n v="4"/>
    <x v="1"/>
    <n v="0.1"/>
    <n v="785451.60000000009"/>
    <n v="2901878.7"/>
    <n v="5.8344475008376964E-3"/>
    <n v="22"/>
    <n v="0.27067003179698723"/>
    <n v="34"/>
    <x v="0"/>
    <s v="No"/>
    <n v="34391318.399999999"/>
    <n v="10997982"/>
    <n v="6.321329281187793E-2"/>
    <n v="13"/>
    <x v="0"/>
    <n v="3739313.8800000004"/>
    <n v="291"/>
    <x v="0"/>
    <x v="0"/>
    <n v="10997982"/>
    <n v="1"/>
    <n v="1"/>
    <s v="Highly Concentrated"/>
    <n v="10997982"/>
    <s v="Routine Market"/>
    <x v="0"/>
    <s v="Yes"/>
  </r>
  <r>
    <x v="41"/>
    <x v="41"/>
    <s v="Phosphates"/>
    <x v="41"/>
    <x v="3"/>
    <x v="23"/>
    <s v="Industrial Phosphates"/>
    <s v="Meat / Processed Food"/>
    <x v="1"/>
    <x v="0"/>
    <x v="0"/>
    <s v="X"/>
    <x v="1"/>
    <s v="Egypt"/>
    <s v="World"/>
    <s v="TOTAL CPC"/>
    <s v="TOTAL MOT"/>
    <n v="283526"/>
    <n v="3506"/>
    <n v="450"/>
    <n v="0"/>
    <n v="450"/>
    <s v="kg"/>
    <n v="450"/>
    <s v="kg"/>
    <n v="5.3992075088500962E-3"/>
    <n v="22"/>
    <x v="0"/>
    <n v="0"/>
    <n v="0"/>
    <n v="0"/>
    <n v="1.2919776492486183E-2"/>
    <n v="454"/>
    <n v="7.7911111111111113"/>
    <n v="34"/>
    <x v="0"/>
    <s v="No"/>
    <n v="35465011"/>
    <n v="24353886"/>
    <n v="6.321329281187793E-2"/>
    <n v="13"/>
    <x v="0"/>
    <n v="8280321.2400000002"/>
    <n v="96"/>
    <x v="0"/>
    <x v="0"/>
    <n v="24353886"/>
    <n v="1"/>
    <n v="1"/>
    <s v="Highly Concentrated"/>
    <n v="24353886"/>
    <s v="Medium Opportunity"/>
    <x v="0"/>
    <s v="No"/>
  </r>
  <r>
    <x v="41"/>
    <x v="41"/>
    <s v="Phosphates"/>
    <x v="41"/>
    <x v="3"/>
    <x v="23"/>
    <s v="Industrial Phosphates"/>
    <s v="Meat / Processed Food"/>
    <x v="35"/>
    <x v="1"/>
    <x v="0"/>
    <s v="X"/>
    <x v="35"/>
    <s v="Egypt"/>
    <s v="World"/>
    <s v="TOTAL CPC"/>
    <s v="TOTAL MOT"/>
    <n v="283526"/>
    <n v="721434"/>
    <n v="936000"/>
    <n v="0"/>
    <n v="936000"/>
    <s v="kg"/>
    <n v="936000"/>
    <s v="kg"/>
    <n v="5.4237925464080154E-3"/>
    <n v="2"/>
    <x v="0"/>
    <n v="0"/>
    <n v="0"/>
    <n v="0"/>
    <n v="1.2919776492486183E-2"/>
    <n v="123"/>
    <n v="0.77076282051282052"/>
    <n v="34"/>
    <x v="0"/>
    <s v="No"/>
    <n v="35465011"/>
    <n v="24353886"/>
    <n v="6.321329281187793E-2"/>
    <n v="13"/>
    <x v="0"/>
    <n v="8280321.2400000002"/>
    <n v="96"/>
    <x v="0"/>
    <x v="0"/>
    <n v="24353886"/>
    <n v="1"/>
    <n v="1"/>
    <s v="Highly Concentrated"/>
    <n v="24353886"/>
    <s v="Medium Opportunity"/>
    <x v="0"/>
    <s v="Yes"/>
  </r>
  <r>
    <x v="41"/>
    <x v="41"/>
    <s v="Phosphates"/>
    <x v="41"/>
    <x v="3"/>
    <x v="23"/>
    <s v="Industrial Phosphates"/>
    <s v="Meat / Processed Food"/>
    <x v="3"/>
    <x v="0"/>
    <x v="0"/>
    <s v="X"/>
    <x v="3"/>
    <s v="Egypt"/>
    <s v="World"/>
    <s v="TOTAL CPC"/>
    <s v="TOTAL MOT"/>
    <n v="283526"/>
    <n v="2662796"/>
    <n v="4655025"/>
    <n v="0"/>
    <n v="4655025"/>
    <s v="kg"/>
    <n v="4655025"/>
    <s v="kg"/>
    <n v="6.321329281187793E-2"/>
    <n v="13"/>
    <x v="1"/>
    <n v="0.14000000000000001"/>
    <n v="372791.44000000006"/>
    <n v="651703.50000000012"/>
    <n v="1.2919776492486183E-2"/>
    <n v="50"/>
    <n v="0.57202614379084971"/>
    <n v="34"/>
    <x v="0"/>
    <s v="No"/>
    <n v="35465011"/>
    <n v="24353886"/>
    <n v="6.321329281187793E-2"/>
    <n v="13"/>
    <x v="0"/>
    <n v="8280321.2400000002"/>
    <n v="96"/>
    <x v="0"/>
    <x v="0"/>
    <n v="24353886"/>
    <n v="1"/>
    <n v="1"/>
    <s v="Highly Concentrated"/>
    <n v="24353886"/>
    <s v="Medium Opportunity"/>
    <x v="0"/>
    <s v="No"/>
  </r>
  <r>
    <x v="41"/>
    <x v="41"/>
    <s v="Phosphates"/>
    <x v="41"/>
    <x v="3"/>
    <x v="23"/>
    <s v="Industrial Phosphates"/>
    <s v="Meat / Processed Food"/>
    <x v="6"/>
    <x v="0"/>
    <x v="0"/>
    <s v="X"/>
    <x v="6"/>
    <s v="Egypt"/>
    <s v="World"/>
    <s v="TOTAL CPC"/>
    <s v="TOTAL MOT"/>
    <n v="283526"/>
    <n v="159335"/>
    <n v="138000"/>
    <n v="0"/>
    <n v="138000"/>
    <s v="kg"/>
    <n v="138000"/>
    <s v="kg"/>
    <n v="1.6951290293147386E-2"/>
    <n v="20"/>
    <x v="0"/>
    <n v="0"/>
    <n v="0"/>
    <n v="0"/>
    <n v="1.2919776492486183E-2"/>
    <n v="239"/>
    <n v="1.1546014492753622"/>
    <n v="34"/>
    <x v="0"/>
    <s v="No"/>
    <n v="35465011"/>
    <n v="24353886"/>
    <n v="6.321329281187793E-2"/>
    <n v="13"/>
    <x v="0"/>
    <n v="8280321.2400000002"/>
    <n v="96"/>
    <x v="0"/>
    <x v="0"/>
    <n v="24353886"/>
    <n v="1"/>
    <n v="1"/>
    <s v="Highly Concentrated"/>
    <n v="24353886"/>
    <s v="Medium Opportunity"/>
    <x v="0"/>
    <s v="No"/>
  </r>
  <r>
    <x v="41"/>
    <x v="41"/>
    <s v="Phosphates"/>
    <x v="41"/>
    <x v="3"/>
    <x v="23"/>
    <s v="Industrial Phosphates"/>
    <s v="Meat / Processed Food"/>
    <x v="7"/>
    <x v="0"/>
    <x v="0"/>
    <s v="X"/>
    <x v="7"/>
    <s v="Egypt"/>
    <s v="World"/>
    <s v="TOTAL CPC"/>
    <s v="TOTAL MOT"/>
    <n v="283526"/>
    <n v="217100"/>
    <n v="67281"/>
    <n v="0"/>
    <n v="67281"/>
    <s v="kg"/>
    <n v="67281"/>
    <s v="kg"/>
    <n v="1.1674623358397021E-2"/>
    <n v="15"/>
    <x v="0"/>
    <n v="0"/>
    <n v="0"/>
    <n v="0"/>
    <n v="1.2919776492486183E-2"/>
    <n v="212"/>
    <n v="3.2267653572330972"/>
    <n v="34"/>
    <x v="0"/>
    <s v="No"/>
    <n v="35465011"/>
    <n v="24353886"/>
    <n v="6.321329281187793E-2"/>
    <n v="13"/>
    <x v="0"/>
    <n v="8280321.2400000002"/>
    <n v="96"/>
    <x v="0"/>
    <x v="0"/>
    <n v="24353886"/>
    <n v="1"/>
    <n v="1"/>
    <s v="Highly Concentrated"/>
    <n v="24353886"/>
    <s v="Medium Opportunity"/>
    <x v="0"/>
    <s v="No"/>
  </r>
  <r>
    <x v="41"/>
    <x v="41"/>
    <s v="Phosphates"/>
    <x v="41"/>
    <x v="3"/>
    <x v="23"/>
    <s v="Industrial Phosphates"/>
    <s v="Meat / Processed Food"/>
    <x v="9"/>
    <x v="1"/>
    <x v="0"/>
    <s v="X"/>
    <x v="9"/>
    <s v="Egypt"/>
    <s v="World"/>
    <s v="TOTAL CPC"/>
    <s v="TOTAL MOT"/>
    <n v="283526"/>
    <n v="283293"/>
    <n v="325000"/>
    <n v="0"/>
    <n v="325000"/>
    <s v="kg"/>
    <n v="325000"/>
    <s v="kg"/>
    <n v="1.1178535358665947E-2"/>
    <n v="9"/>
    <x v="0"/>
    <n v="0"/>
    <n v="0"/>
    <n v="0"/>
    <n v="1.2919776492486183E-2"/>
    <n v="194"/>
    <n v="0.87167076923076925"/>
    <n v="34"/>
    <x v="0"/>
    <s v="No"/>
    <n v="35465011"/>
    <n v="24353886"/>
    <n v="6.321329281187793E-2"/>
    <n v="13"/>
    <x v="0"/>
    <n v="8280321.2400000002"/>
    <n v="96"/>
    <x v="0"/>
    <x v="0"/>
    <n v="24353886"/>
    <n v="1"/>
    <n v="1"/>
    <s v="Highly Concentrated"/>
    <n v="24353886"/>
    <s v="Medium Opportunity"/>
    <x v="0"/>
    <s v="Yes"/>
  </r>
  <r>
    <x v="41"/>
    <x v="41"/>
    <s v="Phosphates"/>
    <x v="41"/>
    <x v="3"/>
    <x v="23"/>
    <s v="Industrial Phosphates"/>
    <s v="Meat / Processed Food"/>
    <x v="19"/>
    <x v="1"/>
    <x v="0"/>
    <s v="X"/>
    <x v="19"/>
    <s v="Egypt"/>
    <s v="World"/>
    <s v="TOTAL CPC"/>
    <s v="TOTAL MOT"/>
    <n v="283526"/>
    <n v="586183"/>
    <n v="1300000"/>
    <n v="0"/>
    <n v="1300000"/>
    <s v="kg"/>
    <n v="1300000"/>
    <s v="kg"/>
    <n v="1.4429559760252854E-3"/>
    <n v="2"/>
    <x v="0"/>
    <n v="0"/>
    <n v="0"/>
    <n v="0"/>
    <n v="1.2919776492486183E-2"/>
    <n v="136"/>
    <n v="0.45090999999999998"/>
    <n v="34"/>
    <x v="0"/>
    <s v="No"/>
    <n v="35465011"/>
    <n v="24353886"/>
    <n v="6.321329281187793E-2"/>
    <n v="13"/>
    <x v="0"/>
    <n v="8280321.2400000002"/>
    <n v="96"/>
    <x v="0"/>
    <x v="0"/>
    <n v="24353886"/>
    <n v="1"/>
    <n v="1"/>
    <s v="Highly Concentrated"/>
    <n v="24353886"/>
    <s v="Medium Opportunity"/>
    <x v="0"/>
    <s v="Yes"/>
  </r>
  <r>
    <x v="41"/>
    <x v="41"/>
    <s v="Phosphates"/>
    <x v="41"/>
    <x v="3"/>
    <x v="23"/>
    <s v="Industrial Phosphates"/>
    <s v="Meat / Processed Food"/>
    <x v="12"/>
    <x v="0"/>
    <x v="0"/>
    <s v="X"/>
    <x v="12"/>
    <s v="Egypt"/>
    <s v="World"/>
    <s v="TOTAL CPC"/>
    <s v="TOTAL MOT"/>
    <n v="283526"/>
    <n v="53780"/>
    <n v="69000"/>
    <n v="0"/>
    <n v="69000"/>
    <s v="kg"/>
    <n v="69000"/>
    <s v="kg"/>
    <n v="1.4561232389604124E-2"/>
    <n v="21"/>
    <x v="0"/>
    <n v="0"/>
    <n v="0"/>
    <n v="0"/>
    <n v="1.2919776492486183E-2"/>
    <n v="320"/>
    <n v="0.7794202898550725"/>
    <n v="34"/>
    <x v="0"/>
    <s v="No"/>
    <n v="35465011"/>
    <n v="24353886"/>
    <n v="6.321329281187793E-2"/>
    <n v="13"/>
    <x v="0"/>
    <n v="8280321.2400000002"/>
    <n v="96"/>
    <x v="0"/>
    <x v="0"/>
    <n v="24353886"/>
    <n v="1"/>
    <n v="1"/>
    <s v="Highly Concentrated"/>
    <n v="24353886"/>
    <s v="Medium Opportunity"/>
    <x v="0"/>
    <s v="No"/>
  </r>
  <r>
    <x v="41"/>
    <x v="41"/>
    <s v="Phosphates"/>
    <x v="41"/>
    <x v="3"/>
    <x v="23"/>
    <s v="Industrial Phosphates"/>
    <s v="Meat / Processed Food"/>
    <x v="15"/>
    <x v="0"/>
    <x v="0"/>
    <s v="X"/>
    <x v="15"/>
    <s v="Egypt"/>
    <s v="World"/>
    <s v="TOTAL CPC"/>
    <s v="TOTAL MOT"/>
    <n v="283526"/>
    <n v="26422"/>
    <n v="4455"/>
    <n v="0"/>
    <n v="4455"/>
    <s v="kg"/>
    <n v="4455"/>
    <s v="kg"/>
    <n v="2.2441761060335613E-2"/>
    <n v="30"/>
    <x v="0"/>
    <n v="0"/>
    <n v="0"/>
    <n v="0"/>
    <n v="1.2919776492486183E-2"/>
    <n v="365"/>
    <n v="5.9308641975308642"/>
    <n v="34"/>
    <x v="0"/>
    <s v="No"/>
    <n v="35465011"/>
    <n v="24353886"/>
    <n v="6.321329281187793E-2"/>
    <n v="13"/>
    <x v="0"/>
    <n v="8280321.2400000002"/>
    <n v="96"/>
    <x v="0"/>
    <x v="0"/>
    <n v="24353886"/>
    <n v="1"/>
    <n v="1"/>
    <s v="Highly Concentrated"/>
    <n v="24353886"/>
    <s v="Medium Opportunity"/>
    <x v="0"/>
    <s v="No"/>
  </r>
  <r>
    <x v="41"/>
    <x v="41"/>
    <s v="Phosphates"/>
    <x v="41"/>
    <x v="3"/>
    <x v="23"/>
    <s v="Industrial Phosphates"/>
    <s v="Meat / Processed Food"/>
    <x v="20"/>
    <x v="1"/>
    <x v="0"/>
    <s v="X"/>
    <x v="20"/>
    <s v="Egypt"/>
    <s v="World"/>
    <s v="TOTAL CPC"/>
    <s v="TOTAL MOT"/>
    <n v="283526"/>
    <n v="1642284"/>
    <n v="2257800"/>
    <n v="0"/>
    <n v="2257800"/>
    <s v="kg"/>
    <n v="2257800"/>
    <s v="kg"/>
    <n v="6.110186869383482E-3"/>
    <n v="2"/>
    <x v="0"/>
    <n v="0"/>
    <n v="0"/>
    <n v="0"/>
    <n v="1.2919776492486183E-2"/>
    <n v="70"/>
    <n v="0.72738240765346796"/>
    <n v="34"/>
    <x v="0"/>
    <s v="No"/>
    <n v="35465011"/>
    <n v="24353886"/>
    <n v="6.321329281187793E-2"/>
    <n v="13"/>
    <x v="0"/>
    <n v="8280321.2400000002"/>
    <n v="96"/>
    <x v="0"/>
    <x v="0"/>
    <n v="24353886"/>
    <n v="1"/>
    <n v="1"/>
    <s v="Highly Concentrated"/>
    <n v="24353886"/>
    <s v="Medium Opportunity"/>
    <x v="0"/>
    <s v="Yes"/>
  </r>
  <r>
    <x v="41"/>
    <x v="41"/>
    <s v="Phosphates"/>
    <x v="41"/>
    <x v="3"/>
    <x v="23"/>
    <s v="Industrial Phosphates"/>
    <s v="Meat / Processed Food"/>
    <x v="58"/>
    <x v="0"/>
    <x v="0"/>
    <s v="X"/>
    <x v="58"/>
    <s v="Egypt"/>
    <s v="World"/>
    <s v="TOTAL CPC"/>
    <s v="TOTAL MOT"/>
    <n v="283526"/>
    <n v="533891"/>
    <n v="0"/>
    <n v="0"/>
    <n v="0"/>
    <s v="N/A"/>
    <n v="0"/>
    <s v="N/A"/>
    <n v="2.8323005171946442E-4"/>
    <n v="1"/>
    <x v="0"/>
    <n v="0"/>
    <n v="0"/>
    <n v="0"/>
    <n v="1.2919776492486183E-2"/>
    <n v="143"/>
    <n v="0"/>
    <n v="34"/>
    <x v="0"/>
    <s v="No"/>
    <n v="35465011"/>
    <n v="24353886"/>
    <n v="6.321329281187793E-2"/>
    <n v="13"/>
    <x v="0"/>
    <n v="8280321.2400000002"/>
    <n v="96"/>
    <x v="0"/>
    <x v="0"/>
    <n v="24353886"/>
    <n v="1"/>
    <n v="1"/>
    <s v="Highly Concentrated"/>
    <n v="24353886"/>
    <s v="Medium Opportunity"/>
    <x v="0"/>
    <s v="Yes"/>
  </r>
  <r>
    <x v="41"/>
    <x v="41"/>
    <s v="Phosphates"/>
    <x v="41"/>
    <x v="3"/>
    <x v="23"/>
    <s v="Industrial Phosphates"/>
    <s v="Meat / Processed Food"/>
    <x v="17"/>
    <x v="1"/>
    <x v="0"/>
    <s v="X"/>
    <x v="17"/>
    <s v="Egypt"/>
    <s v="World"/>
    <s v="TOTAL CPC"/>
    <s v="TOTAL MOT"/>
    <n v="283526"/>
    <n v="17092342"/>
    <n v="25550000"/>
    <n v="0"/>
    <n v="25550000"/>
    <s v="kg"/>
    <n v="25550000"/>
    <s v="kg"/>
    <n v="4.7522902002533667E-2"/>
    <n v="2"/>
    <x v="1"/>
    <n v="0.1"/>
    <n v="1709234.2000000002"/>
    <n v="2555000"/>
    <n v="1.2919776492486183E-2"/>
    <n v="9"/>
    <n v="0.66897620352250486"/>
    <n v="34"/>
    <x v="0"/>
    <s v="No"/>
    <n v="35465011"/>
    <n v="24353886"/>
    <n v="6.321329281187793E-2"/>
    <n v="13"/>
    <x v="0"/>
    <n v="8280321.2400000002"/>
    <n v="96"/>
    <x v="0"/>
    <x v="0"/>
    <n v="24353886"/>
    <n v="1"/>
    <n v="1"/>
    <s v="Highly Concentrated"/>
    <n v="24353886"/>
    <s v="Medium Opportunity"/>
    <x v="1"/>
    <s v="Yes"/>
  </r>
  <r>
    <x v="41"/>
    <x v="41"/>
    <s v="Phosphates"/>
    <x v="41"/>
    <x v="3"/>
    <x v="23"/>
    <s v="Industrial Phosphates"/>
    <s v="Meat / Processed Food"/>
    <x v="18"/>
    <x v="1"/>
    <x v="0"/>
    <s v="X"/>
    <x v="18"/>
    <s v="Egypt"/>
    <s v="World"/>
    <s v="TOTAL CPC"/>
    <s v="TOTAL MOT"/>
    <n v="283526"/>
    <n v="371520"/>
    <n v="162000"/>
    <n v="0"/>
    <n v="162000"/>
    <s v="kg"/>
    <n v="162000"/>
    <s v="kg"/>
    <n v="9.425427433633813E-3"/>
    <n v="7"/>
    <x v="1"/>
    <n v="4.0000000000000008E-2"/>
    <n v="14860.800000000003"/>
    <n v="6480.0000000000009"/>
    <n v="1.2919776492486183E-2"/>
    <n v="168"/>
    <n v="2.2933333333333334"/>
    <n v="34"/>
    <x v="0"/>
    <s v="No"/>
    <n v="35465011"/>
    <n v="24353886"/>
    <n v="6.321329281187793E-2"/>
    <n v="13"/>
    <x v="0"/>
    <n v="8280321.2400000002"/>
    <n v="96"/>
    <x v="0"/>
    <x v="0"/>
    <n v="24353886"/>
    <n v="1"/>
    <n v="1"/>
    <s v="Highly Concentrated"/>
    <n v="24353886"/>
    <s v="Medium Opportunity"/>
    <x v="0"/>
    <s v="Yes"/>
  </r>
  <r>
    <x v="42"/>
    <x v="42"/>
    <s v="Monosodium glutamate (MSG)"/>
    <x v="42"/>
    <x v="3"/>
    <x v="24"/>
    <s v="Monosodium Glutamate"/>
    <s v="Snacks / Seasonings"/>
    <x v="1"/>
    <x v="0"/>
    <x v="0"/>
    <s v="X"/>
    <x v="1"/>
    <s v="Egypt"/>
    <s v="World"/>
    <s v="TOTAL CPC"/>
    <s v="TOTAL MOT"/>
    <n v="292242"/>
    <n v="19"/>
    <n v="0.1"/>
    <n v="0"/>
    <n v="0"/>
    <s v="kg"/>
    <n v="0"/>
    <s v="kg"/>
    <n v="5.3992075088500962E-3"/>
    <n v="28"/>
    <x v="0"/>
    <n v="0"/>
    <n v="0"/>
    <n v="0"/>
    <n v="9.8199068625218038E-3"/>
    <n v="530"/>
    <n v="190"/>
    <n v="34"/>
    <x v="0"/>
    <s v="No"/>
    <n v="17307326.700000003"/>
    <n v="18510606"/>
    <n v="0.39900464236999494"/>
    <n v="9"/>
    <x v="0"/>
    <n v="6293606.04"/>
    <n v="109"/>
    <x v="0"/>
    <x v="0"/>
    <n v="18510606"/>
    <n v="1"/>
    <n v="1"/>
    <s v="Highly Concentrated"/>
    <n v="18510606"/>
    <s v="Medium Opportunity"/>
    <x v="0"/>
    <s v="No"/>
  </r>
  <r>
    <x v="42"/>
    <x v="42"/>
    <s v="Monosodium glutamate (MSG)"/>
    <x v="42"/>
    <x v="3"/>
    <x v="24"/>
    <s v="Monosodium Glutamate"/>
    <s v="Snacks / Seasonings"/>
    <x v="3"/>
    <x v="1"/>
    <x v="0"/>
    <s v="X"/>
    <x v="3"/>
    <s v="Egypt"/>
    <s v="World"/>
    <s v="TOTAL CPC"/>
    <s v="TOTAL MOT"/>
    <n v="292242"/>
    <n v="16930539"/>
    <n v="16520855"/>
    <n v="0"/>
    <n v="16520855"/>
    <s v="kg"/>
    <n v="16520855"/>
    <s v="kg"/>
    <n v="6.321329281187793E-2"/>
    <n v="2"/>
    <x v="1"/>
    <n v="0.14000000000000001"/>
    <n v="2370275.4600000004"/>
    <n v="2312919.7000000002"/>
    <n v="9.8199068625218038E-3"/>
    <n v="10"/>
    <n v="1.0247979901766586"/>
    <n v="34"/>
    <x v="0"/>
    <s v="No"/>
    <n v="17307326.700000003"/>
    <n v="18510606"/>
    <n v="0.39900464236999494"/>
    <n v="9"/>
    <x v="0"/>
    <n v="6293606.04"/>
    <n v="109"/>
    <x v="0"/>
    <x v="0"/>
    <n v="18510606"/>
    <n v="1"/>
    <n v="1"/>
    <s v="Highly Concentrated"/>
    <n v="18510606"/>
    <s v="Medium Opportunity"/>
    <x v="1"/>
    <s v="Yes"/>
  </r>
  <r>
    <x v="42"/>
    <x v="42"/>
    <s v="Monosodium glutamate (MSG)"/>
    <x v="42"/>
    <x v="3"/>
    <x v="24"/>
    <s v="Monosodium Glutamate"/>
    <s v="Snacks / Seasonings"/>
    <x v="6"/>
    <x v="1"/>
    <x v="0"/>
    <s v="X"/>
    <x v="6"/>
    <s v="Egypt"/>
    <s v="World"/>
    <s v="TOTAL CPC"/>
    <s v="TOTAL MOT"/>
    <n v="292242"/>
    <n v="1169327"/>
    <n v="640414"/>
    <n v="0"/>
    <n v="640414"/>
    <s v="kg"/>
    <n v="640414"/>
    <s v="kg"/>
    <n v="1.6951290293147386E-2"/>
    <n v="6"/>
    <x v="0"/>
    <n v="0"/>
    <n v="0"/>
    <n v="0"/>
    <n v="9.8199068625218038E-3"/>
    <n v="96"/>
    <n v="1.8258923134097631"/>
    <n v="34"/>
    <x v="0"/>
    <s v="No"/>
    <n v="17307326.700000003"/>
    <n v="18510606"/>
    <n v="0.39900464236999494"/>
    <n v="9"/>
    <x v="0"/>
    <n v="6293606.04"/>
    <n v="109"/>
    <x v="0"/>
    <x v="0"/>
    <n v="18510606"/>
    <n v="1"/>
    <n v="1"/>
    <s v="Highly Concentrated"/>
    <n v="18510606"/>
    <s v="Medium Opportunity"/>
    <x v="0"/>
    <s v="Yes"/>
  </r>
  <r>
    <x v="42"/>
    <x v="42"/>
    <s v="Monosodium glutamate (MSG)"/>
    <x v="42"/>
    <x v="3"/>
    <x v="24"/>
    <s v="Monosodium Glutamate"/>
    <s v="Snacks / Seasonings"/>
    <x v="7"/>
    <x v="0"/>
    <x v="0"/>
    <s v="X"/>
    <x v="7"/>
    <s v="Egypt"/>
    <s v="World"/>
    <s v="TOTAL CPC"/>
    <s v="TOTAL MOT"/>
    <n v="292242"/>
    <n v="1038"/>
    <n v="220.5"/>
    <n v="0"/>
    <n v="221"/>
    <s v="kg"/>
    <n v="0"/>
    <s v="N/A"/>
    <n v="1.1674623358397021E-2"/>
    <n v="31"/>
    <x v="0"/>
    <n v="0"/>
    <n v="0"/>
    <n v="0"/>
    <n v="9.8199068625218038E-3"/>
    <n v="484"/>
    <n v="4.7074829931972788"/>
    <n v="34"/>
    <x v="0"/>
    <s v="No"/>
    <n v="17307326.700000003"/>
    <n v="18510606"/>
    <n v="0.39900464236999494"/>
    <n v="9"/>
    <x v="0"/>
    <n v="6293606.04"/>
    <n v="109"/>
    <x v="0"/>
    <x v="0"/>
    <n v="18510606"/>
    <n v="1"/>
    <n v="1"/>
    <s v="Highly Concentrated"/>
    <n v="18510606"/>
    <s v="Medium Opportunity"/>
    <x v="0"/>
    <s v="No"/>
  </r>
  <r>
    <x v="42"/>
    <x v="42"/>
    <s v="Monosodium glutamate (MSG)"/>
    <x v="42"/>
    <x v="3"/>
    <x v="24"/>
    <s v="Monosodium Glutamate"/>
    <s v="Snacks / Seasonings"/>
    <x v="27"/>
    <x v="1"/>
    <x v="0"/>
    <s v="X"/>
    <x v="27"/>
    <s v="Egypt"/>
    <s v="World"/>
    <s v="TOTAL CPC"/>
    <s v="TOTAL MOT"/>
    <n v="292242"/>
    <n v="27434"/>
    <n v="21600"/>
    <n v="0"/>
    <n v="21600"/>
    <s v="kg"/>
    <n v="21600"/>
    <s v="kg"/>
    <n v="0.39900464236999494"/>
    <n v="7"/>
    <x v="1"/>
    <n v="0.21"/>
    <n v="5761.1399999999994"/>
    <n v="4536"/>
    <n v="9.8199068625218038E-3"/>
    <n v="361"/>
    <n v="1.2700925925925926"/>
    <n v="34"/>
    <x v="0"/>
    <s v="No"/>
    <n v="17307326.700000003"/>
    <n v="18510606"/>
    <n v="0.39900464236999494"/>
    <n v="9"/>
    <x v="0"/>
    <n v="6293606.04"/>
    <n v="109"/>
    <x v="0"/>
    <x v="0"/>
    <n v="18510606"/>
    <n v="1"/>
    <n v="1"/>
    <s v="Highly Concentrated"/>
    <n v="18510606"/>
    <s v="Medium Opportunity"/>
    <x v="0"/>
    <s v="Yes"/>
  </r>
  <r>
    <x v="42"/>
    <x v="42"/>
    <s v="Monosodium glutamate (MSG)"/>
    <x v="42"/>
    <x v="3"/>
    <x v="24"/>
    <s v="Monosodium Glutamate"/>
    <s v="Snacks / Seasonings"/>
    <x v="12"/>
    <x v="0"/>
    <x v="0"/>
    <s v="X"/>
    <x v="12"/>
    <s v="Egypt"/>
    <s v="World"/>
    <s v="TOTAL CPC"/>
    <s v="TOTAL MOT"/>
    <n v="292242"/>
    <n v="1343"/>
    <n v="250"/>
    <n v="0"/>
    <n v="250"/>
    <s v="kg"/>
    <n v="250"/>
    <s v="kg"/>
    <n v="1.4561232389604124E-2"/>
    <n v="30"/>
    <x v="0"/>
    <n v="0"/>
    <n v="0"/>
    <n v="0"/>
    <n v="9.8199068625218038E-3"/>
    <n v="478"/>
    <n v="5.3719999999999999"/>
    <n v="34"/>
    <x v="0"/>
    <s v="No"/>
    <n v="17307326.700000003"/>
    <n v="18510606"/>
    <n v="0.39900464236999494"/>
    <n v="9"/>
    <x v="0"/>
    <n v="6293606.04"/>
    <n v="109"/>
    <x v="0"/>
    <x v="0"/>
    <n v="18510606"/>
    <n v="1"/>
    <n v="1"/>
    <s v="Highly Concentrated"/>
    <n v="18510606"/>
    <s v="Medium Opportunity"/>
    <x v="0"/>
    <s v="No"/>
  </r>
  <r>
    <x v="42"/>
    <x v="42"/>
    <s v="Monosodium glutamate (MSG)"/>
    <x v="42"/>
    <x v="3"/>
    <x v="24"/>
    <s v="Monosodium Glutamate"/>
    <s v="Snacks / Seasonings"/>
    <x v="13"/>
    <x v="1"/>
    <x v="0"/>
    <s v="X"/>
    <x v="13"/>
    <s v="Egypt"/>
    <s v="World"/>
    <s v="TOTAL CPC"/>
    <s v="TOTAL MOT"/>
    <n v="292242"/>
    <n v="77580"/>
    <n v="40000"/>
    <n v="0"/>
    <n v="40000"/>
    <s v="kg"/>
    <n v="40000"/>
    <s v="kg"/>
    <n v="6.3855771678493602E-3"/>
    <n v="6"/>
    <x v="1"/>
    <n v="0.06"/>
    <n v="4654.8"/>
    <n v="2400"/>
    <n v="9.8199068625218038E-3"/>
    <n v="295"/>
    <n v="1.9395"/>
    <n v="34"/>
    <x v="0"/>
    <s v="No"/>
    <n v="17307326.700000003"/>
    <n v="18510606"/>
    <n v="0.39900464236999494"/>
    <n v="9"/>
    <x v="0"/>
    <n v="6293606.04"/>
    <n v="109"/>
    <x v="0"/>
    <x v="0"/>
    <n v="18510606"/>
    <n v="1"/>
    <n v="1"/>
    <s v="Highly Concentrated"/>
    <n v="18510606"/>
    <s v="Medium Opportunity"/>
    <x v="0"/>
    <s v="Yes"/>
  </r>
  <r>
    <x v="42"/>
    <x v="42"/>
    <s v="Monosodium glutamate (MSG)"/>
    <x v="42"/>
    <x v="3"/>
    <x v="24"/>
    <s v="Monosodium Glutamate"/>
    <s v="Snacks / Seasonings"/>
    <x v="15"/>
    <x v="0"/>
    <x v="0"/>
    <s v="X"/>
    <x v="15"/>
    <s v="Egypt"/>
    <s v="World"/>
    <s v="TOTAL CPC"/>
    <s v="TOTAL MOT"/>
    <n v="292242"/>
    <n v="20071"/>
    <n v="3187.1"/>
    <n v="0"/>
    <n v="3187"/>
    <s v="kg"/>
    <n v="3152"/>
    <s v="kg"/>
    <n v="2.2441761060335613E-2"/>
    <n v="31"/>
    <x v="0"/>
    <n v="0"/>
    <n v="0"/>
    <n v="0"/>
    <n v="9.8199068625218038E-3"/>
    <n v="380"/>
    <n v="6.2975745975965616"/>
    <n v="34"/>
    <x v="0"/>
    <s v="No"/>
    <n v="17307326.700000003"/>
    <n v="18510606"/>
    <n v="0.39900464236999494"/>
    <n v="9"/>
    <x v="0"/>
    <n v="6293606.04"/>
    <n v="109"/>
    <x v="0"/>
    <x v="0"/>
    <n v="18510606"/>
    <n v="1"/>
    <n v="1"/>
    <s v="Highly Concentrated"/>
    <n v="18510606"/>
    <s v="Medium Opportunity"/>
    <x v="0"/>
    <s v="No"/>
  </r>
  <r>
    <x v="42"/>
    <x v="42"/>
    <s v="Monosodium glutamate (MSG)"/>
    <x v="42"/>
    <x v="3"/>
    <x v="24"/>
    <s v="Monosodium Glutamate"/>
    <s v="Snacks / Seasonings"/>
    <x v="17"/>
    <x v="0"/>
    <x v="0"/>
    <s v="X"/>
    <x v="17"/>
    <s v="Egypt"/>
    <s v="World"/>
    <s v="TOTAL CPC"/>
    <s v="TOTAL MOT"/>
    <n v="292242"/>
    <n v="283255"/>
    <n v="80800"/>
    <n v="0"/>
    <n v="80800"/>
    <s v="kg"/>
    <n v="80800"/>
    <s v="kg"/>
    <n v="4.7522902002533667E-2"/>
    <n v="20"/>
    <x v="1"/>
    <n v="0.1"/>
    <n v="28325.5"/>
    <n v="8080"/>
    <n v="9.8199068625218038E-3"/>
    <n v="195"/>
    <n v="3.5056311881188118"/>
    <n v="34"/>
    <x v="0"/>
    <s v="No"/>
    <n v="17307326.700000003"/>
    <n v="18510606"/>
    <n v="0.39900464236999494"/>
    <n v="9"/>
    <x v="0"/>
    <n v="6293606.04"/>
    <n v="109"/>
    <x v="0"/>
    <x v="0"/>
    <n v="18510606"/>
    <n v="1"/>
    <n v="1"/>
    <s v="Highly Concentrated"/>
    <n v="18510606"/>
    <s v="Medium Opportunity"/>
    <x v="0"/>
    <s v="No"/>
  </r>
  <r>
    <x v="43"/>
    <x v="43"/>
    <s v="Propylene glycol (propane-1,2-diol)"/>
    <x v="43"/>
    <x v="3"/>
    <x v="25"/>
    <s v="Propylene Glycol"/>
    <s v="Beverages / Flavors / Pharma / Cosmetics"/>
    <x v="1"/>
    <x v="0"/>
    <x v="0"/>
    <s v="X"/>
    <x v="1"/>
    <s v="Egypt"/>
    <s v="World"/>
    <s v="TOTAL CPC"/>
    <s v="TOTAL MOT"/>
    <n v="290532"/>
    <n v="46747"/>
    <n v="25678.3"/>
    <n v="0"/>
    <n v="25678"/>
    <s v="kg"/>
    <n v="25678"/>
    <s v="kg"/>
    <n v="5.3992075088500962E-3"/>
    <n v="16"/>
    <x v="0"/>
    <n v="0"/>
    <n v="0"/>
    <n v="0"/>
    <n v="8.4914845993256851E-3"/>
    <n v="329"/>
    <n v="1.8204865586896328"/>
    <n v="34"/>
    <x v="0"/>
    <s v="No"/>
    <n v="12795114.299999999"/>
    <n v="16006519"/>
    <n v="6.321329281187793E-2"/>
    <n v="12"/>
    <x v="0"/>
    <n v="5442216.46"/>
    <n v="132"/>
    <x v="0"/>
    <x v="0"/>
    <n v="16006519"/>
    <n v="1"/>
    <n v="1"/>
    <s v="Highly Concentrated"/>
    <n v="16006519"/>
    <s v="Medium Opportunity"/>
    <x v="0"/>
    <s v="No"/>
  </r>
  <r>
    <x v="43"/>
    <x v="43"/>
    <s v="Propylene glycol (propane-1,2-diol)"/>
    <x v="43"/>
    <x v="3"/>
    <x v="25"/>
    <s v="Propylene Glycol"/>
    <s v="Beverages / Flavors / Pharma / Cosmetics"/>
    <x v="3"/>
    <x v="1"/>
    <x v="0"/>
    <s v="X"/>
    <x v="3"/>
    <s v="Egypt"/>
    <s v="World"/>
    <s v="TOTAL CPC"/>
    <s v="TOTAL MOT"/>
    <n v="290532"/>
    <n v="7003835"/>
    <n v="6481210"/>
    <n v="0"/>
    <n v="6481210"/>
    <s v="kg"/>
    <n v="6481210"/>
    <s v="kg"/>
    <n v="6.321329281187793E-2"/>
    <n v="6"/>
    <x v="1"/>
    <n v="0.14000000000000001"/>
    <n v="980536.90000000014"/>
    <n v="907369.40000000014"/>
    <n v="8.4914845993256851E-3"/>
    <n v="25"/>
    <n v="1.0806369489647767"/>
    <n v="34"/>
    <x v="0"/>
    <s v="No"/>
    <n v="12795114.299999999"/>
    <n v="16006519"/>
    <n v="6.321329281187793E-2"/>
    <n v="12"/>
    <x v="0"/>
    <n v="5442216.46"/>
    <n v="132"/>
    <x v="0"/>
    <x v="0"/>
    <n v="16006519"/>
    <n v="1"/>
    <n v="1"/>
    <s v="Highly Concentrated"/>
    <n v="16006519"/>
    <s v="Medium Opportunity"/>
    <x v="0"/>
    <s v="Yes"/>
  </r>
  <r>
    <x v="43"/>
    <x v="43"/>
    <s v="Propylene glycol (propane-1,2-diol)"/>
    <x v="43"/>
    <x v="3"/>
    <x v="25"/>
    <s v="Propylene Glycol"/>
    <s v="Beverages / Flavors / Pharma / Cosmetics"/>
    <x v="6"/>
    <x v="0"/>
    <x v="0"/>
    <s v="X"/>
    <x v="6"/>
    <s v="Egypt"/>
    <s v="World"/>
    <s v="TOTAL CPC"/>
    <s v="TOTAL MOT"/>
    <n v="290532"/>
    <n v="187093"/>
    <n v="108000"/>
    <n v="0"/>
    <n v="108000"/>
    <s v="kg"/>
    <n v="108000"/>
    <s v="kg"/>
    <n v="1.6951290293147386E-2"/>
    <n v="19"/>
    <x v="0"/>
    <n v="0"/>
    <n v="0"/>
    <n v="0"/>
    <n v="8.4914845993256851E-3"/>
    <n v="224"/>
    <n v="1.7323425925925926"/>
    <n v="34"/>
    <x v="0"/>
    <s v="No"/>
    <n v="12795114.299999999"/>
    <n v="16006519"/>
    <n v="6.321329281187793E-2"/>
    <n v="12"/>
    <x v="0"/>
    <n v="5442216.46"/>
    <n v="132"/>
    <x v="0"/>
    <x v="0"/>
    <n v="16006519"/>
    <n v="1"/>
    <n v="1"/>
    <s v="Highly Concentrated"/>
    <n v="16006519"/>
    <s v="Medium Opportunity"/>
    <x v="0"/>
    <s v="No"/>
  </r>
  <r>
    <x v="43"/>
    <x v="43"/>
    <s v="Propylene glycol (propane-1,2-diol)"/>
    <x v="43"/>
    <x v="3"/>
    <x v="25"/>
    <s v="Propylene Glycol"/>
    <s v="Beverages / Flavors / Pharma / Cosmetics"/>
    <x v="7"/>
    <x v="1"/>
    <x v="0"/>
    <s v="X"/>
    <x v="7"/>
    <s v="Egypt"/>
    <s v="World"/>
    <s v="TOTAL CPC"/>
    <s v="TOTAL MOT"/>
    <n v="290532"/>
    <n v="2560011"/>
    <n v="1148025.2"/>
    <n v="0"/>
    <n v="1148025"/>
    <s v="kg"/>
    <n v="0"/>
    <s v="N/A"/>
    <n v="1.1674623358397021E-2"/>
    <n v="3"/>
    <x v="0"/>
    <n v="0"/>
    <n v="0"/>
    <n v="0"/>
    <n v="8.4914845993256851E-3"/>
    <n v="52"/>
    <n v="2.229925789085466"/>
    <n v="34"/>
    <x v="0"/>
    <s v="No"/>
    <n v="12795114.299999999"/>
    <n v="16006519"/>
    <n v="6.321329281187793E-2"/>
    <n v="12"/>
    <x v="0"/>
    <n v="5442216.46"/>
    <n v="132"/>
    <x v="0"/>
    <x v="0"/>
    <n v="16006519"/>
    <n v="1"/>
    <n v="1"/>
    <s v="Highly Concentrated"/>
    <n v="16006519"/>
    <s v="Medium Opportunity"/>
    <x v="0"/>
    <s v="Yes"/>
  </r>
  <r>
    <x v="43"/>
    <x v="43"/>
    <s v="Propylene glycol (propane-1,2-diol)"/>
    <x v="43"/>
    <x v="3"/>
    <x v="25"/>
    <s v="Propylene Glycol"/>
    <s v="Beverages / Flavors / Pharma / Cosmetics"/>
    <x v="59"/>
    <x v="0"/>
    <x v="0"/>
    <s v="X"/>
    <x v="59"/>
    <s v="Egypt"/>
    <s v="World"/>
    <s v="TOTAL CPC"/>
    <s v="TOTAL MOT"/>
    <n v="290532"/>
    <n v="2840973"/>
    <n v="2054770"/>
    <n v="0"/>
    <n v="2054770"/>
    <s v="kg"/>
    <n v="2054770"/>
    <s v="kg"/>
    <n v="1.5071408390918784E-3"/>
    <n v="1"/>
    <x v="0"/>
    <n v="0"/>
    <n v="0"/>
    <n v="0"/>
    <n v="8.4914845993256851E-3"/>
    <n v="47"/>
    <n v="1.3826233593054211"/>
    <n v="34"/>
    <x v="0"/>
    <s v="No"/>
    <n v="12795114.299999999"/>
    <n v="16006519"/>
    <n v="6.321329281187793E-2"/>
    <n v="12"/>
    <x v="0"/>
    <n v="5442216.46"/>
    <n v="132"/>
    <x v="0"/>
    <x v="0"/>
    <n v="16006519"/>
    <n v="1"/>
    <n v="1"/>
    <s v="Highly Concentrated"/>
    <n v="16006519"/>
    <s v="Medium Opportunity"/>
    <x v="0"/>
    <s v="Yes"/>
  </r>
  <r>
    <x v="43"/>
    <x v="43"/>
    <s v="Propylene glycol (propane-1,2-diol)"/>
    <x v="43"/>
    <x v="3"/>
    <x v="25"/>
    <s v="Propylene Glycol"/>
    <s v="Beverages / Flavors / Pharma / Cosmetics"/>
    <x v="28"/>
    <x v="0"/>
    <x v="0"/>
    <s v="X"/>
    <x v="28"/>
    <s v="Egypt"/>
    <s v="World"/>
    <s v="TOTAL CPC"/>
    <s v="TOTAL MOT"/>
    <n v="290532"/>
    <n v="14190"/>
    <n v="10394.1"/>
    <n v="0"/>
    <n v="10394"/>
    <s v="kg"/>
    <n v="0"/>
    <s v="N/A"/>
    <n v="1.4545824499937243E-5"/>
    <n v="1"/>
    <x v="0"/>
    <n v="0"/>
    <n v="0"/>
    <n v="0"/>
    <n v="8.4914845993256851E-3"/>
    <n v="397"/>
    <n v="1.3651975640026552"/>
    <n v="34"/>
    <x v="0"/>
    <s v="No"/>
    <n v="12795114.299999999"/>
    <n v="16006519"/>
    <n v="6.321329281187793E-2"/>
    <n v="12"/>
    <x v="0"/>
    <n v="5442216.46"/>
    <n v="132"/>
    <x v="0"/>
    <x v="0"/>
    <n v="16006519"/>
    <n v="1"/>
    <n v="1"/>
    <s v="Highly Concentrated"/>
    <n v="16006519"/>
    <s v="Medium Opportunity"/>
    <x v="0"/>
    <s v="Yes"/>
  </r>
  <r>
    <x v="43"/>
    <x v="43"/>
    <s v="Propylene glycol (propane-1,2-diol)"/>
    <x v="43"/>
    <x v="3"/>
    <x v="25"/>
    <s v="Propylene Glycol"/>
    <s v="Beverages / Flavors / Pharma / Cosmetics"/>
    <x v="13"/>
    <x v="1"/>
    <x v="0"/>
    <s v="X"/>
    <x v="13"/>
    <s v="Egypt"/>
    <s v="World"/>
    <s v="TOTAL CPC"/>
    <s v="TOTAL MOT"/>
    <n v="290532"/>
    <n v="254"/>
    <n v="30"/>
    <n v="0"/>
    <n v="30"/>
    <s v="kg"/>
    <n v="30"/>
    <s v="kg"/>
    <n v="6.3855771678493602E-3"/>
    <n v="10"/>
    <x v="1"/>
    <n v="0.06"/>
    <n v="15.24"/>
    <n v="1.7999999999999998"/>
    <n v="8.4914845993256851E-3"/>
    <n v="505"/>
    <n v="8.4666666666666668"/>
    <n v="34"/>
    <x v="0"/>
    <s v="No"/>
    <n v="12795114.299999999"/>
    <n v="16006519"/>
    <n v="6.321329281187793E-2"/>
    <n v="12"/>
    <x v="0"/>
    <n v="5442216.46"/>
    <n v="132"/>
    <x v="0"/>
    <x v="0"/>
    <n v="16006519"/>
    <n v="1"/>
    <n v="1"/>
    <s v="Highly Concentrated"/>
    <n v="16006519"/>
    <s v="Medium Opportunity"/>
    <x v="0"/>
    <s v="Yes"/>
  </r>
  <r>
    <x v="43"/>
    <x v="43"/>
    <s v="Propylene glycol (propane-1,2-diol)"/>
    <x v="43"/>
    <x v="3"/>
    <x v="25"/>
    <s v="Propylene Glycol"/>
    <s v="Beverages / Flavors / Pharma / Cosmetics"/>
    <x v="14"/>
    <x v="1"/>
    <x v="0"/>
    <s v="X"/>
    <x v="14"/>
    <s v="Egypt"/>
    <s v="World"/>
    <s v="TOTAL CPC"/>
    <s v="TOTAL MOT"/>
    <n v="290532"/>
    <n v="2828775"/>
    <n v="2688000"/>
    <n v="0"/>
    <n v="2688000"/>
    <s v="kg"/>
    <n v="2688000"/>
    <s v="kg"/>
    <n v="9.709938116315122E-3"/>
    <n v="2"/>
    <x v="0"/>
    <n v="0"/>
    <n v="0"/>
    <n v="0"/>
    <n v="8.4914845993256851E-3"/>
    <n v="48"/>
    <n v="1.0523716517857142"/>
    <n v="34"/>
    <x v="0"/>
    <s v="No"/>
    <n v="12795114.299999999"/>
    <n v="16006519"/>
    <n v="6.321329281187793E-2"/>
    <n v="12"/>
    <x v="0"/>
    <n v="5442216.46"/>
    <n v="132"/>
    <x v="0"/>
    <x v="0"/>
    <n v="16006519"/>
    <n v="1"/>
    <n v="1"/>
    <s v="Highly Concentrated"/>
    <n v="16006519"/>
    <s v="Medium Opportunity"/>
    <x v="0"/>
    <s v="Yes"/>
  </r>
  <r>
    <x v="43"/>
    <x v="43"/>
    <s v="Propylene glycol (propane-1,2-diol)"/>
    <x v="43"/>
    <x v="3"/>
    <x v="25"/>
    <s v="Propylene Glycol"/>
    <s v="Beverages / Flavors / Pharma / Cosmetics"/>
    <x v="15"/>
    <x v="0"/>
    <x v="0"/>
    <s v="X"/>
    <x v="15"/>
    <s v="Egypt"/>
    <s v="World"/>
    <s v="TOTAL CPC"/>
    <s v="TOTAL MOT"/>
    <n v="290532"/>
    <n v="18380"/>
    <n v="4887.7"/>
    <n v="0"/>
    <n v="4888"/>
    <s v="kg"/>
    <n v="4852"/>
    <s v="kg"/>
    <n v="2.2441761060335613E-2"/>
    <n v="32"/>
    <x v="0"/>
    <n v="0"/>
    <n v="0"/>
    <n v="0"/>
    <n v="8.4914845993256851E-3"/>
    <n v="384"/>
    <n v="3.7604599300284387"/>
    <n v="34"/>
    <x v="0"/>
    <s v="No"/>
    <n v="12795114.299999999"/>
    <n v="16006519"/>
    <n v="6.321329281187793E-2"/>
    <n v="12"/>
    <x v="0"/>
    <n v="5442216.46"/>
    <n v="132"/>
    <x v="0"/>
    <x v="0"/>
    <n v="16006519"/>
    <n v="1"/>
    <n v="1"/>
    <s v="Highly Concentrated"/>
    <n v="16006519"/>
    <s v="Medium Opportunity"/>
    <x v="0"/>
    <s v="No"/>
  </r>
  <r>
    <x v="43"/>
    <x v="43"/>
    <s v="Propylene glycol (propane-1,2-diol)"/>
    <x v="43"/>
    <x v="3"/>
    <x v="25"/>
    <s v="Propylene Glycol"/>
    <s v="Beverages / Flavors / Pharma / Cosmetics"/>
    <x v="20"/>
    <x v="1"/>
    <x v="0"/>
    <s v="X"/>
    <x v="20"/>
    <s v="Egypt"/>
    <s v="World"/>
    <s v="TOTAL CPC"/>
    <s v="TOTAL MOT"/>
    <n v="290532"/>
    <n v="376959"/>
    <n v="189275"/>
    <n v="0"/>
    <n v="189275"/>
    <s v="kg"/>
    <n v="189275"/>
    <s v="kg"/>
    <n v="6.110186869383482E-3"/>
    <n v="8"/>
    <x v="0"/>
    <n v="0"/>
    <n v="0"/>
    <n v="0"/>
    <n v="8.4914845993256851E-3"/>
    <n v="165"/>
    <n v="1.9915942411834633"/>
    <n v="34"/>
    <x v="0"/>
    <s v="No"/>
    <n v="12795114.299999999"/>
    <n v="16006519"/>
    <n v="6.321329281187793E-2"/>
    <n v="12"/>
    <x v="0"/>
    <n v="5442216.46"/>
    <n v="132"/>
    <x v="0"/>
    <x v="0"/>
    <n v="16006519"/>
    <n v="1"/>
    <n v="1"/>
    <s v="Highly Concentrated"/>
    <n v="16006519"/>
    <s v="Medium Opportunity"/>
    <x v="0"/>
    <s v="Yes"/>
  </r>
  <r>
    <x v="43"/>
    <x v="43"/>
    <s v="Propylene glycol (propane-1,2-diol)"/>
    <x v="43"/>
    <x v="3"/>
    <x v="25"/>
    <s v="Propylene Glycol"/>
    <s v="Beverages / Flavors / Pharma / Cosmetics"/>
    <x v="17"/>
    <x v="0"/>
    <x v="0"/>
    <s v="X"/>
    <x v="17"/>
    <s v="Egypt"/>
    <s v="World"/>
    <s v="TOTAL CPC"/>
    <s v="TOTAL MOT"/>
    <n v="290532"/>
    <n v="125606"/>
    <n v="84080"/>
    <n v="0"/>
    <n v="84080"/>
    <s v="kg"/>
    <n v="84080"/>
    <s v="kg"/>
    <n v="4.7522902002533667E-2"/>
    <n v="24"/>
    <x v="1"/>
    <n v="0.1"/>
    <n v="12560.6"/>
    <n v="8408"/>
    <n v="8.4914845993256851E-3"/>
    <n v="259"/>
    <n v="1.4938867745004758"/>
    <n v="34"/>
    <x v="0"/>
    <s v="No"/>
    <n v="12795114.299999999"/>
    <n v="16006519"/>
    <n v="6.321329281187793E-2"/>
    <n v="12"/>
    <x v="0"/>
    <n v="5442216.46"/>
    <n v="132"/>
    <x v="0"/>
    <x v="0"/>
    <n v="16006519"/>
    <n v="1"/>
    <n v="1"/>
    <s v="Highly Concentrated"/>
    <n v="16006519"/>
    <s v="Medium Opportunity"/>
    <x v="0"/>
    <s v="No"/>
  </r>
  <r>
    <x v="43"/>
    <x v="43"/>
    <s v="Propylene glycol (propane-1,2-diol)"/>
    <x v="43"/>
    <x v="3"/>
    <x v="25"/>
    <s v="Propylene Glycol"/>
    <s v="Beverages / Flavors / Pharma / Cosmetics"/>
    <x v="18"/>
    <x v="0"/>
    <x v="0"/>
    <s v="X"/>
    <x v="18"/>
    <s v="Egypt"/>
    <s v="World"/>
    <s v="TOTAL CPC"/>
    <s v="TOTAL MOT"/>
    <n v="290532"/>
    <n v="3696"/>
    <n v="764"/>
    <n v="0"/>
    <n v="764"/>
    <s v="kg"/>
    <n v="764"/>
    <s v="kg"/>
    <n v="9.425427433633813E-3"/>
    <n v="24"/>
    <x v="1"/>
    <n v="4.0000000000000008E-2"/>
    <n v="147.84000000000003"/>
    <n v="30.560000000000006"/>
    <n v="8.4914845993256851E-3"/>
    <n v="449"/>
    <n v="4.837696335078534"/>
    <n v="34"/>
    <x v="0"/>
    <s v="No"/>
    <n v="12795114.299999999"/>
    <n v="16006519"/>
    <n v="6.321329281187793E-2"/>
    <n v="12"/>
    <x v="0"/>
    <n v="5442216.46"/>
    <n v="132"/>
    <x v="0"/>
    <x v="0"/>
    <n v="16006519"/>
    <n v="1"/>
    <n v="1"/>
    <s v="Highly Concentrated"/>
    <n v="16006519"/>
    <s v="Medium Opportunity"/>
    <x v="0"/>
    <s v="No"/>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0D04A8A-7B4B-4BF8-B84A-9CF6FC13BB97}" name="Page4_PT4" cacheId="234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6">
  <location ref="CJ6:CK14" firstHeaderRow="1" firstDataRow="1" firstDataCol="1" rowPageCount="2" colPageCount="1"/>
  <pivotFields count="62">
    <pivotField axis="axisPage" showAll="0">
      <items count="45">
        <item x="30"/>
        <item x="26"/>
        <item x="31"/>
        <item x="32"/>
        <item x="25"/>
        <item x="24"/>
        <item x="7"/>
        <item x="8"/>
        <item x="34"/>
        <item x="35"/>
        <item x="33"/>
        <item x="36"/>
        <item x="37"/>
        <item x="29"/>
        <item x="28"/>
        <item x="38"/>
        <item x="18"/>
        <item x="19"/>
        <item x="22"/>
        <item x="27"/>
        <item x="39"/>
        <item x="10"/>
        <item x="14"/>
        <item x="13"/>
        <item x="41"/>
        <item x="40"/>
        <item x="43"/>
        <item x="17"/>
        <item x="4"/>
        <item x="12"/>
        <item x="16"/>
        <item x="2"/>
        <item x="5"/>
        <item x="9"/>
        <item x="1"/>
        <item x="11"/>
        <item x="42"/>
        <item x="15"/>
        <item x="20"/>
        <item x="21"/>
        <item x="23"/>
        <item x="3"/>
        <item x="6"/>
        <item x="0"/>
        <item t="default"/>
      </items>
    </pivotField>
    <pivotField showAll="0"/>
    <pivotField showAll="0"/>
    <pivotField showAll="0"/>
    <pivotField showAll="0"/>
    <pivotField showAll="0"/>
    <pivotField showAll="0"/>
    <pivotField showAll="0"/>
    <pivotField showAll="0"/>
    <pivotField showAll="0"/>
    <pivotField showAll="0">
      <items count="2">
        <item x="0"/>
        <item t="default"/>
      </items>
    </pivotField>
    <pivotField showAll="0"/>
    <pivotField axis="axisRow" showAll="0">
      <items count="77">
        <item m="1" x="62"/>
        <item m="1" x="63"/>
        <item m="1" x="65"/>
        <item m="1" x="66"/>
        <item x="0"/>
        <item x="41"/>
        <item m="1" x="64"/>
        <item x="44"/>
        <item x="1"/>
        <item x="53"/>
        <item m="1" x="67"/>
        <item m="1" x="68"/>
        <item x="24"/>
        <item m="1" x="69"/>
        <item x="35"/>
        <item m="1" x="71"/>
        <item x="2"/>
        <item m="1" x="72"/>
        <item x="38"/>
        <item x="3"/>
        <item m="1" x="75"/>
        <item x="4"/>
        <item m="1" x="73"/>
        <item x="52"/>
        <item m="1" x="74"/>
        <item x="25"/>
        <item x="5"/>
        <item x="34"/>
        <item x="36"/>
        <item x="6"/>
        <item x="7"/>
        <item x="33"/>
        <item x="26"/>
        <item x="15"/>
        <item x="27"/>
        <item x="8"/>
        <item x="54"/>
        <item x="9"/>
        <item x="37"/>
        <item x="42"/>
        <item x="49"/>
        <item x="28"/>
        <item x="56"/>
        <item x="11"/>
        <item x="46"/>
        <item x="51"/>
        <item x="19"/>
        <item m="1" x="70"/>
        <item x="12"/>
        <item x="10"/>
        <item m="1" x="60"/>
        <item x="29"/>
        <item x="39"/>
        <item x="40"/>
        <item x="13"/>
        <item x="57"/>
        <item x="59"/>
        <item m="1" x="61"/>
        <item x="55"/>
        <item x="14"/>
        <item x="47"/>
        <item x="16"/>
        <item x="45"/>
        <item x="43"/>
        <item x="22"/>
        <item x="20"/>
        <item x="48"/>
        <item x="30"/>
        <item x="23"/>
        <item x="31"/>
        <item x="58"/>
        <item x="17"/>
        <item x="50"/>
        <item x="32"/>
        <item x="21"/>
        <item x="18"/>
        <item t="default"/>
      </items>
    </pivotField>
    <pivotField showAll="0"/>
    <pivotField showAll="0"/>
    <pivotField showAll="0"/>
    <pivotField showAll="0"/>
    <pivotField showAll="0"/>
    <pivotField numFmtId="3" showAll="0"/>
    <pivotField numFmtId="3" showAll="0"/>
    <pivotField numFmtId="3" showAll="0"/>
    <pivotField numFmtId="3" showAll="0"/>
    <pivotField showAll="0"/>
    <pivotField numFmtId="3" showAll="0"/>
    <pivotField showAll="0"/>
    <pivotField numFmtId="9" showAll="0"/>
    <pivotField numFmtId="3" showAll="0"/>
    <pivotField axis="axisPage" multipleItemSelectionAllowed="1" showAll="0">
      <items count="3">
        <item h="1" x="0"/>
        <item x="1"/>
        <item t="default"/>
      </items>
    </pivotField>
    <pivotField dataField="1" numFmtId="9" showAll="0"/>
    <pivotField numFmtId="3" showAll="0"/>
    <pivotField numFmtId="3" showAll="0"/>
    <pivotField numFmtId="9" showAll="0"/>
    <pivotField numFmtId="3" showAll="0"/>
    <pivotField numFmtId="4" showAll="0"/>
    <pivotField showAll="0"/>
    <pivotField showAll="0"/>
    <pivotField showAll="0"/>
    <pivotField numFmtId="3" showAll="0"/>
    <pivotField numFmtId="3" showAll="0"/>
    <pivotField numFmtId="9" showAll="0"/>
    <pivotField numFmtId="3" showAll="0"/>
    <pivotField showAll="0"/>
    <pivotField numFmtId="3" showAll="0"/>
    <pivotField numFmtId="3" showAll="0"/>
    <pivotField showAll="0"/>
    <pivotField showAll="0"/>
    <pivotField numFmtId="3" showAll="0"/>
    <pivotField numFmtId="9" showAll="0"/>
    <pivotField numFmtId="9" showAll="0"/>
    <pivotField showAll="0"/>
    <pivotField numFmtId="3" showAll="0"/>
    <pivotField showAll="0"/>
    <pivotField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12"/>
  </rowFields>
  <rowItems count="8">
    <i>
      <x v="19"/>
    </i>
    <i>
      <x v="34"/>
    </i>
    <i>
      <x v="36"/>
    </i>
    <i>
      <x v="54"/>
    </i>
    <i>
      <x v="61"/>
    </i>
    <i>
      <x v="71"/>
    </i>
    <i>
      <x v="73"/>
    </i>
    <i>
      <x v="75"/>
    </i>
  </rowItems>
  <colItems count="1">
    <i/>
  </colItems>
  <pageFields count="2">
    <pageField fld="0" hier="-1"/>
    <pageField fld="27" hier="-1"/>
  </pageFields>
  <dataFields count="1">
    <dataField name="Crisis Impact% " fld="28" subtotal="average" baseField="12" baseItem="73" numFmtId="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F4B467E-B616-40E1-8210-6FFD238838F8}" name="Page4_PT3" cacheId="234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7">
  <location ref="CG6:CH7" firstHeaderRow="1" firstDataRow="1" firstDataCol="1" rowPageCount="2" colPageCount="1"/>
  <pivotFields count="62">
    <pivotField axis="axisPage" showAll="0">
      <items count="45">
        <item x="30"/>
        <item x="26"/>
        <item x="31"/>
        <item x="32"/>
        <item x="25"/>
        <item x="24"/>
        <item x="7"/>
        <item x="8"/>
        <item x="34"/>
        <item x="35"/>
        <item x="33"/>
        <item x="36"/>
        <item x="37"/>
        <item x="29"/>
        <item x="28"/>
        <item x="38"/>
        <item x="18"/>
        <item x="19"/>
        <item x="22"/>
        <item x="27"/>
        <item x="39"/>
        <item x="10"/>
        <item x="14"/>
        <item x="13"/>
        <item x="41"/>
        <item x="40"/>
        <item x="43"/>
        <item x="17"/>
        <item x="4"/>
        <item x="12"/>
        <item x="16"/>
        <item x="2"/>
        <item x="5"/>
        <item x="9"/>
        <item x="1"/>
        <item x="11"/>
        <item x="42"/>
        <item x="15"/>
        <item x="20"/>
        <item x="21"/>
        <item x="23"/>
        <item x="3"/>
        <item x="6"/>
        <item x="0"/>
        <item t="default"/>
      </items>
    </pivotField>
    <pivotField showAll="0"/>
    <pivotField showAll="0"/>
    <pivotField showAll="0"/>
    <pivotField showAll="0"/>
    <pivotField showAll="0"/>
    <pivotField showAll="0"/>
    <pivotField showAll="0"/>
    <pivotField showAll="0"/>
    <pivotField showAll="0"/>
    <pivotField showAll="0">
      <items count="2">
        <item x="0"/>
        <item t="default"/>
      </items>
    </pivotField>
    <pivotField showAll="0"/>
    <pivotField axis="axisRow" showAll="0">
      <items count="77">
        <item h="1" m="1" x="62"/>
        <item h="1" m="1" x="63"/>
        <item h="1" m="1" x="65"/>
        <item h="1" m="1" x="66"/>
        <item h="1" x="0"/>
        <item h="1" x="41"/>
        <item h="1" m="1" x="64"/>
        <item h="1" x="44"/>
        <item h="1" x="1"/>
        <item h="1" x="53"/>
        <item h="1" m="1" x="67"/>
        <item h="1" m="1" x="68"/>
        <item h="1" x="24"/>
        <item h="1" m="1" x="69"/>
        <item h="1" x="35"/>
        <item h="1" m="1" x="71"/>
        <item h="1" x="2"/>
        <item h="1" m="1" x="72"/>
        <item h="1" x="38"/>
        <item x="3"/>
        <item h="1" m="1" x="75"/>
        <item h="1" x="4"/>
        <item h="1" m="1" x="73"/>
        <item h="1" x="52"/>
        <item h="1" m="1" x="74"/>
        <item h="1" x="25"/>
        <item h="1" x="5"/>
        <item h="1" x="34"/>
        <item h="1" x="36"/>
        <item h="1" x="6"/>
        <item h="1" x="7"/>
        <item h="1" x="33"/>
        <item h="1" x="26"/>
        <item h="1" x="15"/>
        <item h="1" x="27"/>
        <item h="1" x="8"/>
        <item h="1" x="54"/>
        <item h="1" x="9"/>
        <item h="1" x="37"/>
        <item h="1" x="42"/>
        <item h="1" x="49"/>
        <item h="1" x="28"/>
        <item h="1" x="56"/>
        <item h="1" x="11"/>
        <item h="1" x="46"/>
        <item h="1" x="51"/>
        <item h="1" x="19"/>
        <item h="1" m="1" x="70"/>
        <item h="1" x="12"/>
        <item h="1" x="10"/>
        <item h="1" m="1" x="60"/>
        <item h="1" x="29"/>
        <item h="1" x="39"/>
        <item h="1" x="40"/>
        <item h="1" x="13"/>
        <item h="1" x="57"/>
        <item h="1" x="59"/>
        <item h="1" m="1" x="61"/>
        <item h="1" x="55"/>
        <item h="1" x="14"/>
        <item h="1" x="47"/>
        <item h="1" x="16"/>
        <item h="1" x="45"/>
        <item h="1" x="43"/>
        <item h="1" x="22"/>
        <item h="1" x="20"/>
        <item h="1" x="48"/>
        <item h="1" x="30"/>
        <item h="1" x="23"/>
        <item h="1" x="31"/>
        <item h="1" x="58"/>
        <item h="1" x="17"/>
        <item h="1" x="50"/>
        <item h="1" x="32"/>
        <item h="1" x="21"/>
        <item h="1" x="18"/>
        <item t="default"/>
      </items>
    </pivotField>
    <pivotField showAll="0"/>
    <pivotField showAll="0"/>
    <pivotField showAll="0"/>
    <pivotField showAll="0"/>
    <pivotField showAll="0"/>
    <pivotField numFmtId="3" showAll="0"/>
    <pivotField numFmtId="3" showAll="0"/>
    <pivotField numFmtId="3" showAll="0"/>
    <pivotField numFmtId="3" showAll="0"/>
    <pivotField showAll="0"/>
    <pivotField numFmtId="3" showAll="0"/>
    <pivotField showAll="0"/>
    <pivotField numFmtId="9" showAll="0"/>
    <pivotField numFmtId="3" showAll="0"/>
    <pivotField axis="axisPage" multipleItemSelectionAllowed="1" showAll="0">
      <items count="3">
        <item h="1" x="0"/>
        <item x="1"/>
        <item t="default"/>
      </items>
    </pivotField>
    <pivotField dataField="1" numFmtId="9" showAll="0"/>
    <pivotField numFmtId="3" showAll="0"/>
    <pivotField numFmtId="3" showAll="0"/>
    <pivotField numFmtId="9" showAll="0"/>
    <pivotField numFmtId="3" showAll="0"/>
    <pivotField numFmtId="4" showAll="0"/>
    <pivotField showAll="0"/>
    <pivotField showAll="0"/>
    <pivotField showAll="0"/>
    <pivotField numFmtId="3" showAll="0"/>
    <pivotField numFmtId="3" showAll="0"/>
    <pivotField numFmtId="9" showAll="0"/>
    <pivotField numFmtId="3" showAll="0"/>
    <pivotField showAll="0"/>
    <pivotField numFmtId="3" showAll="0"/>
    <pivotField numFmtId="3" showAll="0"/>
    <pivotField showAll="0"/>
    <pivotField showAll="0"/>
    <pivotField numFmtId="3" showAll="0"/>
    <pivotField numFmtId="9" showAll="0"/>
    <pivotField numFmtId="9" showAll="0"/>
    <pivotField showAll="0"/>
    <pivotField numFmtId="3" showAll="0"/>
    <pivotField showAll="0"/>
    <pivotField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12"/>
  </rowFields>
  <rowItems count="1">
    <i>
      <x v="19"/>
    </i>
  </rowItems>
  <colItems count="1">
    <i/>
  </colItems>
  <pageFields count="2">
    <pageField fld="0" hier="-1"/>
    <pageField fld="27" hier="-1"/>
  </pageFields>
  <dataFields count="1">
    <dataField name=" Crisis Impact%" fld="28" subtotal="average" baseField="12" baseItem="8" numFmtId="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F307282-7026-449A-AA92-75B4039E25BC}" name="Page4_PT2" cacheId="234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4">
  <location ref="CD6:CE42" firstHeaderRow="1" firstDataRow="1" firstDataCol="1" rowPageCount="2" colPageCount="1"/>
  <pivotFields count="62">
    <pivotField axis="axisPage" showAll="0">
      <items count="45">
        <item x="30"/>
        <item x="26"/>
        <item x="31"/>
        <item x="32"/>
        <item x="25"/>
        <item x="24"/>
        <item x="7"/>
        <item x="8"/>
        <item x="34"/>
        <item x="35"/>
        <item x="33"/>
        <item x="36"/>
        <item x="37"/>
        <item x="29"/>
        <item x="28"/>
        <item x="38"/>
        <item x="18"/>
        <item x="19"/>
        <item x="22"/>
        <item x="27"/>
        <item x="39"/>
        <item x="10"/>
        <item x="14"/>
        <item x="13"/>
        <item x="41"/>
        <item x="40"/>
        <item x="43"/>
        <item x="17"/>
        <item x="4"/>
        <item x="12"/>
        <item x="16"/>
        <item x="2"/>
        <item x="5"/>
        <item x="9"/>
        <item x="1"/>
        <item x="11"/>
        <item x="42"/>
        <item x="15"/>
        <item x="20"/>
        <item x="21"/>
        <item x="23"/>
        <item x="3"/>
        <item x="6"/>
        <item x="0"/>
        <item t="default"/>
      </items>
    </pivotField>
    <pivotField showAll="0"/>
    <pivotField showAll="0"/>
    <pivotField axis="axisRow" showAll="0">
      <items count="46">
        <item m="1" x="44"/>
        <item x="21"/>
        <item x="20"/>
        <item x="23"/>
        <item x="4"/>
        <item x="12"/>
        <item x="22"/>
        <item x="8"/>
        <item x="1"/>
        <item x="6"/>
        <item x="31"/>
        <item x="34"/>
        <item x="19"/>
        <item x="18"/>
        <item x="7"/>
        <item x="9"/>
        <item x="38"/>
        <item x="15"/>
        <item x="3"/>
        <item x="16"/>
        <item x="42"/>
        <item x="26"/>
        <item x="25"/>
        <item x="24"/>
        <item x="41"/>
        <item x="10"/>
        <item x="2"/>
        <item x="32"/>
        <item x="29"/>
        <item x="33"/>
        <item x="35"/>
        <item x="39"/>
        <item x="37"/>
        <item x="5"/>
        <item x="40"/>
        <item x="11"/>
        <item x="14"/>
        <item x="13"/>
        <item x="17"/>
        <item x="28"/>
        <item x="36"/>
        <item x="27"/>
        <item x="30"/>
        <item x="0"/>
        <item x="43"/>
        <item t="default"/>
      </items>
    </pivotField>
    <pivotField showAll="0"/>
    <pivotField showAll="0"/>
    <pivotField showAll="0"/>
    <pivotField showAll="0"/>
    <pivotField showAll="0"/>
    <pivotField showAll="0"/>
    <pivotField showAll="0">
      <items count="2">
        <item x="0"/>
        <item t="default"/>
      </items>
    </pivotField>
    <pivotField showAll="0"/>
    <pivotField showAll="0">
      <items count="77">
        <item h="1" m="1" x="62"/>
        <item h="1" m="1" x="63"/>
        <item h="1" m="1" x="65"/>
        <item h="1" m="1" x="66"/>
        <item h="1" x="0"/>
        <item h="1" x="41"/>
        <item h="1" m="1" x="64"/>
        <item h="1" x="44"/>
        <item h="1" x="1"/>
        <item h="1" x="53"/>
        <item h="1" m="1" x="67"/>
        <item h="1" m="1" x="68"/>
        <item h="1" x="24"/>
        <item h="1" m="1" x="69"/>
        <item h="1" x="35"/>
        <item h="1" m="1" x="71"/>
        <item h="1" x="2"/>
        <item h="1" m="1" x="72"/>
        <item h="1" x="38"/>
        <item x="3"/>
        <item h="1" m="1" x="75"/>
        <item h="1" x="4"/>
        <item h="1" m="1" x="73"/>
        <item h="1" x="52"/>
        <item h="1" m="1" x="74"/>
        <item h="1" x="25"/>
        <item h="1" x="5"/>
        <item h="1" x="34"/>
        <item h="1" x="36"/>
        <item h="1" x="6"/>
        <item h="1" x="7"/>
        <item h="1" x="33"/>
        <item h="1" x="26"/>
        <item h="1" x="15"/>
        <item h="1" x="27"/>
        <item h="1" x="8"/>
        <item h="1" x="54"/>
        <item h="1" x="9"/>
        <item h="1" x="37"/>
        <item h="1" x="42"/>
        <item h="1" x="49"/>
        <item h="1" x="28"/>
        <item h="1" x="56"/>
        <item h="1" x="11"/>
        <item h="1" x="46"/>
        <item h="1" x="51"/>
        <item h="1" x="19"/>
        <item h="1" m="1" x="70"/>
        <item h="1" x="12"/>
        <item h="1" x="10"/>
        <item h="1" m="1" x="60"/>
        <item h="1" x="29"/>
        <item h="1" x="39"/>
        <item h="1" x="40"/>
        <item h="1" x="13"/>
        <item h="1" x="57"/>
        <item h="1" x="59"/>
        <item h="1" m="1" x="61"/>
        <item h="1" x="55"/>
        <item h="1" x="14"/>
        <item h="1" x="47"/>
        <item h="1" x="16"/>
        <item h="1" x="45"/>
        <item h="1" x="43"/>
        <item h="1" x="22"/>
        <item h="1" x="20"/>
        <item h="1" x="48"/>
        <item h="1" x="30"/>
        <item h="1" x="23"/>
        <item h="1" x="31"/>
        <item h="1" x="58"/>
        <item h="1" x="17"/>
        <item h="1" x="50"/>
        <item h="1" x="32"/>
        <item h="1" x="21"/>
        <item h="1" x="18"/>
        <item t="default"/>
      </items>
    </pivotField>
    <pivotField showAll="0"/>
    <pivotField showAll="0"/>
    <pivotField showAll="0"/>
    <pivotField showAll="0"/>
    <pivotField showAll="0"/>
    <pivotField numFmtId="3" showAll="0"/>
    <pivotField numFmtId="3" showAll="0"/>
    <pivotField numFmtId="3" showAll="0"/>
    <pivotField numFmtId="3" showAll="0"/>
    <pivotField showAll="0"/>
    <pivotField numFmtId="3" showAll="0"/>
    <pivotField showAll="0"/>
    <pivotField numFmtId="9" showAll="0"/>
    <pivotField numFmtId="3" showAll="0"/>
    <pivotField axis="axisPage" multipleItemSelectionAllowed="1" showAll="0">
      <items count="3">
        <item h="1" x="0"/>
        <item x="1"/>
        <item t="default"/>
      </items>
    </pivotField>
    <pivotField numFmtId="9" showAll="0"/>
    <pivotField numFmtId="3" showAll="0"/>
    <pivotField numFmtId="3" showAll="0"/>
    <pivotField numFmtId="9" showAll="0"/>
    <pivotField numFmtId="3" showAll="0"/>
    <pivotField numFmtId="4" showAll="0"/>
    <pivotField showAll="0"/>
    <pivotField showAll="0"/>
    <pivotField showAll="0"/>
    <pivotField numFmtId="3" showAll="0"/>
    <pivotField numFmtId="3" showAll="0"/>
    <pivotField numFmtId="9" showAll="0"/>
    <pivotField numFmtId="3" showAll="0"/>
    <pivotField showAll="0"/>
    <pivotField numFmtId="3" showAll="0"/>
    <pivotField numFmtId="3" showAll="0"/>
    <pivotField showAll="0"/>
    <pivotField showAll="0"/>
    <pivotField numFmtId="3" showAll="0"/>
    <pivotField numFmtId="9" showAll="0"/>
    <pivotField numFmtId="9" showAll="0"/>
    <pivotField showAll="0"/>
    <pivotField numFmtId="3" showAll="0"/>
    <pivotField showAll="0"/>
    <pivotField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ataField="1" dragToRow="0" dragToCol="0" dragToPage="0" showAll="0" defaultSubtotal="0"/>
  </pivotFields>
  <rowFields count="1">
    <field x="3"/>
  </rowFields>
  <rowItems count="36">
    <i>
      <x v="1"/>
    </i>
    <i>
      <x v="2"/>
    </i>
    <i>
      <x v="3"/>
    </i>
    <i>
      <x v="4"/>
    </i>
    <i>
      <x v="5"/>
    </i>
    <i>
      <x v="6"/>
    </i>
    <i>
      <x v="7"/>
    </i>
    <i>
      <x v="8"/>
    </i>
    <i>
      <x v="9"/>
    </i>
    <i>
      <x v="10"/>
    </i>
    <i>
      <x v="13"/>
    </i>
    <i>
      <x v="14"/>
    </i>
    <i>
      <x v="15"/>
    </i>
    <i>
      <x v="16"/>
    </i>
    <i>
      <x v="17"/>
    </i>
    <i>
      <x v="18"/>
    </i>
    <i>
      <x v="19"/>
    </i>
    <i>
      <x v="20"/>
    </i>
    <i>
      <x v="23"/>
    </i>
    <i>
      <x v="24"/>
    </i>
    <i>
      <x v="25"/>
    </i>
    <i>
      <x v="26"/>
    </i>
    <i>
      <x v="27"/>
    </i>
    <i>
      <x v="31"/>
    </i>
    <i>
      <x v="32"/>
    </i>
    <i>
      <x v="33"/>
    </i>
    <i>
      <x v="34"/>
    </i>
    <i>
      <x v="35"/>
    </i>
    <i>
      <x v="36"/>
    </i>
    <i>
      <x v="37"/>
    </i>
    <i>
      <x v="38"/>
    </i>
    <i>
      <x v="39"/>
    </i>
    <i>
      <x v="41"/>
    </i>
    <i>
      <x v="42"/>
    </i>
    <i>
      <x v="43"/>
    </i>
    <i>
      <x v="44"/>
    </i>
  </rowItems>
  <colItems count="1">
    <i/>
  </colItems>
  <pageFields count="2">
    <pageField fld="0" hier="-1"/>
    <pageField fld="27" hier="-1"/>
  </pageFields>
  <dataFields count="1">
    <dataField name="Crisis Spend Impact " fld="61" baseField="0" baseItem="0" numFmtId="3"/>
  </dataFields>
  <formats count="3">
    <format dxfId="8">
      <pivotArea outline="0" collapsedLevelsAreSubtotals="1" fieldPosition="0"/>
    </format>
    <format dxfId="7">
      <pivotArea dataOnly="0" labelOnly="1" outline="0" fieldPosition="0">
        <references count="1">
          <reference field="27" count="0"/>
        </references>
      </pivotArea>
    </format>
    <format dxfId="6">
      <pivotArea dataOnly="0" labelOnly="1" outline="0" axis="axisValues" fieldPosition="0"/>
    </format>
  </formats>
  <chartFormats count="1">
    <chartFormat chart="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58D1835-A42F-4227-8B8C-B8ED9C49AB89}" name="Page4_PT1" cacheId="234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2">
  <location ref="CA6:CB40" firstHeaderRow="1" firstDataRow="1" firstDataCol="1" rowPageCount="2" colPageCount="1"/>
  <pivotFields count="62">
    <pivotField axis="axisPage" showAll="0">
      <items count="45">
        <item x="30"/>
        <item x="26"/>
        <item x="31"/>
        <item x="32"/>
        <item x="25"/>
        <item x="24"/>
        <item x="7"/>
        <item x="8"/>
        <item x="34"/>
        <item x="35"/>
        <item x="33"/>
        <item x="36"/>
        <item x="37"/>
        <item x="29"/>
        <item x="28"/>
        <item x="38"/>
        <item x="18"/>
        <item x="19"/>
        <item x="22"/>
        <item x="27"/>
        <item x="39"/>
        <item x="10"/>
        <item x="14"/>
        <item x="13"/>
        <item x="41"/>
        <item x="40"/>
        <item x="43"/>
        <item x="17"/>
        <item x="4"/>
        <item x="12"/>
        <item x="16"/>
        <item x="2"/>
        <item x="5"/>
        <item x="9"/>
        <item x="1"/>
        <item x="11"/>
        <item x="42"/>
        <item x="15"/>
        <item x="20"/>
        <item x="21"/>
        <item x="23"/>
        <item x="3"/>
        <item x="6"/>
        <item x="0"/>
        <item t="default"/>
      </items>
    </pivotField>
    <pivotField showAll="0"/>
    <pivotField showAll="0"/>
    <pivotField axis="axisRow" showAll="0">
      <items count="46">
        <item m="1" x="44"/>
        <item x="21"/>
        <item x="20"/>
        <item x="23"/>
        <item x="4"/>
        <item x="12"/>
        <item x="22"/>
        <item x="8"/>
        <item x="1"/>
        <item x="6"/>
        <item x="31"/>
        <item x="34"/>
        <item x="19"/>
        <item x="18"/>
        <item x="7"/>
        <item x="9"/>
        <item x="38"/>
        <item x="15"/>
        <item x="3"/>
        <item x="16"/>
        <item x="42"/>
        <item x="26"/>
        <item x="25"/>
        <item x="24"/>
        <item x="41"/>
        <item x="10"/>
        <item x="2"/>
        <item x="32"/>
        <item x="29"/>
        <item x="33"/>
        <item x="35"/>
        <item x="39"/>
        <item x="37"/>
        <item x="5"/>
        <item x="40"/>
        <item x="11"/>
        <item x="14"/>
        <item x="13"/>
        <item x="17"/>
        <item x="28"/>
        <item x="36"/>
        <item x="27"/>
        <item x="30"/>
        <item x="0"/>
        <item x="43"/>
        <item t="default"/>
      </items>
    </pivotField>
    <pivotField showAll="0"/>
    <pivotField showAll="0"/>
    <pivotField showAll="0"/>
    <pivotField showAll="0"/>
    <pivotField showAll="0"/>
    <pivotField showAll="0"/>
    <pivotField showAll="0">
      <items count="2">
        <item x="0"/>
        <item t="default"/>
      </items>
    </pivotField>
    <pivotField showAll="0"/>
    <pivotField showAll="0">
      <items count="77">
        <item h="1" m="1" x="62"/>
        <item h="1" m="1" x="63"/>
        <item h="1" m="1" x="65"/>
        <item h="1" m="1" x="66"/>
        <item h="1" x="0"/>
        <item h="1" x="41"/>
        <item h="1" m="1" x="64"/>
        <item h="1" x="44"/>
        <item h="1" x="1"/>
        <item h="1" x="53"/>
        <item h="1" m="1" x="67"/>
        <item h="1" m="1" x="68"/>
        <item h="1" x="24"/>
        <item h="1" m="1" x="69"/>
        <item h="1" x="35"/>
        <item h="1" m="1" x="71"/>
        <item h="1" x="2"/>
        <item h="1" m="1" x="72"/>
        <item h="1" x="38"/>
        <item x="3"/>
        <item h="1" m="1" x="75"/>
        <item h="1" x="4"/>
        <item h="1" m="1" x="73"/>
        <item h="1" x="52"/>
        <item h="1" m="1" x="74"/>
        <item h="1" x="25"/>
        <item h="1" x="5"/>
        <item h="1" x="34"/>
        <item h="1" x="36"/>
        <item h="1" x="6"/>
        <item h="1" x="7"/>
        <item h="1" x="33"/>
        <item h="1" x="26"/>
        <item h="1" x="15"/>
        <item h="1" x="27"/>
        <item h="1" x="8"/>
        <item h="1" x="54"/>
        <item h="1" x="9"/>
        <item h="1" x="37"/>
        <item h="1" x="42"/>
        <item h="1" x="49"/>
        <item h="1" x="28"/>
        <item h="1" x="56"/>
        <item h="1" x="11"/>
        <item h="1" x="46"/>
        <item h="1" x="51"/>
        <item h="1" x="19"/>
        <item h="1" m="1" x="70"/>
        <item h="1" x="12"/>
        <item h="1" x="10"/>
        <item h="1" m="1" x="60"/>
        <item h="1" x="29"/>
        <item h="1" x="39"/>
        <item h="1" x="40"/>
        <item h="1" x="13"/>
        <item h="1" x="57"/>
        <item h="1" x="59"/>
        <item h="1" m="1" x="61"/>
        <item h="1" x="55"/>
        <item h="1" x="14"/>
        <item h="1" x="47"/>
        <item h="1" x="16"/>
        <item h="1" x="45"/>
        <item h="1" x="43"/>
        <item h="1" x="22"/>
        <item h="1" x="20"/>
        <item h="1" x="48"/>
        <item h="1" x="30"/>
        <item h="1" x="23"/>
        <item h="1" x="31"/>
        <item h="1" x="58"/>
        <item h="1" x="17"/>
        <item h="1" x="50"/>
        <item h="1" x="32"/>
        <item h="1" x="21"/>
        <item h="1" x="18"/>
        <item t="default"/>
      </items>
    </pivotField>
    <pivotField showAll="0"/>
    <pivotField showAll="0"/>
    <pivotField showAll="0"/>
    <pivotField showAll="0"/>
    <pivotField showAll="0"/>
    <pivotField numFmtId="3" showAll="0"/>
    <pivotField numFmtId="3" showAll="0"/>
    <pivotField numFmtId="3" showAll="0"/>
    <pivotField numFmtId="3" showAll="0"/>
    <pivotField showAll="0"/>
    <pivotField numFmtId="3" showAll="0"/>
    <pivotField showAll="0"/>
    <pivotField numFmtId="9" showAll="0"/>
    <pivotField numFmtId="3" showAll="0"/>
    <pivotField axis="axisPage" multipleItemSelectionAllowed="1" showAll="0">
      <items count="3">
        <item h="1" x="0"/>
        <item x="1"/>
        <item t="default"/>
      </items>
    </pivotField>
    <pivotField numFmtId="9" showAll="0"/>
    <pivotField numFmtId="3" showAll="0"/>
    <pivotField numFmtId="3" showAll="0"/>
    <pivotField numFmtId="9" showAll="0"/>
    <pivotField numFmtId="3" showAll="0"/>
    <pivotField numFmtId="4" showAll="0"/>
    <pivotField showAll="0"/>
    <pivotField showAll="0"/>
    <pivotField showAll="0"/>
    <pivotField numFmtId="3" showAll="0"/>
    <pivotField numFmtId="3" showAll="0"/>
    <pivotField numFmtId="9" showAll="0"/>
    <pivotField numFmtId="3" showAll="0"/>
    <pivotField showAll="0"/>
    <pivotField numFmtId="3" showAll="0"/>
    <pivotField numFmtId="3" showAll="0"/>
    <pivotField showAll="0"/>
    <pivotField showAll="0"/>
    <pivotField numFmtId="3" showAll="0"/>
    <pivotField numFmtId="9" showAll="0"/>
    <pivotField numFmtId="9" showAll="0"/>
    <pivotField showAll="0"/>
    <pivotField numFmtId="3" showAll="0"/>
    <pivotField showAll="0"/>
    <pivotField showAll="0">
      <items count="3">
        <item x="0"/>
        <item h="1" x="1"/>
        <item t="default"/>
      </items>
    </pivotField>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ataField="1" dragToRow="0" dragToCol="0" dragToPage="0" showAll="0" defaultSubtotal="0"/>
    <pivotField dragToRow="0" dragToCol="0" dragToPage="0" showAll="0" defaultSubtotal="0"/>
  </pivotFields>
  <rowFields count="1">
    <field x="3"/>
  </rowFields>
  <rowItems count="34">
    <i>
      <x v="2"/>
    </i>
    <i>
      <x v="3"/>
    </i>
    <i>
      <x v="4"/>
    </i>
    <i>
      <x v="5"/>
    </i>
    <i>
      <x v="6"/>
    </i>
    <i>
      <x v="7"/>
    </i>
    <i>
      <x v="8"/>
    </i>
    <i>
      <x v="9"/>
    </i>
    <i>
      <x v="10"/>
    </i>
    <i>
      <x v="13"/>
    </i>
    <i>
      <x v="14"/>
    </i>
    <i>
      <x v="15"/>
    </i>
    <i>
      <x v="16"/>
    </i>
    <i>
      <x v="17"/>
    </i>
    <i>
      <x v="18"/>
    </i>
    <i>
      <x v="19"/>
    </i>
    <i>
      <x v="23"/>
    </i>
    <i>
      <x v="24"/>
    </i>
    <i>
      <x v="25"/>
    </i>
    <i>
      <x v="26"/>
    </i>
    <i>
      <x v="27"/>
    </i>
    <i>
      <x v="31"/>
    </i>
    <i>
      <x v="32"/>
    </i>
    <i>
      <x v="33"/>
    </i>
    <i>
      <x v="34"/>
    </i>
    <i>
      <x v="35"/>
    </i>
    <i>
      <x v="36"/>
    </i>
    <i>
      <x v="37"/>
    </i>
    <i>
      <x v="38"/>
    </i>
    <i>
      <x v="39"/>
    </i>
    <i>
      <x v="41"/>
    </i>
    <i>
      <x v="42"/>
    </i>
    <i>
      <x v="43"/>
    </i>
    <i>
      <x v="44"/>
    </i>
  </rowItems>
  <colItems count="1">
    <i/>
  </colItems>
  <pageFields count="2">
    <pageField fld="27" hier="-1"/>
    <pageField fld="0" hier="-1"/>
  </pageFields>
  <dataFields count="1">
    <dataField name="Crisis V Impact Ton " fld="60" baseField="0" baseItem="0" numFmtId="3"/>
  </dataFields>
  <formats count="6">
    <format dxfId="11">
      <pivotArea outline="0" collapsedLevelsAreSubtotals="1" fieldPosition="0"/>
    </format>
    <format dxfId="10">
      <pivotArea dataOnly="0" labelOnly="1" outline="0" fieldPosition="0">
        <references count="1">
          <reference field="27" count="0"/>
        </references>
      </pivotArea>
    </format>
    <format dxfId="9">
      <pivotArea dataOnly="0" labelOnly="1" outline="0" axis="axisValues" fieldPosition="0"/>
    </format>
    <format dxfId="5">
      <pivotArea outline="0" collapsedLevelsAreSubtotals="1" fieldPosition="0"/>
    </format>
    <format dxfId="4">
      <pivotArea dataOnly="0" labelOnly="1" outline="0" fieldPosition="0">
        <references count="1">
          <reference field="27" count="0"/>
        </references>
      </pivotArea>
    </format>
    <format dxfId="3">
      <pivotArea dataOnly="0" labelOnly="1" outline="0" axis="axisValues" fieldPosition="0"/>
    </format>
  </formats>
  <chartFormats count="1">
    <chartFormat chart="2"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ED3FF1E-CA07-4614-ABB1-178A362D6BFF}" name="Page3_PT9" cacheId="234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4">
  <location ref="BX6:BY9" firstHeaderRow="1" firstDataRow="1" firstDataCol="1" rowPageCount="1" colPageCount="1"/>
  <pivotFields count="62">
    <pivotField showAll="0"/>
    <pivotField showAll="0"/>
    <pivotField showAll="0"/>
    <pivotField axis="axisRow" showAll="0">
      <items count="46">
        <item m="1" x="44"/>
        <item x="21"/>
        <item x="20"/>
        <item x="23"/>
        <item x="4"/>
        <item x="12"/>
        <item x="22"/>
        <item x="8"/>
        <item x="1"/>
        <item x="6"/>
        <item x="31"/>
        <item x="34"/>
        <item x="19"/>
        <item x="18"/>
        <item x="7"/>
        <item x="9"/>
        <item x="38"/>
        <item x="15"/>
        <item x="3"/>
        <item x="16"/>
        <item x="42"/>
        <item x="26"/>
        <item x="25"/>
        <item x="24"/>
        <item x="41"/>
        <item x="10"/>
        <item x="2"/>
        <item x="32"/>
        <item x="29"/>
        <item x="33"/>
        <item x="35"/>
        <item x="39"/>
        <item x="37"/>
        <item x="5"/>
        <item x="40"/>
        <item x="11"/>
        <item x="14"/>
        <item x="13"/>
        <item x="17"/>
        <item x="28"/>
        <item x="36"/>
        <item x="27"/>
        <item x="30"/>
        <item x="0"/>
        <item x="4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3" showAll="0"/>
    <pivotField numFmtId="3" showAll="0"/>
    <pivotField numFmtId="3" showAll="0"/>
    <pivotField numFmtId="3" showAll="0"/>
    <pivotField showAll="0"/>
    <pivotField numFmtId="3" showAll="0"/>
    <pivotField showAll="0"/>
    <pivotField numFmtId="9" showAll="0"/>
    <pivotField numFmtId="3" showAll="0"/>
    <pivotField showAll="0"/>
    <pivotField numFmtId="9" showAll="0"/>
    <pivotField numFmtId="3" showAll="0"/>
    <pivotField numFmtId="3" showAll="0"/>
    <pivotField numFmtId="9" showAll="0"/>
    <pivotField numFmtId="3" showAll="0"/>
    <pivotField numFmtId="4" showAll="0"/>
    <pivotField showAll="0"/>
    <pivotField showAll="0"/>
    <pivotField showAll="0"/>
    <pivotField numFmtId="3" showAll="0"/>
    <pivotField numFmtId="3" showAll="0"/>
    <pivotField numFmtId="9" showAll="0"/>
    <pivotField numFmtId="3" showAll="0"/>
    <pivotField showAll="0"/>
    <pivotField numFmtId="3" showAll="0"/>
    <pivotField numFmtId="3" showAll="0"/>
    <pivotField showAll="0" sortType="ascending"/>
    <pivotField axis="axisPage" multipleItemSelectionAllowed="1" showAll="0">
      <items count="4">
        <item x="1"/>
        <item x="2"/>
        <item h="1" x="0"/>
        <item t="default"/>
      </items>
    </pivotField>
    <pivotField numFmtId="3" showAll="0"/>
    <pivotField numFmtId="9" showAll="0"/>
    <pivotField numFmtId="9" showAll="0"/>
    <pivotField showAll="0"/>
    <pivotField numFmtId="3" showAll="0"/>
    <pivotField showAll="0"/>
    <pivotField showAll="0"/>
    <pivotField showAll="0"/>
    <pivotField dragToRow="0" dragToCol="0" dragToPage="0" showAll="0" defaultSubtotal="0"/>
    <pivotField dragToRow="0" dragToCol="0" dragToPage="0" showAll="0" defaultSubtotal="0"/>
    <pivotField dataField="1"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3"/>
  </rowFields>
  <rowItems count="3">
    <i>
      <x v="29"/>
    </i>
    <i>
      <x v="32"/>
    </i>
    <i>
      <x v="40"/>
    </i>
  </rowItems>
  <colItems count="1">
    <i/>
  </colItems>
  <pageFields count="1">
    <pageField fld="45" hier="-1"/>
  </pageFields>
  <dataFields count="1">
    <dataField name="Spend_USDM " fld="56" baseField="0" baseItem="0" numFmtId="3"/>
  </dataFields>
  <chartFormats count="2">
    <chartFormat chart="10" format="2"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D816AC2-F3EA-4306-BF2E-C941F00C2CAB}" name="Page3_PT8" cacheId="234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7">
  <location ref="BU6:BV9" firstHeaderRow="1" firstDataRow="1" firstDataCol="1" rowPageCount="1" colPageCount="1"/>
  <pivotFields count="62">
    <pivotField showAll="0"/>
    <pivotField showAll="0"/>
    <pivotField showAll="0"/>
    <pivotField axis="axisRow" showAll="0">
      <items count="46">
        <item m="1" x="44"/>
        <item x="21"/>
        <item x="20"/>
        <item x="23"/>
        <item x="4"/>
        <item x="12"/>
        <item x="22"/>
        <item x="8"/>
        <item x="1"/>
        <item x="6"/>
        <item x="31"/>
        <item x="34"/>
        <item x="19"/>
        <item x="18"/>
        <item x="7"/>
        <item x="9"/>
        <item x="38"/>
        <item x="15"/>
        <item x="3"/>
        <item x="16"/>
        <item x="42"/>
        <item x="26"/>
        <item x="25"/>
        <item x="24"/>
        <item x="41"/>
        <item x="10"/>
        <item x="2"/>
        <item x="32"/>
        <item x="29"/>
        <item x="33"/>
        <item x="35"/>
        <item x="39"/>
        <item x="37"/>
        <item x="5"/>
        <item x="40"/>
        <item x="11"/>
        <item x="14"/>
        <item x="13"/>
        <item x="17"/>
        <item x="28"/>
        <item x="36"/>
        <item x="27"/>
        <item x="30"/>
        <item x="0"/>
        <item x="43"/>
        <item t="default"/>
      </items>
    </pivotField>
    <pivotField showAll="0"/>
    <pivotField showAll="0"/>
    <pivotField showAll="0"/>
    <pivotField showAll="0"/>
    <pivotField showAll="0"/>
    <pivotField showAll="0"/>
    <pivotField showAll="0">
      <items count="2">
        <item x="0"/>
        <item t="default"/>
      </items>
    </pivotField>
    <pivotField showAll="0"/>
    <pivotField showAll="0"/>
    <pivotField showAll="0"/>
    <pivotField showAll="0"/>
    <pivotField showAll="0"/>
    <pivotField showAll="0"/>
    <pivotField showAll="0"/>
    <pivotField numFmtId="3" showAll="0"/>
    <pivotField numFmtId="3" showAll="0"/>
    <pivotField numFmtId="3" showAll="0"/>
    <pivotField numFmtId="3" showAll="0"/>
    <pivotField showAll="0"/>
    <pivotField numFmtId="3" showAll="0"/>
    <pivotField showAll="0"/>
    <pivotField numFmtId="9" showAll="0"/>
    <pivotField numFmtId="3" showAll="0"/>
    <pivotField showAll="0"/>
    <pivotField numFmtId="9" showAll="0"/>
    <pivotField numFmtId="3" showAll="0"/>
    <pivotField numFmtId="3" showAll="0"/>
    <pivotField numFmtId="9" showAll="0"/>
    <pivotField numFmtId="3" showAll="0"/>
    <pivotField numFmtId="4" showAll="0"/>
    <pivotField showAll="0"/>
    <pivotField showAll="0"/>
    <pivotField showAll="0"/>
    <pivotField numFmtId="3" showAll="0"/>
    <pivotField numFmtId="3" showAll="0"/>
    <pivotField numFmtId="9" showAll="0"/>
    <pivotField numFmtId="3" showAll="0"/>
    <pivotField showAll="0"/>
    <pivotField numFmtId="3" showAll="0"/>
    <pivotField numFmtId="3" showAll="0"/>
    <pivotField showAll="0" sortType="ascending"/>
    <pivotField axis="axisPage" multipleItemSelectionAllowed="1" showAll="0">
      <items count="4">
        <item x="1"/>
        <item x="2"/>
        <item h="1" x="0"/>
        <item t="default"/>
      </items>
    </pivotField>
    <pivotField numFmtId="3" showAll="0"/>
    <pivotField numFmtId="9" showAll="0"/>
    <pivotField numFmtId="9" showAll="0"/>
    <pivotField showAll="0"/>
    <pivotField numFmtId="3" showAll="0"/>
    <pivotField showAll="0"/>
    <pivotField showAll="0">
      <items count="3">
        <item x="0"/>
        <item x="1"/>
        <item t="default"/>
      </items>
    </pivotField>
    <pivotField showAll="0"/>
    <pivotField dragToRow="0" dragToCol="0" dragToPage="0" showAll="0" defaultSubtotal="0"/>
    <pivotField dragToRow="0" dragToCol="0" dragToPage="0" showAll="0" defaultSubtotal="0"/>
    <pivotField dragToRow="0" dragToCol="0" dragToPage="0" showAll="0" defaultSubtotal="0"/>
    <pivotField dataField="1"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3"/>
  </rowFields>
  <rowItems count="3">
    <i>
      <x v="29"/>
    </i>
    <i>
      <x v="32"/>
    </i>
    <i>
      <x v="40"/>
    </i>
  </rowItems>
  <colItems count="1">
    <i/>
  </colItems>
  <pageFields count="1">
    <pageField fld="45" hier="-1"/>
  </pageFields>
  <dataFields count="1">
    <dataField name="Volume_Ton " fld="57" baseField="0" baseItem="0" numFmtId="3"/>
  </dataFields>
  <chartFormats count="2">
    <chartFormat chart="10" format="2"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01387CA-3A57-4B10-B4BD-CDC4DDD506F5}" name="Page3_PT6" cacheId="234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4">
  <location ref="BO6:BP9" firstHeaderRow="1" firstDataRow="1" firstDataCol="1"/>
  <pivotFields count="6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3" showAll="0"/>
    <pivotField numFmtId="3" showAll="0"/>
    <pivotField numFmtId="3" showAll="0"/>
    <pivotField numFmtId="3" showAll="0"/>
    <pivotField showAll="0"/>
    <pivotField numFmtId="3" showAll="0"/>
    <pivotField showAll="0"/>
    <pivotField numFmtId="9" showAll="0"/>
    <pivotField numFmtId="3" showAll="0"/>
    <pivotField showAll="0"/>
    <pivotField numFmtId="9" showAll="0"/>
    <pivotField numFmtId="3" showAll="0"/>
    <pivotField numFmtId="3" showAll="0"/>
    <pivotField numFmtId="9" showAll="0"/>
    <pivotField numFmtId="3" showAll="0"/>
    <pivotField numFmtId="4" showAll="0"/>
    <pivotField showAll="0"/>
    <pivotField showAll="0"/>
    <pivotField showAll="0"/>
    <pivotField numFmtId="3" showAll="0"/>
    <pivotField numFmtId="3" showAll="0"/>
    <pivotField numFmtId="9" showAll="0"/>
    <pivotField numFmtId="3" showAll="0"/>
    <pivotField showAll="0"/>
    <pivotField numFmtId="3" showAll="0"/>
    <pivotField numFmtId="3" showAll="0"/>
    <pivotField showAll="0" sortType="ascending"/>
    <pivotField axis="axisRow" showAll="0">
      <items count="4">
        <item x="1"/>
        <item x="2"/>
        <item x="0"/>
        <item t="default"/>
      </items>
    </pivotField>
    <pivotField numFmtId="3" showAll="0"/>
    <pivotField numFmtId="9" showAll="0"/>
    <pivotField numFmtId="9" showAll="0"/>
    <pivotField showAll="0"/>
    <pivotField numFmtId="3" showAll="0"/>
    <pivotField showAll="0"/>
    <pivotField showAll="0"/>
    <pivotField showAll="0"/>
    <pivotField dragToRow="0" dragToCol="0" dragToPage="0" showAll="0" defaultSubtotal="0"/>
    <pivotField dragToRow="0" dragToCol="0" dragToPage="0" showAll="0" defaultSubtotal="0"/>
    <pivotField dragToRow="0" dragToCol="0" dragToPage="0" showAll="0" defaultSubtotal="0"/>
    <pivotField dataField="1"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45"/>
  </rowFields>
  <rowItems count="3">
    <i>
      <x/>
    </i>
    <i>
      <x v="1"/>
    </i>
    <i>
      <x v="2"/>
    </i>
  </rowItems>
  <colItems count="1">
    <i/>
  </colItems>
  <dataFields count="1">
    <dataField name="Volume_Ton " fld="57" baseField="0" baseItem="0" numFmtId="3"/>
  </dataFields>
  <chartFormats count="1">
    <chartFormat chart="1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5CB2392-AB49-4108-A5C4-CC7FE6BDEF4F}" name="Page3_PT7" cacheId="234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2">
  <location ref="BR6:BS9" firstHeaderRow="1" firstDataRow="1" firstDataCol="1"/>
  <pivotFields count="6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3" showAll="0"/>
    <pivotField numFmtId="3" showAll="0"/>
    <pivotField numFmtId="3" showAll="0"/>
    <pivotField numFmtId="3" showAll="0"/>
    <pivotField showAll="0"/>
    <pivotField numFmtId="3" showAll="0"/>
    <pivotField showAll="0"/>
    <pivotField numFmtId="9" showAll="0"/>
    <pivotField numFmtId="3" showAll="0"/>
    <pivotField showAll="0"/>
    <pivotField numFmtId="9" showAll="0"/>
    <pivotField numFmtId="3" showAll="0"/>
    <pivotField numFmtId="3" showAll="0"/>
    <pivotField numFmtId="9" showAll="0"/>
    <pivotField numFmtId="3" showAll="0"/>
    <pivotField numFmtId="4" showAll="0"/>
    <pivotField showAll="0"/>
    <pivotField showAll="0"/>
    <pivotField showAll="0"/>
    <pivotField numFmtId="3" showAll="0"/>
    <pivotField numFmtId="3" showAll="0"/>
    <pivotField numFmtId="9" showAll="0"/>
    <pivotField numFmtId="3" showAll="0"/>
    <pivotField showAll="0"/>
    <pivotField numFmtId="3" showAll="0"/>
    <pivotField numFmtId="3" showAll="0"/>
    <pivotField showAll="0" sortType="ascending"/>
    <pivotField axis="axisRow" showAll="0">
      <items count="4">
        <item x="1"/>
        <item x="2"/>
        <item x="0"/>
        <item t="default"/>
      </items>
    </pivotField>
    <pivotField numFmtId="3" showAll="0"/>
    <pivotField numFmtId="9" showAll="0"/>
    <pivotField numFmtId="9" showAll="0"/>
    <pivotField showAll="0"/>
    <pivotField numFmtId="3" showAll="0"/>
    <pivotField showAll="0"/>
    <pivotField showAll="0"/>
    <pivotField showAll="0"/>
    <pivotField dragToRow="0" dragToCol="0" dragToPage="0" showAll="0" defaultSubtotal="0"/>
    <pivotField dragToRow="0" dragToCol="0" dragToPage="0" showAll="0" defaultSubtotal="0"/>
    <pivotField dataField="1"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45"/>
  </rowFields>
  <rowItems count="3">
    <i>
      <x/>
    </i>
    <i>
      <x v="1"/>
    </i>
    <i>
      <x v="2"/>
    </i>
  </rowItems>
  <colItems count="1">
    <i/>
  </colItems>
  <dataFields count="1">
    <dataField name="Spend_USDM " fld="56" baseField="0" baseItem="0" numFmtId="3"/>
  </dataFields>
  <chartFormats count="1">
    <chartFormat chart="1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BFCF609-5439-4C5C-A126-FD867512E62D}" name="Page3_PT5" cacheId="234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1">
  <location ref="BL6:BM9" firstHeaderRow="1" firstDataRow="1" firstDataCol="1"/>
  <pivotFields count="6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3" showAll="0"/>
    <pivotField numFmtId="3" showAll="0"/>
    <pivotField numFmtId="3" showAll="0"/>
    <pivotField numFmtId="3" showAll="0"/>
    <pivotField showAll="0"/>
    <pivotField numFmtId="3" showAll="0"/>
    <pivotField showAll="0"/>
    <pivotField numFmtId="9" showAll="0"/>
    <pivotField numFmtId="3" showAll="0"/>
    <pivotField showAll="0"/>
    <pivotField numFmtId="9" showAll="0"/>
    <pivotField numFmtId="3" showAll="0"/>
    <pivotField numFmtId="3" showAll="0"/>
    <pivotField numFmtId="9" showAll="0"/>
    <pivotField numFmtId="3" showAll="0"/>
    <pivotField numFmtId="4" showAll="0"/>
    <pivotField showAll="0"/>
    <pivotField showAll="0"/>
    <pivotField showAll="0"/>
    <pivotField numFmtId="3" showAll="0"/>
    <pivotField numFmtId="3" showAll="0"/>
    <pivotField numFmtId="9" showAll="0"/>
    <pivotField numFmtId="3" showAll="0"/>
    <pivotField showAll="0"/>
    <pivotField numFmtId="3" showAll="0"/>
    <pivotField numFmtId="3" showAll="0"/>
    <pivotField axis="axisRow" showAll="0" sortType="ascending">
      <items count="4">
        <item x="1"/>
        <item x="0"/>
        <item x="2"/>
        <item t="default"/>
      </items>
    </pivotField>
    <pivotField showAll="0"/>
    <pivotField numFmtId="3" showAll="0"/>
    <pivotField numFmtId="9" showAll="0"/>
    <pivotField numFmtId="9" showAll="0"/>
    <pivotField showAll="0"/>
    <pivotField numFmtId="3" showAll="0"/>
    <pivotField showAll="0"/>
    <pivotField showAll="0"/>
    <pivotField showAll="0"/>
    <pivotField dragToRow="0" dragToCol="0" dragToPage="0" showAll="0" defaultSubtotal="0"/>
    <pivotField dragToRow="0" dragToCol="0" dragToPage="0" showAll="0" defaultSubtotal="0"/>
    <pivotField dataField="1"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44"/>
  </rowFields>
  <rowItems count="3">
    <i>
      <x/>
    </i>
    <i>
      <x v="1"/>
    </i>
    <i>
      <x v="2"/>
    </i>
  </rowItems>
  <colItems count="1">
    <i/>
  </colItems>
  <dataFields count="1">
    <dataField name="Spend_USDM " fld="56" baseField="0" baseItem="0" numFmtId="3"/>
  </dataFields>
  <chartFormats count="4">
    <chartFormat chart="10" format="2" series="1">
      <pivotArea type="data" outline="0" fieldPosition="0">
        <references count="1">
          <reference field="4294967294" count="1" selected="0">
            <x v="0"/>
          </reference>
        </references>
      </pivotArea>
    </chartFormat>
    <chartFormat chart="10" format="3">
      <pivotArea type="data" outline="0" fieldPosition="0">
        <references count="2">
          <reference field="4294967294" count="1" selected="0">
            <x v="0"/>
          </reference>
          <reference field="44" count="1" selected="0">
            <x v="0"/>
          </reference>
        </references>
      </pivotArea>
    </chartFormat>
    <chartFormat chart="10" format="4">
      <pivotArea type="data" outline="0" fieldPosition="0">
        <references count="2">
          <reference field="4294967294" count="1" selected="0">
            <x v="0"/>
          </reference>
          <reference field="44" count="1" selected="0">
            <x v="1"/>
          </reference>
        </references>
      </pivotArea>
    </chartFormat>
    <chartFormat chart="10" format="5">
      <pivotArea type="data" outline="0" fieldPosition="0">
        <references count="2">
          <reference field="4294967294" count="1" selected="0">
            <x v="0"/>
          </reference>
          <reference field="4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4FA9584C-EF7B-4237-B5BF-A890CA3A319C}" name="Page3_PT4" cacheId="234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3">
  <location ref="BI6:BJ9" firstHeaderRow="1" firstDataRow="1" firstDataCol="1"/>
  <pivotFields count="6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3" showAll="0"/>
    <pivotField numFmtId="3" showAll="0"/>
    <pivotField numFmtId="3" showAll="0"/>
    <pivotField numFmtId="3" showAll="0"/>
    <pivotField showAll="0"/>
    <pivotField numFmtId="3" showAll="0"/>
    <pivotField showAll="0"/>
    <pivotField numFmtId="9" showAll="0"/>
    <pivotField numFmtId="3" showAll="0"/>
    <pivotField showAll="0"/>
    <pivotField numFmtId="9" showAll="0"/>
    <pivotField numFmtId="3" showAll="0"/>
    <pivotField numFmtId="3" showAll="0"/>
    <pivotField numFmtId="9" showAll="0"/>
    <pivotField numFmtId="3" showAll="0"/>
    <pivotField numFmtId="4" showAll="0"/>
    <pivotField showAll="0"/>
    <pivotField showAll="0"/>
    <pivotField showAll="0"/>
    <pivotField numFmtId="3" showAll="0"/>
    <pivotField numFmtId="3" showAll="0"/>
    <pivotField numFmtId="9" showAll="0"/>
    <pivotField numFmtId="3" showAll="0"/>
    <pivotField showAll="0"/>
    <pivotField numFmtId="3" showAll="0"/>
    <pivotField numFmtId="3" showAll="0"/>
    <pivotField axis="axisRow" showAll="0" sortType="ascending">
      <items count="4">
        <item x="1"/>
        <item x="0"/>
        <item x="2"/>
        <item t="default"/>
      </items>
    </pivotField>
    <pivotField showAll="0"/>
    <pivotField numFmtId="3" showAll="0"/>
    <pivotField numFmtId="9" showAll="0"/>
    <pivotField numFmtId="9" showAll="0"/>
    <pivotField showAll="0"/>
    <pivotField numFmtId="3" showAll="0"/>
    <pivotField showAll="0"/>
    <pivotField showAll="0"/>
    <pivotField showAll="0"/>
    <pivotField dragToRow="0" dragToCol="0" dragToPage="0" showAll="0" defaultSubtotal="0"/>
    <pivotField dragToRow="0" dragToCol="0" dragToPage="0" showAll="0" defaultSubtotal="0"/>
    <pivotField dragToRow="0" dragToCol="0" dragToPage="0" showAll="0" defaultSubtotal="0"/>
    <pivotField dataField="1"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44"/>
  </rowFields>
  <rowItems count="3">
    <i>
      <x/>
    </i>
    <i>
      <x v="1"/>
    </i>
    <i>
      <x v="2"/>
    </i>
  </rowItems>
  <colItems count="1">
    <i/>
  </colItems>
  <dataFields count="1">
    <dataField name="Volume_Ton " fld="57" baseField="0" baseItem="0" numFmtId="3"/>
  </dataFields>
  <chartFormats count="4">
    <chartFormat chart="10" format="2" series="1">
      <pivotArea type="data" outline="0" fieldPosition="0">
        <references count="1">
          <reference field="4294967294" count="1" selected="0">
            <x v="0"/>
          </reference>
        </references>
      </pivotArea>
    </chartFormat>
    <chartFormat chart="10" format="3">
      <pivotArea type="data" outline="0" fieldPosition="0">
        <references count="2">
          <reference field="4294967294" count="1" selected="0">
            <x v="0"/>
          </reference>
          <reference field="44" count="1" selected="0">
            <x v="0"/>
          </reference>
        </references>
      </pivotArea>
    </chartFormat>
    <chartFormat chart="10" format="4">
      <pivotArea type="data" outline="0" fieldPosition="0">
        <references count="2">
          <reference field="4294967294" count="1" selected="0">
            <x v="0"/>
          </reference>
          <reference field="44" count="1" selected="0">
            <x v="1"/>
          </reference>
        </references>
      </pivotArea>
    </chartFormat>
    <chartFormat chart="10" format="5">
      <pivotArea type="data" outline="0" fieldPosition="0">
        <references count="2">
          <reference field="4294967294" count="1" selected="0">
            <x v="0"/>
          </reference>
          <reference field="4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9FDB81D1-C0EF-4B00-92B8-83C4BE8373FB}" name="Page3_PT3" cacheId="234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3">
  <location ref="BF6:BG7" firstHeaderRow="1" firstDataRow="1" firstDataCol="1" rowPageCount="1" colPageCount="1"/>
  <pivotFields count="62">
    <pivotField showAll="0"/>
    <pivotField showAll="0"/>
    <pivotField showAll="0"/>
    <pivotField axis="axisRow" showAll="0">
      <items count="46">
        <item m="1" x="44"/>
        <item x="21"/>
        <item x="20"/>
        <item x="23"/>
        <item x="4"/>
        <item x="12"/>
        <item x="22"/>
        <item x="8"/>
        <item x="1"/>
        <item x="6"/>
        <item x="31"/>
        <item x="34"/>
        <item x="19"/>
        <item x="18"/>
        <item x="7"/>
        <item x="9"/>
        <item x="38"/>
        <item x="15"/>
        <item x="3"/>
        <item x="16"/>
        <item x="42"/>
        <item x="26"/>
        <item x="25"/>
        <item x="24"/>
        <item x="41"/>
        <item x="10"/>
        <item x="2"/>
        <item x="32"/>
        <item x="29"/>
        <item x="33"/>
        <item x="35"/>
        <item x="39"/>
        <item x="37"/>
        <item x="5"/>
        <item x="40"/>
        <item x="11"/>
        <item x="14"/>
        <item x="13"/>
        <item x="17"/>
        <item x="28"/>
        <item x="36"/>
        <item x="27"/>
        <item x="30"/>
        <item x="0"/>
        <item x="4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3" showAll="0"/>
    <pivotField numFmtId="3" showAll="0"/>
    <pivotField numFmtId="3" showAll="0"/>
    <pivotField numFmtId="3" showAll="0"/>
    <pivotField showAll="0"/>
    <pivotField numFmtId="3" showAll="0"/>
    <pivotField showAll="0"/>
    <pivotField numFmtId="9" showAll="0"/>
    <pivotField numFmtId="3" showAll="0"/>
    <pivotField showAll="0"/>
    <pivotField numFmtId="9" showAll="0"/>
    <pivotField numFmtId="3" showAll="0"/>
    <pivotField numFmtId="3" showAll="0"/>
    <pivotField numFmtId="9" showAll="0"/>
    <pivotField numFmtId="3" showAll="0"/>
    <pivotField numFmtId="4" showAll="0"/>
    <pivotField showAll="0"/>
    <pivotField multipleItemSelectionAllowed="1" showAll="0"/>
    <pivotField showAll="0"/>
    <pivotField numFmtId="3" showAll="0"/>
    <pivotField numFmtId="3" showAll="0"/>
    <pivotField numFmtId="9" showAll="0"/>
    <pivotField numFmtId="3" showAll="0"/>
    <pivotField axis="axisPage" multipleItemSelectionAllowed="1" showAll="0">
      <items count="3">
        <item h="1" x="0"/>
        <item x="1"/>
        <item t="default"/>
      </items>
    </pivotField>
    <pivotField numFmtId="3" showAll="0"/>
    <pivotField numFmtId="3" showAll="0"/>
    <pivotField showAll="0"/>
    <pivotField showAll="0"/>
    <pivotField numFmtId="3" showAll="0"/>
    <pivotField numFmtId="9" showAll="0"/>
    <pivotField numFmtId="9" showAll="0"/>
    <pivotField showAll="0"/>
    <pivotField numFmtId="3" showAll="0"/>
    <pivotField showAll="0"/>
    <pivotField showAll="0"/>
    <pivotField showAll="0"/>
    <pivotField dragToRow="0" dragToCol="0" dragToPage="0" showAll="0" defaultSubtotal="0"/>
    <pivotField dragToRow="0" dragToCol="0" dragToPage="0" showAll="0" defaultSubtotal="0"/>
    <pivotField dataField="1"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3"/>
  </rowFields>
  <rowItems count="1">
    <i>
      <x v="22"/>
    </i>
  </rowItems>
  <colItems count="1">
    <i/>
  </colItems>
  <pageFields count="1">
    <pageField fld="41" hier="-1"/>
  </pageFields>
  <dataFields count="1">
    <dataField name="Spend_USDM " fld="56" baseField="0" baseItem="0" numFmtId="3"/>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33A6C35-F45F-46A0-8F71-B0C8ABC24AE2}" name="Page3_PT2" cacheId="234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2">
  <location ref="BC6:BD8" firstHeaderRow="1" firstDataRow="1" firstDataCol="1" rowPageCount="1" colPageCount="1"/>
  <pivotFields count="62">
    <pivotField showAll="0"/>
    <pivotField showAll="0"/>
    <pivotField showAll="0"/>
    <pivotField axis="axisRow" showAll="0">
      <items count="46">
        <item m="1" x="44"/>
        <item x="21"/>
        <item x="20"/>
        <item x="23"/>
        <item x="4"/>
        <item x="12"/>
        <item x="22"/>
        <item x="8"/>
        <item x="1"/>
        <item x="6"/>
        <item x="31"/>
        <item x="34"/>
        <item x="19"/>
        <item x="18"/>
        <item x="7"/>
        <item x="9"/>
        <item x="38"/>
        <item x="15"/>
        <item x="3"/>
        <item x="16"/>
        <item x="42"/>
        <item x="26"/>
        <item x="25"/>
        <item x="24"/>
        <item x="41"/>
        <item x="10"/>
        <item x="2"/>
        <item x="32"/>
        <item x="29"/>
        <item x="33"/>
        <item x="35"/>
        <item x="39"/>
        <item x="37"/>
        <item x="5"/>
        <item x="40"/>
        <item x="11"/>
        <item x="14"/>
        <item x="13"/>
        <item x="17"/>
        <item x="28"/>
        <item x="36"/>
        <item x="27"/>
        <item x="30"/>
        <item x="0"/>
        <item x="4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3" showAll="0"/>
    <pivotField numFmtId="3" showAll="0"/>
    <pivotField numFmtId="3" showAll="0"/>
    <pivotField numFmtId="3" showAll="0"/>
    <pivotField showAll="0"/>
    <pivotField numFmtId="3" showAll="0"/>
    <pivotField showAll="0"/>
    <pivotField numFmtId="9" showAll="0"/>
    <pivotField numFmtId="3" showAll="0"/>
    <pivotField showAll="0"/>
    <pivotField numFmtId="9" showAll="0"/>
    <pivotField numFmtId="3" showAll="0"/>
    <pivotField numFmtId="3" showAll="0"/>
    <pivotField numFmtId="9" showAll="0"/>
    <pivotField numFmtId="3" showAll="0"/>
    <pivotField numFmtId="4" showAll="0"/>
    <pivotField showAll="0"/>
    <pivotField axis="axisPage" multipleItemSelectionAllowed="1" showAll="0">
      <items count="4">
        <item x="1"/>
        <item h="1" x="0"/>
        <item h="1" x="2"/>
        <item t="default"/>
      </items>
    </pivotField>
    <pivotField showAll="0"/>
    <pivotField numFmtId="3" showAll="0"/>
    <pivotField numFmtId="3" showAll="0"/>
    <pivotField numFmtId="9" showAll="0"/>
    <pivotField numFmtId="3" showAll="0"/>
    <pivotField showAll="0"/>
    <pivotField numFmtId="3" showAll="0"/>
    <pivotField numFmtId="3" showAll="0"/>
    <pivotField showAll="0"/>
    <pivotField showAll="0"/>
    <pivotField numFmtId="3" showAll="0"/>
    <pivotField numFmtId="9" showAll="0"/>
    <pivotField numFmtId="9" showAll="0"/>
    <pivotField showAll="0"/>
    <pivotField numFmtId="3" showAll="0"/>
    <pivotField showAll="0"/>
    <pivotField showAll="0"/>
    <pivotField showAll="0"/>
    <pivotField dragToRow="0" dragToCol="0" dragToPage="0" showAll="0" defaultSubtotal="0"/>
    <pivotField dragToRow="0" dragToCol="0" dragToPage="0" showAll="0" defaultSubtotal="0"/>
    <pivotField dataField="1"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3"/>
  </rowFields>
  <rowItems count="2">
    <i>
      <x v="12"/>
    </i>
    <i>
      <x v="28"/>
    </i>
  </rowItems>
  <colItems count="1">
    <i/>
  </colItems>
  <pageFields count="1">
    <pageField fld="35" hier="-1"/>
  </pageFields>
  <dataFields count="1">
    <dataField name="Spend_USDM " fld="56" baseField="0" baseItem="0" numFmtId="3"/>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7299E055-7F9C-469E-B9ED-46C1DD9ECB2F}" name="Page3_PT1" cacheId="234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2">
  <location ref="AZ6:BA8" firstHeaderRow="1" firstDataRow="1" firstDataCol="1" rowPageCount="1" colPageCount="1"/>
  <pivotFields count="62">
    <pivotField showAll="0"/>
    <pivotField showAll="0"/>
    <pivotField showAll="0"/>
    <pivotField axis="axisRow" showAll="0">
      <items count="46">
        <item m="1" x="44"/>
        <item x="21"/>
        <item x="20"/>
        <item x="23"/>
        <item x="4"/>
        <item x="12"/>
        <item x="22"/>
        <item x="8"/>
        <item x="1"/>
        <item x="6"/>
        <item x="31"/>
        <item x="34"/>
        <item x="19"/>
        <item x="18"/>
        <item x="7"/>
        <item x="9"/>
        <item x="38"/>
        <item x="15"/>
        <item x="3"/>
        <item x="16"/>
        <item x="42"/>
        <item x="26"/>
        <item x="25"/>
        <item x="24"/>
        <item x="41"/>
        <item x="10"/>
        <item x="2"/>
        <item x="32"/>
        <item x="29"/>
        <item x="33"/>
        <item x="35"/>
        <item x="39"/>
        <item x="37"/>
        <item x="5"/>
        <item x="40"/>
        <item x="11"/>
        <item x="14"/>
        <item x="13"/>
        <item x="17"/>
        <item x="28"/>
        <item x="36"/>
        <item x="27"/>
        <item x="30"/>
        <item x="0"/>
        <item x="4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3" showAll="0"/>
    <pivotField numFmtId="3" showAll="0"/>
    <pivotField numFmtId="3" showAll="0"/>
    <pivotField numFmtId="3" showAll="0"/>
    <pivotField showAll="0"/>
    <pivotField numFmtId="3" showAll="0"/>
    <pivotField showAll="0"/>
    <pivotField numFmtId="9" showAll="0"/>
    <pivotField numFmtId="3" showAll="0"/>
    <pivotField showAll="0"/>
    <pivotField numFmtId="9" showAll="0"/>
    <pivotField numFmtId="3" showAll="0"/>
    <pivotField numFmtId="3" showAll="0"/>
    <pivotField numFmtId="9" showAll="0"/>
    <pivotField numFmtId="3" showAll="0"/>
    <pivotField numFmtId="4" showAll="0"/>
    <pivotField showAll="0"/>
    <pivotField axis="axisPage" multipleItemSelectionAllowed="1" showAll="0">
      <items count="4">
        <item x="1"/>
        <item h="1" x="0"/>
        <item h="1" x="2"/>
        <item t="default"/>
      </items>
    </pivotField>
    <pivotField showAll="0"/>
    <pivotField numFmtId="3" showAll="0"/>
    <pivotField numFmtId="3" showAll="0"/>
    <pivotField numFmtId="9" showAll="0"/>
    <pivotField numFmtId="3" showAll="0"/>
    <pivotField showAll="0"/>
    <pivotField numFmtId="3" showAll="0"/>
    <pivotField numFmtId="3" showAll="0"/>
    <pivotField showAll="0"/>
    <pivotField showAll="0"/>
    <pivotField numFmtId="3" showAll="0"/>
    <pivotField numFmtId="9" showAll="0"/>
    <pivotField numFmtId="9" showAll="0"/>
    <pivotField showAll="0"/>
    <pivotField numFmtId="3" showAll="0"/>
    <pivotField showAll="0"/>
    <pivotField showAll="0"/>
    <pivotField showAll="0"/>
    <pivotField dragToRow="0" dragToCol="0" dragToPage="0" showAll="0" defaultSubtotal="0"/>
    <pivotField dragToRow="0" dragToCol="0" dragToPage="0" showAll="0" defaultSubtotal="0"/>
    <pivotField dragToRow="0" dragToCol="0" dragToPage="0" showAll="0" defaultSubtotal="0"/>
    <pivotField dataField="1"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3"/>
  </rowFields>
  <rowItems count="2">
    <i>
      <x v="12"/>
    </i>
    <i>
      <x v="28"/>
    </i>
  </rowItems>
  <colItems count="1">
    <i/>
  </colItems>
  <pageFields count="1">
    <pageField fld="35" hier="-1"/>
  </pageFields>
  <dataFields count="1">
    <dataField name="Volume_Ton " fld="57" baseField="0" baseItem="0" numFmtId="3"/>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82FFADB9-1D81-43CB-8548-893C85479549}" name="Page2_PT6" cacheId="2341"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multipleFieldFilters="0" chartFormat="21">
  <location ref="AS8:AT9" firstHeaderRow="1" firstDataRow="1" firstDataCol="1" rowPageCount="1" colPageCount="1"/>
  <pivotFields count="62">
    <pivotField axis="axisPage" compact="0" outline="0" showAll="0" defaultSubtotal="0">
      <items count="44">
        <item x="4"/>
        <item x="2"/>
        <item x="5"/>
        <item x="1"/>
        <item x="3"/>
        <item x="0"/>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items count="46">
        <item x="21"/>
        <item x="20"/>
        <item x="23"/>
        <item x="4"/>
        <item x="12"/>
        <item x="22"/>
        <item x="8"/>
        <item x="1"/>
        <item x="6"/>
        <item x="19"/>
        <item x="18"/>
        <item x="7"/>
        <item x="9"/>
        <item x="15"/>
        <item x="3"/>
        <item x="16"/>
        <item x="26"/>
        <item x="25"/>
        <item x="24"/>
        <item x="10"/>
        <item x="2"/>
        <item x="5"/>
        <item x="11"/>
        <item x="14"/>
        <item x="13"/>
        <item x="17"/>
        <item x="0"/>
        <item m="1" x="44"/>
        <item x="27"/>
        <item x="28"/>
        <item x="29"/>
        <item x="30"/>
        <item x="31"/>
        <item x="32"/>
        <item x="33"/>
        <item x="34"/>
        <item x="35"/>
        <item x="36"/>
        <item x="37"/>
        <item x="38"/>
        <item x="39"/>
        <item x="40"/>
        <item x="41"/>
        <item x="42"/>
        <item x="43"/>
        <item t="default"/>
      </items>
      <extLst>
        <ext xmlns:x14="http://schemas.microsoft.com/office/spreadsheetml/2009/9/main" uri="{2946ED86-A175-432a-8AC1-64E0C546D7DE}">
          <x14:pivotField fillDownLabels="1"/>
        </ext>
      </extLst>
    </pivotField>
    <pivotField compact="0" outline="0" showAll="0">
      <items count="10">
        <item m="1" x="8"/>
        <item x="1"/>
        <item x="6"/>
        <item x="5"/>
        <item x="7"/>
        <item x="3"/>
        <item x="0"/>
        <item x="2"/>
        <item x="4"/>
        <item t="default"/>
      </items>
      <extLst>
        <ext xmlns:x14="http://schemas.microsoft.com/office/spreadsheetml/2009/9/main" uri="{2946ED86-A175-432a-8AC1-64E0C546D7DE}">
          <x14:pivotField fillDownLabels="1"/>
        </ext>
      </extLst>
    </pivotField>
    <pivotField compact="0" outline="0" showAll="0">
      <items count="28">
        <item m="1" x="26"/>
        <item x="4"/>
        <item x="11"/>
        <item x="16"/>
        <item x="13"/>
        <item x="18"/>
        <item x="9"/>
        <item x="19"/>
        <item x="24"/>
        <item x="12"/>
        <item x="0"/>
        <item x="5"/>
        <item x="22"/>
        <item x="20"/>
        <item x="21"/>
        <item x="3"/>
        <item x="17"/>
        <item x="7"/>
        <item x="1"/>
        <item x="2"/>
        <item x="6"/>
        <item x="23"/>
        <item x="25"/>
        <item x="14"/>
        <item x="10"/>
        <item x="8"/>
        <item x="15"/>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items count="2">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items count="77">
        <item h="1" m="1" x="62"/>
        <item h="1" m="1" x="63"/>
        <item h="1" m="1" x="65"/>
        <item h="1" m="1" x="66"/>
        <item x="0"/>
        <item h="1" x="41"/>
        <item h="1" m="1" x="64"/>
        <item h="1" x="44"/>
        <item h="1" x="1"/>
        <item h="1" x="53"/>
        <item h="1" m="1" x="67"/>
        <item h="1" m="1" x="68"/>
        <item h="1" x="24"/>
        <item h="1" m="1" x="69"/>
        <item h="1" x="35"/>
        <item h="1" m="1" x="71"/>
        <item h="1" x="2"/>
        <item h="1" m="1" x="72"/>
        <item h="1" x="38"/>
        <item h="1" x="3"/>
        <item h="1" m="1" x="75"/>
        <item h="1" x="4"/>
        <item h="1" m="1" x="73"/>
        <item h="1" x="52"/>
        <item h="1" m="1" x="74"/>
        <item h="1" x="25"/>
        <item h="1" x="5"/>
        <item h="1" x="34"/>
        <item h="1" x="36"/>
        <item h="1" x="6"/>
        <item h="1" x="7"/>
        <item h="1" x="33"/>
        <item h="1" x="26"/>
        <item h="1" x="15"/>
        <item h="1" x="27"/>
        <item h="1" x="8"/>
        <item h="1" x="54"/>
        <item h="1" x="9"/>
        <item h="1" x="37"/>
        <item h="1" x="42"/>
        <item h="1" x="49"/>
        <item h="1" x="28"/>
        <item h="1" x="56"/>
        <item h="1" x="11"/>
        <item h="1" x="46"/>
        <item h="1" x="51"/>
        <item h="1" x="19"/>
        <item h="1" m="1" x="70"/>
        <item h="1" x="12"/>
        <item h="1" x="10"/>
        <item h="1" m="1" x="60"/>
        <item h="1" x="29"/>
        <item h="1" x="39"/>
        <item h="1" x="40"/>
        <item h="1" x="13"/>
        <item h="1" x="57"/>
        <item h="1" x="59"/>
        <item h="1" m="1" x="61"/>
        <item h="1" x="55"/>
        <item h="1" x="14"/>
        <item h="1" x="47"/>
        <item h="1" x="16"/>
        <item h="1" x="45"/>
        <item h="1" x="43"/>
        <item h="1" x="22"/>
        <item h="1" x="20"/>
        <item h="1" x="48"/>
        <item h="1" x="30"/>
        <item h="1" x="23"/>
        <item h="1" x="31"/>
        <item h="1" x="58"/>
        <item h="1" x="17"/>
        <item h="1" x="50"/>
        <item h="1" x="32"/>
        <item h="1" x="21"/>
        <item h="1" x="18"/>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items count="3">
        <item x="0"/>
        <item x="1"/>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dataField="1"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s>
  <rowFields count="1">
    <field x="3"/>
  </rowFields>
  <rowItems count="1">
    <i>
      <x v="26"/>
    </i>
  </rowItems>
  <colItems count="1">
    <i/>
  </colItems>
  <pageFields count="1">
    <pageField fld="0" hier="-1"/>
  </pageFields>
  <dataFields count="1">
    <dataField name="Product Share %" fld="58" baseField="0" baseItem="0" numFmtId="9"/>
  </dataFields>
  <formats count="2">
    <format dxfId="21">
      <pivotArea type="all" dataOnly="0" outline="0" fieldPosition="0"/>
    </format>
    <format dxfId="20">
      <pivotArea field="0" type="button" dataOnly="0" labelOnly="1" outline="0" axis="axisPage" fieldPosition="0"/>
    </format>
  </formats>
  <chartFormats count="2">
    <chartFormat chart="8" format="3"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D5802A12-E24E-4183-AA2F-1330B6E64FB9}" name="Page2_PT7" cacheId="234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7">
  <location ref="AV8:AW11" firstHeaderRow="1" firstDataRow="1" firstDataCol="1" rowPageCount="1" colPageCount="1"/>
  <pivotFields count="62">
    <pivotField axis="axisPage" showAll="0">
      <items count="45">
        <item x="30"/>
        <item x="26"/>
        <item x="31"/>
        <item x="32"/>
        <item x="25"/>
        <item x="24"/>
        <item x="7"/>
        <item x="8"/>
        <item x="34"/>
        <item x="35"/>
        <item x="33"/>
        <item x="36"/>
        <item x="37"/>
        <item x="29"/>
        <item x="28"/>
        <item x="38"/>
        <item x="18"/>
        <item x="19"/>
        <item x="22"/>
        <item x="27"/>
        <item x="39"/>
        <item x="10"/>
        <item x="14"/>
        <item x="13"/>
        <item x="41"/>
        <item x="40"/>
        <item x="43"/>
        <item x="17"/>
        <item x="4"/>
        <item x="12"/>
        <item x="16"/>
        <item x="2"/>
        <item x="5"/>
        <item x="9"/>
        <item x="1"/>
        <item x="11"/>
        <item x="42"/>
        <item x="15"/>
        <item x="20"/>
        <item x="21"/>
        <item x="23"/>
        <item x="3"/>
        <item x="6"/>
        <item x="0"/>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3" showAll="0"/>
    <pivotField numFmtId="3" showAll="0"/>
    <pivotField numFmtId="3" showAll="0"/>
    <pivotField numFmtId="3" showAll="0"/>
    <pivotField showAll="0"/>
    <pivotField numFmtId="3" showAll="0"/>
    <pivotField showAll="0"/>
    <pivotField numFmtId="9" showAll="0"/>
    <pivotField numFmtId="3" showAll="0"/>
    <pivotField showAll="0"/>
    <pivotField numFmtId="9" showAll="0"/>
    <pivotField numFmtId="3" showAll="0"/>
    <pivotField numFmtId="3" showAll="0"/>
    <pivotField numFmtId="9" showAll="0"/>
    <pivotField numFmtId="3" showAll="0"/>
    <pivotField numFmtId="4" showAll="0"/>
    <pivotField showAll="0"/>
    <pivotField showAll="0"/>
    <pivotField showAll="0"/>
    <pivotField numFmtId="3" showAll="0"/>
    <pivotField numFmtId="3" showAll="0"/>
    <pivotField numFmtId="9" showAll="0"/>
    <pivotField numFmtId="3" showAll="0"/>
    <pivotField showAll="0"/>
    <pivotField numFmtId="3" showAll="0"/>
    <pivotField numFmtId="3" showAll="0"/>
    <pivotField axis="axisRow" showAll="0" sortType="ascending">
      <items count="4">
        <item x="1"/>
        <item x="0"/>
        <item x="2"/>
        <item t="default"/>
      </items>
    </pivotField>
    <pivotField showAll="0"/>
    <pivotField numFmtId="3" showAll="0"/>
    <pivotField numFmtId="9" showAll="0"/>
    <pivotField numFmtId="9" showAll="0"/>
    <pivotField showAll="0"/>
    <pivotField numFmtId="3" showAll="0"/>
    <pivotField showAll="0"/>
    <pivotField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44"/>
  </rowFields>
  <rowItems count="3">
    <i>
      <x/>
    </i>
    <i>
      <x v="1"/>
    </i>
    <i>
      <x v="2"/>
    </i>
  </rowItems>
  <colItems count="1">
    <i/>
  </colItems>
  <pageFields count="1">
    <pageField fld="0" hier="-1"/>
  </pageFields>
  <dataFields count="1">
    <dataField name="Risk"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36566D72-62F7-4C4F-9B7F-3C86F182B44A}" name="Page1_PT1" cacheId="2341"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multipleFieldFilters="0" chartFormat="15">
  <location ref="B8:D33" firstHeaderRow="1" firstDataRow="1" firstDataCol="2" rowPageCount="1" colPageCount="1"/>
  <pivotFields count="62">
    <pivotField axis="axisPage" compact="0" outline="0" showAll="0" defaultSubtotal="0">
      <items count="44">
        <item x="4"/>
        <item x="2"/>
        <item x="5"/>
        <item x="1"/>
        <item x="3"/>
        <item x="0"/>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s>
      <extLst>
        <ext xmlns:x14="http://schemas.microsoft.com/office/spreadsheetml/2009/9/main" uri="{2946ED86-A175-432a-8AC1-64E0C546D7DE}">
          <x14:pivotField fillDownLabels="1"/>
        </ext>
      </extLst>
    </pivotField>
    <pivotField axis="axisRow" compact="0" outline="0" showAll="0" defaultSubtotal="0">
      <items count="44">
        <item x="0"/>
        <item x="6"/>
        <item x="7"/>
        <item x="8"/>
        <item x="1"/>
        <item x="9"/>
        <item x="10"/>
        <item x="11"/>
        <item x="2"/>
        <item x="5"/>
        <item x="12"/>
        <item x="13"/>
        <item x="14"/>
        <item x="3"/>
        <item x="15"/>
        <item x="16"/>
        <item x="17"/>
        <item x="18"/>
        <item x="19"/>
        <item x="20"/>
        <item x="21"/>
        <item x="27"/>
        <item x="4"/>
        <item x="22"/>
        <item x="23"/>
        <item h="1" x="24"/>
        <item h="1" x="25"/>
        <item h="1" x="26"/>
        <item h="1" x="28"/>
        <item h="1" x="29"/>
        <item h="1" x="30"/>
        <item h="1" x="31"/>
        <item h="1" x="32"/>
        <item h="1" x="33"/>
        <item h="1" x="34"/>
        <item h="1" x="35"/>
        <item h="1" x="36"/>
        <item h="1" x="37"/>
        <item h="1" x="38"/>
        <item h="1" x="39"/>
        <item h="1" x="40"/>
        <item h="1" x="41"/>
        <item h="1" x="42"/>
        <item h="1" x="43"/>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45">
        <item x="21"/>
        <item x="20"/>
        <item x="23"/>
        <item x="4"/>
        <item x="12"/>
        <item x="22"/>
        <item x="8"/>
        <item x="1"/>
        <item x="6"/>
        <item x="19"/>
        <item x="18"/>
        <item x="7"/>
        <item x="9"/>
        <item x="15"/>
        <item x="3"/>
        <item x="16"/>
        <item x="26"/>
        <item x="25"/>
        <item x="24"/>
        <item x="10"/>
        <item x="2"/>
        <item x="5"/>
        <item x="11"/>
        <item x="14"/>
        <item x="13"/>
        <item x="17"/>
        <item x="0"/>
        <item m="1" x="44"/>
        <item x="27"/>
        <item x="28"/>
        <item x="29"/>
        <item x="30"/>
        <item x="31"/>
        <item x="32"/>
        <item x="33"/>
        <item x="34"/>
        <item x="35"/>
        <item x="36"/>
        <item x="37"/>
        <item x="38"/>
        <item x="39"/>
        <item x="40"/>
        <item x="41"/>
        <item x="42"/>
        <item x="43"/>
      </items>
      <extLst>
        <ext xmlns:x14="http://schemas.microsoft.com/office/spreadsheetml/2009/9/main" uri="{2946ED86-A175-432a-8AC1-64E0C546D7DE}">
          <x14:pivotField fillDownLabels="1"/>
        </ext>
      </extLst>
    </pivotField>
    <pivotField compact="0" outline="0" showAll="0">
      <items count="10">
        <item m="1" x="8"/>
        <item x="1"/>
        <item x="6"/>
        <item x="5"/>
        <item x="7"/>
        <item x="3"/>
        <item x="0"/>
        <item x="2"/>
        <item x="4"/>
        <item t="default"/>
      </items>
      <extLst>
        <ext xmlns:x14="http://schemas.microsoft.com/office/spreadsheetml/2009/9/main" uri="{2946ED86-A175-432a-8AC1-64E0C546D7DE}">
          <x14:pivotField fillDownLabels="1"/>
        </ext>
      </extLst>
    </pivotField>
    <pivotField compact="0" outline="0" showAll="0">
      <items count="28">
        <item m="1" x="26"/>
        <item x="4"/>
        <item x="11"/>
        <item x="16"/>
        <item x="13"/>
        <item x="18"/>
        <item x="9"/>
        <item x="19"/>
        <item x="24"/>
        <item x="12"/>
        <item x="0"/>
        <item x="5"/>
        <item x="22"/>
        <item x="20"/>
        <item x="21"/>
        <item x="3"/>
        <item x="17"/>
        <item x="7"/>
        <item x="1"/>
        <item x="2"/>
        <item x="6"/>
        <item x="23"/>
        <item x="25"/>
        <item x="14"/>
        <item x="10"/>
        <item x="8"/>
        <item x="15"/>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items count="2">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items count="3">
        <item x="0"/>
        <item x="1"/>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dataField="1"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s>
  <rowFields count="2">
    <field x="1"/>
    <field x="3"/>
  </rowFields>
  <rowItems count="25">
    <i>
      <x/>
      <x v="26"/>
    </i>
    <i>
      <x v="1"/>
      <x v="8"/>
    </i>
    <i>
      <x v="2"/>
      <x v="11"/>
    </i>
    <i>
      <x v="3"/>
      <x v="6"/>
    </i>
    <i>
      <x v="4"/>
      <x v="7"/>
    </i>
    <i>
      <x v="5"/>
      <x v="12"/>
    </i>
    <i>
      <x v="6"/>
      <x v="19"/>
    </i>
    <i>
      <x v="7"/>
      <x v="22"/>
    </i>
    <i>
      <x v="8"/>
      <x v="20"/>
    </i>
    <i>
      <x v="9"/>
      <x v="21"/>
    </i>
    <i>
      <x v="10"/>
      <x v="4"/>
    </i>
    <i>
      <x v="11"/>
      <x v="24"/>
    </i>
    <i>
      <x v="12"/>
      <x v="23"/>
    </i>
    <i>
      <x v="13"/>
      <x v="14"/>
    </i>
    <i>
      <x v="14"/>
      <x v="13"/>
    </i>
    <i>
      <x v="15"/>
      <x v="15"/>
    </i>
    <i>
      <x v="16"/>
      <x v="25"/>
    </i>
    <i>
      <x v="17"/>
      <x v="10"/>
    </i>
    <i>
      <x v="18"/>
      <x v="9"/>
    </i>
    <i>
      <x v="19"/>
      <x v="1"/>
    </i>
    <i>
      <x v="20"/>
      <x/>
    </i>
    <i>
      <x v="21"/>
      <x v="28"/>
    </i>
    <i>
      <x v="22"/>
      <x v="3"/>
    </i>
    <i>
      <x v="23"/>
      <x v="5"/>
    </i>
    <i>
      <x v="24"/>
      <x v="2"/>
    </i>
  </rowItems>
  <colItems count="1">
    <i/>
  </colItems>
  <pageFields count="1">
    <pageField fld="0" hier="-1"/>
  </pageFields>
  <dataFields count="1">
    <dataField name="Volume - Ton" fld="57" baseField="0" baseItem="0" numFmtId="3"/>
  </dataFields>
  <formats count="2">
    <format dxfId="1">
      <pivotArea type="all" dataOnly="0" outline="0" fieldPosition="0"/>
    </format>
    <format dxfId="2">
      <pivotArea field="0" type="button" dataOnly="0" labelOnly="1" outline="0" axis="axisPage" fieldPosition="0"/>
    </format>
  </formats>
  <chartFormats count="2">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1" count="1" selected="0">
            <x v="2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6BEBEF5C-5D83-4949-A624-3E5F987281B3}" name="Page1_PT4" cacheId="2341"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multipleFieldFilters="0" chartFormat="19">
  <location ref="N8:P33" firstHeaderRow="1" firstDataRow="1" firstDataCol="2" rowPageCount="1" colPageCount="1"/>
  <pivotFields count="62">
    <pivotField axis="axisPage" compact="0" outline="0" showAll="0" defaultSubtotal="0">
      <items count="44">
        <item x="4"/>
        <item x="2"/>
        <item x="5"/>
        <item x="1"/>
        <item x="3"/>
        <item x="0"/>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s>
      <extLst>
        <ext xmlns:x14="http://schemas.microsoft.com/office/spreadsheetml/2009/9/main" uri="{2946ED86-A175-432a-8AC1-64E0C546D7DE}">
          <x14:pivotField fillDownLabels="1"/>
        </ext>
      </extLst>
    </pivotField>
    <pivotField axis="axisRow" compact="0" outline="0" showAll="0" defaultSubtotal="0">
      <items count="44">
        <item x="0"/>
        <item x="6"/>
        <item x="7"/>
        <item x="8"/>
        <item x="1"/>
        <item x="9"/>
        <item x="10"/>
        <item x="11"/>
        <item x="2"/>
        <item x="5"/>
        <item x="12"/>
        <item x="13"/>
        <item x="14"/>
        <item x="3"/>
        <item x="15"/>
        <item x="16"/>
        <item x="17"/>
        <item x="18"/>
        <item x="19"/>
        <item x="20"/>
        <item x="21"/>
        <item x="27"/>
        <item x="4"/>
        <item x="22"/>
        <item x="23"/>
        <item h="1" x="24"/>
        <item h="1" x="25"/>
        <item h="1" x="26"/>
        <item h="1" x="28"/>
        <item h="1" x="29"/>
        <item h="1" x="30"/>
        <item h="1" x="31"/>
        <item h="1" x="32"/>
        <item h="1" x="33"/>
        <item h="1" x="34"/>
        <item h="1" x="35"/>
        <item h="1" x="36"/>
        <item h="1" x="37"/>
        <item h="1" x="38"/>
        <item h="1" x="39"/>
        <item h="1" x="40"/>
        <item h="1" x="41"/>
        <item h="1" x="42"/>
        <item h="1" x="43"/>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items count="46">
        <item x="21"/>
        <item x="20"/>
        <item x="23"/>
        <item x="4"/>
        <item x="12"/>
        <item x="22"/>
        <item x="8"/>
        <item x="1"/>
        <item x="6"/>
        <item x="19"/>
        <item x="18"/>
        <item x="7"/>
        <item x="9"/>
        <item x="15"/>
        <item x="3"/>
        <item x="16"/>
        <item x="26"/>
        <item x="25"/>
        <item x="24"/>
        <item x="10"/>
        <item x="2"/>
        <item x="5"/>
        <item x="11"/>
        <item x="14"/>
        <item x="13"/>
        <item x="17"/>
        <item x="0"/>
        <item m="1" x="44"/>
        <item x="27"/>
        <item x="28"/>
        <item x="29"/>
        <item x="30"/>
        <item x="31"/>
        <item x="32"/>
        <item x="33"/>
        <item x="34"/>
        <item x="35"/>
        <item x="36"/>
        <item x="37"/>
        <item x="38"/>
        <item x="39"/>
        <item x="40"/>
        <item x="41"/>
        <item x="42"/>
        <item x="43"/>
        <item t="default"/>
      </items>
      <extLst>
        <ext xmlns:x14="http://schemas.microsoft.com/office/spreadsheetml/2009/9/main" uri="{2946ED86-A175-432a-8AC1-64E0C546D7DE}">
          <x14:pivotField fillDownLabels="1"/>
        </ext>
      </extLst>
    </pivotField>
    <pivotField compact="0" outline="0" showAll="0">
      <items count="10">
        <item m="1" x="8"/>
        <item x="1"/>
        <item x="6"/>
        <item x="5"/>
        <item x="7"/>
        <item x="3"/>
        <item x="0"/>
        <item x="2"/>
        <item x="4"/>
        <item t="default"/>
      </items>
      <extLst>
        <ext xmlns:x14="http://schemas.microsoft.com/office/spreadsheetml/2009/9/main" uri="{2946ED86-A175-432a-8AC1-64E0C546D7DE}">
          <x14:pivotField fillDownLabels="1"/>
        </ext>
      </extLst>
    </pivotField>
    <pivotField compact="0" outline="0" showAll="0">
      <items count="28">
        <item m="1" x="26"/>
        <item x="4"/>
        <item x="11"/>
        <item x="16"/>
        <item x="13"/>
        <item x="18"/>
        <item x="9"/>
        <item x="19"/>
        <item x="24"/>
        <item x="12"/>
        <item x="0"/>
        <item x="5"/>
        <item x="22"/>
        <item x="20"/>
        <item x="21"/>
        <item x="3"/>
        <item x="17"/>
        <item x="7"/>
        <item x="1"/>
        <item x="2"/>
        <item x="6"/>
        <item x="23"/>
        <item x="25"/>
        <item x="14"/>
        <item x="10"/>
        <item x="8"/>
        <item x="15"/>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items count="2">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items count="3">
        <item x="0"/>
        <item x="1"/>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s>
  <rowFields count="2">
    <field x="1"/>
    <field x="3"/>
  </rowFields>
  <rowItems count="25">
    <i>
      <x/>
      <x v="26"/>
    </i>
    <i>
      <x v="1"/>
      <x v="8"/>
    </i>
    <i>
      <x v="2"/>
      <x v="11"/>
    </i>
    <i>
      <x v="3"/>
      <x v="6"/>
    </i>
    <i>
      <x v="4"/>
      <x v="7"/>
    </i>
    <i>
      <x v="5"/>
      <x v="12"/>
    </i>
    <i>
      <x v="6"/>
      <x v="19"/>
    </i>
    <i>
      <x v="7"/>
      <x v="22"/>
    </i>
    <i>
      <x v="8"/>
      <x v="20"/>
    </i>
    <i>
      <x v="9"/>
      <x v="21"/>
    </i>
    <i>
      <x v="10"/>
      <x v="4"/>
    </i>
    <i>
      <x v="11"/>
      <x v="24"/>
    </i>
    <i>
      <x v="12"/>
      <x v="23"/>
    </i>
    <i>
      <x v="13"/>
      <x v="14"/>
    </i>
    <i>
      <x v="14"/>
      <x v="13"/>
    </i>
    <i>
      <x v="15"/>
      <x v="15"/>
    </i>
    <i>
      <x v="16"/>
      <x v="25"/>
    </i>
    <i>
      <x v="17"/>
      <x v="10"/>
    </i>
    <i>
      <x v="18"/>
      <x v="9"/>
    </i>
    <i>
      <x v="19"/>
      <x v="1"/>
    </i>
    <i>
      <x v="20"/>
      <x/>
    </i>
    <i>
      <x v="21"/>
      <x v="28"/>
    </i>
    <i>
      <x v="22"/>
      <x v="3"/>
    </i>
    <i>
      <x v="23"/>
      <x v="5"/>
    </i>
    <i>
      <x v="24"/>
      <x v="2"/>
    </i>
  </rowItems>
  <colItems count="1">
    <i/>
  </colItems>
  <pageFields count="1">
    <pageField fld="0" hier="-1"/>
  </pageFields>
  <dataFields count="1">
    <dataField name="Product Rank " fld="32" subtotal="min" baseField="3" baseItem="0"/>
  </dataFields>
  <formats count="2">
    <format dxfId="23">
      <pivotArea type="all" dataOnly="0" outline="0" fieldPosition="0"/>
    </format>
    <format dxfId="22">
      <pivotArea field="0" type="button" dataOnly="0" labelOnly="1" outline="0" axis="axisPage" fieldPosition="0"/>
    </format>
  </formats>
  <chartFormats count="1">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BF74B34A-A64E-4AA8-93FD-7A2C7F6BF5D1}" name="Page2_PT2" cacheId="2341"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multipleFieldFilters="0" chartFormat="18">
  <location ref="AD8:AF33" firstHeaderRow="1" firstDataRow="1" firstDataCol="2" rowPageCount="1" colPageCount="1"/>
  <pivotFields count="62">
    <pivotField axis="axisPage" compact="0" outline="0" showAll="0" defaultSubtotal="0">
      <items count="44">
        <item x="4"/>
        <item x="2"/>
        <item x="5"/>
        <item x="1"/>
        <item x="3"/>
        <item x="0"/>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items count="10">
        <item m="1" x="8"/>
        <item x="1"/>
        <item x="6"/>
        <item x="5"/>
        <item x="7"/>
        <item x="3"/>
        <item x="0"/>
        <item x="2"/>
        <item x="4"/>
        <item t="default"/>
      </items>
      <extLst>
        <ext xmlns:x14="http://schemas.microsoft.com/office/spreadsheetml/2009/9/main" uri="{2946ED86-A175-432a-8AC1-64E0C546D7DE}">
          <x14:pivotField fillDownLabels="1"/>
        </ext>
      </extLst>
    </pivotField>
    <pivotField compact="0" outline="0" showAll="0">
      <items count="28">
        <item m="1" x="26"/>
        <item x="4"/>
        <item x="11"/>
        <item x="16"/>
        <item x="13"/>
        <item x="18"/>
        <item x="9"/>
        <item x="19"/>
        <item x="24"/>
        <item x="12"/>
        <item x="0"/>
        <item x="5"/>
        <item x="22"/>
        <item x="20"/>
        <item x="21"/>
        <item x="3"/>
        <item x="17"/>
        <item x="7"/>
        <item x="1"/>
        <item x="2"/>
        <item x="6"/>
        <item x="23"/>
        <item x="25"/>
        <item x="14"/>
        <item x="10"/>
        <item x="8"/>
        <item x="15"/>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60">
        <item x="59"/>
        <item x="18"/>
        <item x="21"/>
        <item x="32"/>
        <item x="50"/>
        <item x="17"/>
        <item x="58"/>
        <item x="31"/>
        <item x="23"/>
        <item x="30"/>
        <item x="48"/>
        <item x="20"/>
        <item x="22"/>
        <item x="43"/>
        <item x="45"/>
        <item x="16"/>
        <item x="47"/>
        <item x="14"/>
        <item x="55"/>
        <item x="57"/>
        <item x="13"/>
        <item x="40"/>
        <item x="39"/>
        <item x="29"/>
        <item x="10"/>
        <item h="1" x="12"/>
        <item h="1" x="19"/>
        <item h="1" x="51"/>
        <item h="1" x="46"/>
        <item h="1" x="11"/>
        <item h="1" x="56"/>
        <item h="1" x="28"/>
        <item h="1" x="49"/>
        <item h="1" x="42"/>
        <item h="1" x="37"/>
        <item h="1" x="9"/>
        <item h="1" x="54"/>
        <item h="1" x="8"/>
        <item h="1" x="27"/>
        <item h="1" x="15"/>
        <item h="1" x="26"/>
        <item h="1" x="33"/>
        <item h="1" x="7"/>
        <item h="1" x="6"/>
        <item h="1" x="36"/>
        <item h="1" x="34"/>
        <item h="1" x="5"/>
        <item h="1" x="25"/>
        <item h="1" x="52"/>
        <item h="1" x="4"/>
        <item h="1" x="3"/>
        <item h="1" x="38"/>
        <item h="1" x="2"/>
        <item h="1" x="35"/>
        <item h="1" x="24"/>
        <item h="1" x="53"/>
        <item h="1" x="1"/>
        <item h="1" x="44"/>
        <item h="1" x="41"/>
        <item h="1" x="0"/>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items count="2">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items count="77">
        <item m="1" x="62"/>
        <item m="1" x="63"/>
        <item m="1" x="65"/>
        <item m="1" x="66"/>
        <item x="0"/>
        <item x="41"/>
        <item m="1" x="64"/>
        <item x="44"/>
        <item x="1"/>
        <item x="53"/>
        <item m="1" x="67"/>
        <item m="1" x="68"/>
        <item x="24"/>
        <item m="1" x="69"/>
        <item x="35"/>
        <item m="1" x="71"/>
        <item x="2"/>
        <item m="1" x="72"/>
        <item x="38"/>
        <item x="3"/>
        <item m="1" x="75"/>
        <item x="4"/>
        <item m="1" x="73"/>
        <item x="52"/>
        <item m="1" x="74"/>
        <item x="25"/>
        <item x="5"/>
        <item x="34"/>
        <item x="36"/>
        <item x="6"/>
        <item x="7"/>
        <item x="33"/>
        <item x="26"/>
        <item x="15"/>
        <item x="27"/>
        <item x="8"/>
        <item x="54"/>
        <item x="9"/>
        <item x="37"/>
        <item x="42"/>
        <item x="49"/>
        <item x="28"/>
        <item x="56"/>
        <item x="11"/>
        <item x="46"/>
        <item x="51"/>
        <item x="19"/>
        <item m="1" x="70"/>
        <item x="12"/>
        <item m="1" x="60"/>
        <item x="29"/>
        <item x="39"/>
        <item x="40"/>
        <item x="13"/>
        <item x="57"/>
        <item x="59"/>
        <item m="1" x="61"/>
        <item x="55"/>
        <item x="14"/>
        <item x="47"/>
        <item x="16"/>
        <item x="45"/>
        <item x="43"/>
        <item x="22"/>
        <item x="20"/>
        <item x="48"/>
        <item x="30"/>
        <item x="23"/>
        <item x="31"/>
        <item x="58"/>
        <item x="17"/>
        <item x="50"/>
        <item x="32"/>
        <item x="21"/>
        <item x="18"/>
        <item x="1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items count="3">
        <item x="0"/>
        <item x="1"/>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dataField="1"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s>
  <rowFields count="2">
    <field x="8"/>
    <field x="12"/>
  </rowFields>
  <rowItems count="25">
    <i>
      <x/>
      <x v="55"/>
    </i>
    <i>
      <x v="1"/>
      <x v="74"/>
    </i>
    <i>
      <x v="2"/>
      <x v="73"/>
    </i>
    <i>
      <x v="3"/>
      <x v="72"/>
    </i>
    <i>
      <x v="4"/>
      <x v="71"/>
    </i>
    <i>
      <x v="5"/>
      <x v="70"/>
    </i>
    <i>
      <x v="6"/>
      <x v="69"/>
    </i>
    <i>
      <x v="7"/>
      <x v="68"/>
    </i>
    <i>
      <x v="8"/>
      <x v="67"/>
    </i>
    <i>
      <x v="9"/>
      <x v="66"/>
    </i>
    <i>
      <x v="10"/>
      <x v="65"/>
    </i>
    <i>
      <x v="11"/>
      <x v="64"/>
    </i>
    <i>
      <x v="12"/>
      <x v="63"/>
    </i>
    <i>
      <x v="13"/>
      <x v="62"/>
    </i>
    <i>
      <x v="14"/>
      <x v="61"/>
    </i>
    <i>
      <x v="15"/>
      <x v="60"/>
    </i>
    <i>
      <x v="16"/>
      <x v="59"/>
    </i>
    <i>
      <x v="17"/>
      <x v="58"/>
    </i>
    <i>
      <x v="18"/>
      <x v="57"/>
    </i>
    <i>
      <x v="19"/>
      <x v="54"/>
    </i>
    <i>
      <x v="20"/>
      <x v="53"/>
    </i>
    <i>
      <x v="21"/>
      <x v="52"/>
    </i>
    <i>
      <x v="22"/>
      <x v="51"/>
    </i>
    <i>
      <x v="23"/>
      <x v="50"/>
    </i>
    <i>
      <x v="24"/>
      <x v="75"/>
    </i>
  </rowItems>
  <colItems count="1">
    <i/>
  </colItems>
  <pageFields count="1">
    <pageField fld="0" hier="-1"/>
  </pageFields>
  <dataFields count="1">
    <dataField name="Spend - USD M" fld="56" baseField="0" baseItem="0" numFmtId="3"/>
  </dataFields>
  <formats count="4">
    <format dxfId="27">
      <pivotArea type="all" dataOnly="0" outline="0" fieldPosition="0"/>
    </format>
    <format dxfId="26">
      <pivotArea field="0" type="button" dataOnly="0" labelOnly="1" outline="0" axis="axisPage" fieldPosition="0"/>
    </format>
    <format dxfId="25">
      <pivotArea outline="0" collapsedLevelsAreSubtotals="1" fieldPosition="0"/>
    </format>
    <format dxfId="24">
      <pivotArea dataOnly="0" labelOnly="1" outline="0" axis="axisValues" fieldPosition="0"/>
    </format>
  </formats>
  <chartFormats count="2">
    <chartFormat chart="5" format="7"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BD4E2702-C499-4CF9-9939-D24D2C4C1F0D}" name="Page1_PT5" cacheId="2341"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multipleFieldFilters="0" chartFormat="9">
  <location ref="R8:S27" firstHeaderRow="1" firstDataRow="1" firstDataCol="1" rowPageCount="1" colPageCount="1"/>
  <pivotFields count="62">
    <pivotField axis="axisPage" compact="0" outline="0" showAll="0">
      <items count="45">
        <item x="30"/>
        <item x="26"/>
        <item x="31"/>
        <item x="32"/>
        <item x="25"/>
        <item x="24"/>
        <item x="7"/>
        <item x="8"/>
        <item x="34"/>
        <item x="35"/>
        <item x="33"/>
        <item x="36"/>
        <item x="37"/>
        <item x="29"/>
        <item x="28"/>
        <item x="38"/>
        <item x="18"/>
        <item x="19"/>
        <item x="22"/>
        <item x="27"/>
        <item x="39"/>
        <item x="10"/>
        <item x="14"/>
        <item x="13"/>
        <item x="41"/>
        <item x="40"/>
        <item x="43"/>
        <item x="17"/>
        <item x="4"/>
        <item x="12"/>
        <item x="16"/>
        <item x="2"/>
        <item x="5"/>
        <item x="9"/>
        <item x="1"/>
        <item x="11"/>
        <item x="42"/>
        <item x="15"/>
        <item x="20"/>
        <item x="21"/>
        <item x="23"/>
        <item x="3"/>
        <item x="6"/>
        <item x="0"/>
        <item t="default"/>
      </items>
    </pivotField>
    <pivotField compact="0" outline="0" showAll="0"/>
    <pivotField compact="0" outline="0" showAll="0"/>
    <pivotField compact="0" outline="0" showAll="0" defaultSubtotal="0">
      <items count="45">
        <item h="1" m="1" x="44"/>
        <item h="1" x="21"/>
        <item h="1" x="20"/>
        <item h="1" x="23"/>
        <item h="1" x="4"/>
        <item h="1" x="12"/>
        <item h="1" x="22"/>
        <item h="1" x="8"/>
        <item h="1" x="1"/>
        <item h="1" x="6"/>
        <item h="1" x="31"/>
        <item h="1" x="34"/>
        <item h="1" x="19"/>
        <item h="1" x="18"/>
        <item h="1" x="7"/>
        <item h="1" x="9"/>
        <item h="1" x="38"/>
        <item h="1" x="15"/>
        <item h="1" x="3"/>
        <item h="1" x="16"/>
        <item h="1" x="42"/>
        <item h="1" x="26"/>
        <item h="1" x="25"/>
        <item h="1" x="24"/>
        <item h="1" x="41"/>
        <item h="1" x="10"/>
        <item h="1" x="2"/>
        <item h="1" x="32"/>
        <item h="1" x="43"/>
        <item h="1" x="29"/>
        <item h="1" x="33"/>
        <item h="1" x="35"/>
        <item h="1" x="39"/>
        <item h="1" x="37"/>
        <item h="1" x="5"/>
        <item h="1" x="40"/>
        <item h="1" x="11"/>
        <item h="1" x="14"/>
        <item h="1" x="13"/>
        <item h="1" x="17"/>
        <item h="1" x="28"/>
        <item h="1" x="36"/>
        <item h="1" x="27"/>
        <item h="1" x="30"/>
        <item x="0"/>
      </items>
    </pivotField>
    <pivotField compact="0" outline="0" showAll="0">
      <items count="10">
        <item m="1" x="8"/>
        <item x="1"/>
        <item x="6"/>
        <item x="5"/>
        <item x="7"/>
        <item x="3"/>
        <item x="0"/>
        <item x="2"/>
        <item x="4"/>
        <item t="default"/>
      </items>
    </pivotField>
    <pivotField compact="0" outline="0" showAll="0">
      <items count="28">
        <item m="1" x="26"/>
        <item x="4"/>
        <item x="11"/>
        <item x="16"/>
        <item x="13"/>
        <item x="18"/>
        <item x="9"/>
        <item x="19"/>
        <item x="24"/>
        <item x="12"/>
        <item x="0"/>
        <item x="5"/>
        <item x="22"/>
        <item x="20"/>
        <item x="21"/>
        <item x="3"/>
        <item x="17"/>
        <item x="7"/>
        <item x="1"/>
        <item x="2"/>
        <item x="6"/>
        <item x="23"/>
        <item x="25"/>
        <item x="14"/>
        <item x="10"/>
        <item x="8"/>
        <item x="15"/>
        <item t="default"/>
      </items>
    </pivotField>
    <pivotField compact="0" outline="0" showAll="0"/>
    <pivotField compact="0" outline="0" showAll="0"/>
    <pivotField compact="0" outline="0" showAll="0"/>
    <pivotField compact="0" outline="0" showAll="0"/>
    <pivotField compact="0" outline="0" showAll="0">
      <items count="2">
        <item x="0"/>
        <item t="default"/>
      </items>
    </pivotField>
    <pivotField compact="0" outline="0" showAll="0"/>
    <pivotField axis="axisRow" compact="0" outline="0" showAll="0">
      <items count="77">
        <item m="1" x="62"/>
        <item m="1" x="63"/>
        <item m="1" x="65"/>
        <item m="1" x="66"/>
        <item x="0"/>
        <item x="41"/>
        <item m="1" x="64"/>
        <item x="44"/>
        <item x="1"/>
        <item m="1" x="67"/>
        <item m="1" x="68"/>
        <item x="24"/>
        <item m="1" x="69"/>
        <item x="35"/>
        <item m="1" x="71"/>
        <item x="2"/>
        <item m="1" x="72"/>
        <item x="38"/>
        <item x="3"/>
        <item m="1" x="75"/>
        <item x="4"/>
        <item m="1" x="73"/>
        <item x="52"/>
        <item m="1" x="74"/>
        <item x="25"/>
        <item x="5"/>
        <item x="34"/>
        <item x="36"/>
        <item x="6"/>
        <item x="7"/>
        <item x="33"/>
        <item x="26"/>
        <item x="15"/>
        <item x="27"/>
        <item x="8"/>
        <item x="9"/>
        <item x="37"/>
        <item x="42"/>
        <item x="49"/>
        <item x="28"/>
        <item x="11"/>
        <item x="46"/>
        <item x="19"/>
        <item m="1" x="70"/>
        <item x="12"/>
        <item m="1" x="60"/>
        <item x="29"/>
        <item x="39"/>
        <item x="40"/>
        <item x="13"/>
        <item x="59"/>
        <item x="14"/>
        <item x="47"/>
        <item x="16"/>
        <item x="45"/>
        <item x="43"/>
        <item x="22"/>
        <item x="20"/>
        <item x="48"/>
        <item x="30"/>
        <item x="23"/>
        <item x="31"/>
        <item x="17"/>
        <item x="32"/>
        <item x="21"/>
        <item x="18"/>
        <item x="50"/>
        <item x="51"/>
        <item x="53"/>
        <item x="54"/>
        <item x="55"/>
        <item m="1" x="61"/>
        <item x="56"/>
        <item x="57"/>
        <item x="58"/>
        <item x="10"/>
        <item t="default"/>
      </items>
    </pivotField>
    <pivotField compact="0" outline="0" showAll="0"/>
    <pivotField compact="0" outline="0" showAll="0"/>
    <pivotField compact="0" outline="0" showAll="0"/>
    <pivotField compact="0" outline="0" showAll="0"/>
    <pivotField compact="0" outline="0" showAll="0"/>
    <pivotField compact="0" numFmtId="3" outline="0" showAll="0"/>
    <pivotField compact="0" numFmtId="3" outline="0" showAll="0"/>
    <pivotField compact="0" numFmtId="3" outline="0" showAll="0"/>
    <pivotField compact="0" numFmtId="3" outline="0" showAll="0"/>
    <pivotField compact="0" outline="0" showAll="0"/>
    <pivotField compact="0" numFmtId="3" outline="0" showAll="0"/>
    <pivotField compact="0" outline="0" showAll="0"/>
    <pivotField compact="0" numFmtId="9" outline="0" showAll="0"/>
    <pivotField compact="0" numFmtId="3" outline="0" showAll="0"/>
    <pivotField compact="0" outline="0" showAll="0"/>
    <pivotField compact="0" numFmtId="9" outline="0" showAll="0"/>
    <pivotField compact="0" numFmtId="3" outline="0" showAll="0"/>
    <pivotField compact="0" numFmtId="3" outline="0" showAll="0"/>
    <pivotField compact="0" numFmtId="9" outline="0" showAll="0"/>
    <pivotField compact="0" numFmtId="3" outline="0" showAll="0"/>
    <pivotField compact="0" numFmtId="4" outline="0" showAll="0"/>
    <pivotField compact="0" outline="0" showAll="0"/>
    <pivotField compact="0" outline="0" showAll="0"/>
    <pivotField compact="0" outline="0" showAll="0"/>
    <pivotField compact="0" numFmtId="3" outline="0" showAll="0"/>
    <pivotField compact="0" numFmtId="3" outline="0" showAll="0"/>
    <pivotField compact="0" numFmtId="9" outline="0" showAll="0"/>
    <pivotField compact="0" numFmtId="3" outline="0" showAll="0"/>
    <pivotField compact="0" outline="0" showAll="0"/>
    <pivotField compact="0" numFmtId="3" outline="0" showAll="0"/>
    <pivotField compact="0" numFmtId="3" outline="0" showAll="0"/>
    <pivotField compact="0" outline="0" showAll="0"/>
    <pivotField compact="0" outline="0" showAll="0"/>
    <pivotField compact="0" numFmtId="3" outline="0" showAll="0"/>
    <pivotField compact="0" numFmtId="9" outline="0" showAll="0"/>
    <pivotField compact="0" numFmtId="9" outline="0" showAll="0"/>
    <pivotField compact="0" outline="0" showAll="0"/>
    <pivotField compact="0" numFmtId="3" outline="0" showAll="0"/>
    <pivotField compact="0" outline="0" showAll="0"/>
    <pivotField compact="0" outline="0" showAll="0">
      <items count="3">
        <item x="0"/>
        <item x="1"/>
        <item t="default"/>
      </items>
    </pivotField>
    <pivotField compact="0" outline="0" showAl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dataField="1"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s>
  <rowFields count="1">
    <field x="12"/>
  </rowFields>
  <rowItems count="19">
    <i>
      <x v="4"/>
    </i>
    <i>
      <x v="8"/>
    </i>
    <i>
      <x v="15"/>
    </i>
    <i>
      <x v="18"/>
    </i>
    <i>
      <x v="20"/>
    </i>
    <i>
      <x v="25"/>
    </i>
    <i>
      <x v="28"/>
    </i>
    <i>
      <x v="29"/>
    </i>
    <i>
      <x v="32"/>
    </i>
    <i>
      <x v="34"/>
    </i>
    <i>
      <x v="35"/>
    </i>
    <i>
      <x v="40"/>
    </i>
    <i>
      <x v="44"/>
    </i>
    <i>
      <x v="49"/>
    </i>
    <i>
      <x v="51"/>
    </i>
    <i>
      <x v="53"/>
    </i>
    <i>
      <x v="62"/>
    </i>
    <i>
      <x v="65"/>
    </i>
    <i>
      <x v="75"/>
    </i>
  </rowItems>
  <colItems count="1">
    <i/>
  </colItems>
  <pageFields count="1">
    <pageField fld="0" hier="-1"/>
  </pageFields>
  <dataFields count="1">
    <dataField name="Volume_Ton " fld="57" baseField="0" baseItem="0" numFmtId="3"/>
  </dataFields>
  <formats count="4">
    <format dxfId="31">
      <pivotArea outline="0" collapsedLevelsAreSubtotals="1" fieldPosition="0"/>
    </format>
    <format dxfId="30">
      <pivotArea field="12" type="button" dataOnly="0" labelOnly="1" outline="0" axis="axisRow" fieldPosition="0"/>
    </format>
    <format dxfId="29">
      <pivotArea dataOnly="0" labelOnly="1" grandRow="1" outline="0" fieldPosition="0"/>
    </format>
    <format dxfId="28">
      <pivotArea dataOnly="0" labelOnly="1" outline="0" axis="axisValues" fieldPosition="0"/>
    </format>
  </formats>
  <chartFormats count="1">
    <chartFormat chart="5"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B06B0224-A70E-4A7E-917B-21E63D82CF20}" name="Page1_PT2" cacheId="2341"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multipleFieldFilters="0" chartFormat="15">
  <location ref="F8:H33" firstHeaderRow="1" firstDataRow="1" firstDataCol="2" rowPageCount="1" colPageCount="1"/>
  <pivotFields count="62">
    <pivotField axis="axisPage" compact="0" outline="0" showAll="0" defaultSubtotal="0">
      <items count="44">
        <item x="4"/>
        <item x="2"/>
        <item x="5"/>
        <item x="1"/>
        <item x="3"/>
        <item x="0"/>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s>
      <extLst>
        <ext xmlns:x14="http://schemas.microsoft.com/office/spreadsheetml/2009/9/main" uri="{2946ED86-A175-432a-8AC1-64E0C546D7DE}">
          <x14:pivotField fillDownLabels="1"/>
        </ext>
      </extLst>
    </pivotField>
    <pivotField axis="axisRow" compact="0" outline="0" showAll="0" defaultSubtotal="0">
      <items count="44">
        <item x="0"/>
        <item x="6"/>
        <item x="7"/>
        <item x="8"/>
        <item x="1"/>
        <item x="9"/>
        <item x="10"/>
        <item x="11"/>
        <item x="2"/>
        <item x="5"/>
        <item x="12"/>
        <item x="13"/>
        <item x="14"/>
        <item x="3"/>
        <item x="15"/>
        <item x="16"/>
        <item x="17"/>
        <item x="18"/>
        <item x="19"/>
        <item x="20"/>
        <item x="21"/>
        <item x="27"/>
        <item x="4"/>
        <item x="22"/>
        <item x="23"/>
        <item h="1" x="24"/>
        <item h="1" x="25"/>
        <item h="1" x="26"/>
        <item h="1" x="28"/>
        <item h="1" x="29"/>
        <item h="1" x="30"/>
        <item h="1" x="31"/>
        <item h="1" x="32"/>
        <item h="1" x="33"/>
        <item h="1" x="34"/>
        <item h="1" x="35"/>
        <item h="1" x="36"/>
        <item h="1" x="37"/>
        <item h="1" x="38"/>
        <item h="1" x="39"/>
        <item h="1" x="40"/>
        <item h="1" x="41"/>
        <item h="1" x="42"/>
        <item h="1" x="43"/>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items count="46">
        <item x="21"/>
        <item x="20"/>
        <item x="23"/>
        <item x="4"/>
        <item x="12"/>
        <item x="22"/>
        <item x="8"/>
        <item x="1"/>
        <item x="6"/>
        <item x="19"/>
        <item x="18"/>
        <item x="7"/>
        <item x="9"/>
        <item x="15"/>
        <item x="3"/>
        <item x="16"/>
        <item x="26"/>
        <item x="25"/>
        <item x="24"/>
        <item x="10"/>
        <item x="2"/>
        <item x="5"/>
        <item x="11"/>
        <item x="14"/>
        <item x="13"/>
        <item x="17"/>
        <item x="0"/>
        <item m="1" x="44"/>
        <item x="27"/>
        <item x="28"/>
        <item x="29"/>
        <item x="30"/>
        <item x="31"/>
        <item x="32"/>
        <item x="33"/>
        <item x="34"/>
        <item x="35"/>
        <item x="36"/>
        <item x="37"/>
        <item x="38"/>
        <item x="39"/>
        <item x="40"/>
        <item x="41"/>
        <item x="42"/>
        <item x="43"/>
        <item t="default"/>
      </items>
      <extLst>
        <ext xmlns:x14="http://schemas.microsoft.com/office/spreadsheetml/2009/9/main" uri="{2946ED86-A175-432a-8AC1-64E0C546D7DE}">
          <x14:pivotField fillDownLabels="1"/>
        </ext>
      </extLst>
    </pivotField>
    <pivotField compact="0" outline="0" showAll="0">
      <items count="10">
        <item m="1" x="8"/>
        <item x="1"/>
        <item x="6"/>
        <item x="5"/>
        <item x="7"/>
        <item x="3"/>
        <item x="0"/>
        <item x="2"/>
        <item x="4"/>
        <item t="default"/>
      </items>
      <extLst>
        <ext xmlns:x14="http://schemas.microsoft.com/office/spreadsheetml/2009/9/main" uri="{2946ED86-A175-432a-8AC1-64E0C546D7DE}">
          <x14:pivotField fillDownLabels="1"/>
        </ext>
      </extLst>
    </pivotField>
    <pivotField compact="0" outline="0" showAll="0">
      <items count="28">
        <item m="1" x="26"/>
        <item x="4"/>
        <item x="11"/>
        <item x="16"/>
        <item x="13"/>
        <item x="18"/>
        <item x="9"/>
        <item x="19"/>
        <item x="24"/>
        <item x="12"/>
        <item x="0"/>
        <item x="5"/>
        <item x="22"/>
        <item x="20"/>
        <item x="21"/>
        <item x="3"/>
        <item x="17"/>
        <item x="7"/>
        <item x="1"/>
        <item x="2"/>
        <item x="6"/>
        <item x="23"/>
        <item x="25"/>
        <item x="14"/>
        <item x="10"/>
        <item x="8"/>
        <item x="15"/>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items count="2">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items count="3">
        <item x="0"/>
        <item x="1"/>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dataField="1"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s>
  <rowFields count="2">
    <field x="1"/>
    <field x="3"/>
  </rowFields>
  <rowItems count="25">
    <i>
      <x/>
      <x v="26"/>
    </i>
    <i>
      <x v="1"/>
      <x v="8"/>
    </i>
    <i>
      <x v="2"/>
      <x v="11"/>
    </i>
    <i>
      <x v="3"/>
      <x v="6"/>
    </i>
    <i>
      <x v="4"/>
      <x v="7"/>
    </i>
    <i>
      <x v="5"/>
      <x v="12"/>
    </i>
    <i>
      <x v="6"/>
      <x v="19"/>
    </i>
    <i>
      <x v="7"/>
      <x v="22"/>
    </i>
    <i>
      <x v="8"/>
      <x v="20"/>
    </i>
    <i>
      <x v="9"/>
      <x v="21"/>
    </i>
    <i>
      <x v="10"/>
      <x v="4"/>
    </i>
    <i>
      <x v="11"/>
      <x v="24"/>
    </i>
    <i>
      <x v="12"/>
      <x v="23"/>
    </i>
    <i>
      <x v="13"/>
      <x v="14"/>
    </i>
    <i>
      <x v="14"/>
      <x v="13"/>
    </i>
    <i>
      <x v="15"/>
      <x v="15"/>
    </i>
    <i>
      <x v="16"/>
      <x v="25"/>
    </i>
    <i>
      <x v="17"/>
      <x v="10"/>
    </i>
    <i>
      <x v="18"/>
      <x v="9"/>
    </i>
    <i>
      <x v="19"/>
      <x v="1"/>
    </i>
    <i>
      <x v="20"/>
      <x/>
    </i>
    <i>
      <x v="21"/>
      <x v="28"/>
    </i>
    <i>
      <x v="22"/>
      <x v="3"/>
    </i>
    <i>
      <x v="23"/>
      <x v="5"/>
    </i>
    <i>
      <x v="24"/>
      <x v="2"/>
    </i>
  </rowItems>
  <colItems count="1">
    <i/>
  </colItems>
  <pageFields count="1">
    <pageField fld="0" hier="-1"/>
  </pageFields>
  <dataFields count="1">
    <dataField name="Spend - USD M" fld="56" baseField="0" baseItem="0" numFmtId="3"/>
  </dataFields>
  <formats count="4">
    <format dxfId="35">
      <pivotArea type="all" dataOnly="0" outline="0" fieldPosition="0"/>
    </format>
    <format dxfId="34">
      <pivotArea field="0" type="button" dataOnly="0" labelOnly="1" outline="0" axis="axisPage" fieldPosition="0"/>
    </format>
    <format dxfId="33">
      <pivotArea outline="0" collapsedLevelsAreSubtotals="1" fieldPosition="0"/>
    </format>
    <format dxfId="32">
      <pivotArea dataOnly="0" labelOnly="1" outline="0" axis="axisValues" fieldPosition="0"/>
    </format>
  </formats>
  <chartFormats count="1">
    <chartFormat chart="5"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25641CD5-D222-48D4-ADB5-E31F7CF49B65}" name="Page1_PT3" cacheId="2341"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multipleFieldFilters="0" chartFormat="18">
  <location ref="J8:L33" firstHeaderRow="1" firstDataRow="1" firstDataCol="2" rowPageCount="1" colPageCount="1"/>
  <pivotFields count="62">
    <pivotField axis="axisPage" compact="0" outline="0" showAll="0" defaultSubtotal="0">
      <items count="44">
        <item x="4"/>
        <item x="2"/>
        <item x="5"/>
        <item x="1"/>
        <item x="3"/>
        <item x="0"/>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s>
      <extLst>
        <ext xmlns:x14="http://schemas.microsoft.com/office/spreadsheetml/2009/9/main" uri="{2946ED86-A175-432a-8AC1-64E0C546D7DE}">
          <x14:pivotField fillDownLabels="1"/>
        </ext>
      </extLst>
    </pivotField>
    <pivotField axis="axisRow" compact="0" outline="0" showAll="0" defaultSubtotal="0">
      <items count="44">
        <item x="0"/>
        <item x="6"/>
        <item x="7"/>
        <item x="8"/>
        <item x="1"/>
        <item x="9"/>
        <item x="10"/>
        <item x="11"/>
        <item x="2"/>
        <item x="5"/>
        <item x="12"/>
        <item x="13"/>
        <item x="14"/>
        <item x="3"/>
        <item x="15"/>
        <item x="16"/>
        <item x="17"/>
        <item x="18"/>
        <item x="19"/>
        <item x="20"/>
        <item x="21"/>
        <item x="27"/>
        <item x="4"/>
        <item x="22"/>
        <item x="23"/>
        <item h="1" x="24"/>
        <item h="1" x="25"/>
        <item h="1" x="26"/>
        <item h="1" x="28"/>
        <item h="1" x="29"/>
        <item h="1" x="30"/>
        <item h="1" x="31"/>
        <item h="1" x="32"/>
        <item h="1" x="33"/>
        <item h="1" x="34"/>
        <item h="1" x="35"/>
        <item h="1" x="36"/>
        <item h="1" x="37"/>
        <item h="1" x="38"/>
        <item h="1" x="39"/>
        <item h="1" x="40"/>
        <item h="1" x="41"/>
        <item h="1" x="42"/>
        <item h="1" x="43"/>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items count="46">
        <item x="21"/>
        <item x="20"/>
        <item x="23"/>
        <item x="4"/>
        <item x="12"/>
        <item x="22"/>
        <item x="8"/>
        <item x="1"/>
        <item x="6"/>
        <item x="19"/>
        <item x="18"/>
        <item x="7"/>
        <item x="9"/>
        <item x="15"/>
        <item x="3"/>
        <item x="16"/>
        <item x="26"/>
        <item x="25"/>
        <item x="24"/>
        <item x="10"/>
        <item x="2"/>
        <item x="5"/>
        <item x="11"/>
        <item x="14"/>
        <item x="13"/>
        <item x="17"/>
        <item x="0"/>
        <item m="1" x="44"/>
        <item x="27"/>
        <item x="28"/>
        <item x="29"/>
        <item x="30"/>
        <item x="31"/>
        <item x="32"/>
        <item x="33"/>
        <item x="34"/>
        <item x="35"/>
        <item x="36"/>
        <item x="37"/>
        <item x="38"/>
        <item x="39"/>
        <item x="40"/>
        <item x="41"/>
        <item x="42"/>
        <item x="43"/>
        <item t="default"/>
      </items>
      <extLst>
        <ext xmlns:x14="http://schemas.microsoft.com/office/spreadsheetml/2009/9/main" uri="{2946ED86-A175-432a-8AC1-64E0C546D7DE}">
          <x14:pivotField fillDownLabels="1"/>
        </ext>
      </extLst>
    </pivotField>
    <pivotField compact="0" outline="0" showAll="0">
      <items count="10">
        <item m="1" x="8"/>
        <item x="1"/>
        <item x="6"/>
        <item x="5"/>
        <item x="7"/>
        <item x="3"/>
        <item x="0"/>
        <item x="2"/>
        <item x="4"/>
        <item t="default"/>
      </items>
      <extLst>
        <ext xmlns:x14="http://schemas.microsoft.com/office/spreadsheetml/2009/9/main" uri="{2946ED86-A175-432a-8AC1-64E0C546D7DE}">
          <x14:pivotField fillDownLabels="1"/>
        </ext>
      </extLst>
    </pivotField>
    <pivotField compact="0" outline="0" showAll="0">
      <items count="28">
        <item m="1" x="26"/>
        <item x="4"/>
        <item x="11"/>
        <item x="16"/>
        <item x="13"/>
        <item x="18"/>
        <item x="9"/>
        <item x="19"/>
        <item x="24"/>
        <item x="12"/>
        <item x="0"/>
        <item x="5"/>
        <item x="22"/>
        <item x="20"/>
        <item x="21"/>
        <item x="3"/>
        <item x="17"/>
        <item x="7"/>
        <item x="1"/>
        <item x="2"/>
        <item x="6"/>
        <item x="23"/>
        <item x="25"/>
        <item x="14"/>
        <item x="10"/>
        <item x="8"/>
        <item x="15"/>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items count="2">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items count="3">
        <item x="0"/>
        <item x="1"/>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dataField="1"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s>
  <rowFields count="2">
    <field x="1"/>
    <field x="3"/>
  </rowFields>
  <rowItems count="25">
    <i>
      <x/>
      <x v="26"/>
    </i>
    <i>
      <x v="1"/>
      <x v="8"/>
    </i>
    <i>
      <x v="2"/>
      <x v="11"/>
    </i>
    <i>
      <x v="3"/>
      <x v="6"/>
    </i>
    <i>
      <x v="4"/>
      <x v="7"/>
    </i>
    <i>
      <x v="5"/>
      <x v="12"/>
    </i>
    <i>
      <x v="6"/>
      <x v="19"/>
    </i>
    <i>
      <x v="7"/>
      <x v="22"/>
    </i>
    <i>
      <x v="8"/>
      <x v="20"/>
    </i>
    <i>
      <x v="9"/>
      <x v="21"/>
    </i>
    <i>
      <x v="10"/>
      <x v="4"/>
    </i>
    <i>
      <x v="11"/>
      <x v="24"/>
    </i>
    <i>
      <x v="12"/>
      <x v="23"/>
    </i>
    <i>
      <x v="13"/>
      <x v="14"/>
    </i>
    <i>
      <x v="14"/>
      <x v="13"/>
    </i>
    <i>
      <x v="15"/>
      <x v="15"/>
    </i>
    <i>
      <x v="16"/>
      <x v="25"/>
    </i>
    <i>
      <x v="17"/>
      <x v="10"/>
    </i>
    <i>
      <x v="18"/>
      <x v="9"/>
    </i>
    <i>
      <x v="19"/>
      <x v="1"/>
    </i>
    <i>
      <x v="20"/>
      <x/>
    </i>
    <i>
      <x v="21"/>
      <x v="28"/>
    </i>
    <i>
      <x v="22"/>
      <x v="3"/>
    </i>
    <i>
      <x v="23"/>
      <x v="5"/>
    </i>
    <i>
      <x v="24"/>
      <x v="2"/>
    </i>
  </rowItems>
  <colItems count="1">
    <i/>
  </colItems>
  <pageFields count="1">
    <pageField fld="0" hier="-1"/>
  </pageFields>
  <dataFields count="1">
    <dataField name="Product Share %" fld="58" baseField="0" baseItem="0" numFmtId="9"/>
  </dataFields>
  <formats count="2">
    <format dxfId="37">
      <pivotArea type="all" dataOnly="0" outline="0" fieldPosition="0"/>
    </format>
    <format dxfId="36">
      <pivotArea field="0" type="button" dataOnly="0" labelOnly="1" outline="0" axis="axisPage" fieldPosition="0"/>
    </format>
  </formats>
  <chartFormats count="1">
    <chartFormat chart="8"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A37816EF-9A52-4816-B726-BD30F4843F51}" name="PivotTable10" cacheId="2341"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multipleFieldFilters="0" chartFormat="5">
  <location ref="X8:X68" firstHeaderRow="1" firstDataRow="1" firstDataCol="1"/>
  <pivotFields count="62">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items count="10">
        <item m="1" x="8"/>
        <item x="1"/>
        <item x="6"/>
        <item x="5"/>
        <item x="7"/>
        <item x="3"/>
        <item x="0"/>
        <item x="2"/>
        <item x="4"/>
        <item t="default"/>
      </items>
      <extLst>
        <ext xmlns:x14="http://schemas.microsoft.com/office/spreadsheetml/2009/9/main" uri="{2946ED86-A175-432a-8AC1-64E0C546D7DE}">
          <x14:pivotField fillDownLabels="1"/>
        </ext>
      </extLst>
    </pivotField>
    <pivotField compact="0" outline="0" showAll="0">
      <items count="28">
        <item m="1" x="26"/>
        <item x="4"/>
        <item x="11"/>
        <item x="16"/>
        <item x="13"/>
        <item x="18"/>
        <item x="9"/>
        <item x="19"/>
        <item x="24"/>
        <item x="12"/>
        <item x="0"/>
        <item x="5"/>
        <item x="22"/>
        <item x="20"/>
        <item x="21"/>
        <item x="3"/>
        <item x="17"/>
        <item x="7"/>
        <item x="1"/>
        <item x="2"/>
        <item x="6"/>
        <item x="23"/>
        <item x="25"/>
        <item x="14"/>
        <item x="10"/>
        <item x="8"/>
        <item x="15"/>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items count="2">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items count="77">
        <item m="1" x="62"/>
        <item m="1" x="63"/>
        <item m="1" x="65"/>
        <item m="1" x="66"/>
        <item x="0"/>
        <item x="41"/>
        <item m="1" x="64"/>
        <item x="44"/>
        <item x="1"/>
        <item x="53"/>
        <item m="1" x="67"/>
        <item m="1" x="68"/>
        <item x="24"/>
        <item m="1" x="69"/>
        <item x="35"/>
        <item m="1" x="71"/>
        <item x="2"/>
        <item m="1" x="72"/>
        <item x="38"/>
        <item x="3"/>
        <item m="1" x="75"/>
        <item x="4"/>
        <item m="1" x="73"/>
        <item x="52"/>
        <item m="1" x="74"/>
        <item x="25"/>
        <item x="5"/>
        <item x="34"/>
        <item x="36"/>
        <item x="6"/>
        <item x="7"/>
        <item x="33"/>
        <item x="26"/>
        <item x="15"/>
        <item x="27"/>
        <item x="8"/>
        <item x="54"/>
        <item x="9"/>
        <item x="37"/>
        <item x="42"/>
        <item x="49"/>
        <item x="28"/>
        <item x="56"/>
        <item x="11"/>
        <item x="46"/>
        <item x="51"/>
        <item x="19"/>
        <item m="1" x="70"/>
        <item x="12"/>
        <item m="1" x="60"/>
        <item x="29"/>
        <item x="39"/>
        <item x="40"/>
        <item x="13"/>
        <item x="57"/>
        <item x="59"/>
        <item m="1" x="61"/>
        <item x="55"/>
        <item x="14"/>
        <item x="47"/>
        <item x="16"/>
        <item x="45"/>
        <item x="43"/>
        <item x="22"/>
        <item x="20"/>
        <item x="48"/>
        <item x="30"/>
        <item x="23"/>
        <item x="31"/>
        <item x="58"/>
        <item x="17"/>
        <item x="50"/>
        <item x="32"/>
        <item x="21"/>
        <item x="18"/>
        <item x="1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items count="3">
        <item x="0"/>
        <item x="1"/>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s>
  <rowFields count="1">
    <field x="12"/>
  </rowFields>
  <rowItems count="60">
    <i>
      <x v="4"/>
    </i>
    <i>
      <x v="5"/>
    </i>
    <i>
      <x v="7"/>
    </i>
    <i>
      <x v="8"/>
    </i>
    <i>
      <x v="9"/>
    </i>
    <i>
      <x v="12"/>
    </i>
    <i>
      <x v="14"/>
    </i>
    <i>
      <x v="16"/>
    </i>
    <i>
      <x v="18"/>
    </i>
    <i>
      <x v="19"/>
    </i>
    <i>
      <x v="21"/>
    </i>
    <i>
      <x v="23"/>
    </i>
    <i>
      <x v="25"/>
    </i>
    <i>
      <x v="26"/>
    </i>
    <i>
      <x v="27"/>
    </i>
    <i>
      <x v="28"/>
    </i>
    <i>
      <x v="29"/>
    </i>
    <i>
      <x v="30"/>
    </i>
    <i>
      <x v="31"/>
    </i>
    <i>
      <x v="32"/>
    </i>
    <i>
      <x v="33"/>
    </i>
    <i>
      <x v="34"/>
    </i>
    <i>
      <x v="35"/>
    </i>
    <i>
      <x v="36"/>
    </i>
    <i>
      <x v="37"/>
    </i>
    <i>
      <x v="38"/>
    </i>
    <i>
      <x v="39"/>
    </i>
    <i>
      <x v="40"/>
    </i>
    <i>
      <x v="41"/>
    </i>
    <i>
      <x v="42"/>
    </i>
    <i>
      <x v="43"/>
    </i>
    <i>
      <x v="44"/>
    </i>
    <i>
      <x v="45"/>
    </i>
    <i>
      <x v="46"/>
    </i>
    <i>
      <x v="48"/>
    </i>
    <i>
      <x v="50"/>
    </i>
    <i>
      <x v="51"/>
    </i>
    <i>
      <x v="52"/>
    </i>
    <i>
      <x v="53"/>
    </i>
    <i>
      <x v="54"/>
    </i>
    <i>
      <x v="55"/>
    </i>
    <i>
      <x v="57"/>
    </i>
    <i>
      <x v="58"/>
    </i>
    <i>
      <x v="59"/>
    </i>
    <i>
      <x v="60"/>
    </i>
    <i>
      <x v="61"/>
    </i>
    <i>
      <x v="62"/>
    </i>
    <i>
      <x v="63"/>
    </i>
    <i>
      <x v="64"/>
    </i>
    <i>
      <x v="65"/>
    </i>
    <i>
      <x v="66"/>
    </i>
    <i>
      <x v="67"/>
    </i>
    <i>
      <x v="68"/>
    </i>
    <i>
      <x v="69"/>
    </i>
    <i>
      <x v="70"/>
    </i>
    <i>
      <x v="71"/>
    </i>
    <i>
      <x v="72"/>
    </i>
    <i>
      <x v="73"/>
    </i>
    <i>
      <x v="74"/>
    </i>
    <i>
      <x v="75"/>
    </i>
  </rowItems>
  <colItems count="1">
    <i/>
  </colItems>
  <formats count="4">
    <format dxfId="41">
      <pivotArea type="all" dataOnly="0" outline="0" fieldPosition="0"/>
    </format>
    <format dxfId="40">
      <pivotArea field="12" type="button" dataOnly="0" labelOnly="1" outline="0" axis="axisRow" fieldPosition="0"/>
    </format>
    <format dxfId="39">
      <pivotArea dataOnly="0" labelOnly="1" outline="0" fieldPosition="0">
        <references count="1">
          <reference field="12" count="50">
            <x v="4"/>
            <x v="5"/>
            <x v="7"/>
            <x v="8"/>
            <x v="9"/>
            <x v="12"/>
            <x v="14"/>
            <x v="16"/>
            <x v="18"/>
            <x v="19"/>
            <x v="21"/>
            <x v="23"/>
            <x v="25"/>
            <x v="26"/>
            <x v="27"/>
            <x v="28"/>
            <x v="29"/>
            <x v="30"/>
            <x v="31"/>
            <x v="32"/>
            <x v="33"/>
            <x v="34"/>
            <x v="35"/>
            <x v="36"/>
            <x v="37"/>
            <x v="38"/>
            <x v="39"/>
            <x v="40"/>
            <x v="41"/>
            <x v="42"/>
            <x v="43"/>
            <x v="44"/>
            <x v="45"/>
            <x v="46"/>
            <x v="48"/>
            <x v="50"/>
            <x v="51"/>
            <x v="52"/>
            <x v="53"/>
            <x v="54"/>
            <x v="57"/>
            <x v="58"/>
            <x v="59"/>
            <x v="60"/>
            <x v="61"/>
            <x v="62"/>
            <x v="63"/>
            <x v="64"/>
            <x v="65"/>
            <x v="66"/>
          </reference>
        </references>
      </pivotArea>
    </format>
    <format dxfId="38">
      <pivotArea dataOnly="0" labelOnly="1" outline="0" fieldPosition="0">
        <references count="1">
          <reference field="12" count="9">
            <x v="67"/>
            <x v="68"/>
            <x v="69"/>
            <x v="70"/>
            <x v="71"/>
            <x v="72"/>
            <x v="73"/>
            <x v="74"/>
            <x v="7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EDCE72A5-0F36-4999-815C-825B2BDF2585}" name="Page2_PT4" cacheId="2341"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multipleFieldFilters="0" chartFormat="20">
  <location ref="AL8:AN33" firstHeaderRow="1" firstDataRow="1" firstDataCol="2" rowPageCount="1" colPageCount="1"/>
  <pivotFields count="62">
    <pivotField axis="axisPage" compact="0" outline="0" showAll="0" defaultSubtotal="0">
      <items count="44">
        <item x="4"/>
        <item x="2"/>
        <item x="5"/>
        <item x="1"/>
        <item x="3"/>
        <item x="0"/>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items count="10">
        <item m="1" x="8"/>
        <item x="1"/>
        <item x="6"/>
        <item x="5"/>
        <item x="7"/>
        <item x="3"/>
        <item x="0"/>
        <item x="2"/>
        <item x="4"/>
        <item t="default"/>
      </items>
      <extLst>
        <ext xmlns:x14="http://schemas.microsoft.com/office/spreadsheetml/2009/9/main" uri="{2946ED86-A175-432a-8AC1-64E0C546D7DE}">
          <x14:pivotField fillDownLabels="1"/>
        </ext>
      </extLst>
    </pivotField>
    <pivotField compact="0" outline="0" showAll="0">
      <items count="28">
        <item m="1" x="26"/>
        <item x="4"/>
        <item x="11"/>
        <item x="16"/>
        <item x="13"/>
        <item x="18"/>
        <item x="9"/>
        <item x="19"/>
        <item x="24"/>
        <item x="12"/>
        <item x="0"/>
        <item x="5"/>
        <item x="22"/>
        <item x="20"/>
        <item x="21"/>
        <item x="3"/>
        <item x="17"/>
        <item x="7"/>
        <item x="1"/>
        <item x="2"/>
        <item x="6"/>
        <item x="23"/>
        <item x="25"/>
        <item x="14"/>
        <item x="10"/>
        <item x="8"/>
        <item x="15"/>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60">
        <item x="59"/>
        <item x="18"/>
        <item x="21"/>
        <item x="32"/>
        <item x="50"/>
        <item x="17"/>
        <item x="58"/>
        <item x="31"/>
        <item x="23"/>
        <item x="30"/>
        <item x="48"/>
        <item x="20"/>
        <item x="22"/>
        <item x="43"/>
        <item x="45"/>
        <item x="16"/>
        <item x="47"/>
        <item x="14"/>
        <item x="55"/>
        <item sd="0" x="57"/>
        <item x="13"/>
        <item x="40"/>
        <item x="39"/>
        <item x="29"/>
        <item x="10"/>
        <item h="1" x="12"/>
        <item h="1" x="19"/>
        <item h="1" x="51"/>
        <item h="1" x="46"/>
        <item h="1" x="11"/>
        <item h="1" x="56"/>
        <item h="1" x="28"/>
        <item h="1" x="49"/>
        <item h="1" x="42"/>
        <item h="1" x="37"/>
        <item h="1" x="9"/>
        <item h="1" x="54"/>
        <item h="1" x="8"/>
        <item h="1" x="27"/>
        <item h="1" x="15"/>
        <item h="1" x="26"/>
        <item h="1" x="33"/>
        <item h="1" x="7"/>
        <item h="1" x="6"/>
        <item h="1" x="36"/>
        <item h="1" x="34"/>
        <item h="1" x="5"/>
        <item h="1" x="25"/>
        <item h="1" x="52"/>
        <item h="1" x="4"/>
        <item h="1" x="3"/>
        <item h="1" x="38"/>
        <item h="1" x="2"/>
        <item h="1" x="35"/>
        <item h="1" x="24"/>
        <item h="1" x="53"/>
        <item h="1" x="1"/>
        <item h="1" x="44"/>
        <item h="1" x="41"/>
        <item h="1" x="0"/>
      </items>
      <extLst>
        <ext xmlns:x14="http://schemas.microsoft.com/office/spreadsheetml/2009/9/main" uri="{2946ED86-A175-432a-8AC1-64E0C546D7DE}">
          <x14:pivotField fillDownLabels="1"/>
        </ext>
      </extLst>
    </pivotField>
    <pivotField compact="0" outline="0" showAll="0">
      <items count="3">
        <item x="0"/>
        <item x="1"/>
        <item t="default"/>
      </items>
      <extLst>
        <ext xmlns:x14="http://schemas.microsoft.com/office/spreadsheetml/2009/9/main" uri="{2946ED86-A175-432a-8AC1-64E0C546D7DE}">
          <x14:pivotField fillDownLabels="1"/>
        </ext>
      </extLst>
    </pivotField>
    <pivotField compact="0" outline="0" showAll="0">
      <items count="2">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items count="77">
        <item m="1" x="62"/>
        <item m="1" x="63"/>
        <item m="1" x="65"/>
        <item m="1" x="66"/>
        <item x="0"/>
        <item x="41"/>
        <item m="1" x="64"/>
        <item x="44"/>
        <item x="1"/>
        <item x="53"/>
        <item m="1" x="67"/>
        <item m="1" x="68"/>
        <item x="24"/>
        <item m="1" x="69"/>
        <item x="35"/>
        <item m="1" x="71"/>
        <item x="2"/>
        <item m="1" x="72"/>
        <item x="38"/>
        <item x="3"/>
        <item m="1" x="75"/>
        <item x="4"/>
        <item m="1" x="73"/>
        <item x="52"/>
        <item m="1" x="74"/>
        <item x="25"/>
        <item x="5"/>
        <item x="34"/>
        <item x="36"/>
        <item x="6"/>
        <item x="7"/>
        <item x="33"/>
        <item x="26"/>
        <item x="15"/>
        <item x="27"/>
        <item x="8"/>
        <item x="54"/>
        <item x="9"/>
        <item x="37"/>
        <item x="42"/>
        <item x="49"/>
        <item x="28"/>
        <item x="56"/>
        <item x="11"/>
        <item x="46"/>
        <item x="51"/>
        <item x="19"/>
        <item m="1" x="70"/>
        <item x="12"/>
        <item m="1" x="60"/>
        <item x="29"/>
        <item x="39"/>
        <item x="40"/>
        <item x="13"/>
        <item x="57"/>
        <item x="59"/>
        <item m="1" x="61"/>
        <item x="55"/>
        <item x="14"/>
        <item x="47"/>
        <item x="16"/>
        <item x="45"/>
        <item x="43"/>
        <item x="22"/>
        <item x="20"/>
        <item x="48"/>
        <item x="30"/>
        <item x="23"/>
        <item x="31"/>
        <item x="58"/>
        <item x="17"/>
        <item x="50"/>
        <item x="32"/>
        <item x="21"/>
        <item x="18"/>
        <item x="1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dataField="1"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items count="3">
        <item x="0"/>
        <item x="1"/>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s>
  <rowFields count="2">
    <field x="8"/>
    <field x="12"/>
  </rowFields>
  <rowItems count="25">
    <i>
      <x/>
      <x v="55"/>
    </i>
    <i>
      <x v="1"/>
      <x v="74"/>
    </i>
    <i>
      <x v="2"/>
      <x v="73"/>
    </i>
    <i>
      <x v="3"/>
      <x v="72"/>
    </i>
    <i>
      <x v="4"/>
      <x v="71"/>
    </i>
    <i>
      <x v="5"/>
      <x v="70"/>
    </i>
    <i>
      <x v="6"/>
      <x v="69"/>
    </i>
    <i>
      <x v="7"/>
      <x v="68"/>
    </i>
    <i>
      <x v="8"/>
      <x v="67"/>
    </i>
    <i>
      <x v="9"/>
      <x v="66"/>
    </i>
    <i>
      <x v="10"/>
      <x v="65"/>
    </i>
    <i>
      <x v="11"/>
      <x v="64"/>
    </i>
    <i>
      <x v="12"/>
      <x v="63"/>
    </i>
    <i>
      <x v="13"/>
      <x v="62"/>
    </i>
    <i>
      <x v="14"/>
      <x v="61"/>
    </i>
    <i>
      <x v="15"/>
      <x v="60"/>
    </i>
    <i>
      <x v="16"/>
      <x v="59"/>
    </i>
    <i>
      <x v="17"/>
      <x v="58"/>
    </i>
    <i>
      <x v="18"/>
      <x v="57"/>
    </i>
    <i>
      <x v="19"/>
    </i>
    <i>
      <x v="20"/>
      <x v="53"/>
    </i>
    <i>
      <x v="21"/>
      <x v="52"/>
    </i>
    <i>
      <x v="22"/>
      <x v="51"/>
    </i>
    <i>
      <x v="23"/>
      <x v="50"/>
    </i>
    <i>
      <x v="24"/>
      <x v="75"/>
    </i>
  </rowItems>
  <colItems count="1">
    <i/>
  </colItems>
  <pageFields count="1">
    <pageField fld="0" hier="-1"/>
  </pageFields>
  <dataFields count="1">
    <dataField name="Origin Rank " fld="26" subtotal="average" baseField="12" baseItem="74" numFmtId="3"/>
  </dataFields>
  <formats count="2">
    <format dxfId="43">
      <pivotArea type="all" dataOnly="0" outline="0" fieldPosition="0"/>
    </format>
    <format dxfId="42">
      <pivotArea field="0" type="button" dataOnly="0" labelOnly="1" outline="0" axis="axisPage" fieldPosition="0"/>
    </format>
  </formats>
  <chartFormats count="1">
    <chartFormat chart="1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8F55A472-7C5F-4B82-8B6E-A7FA6B728134}" name="Page2_PT5" cacheId="2341"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multipleFieldFilters="0" chartFormat="23">
  <location ref="AP8:AQ9" firstHeaderRow="1" firstDataRow="1" firstDataCol="1" rowPageCount="1" colPageCount="1"/>
  <pivotFields count="62">
    <pivotField axis="axisPage" compact="0" outline="0" showAll="0" defaultSubtotal="0">
      <items count="44">
        <item x="4"/>
        <item x="2"/>
        <item x="5"/>
        <item x="1"/>
        <item x="3"/>
        <item x="0"/>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items count="46">
        <item x="21"/>
        <item x="20"/>
        <item x="23"/>
        <item x="4"/>
        <item x="12"/>
        <item x="22"/>
        <item x="8"/>
        <item x="1"/>
        <item x="6"/>
        <item x="19"/>
        <item x="18"/>
        <item x="7"/>
        <item x="9"/>
        <item x="15"/>
        <item x="3"/>
        <item x="16"/>
        <item x="26"/>
        <item x="25"/>
        <item x="24"/>
        <item x="10"/>
        <item x="2"/>
        <item x="5"/>
        <item x="11"/>
        <item x="14"/>
        <item x="13"/>
        <item x="17"/>
        <item x="0"/>
        <item m="1" x="44"/>
        <item x="27"/>
        <item x="28"/>
        <item x="29"/>
        <item x="30"/>
        <item x="31"/>
        <item x="32"/>
        <item x="33"/>
        <item x="34"/>
        <item x="35"/>
        <item x="36"/>
        <item x="37"/>
        <item x="38"/>
        <item x="39"/>
        <item x="40"/>
        <item x="41"/>
        <item x="42"/>
        <item x="43"/>
        <item t="default"/>
      </items>
      <extLst>
        <ext xmlns:x14="http://schemas.microsoft.com/office/spreadsheetml/2009/9/main" uri="{2946ED86-A175-432a-8AC1-64E0C546D7DE}">
          <x14:pivotField fillDownLabels="1"/>
        </ext>
      </extLst>
    </pivotField>
    <pivotField compact="0" outline="0" showAll="0">
      <items count="10">
        <item m="1" x="8"/>
        <item x="1"/>
        <item x="6"/>
        <item x="5"/>
        <item x="7"/>
        <item x="3"/>
        <item x="0"/>
        <item x="2"/>
        <item x="4"/>
        <item t="default"/>
      </items>
      <extLst>
        <ext xmlns:x14="http://schemas.microsoft.com/office/spreadsheetml/2009/9/main" uri="{2946ED86-A175-432a-8AC1-64E0C546D7DE}">
          <x14:pivotField fillDownLabels="1"/>
        </ext>
      </extLst>
    </pivotField>
    <pivotField compact="0" outline="0" showAll="0">
      <items count="28">
        <item m="1" x="26"/>
        <item x="4"/>
        <item x="11"/>
        <item x="16"/>
        <item x="13"/>
        <item x="18"/>
        <item x="9"/>
        <item x="19"/>
        <item x="24"/>
        <item x="12"/>
        <item x="0"/>
        <item x="5"/>
        <item x="22"/>
        <item x="20"/>
        <item x="21"/>
        <item x="3"/>
        <item x="17"/>
        <item x="7"/>
        <item x="1"/>
        <item x="2"/>
        <item x="6"/>
        <item x="23"/>
        <item x="25"/>
        <item x="14"/>
        <item x="10"/>
        <item x="8"/>
        <item x="15"/>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items count="2">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items count="77">
        <item h="1" m="1" x="62"/>
        <item h="1" m="1" x="63"/>
        <item h="1" m="1" x="65"/>
        <item h="1" m="1" x="66"/>
        <item x="0"/>
        <item h="1" x="41"/>
        <item h="1" m="1" x="64"/>
        <item h="1" x="44"/>
        <item h="1" x="1"/>
        <item h="1" x="53"/>
        <item h="1" m="1" x="67"/>
        <item h="1" m="1" x="68"/>
        <item h="1" x="24"/>
        <item h="1" m="1" x="69"/>
        <item h="1" x="35"/>
        <item h="1" m="1" x="71"/>
        <item h="1" x="2"/>
        <item h="1" m="1" x="72"/>
        <item h="1" x="38"/>
        <item h="1" x="3"/>
        <item h="1" m="1" x="75"/>
        <item h="1" x="4"/>
        <item h="1" m="1" x="73"/>
        <item h="1" x="52"/>
        <item h="1" m="1" x="74"/>
        <item h="1" x="25"/>
        <item h="1" x="5"/>
        <item h="1" x="34"/>
        <item h="1" x="36"/>
        <item h="1" x="6"/>
        <item h="1" x="7"/>
        <item h="1" x="33"/>
        <item h="1" x="26"/>
        <item h="1" x="15"/>
        <item h="1" x="27"/>
        <item h="1" x="8"/>
        <item h="1" x="54"/>
        <item h="1" x="9"/>
        <item h="1" x="37"/>
        <item h="1" x="42"/>
        <item h="1" x="49"/>
        <item h="1" x="28"/>
        <item h="1" x="56"/>
        <item h="1" x="11"/>
        <item h="1" x="46"/>
        <item h="1" x="51"/>
        <item h="1" x="19"/>
        <item h="1" m="1" x="70"/>
        <item h="1" x="12"/>
        <item h="1" x="10"/>
        <item h="1" m="1" x="60"/>
        <item h="1" x="29"/>
        <item h="1" x="39"/>
        <item h="1" x="40"/>
        <item h="1" x="13"/>
        <item h="1" x="57"/>
        <item h="1" x="59"/>
        <item h="1" m="1" x="61"/>
        <item h="1" x="55"/>
        <item h="1" x="14"/>
        <item h="1" x="47"/>
        <item h="1" x="16"/>
        <item h="1" x="45"/>
        <item h="1" x="43"/>
        <item h="1" x="22"/>
        <item h="1" x="20"/>
        <item h="1" x="48"/>
        <item h="1" x="30"/>
        <item h="1" x="23"/>
        <item h="1" x="31"/>
        <item h="1" x="58"/>
        <item h="1" x="17"/>
        <item h="1" x="50"/>
        <item h="1" x="32"/>
        <item h="1" x="21"/>
        <item h="1" x="18"/>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items count="3">
        <item x="0"/>
        <item x="1"/>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dataField="1"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s>
  <rowFields count="1">
    <field x="3"/>
  </rowFields>
  <rowItems count="1">
    <i>
      <x v="26"/>
    </i>
  </rowItems>
  <colItems count="1">
    <i/>
  </colItems>
  <pageFields count="1">
    <pageField fld="0" hier="-1"/>
  </pageFields>
  <dataFields count="1">
    <dataField name="Volume_Ton " fld="57" baseField="0" baseItem="0" numFmtId="3"/>
  </dataFields>
  <formats count="2">
    <format dxfId="45">
      <pivotArea type="all" dataOnly="0" outline="0" fieldPosition="0"/>
    </format>
    <format dxfId="44">
      <pivotArea field="0" type="button" dataOnly="0" labelOnly="1" outline="0" axis="axisPage" fieldPosition="0"/>
    </format>
  </formats>
  <chartFormats count="1">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551C505A-D532-4CDE-BFAD-48F59CB1F23E}" name="Page1_PT6" cacheId="2341"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multipleFieldFilters="0" chartFormat="12">
  <location ref="U8:V27" firstHeaderRow="1" firstDataRow="1" firstDataCol="1" rowPageCount="1" colPageCount="1"/>
  <pivotFields count="62">
    <pivotField axis="axisPage" compact="0" outline="0" showAll="0">
      <items count="45">
        <item x="30"/>
        <item x="26"/>
        <item x="31"/>
        <item x="32"/>
        <item x="25"/>
        <item x="24"/>
        <item x="7"/>
        <item x="8"/>
        <item x="34"/>
        <item x="35"/>
        <item x="33"/>
        <item x="36"/>
        <item x="37"/>
        <item x="29"/>
        <item x="28"/>
        <item x="38"/>
        <item x="18"/>
        <item x="19"/>
        <item x="22"/>
        <item x="27"/>
        <item x="39"/>
        <item x="10"/>
        <item x="14"/>
        <item x="13"/>
        <item x="41"/>
        <item x="40"/>
        <item x="43"/>
        <item x="17"/>
        <item x="4"/>
        <item x="12"/>
        <item x="16"/>
        <item x="2"/>
        <item x="5"/>
        <item x="9"/>
        <item x="1"/>
        <item x="11"/>
        <item x="42"/>
        <item x="15"/>
        <item x="20"/>
        <item x="21"/>
        <item x="23"/>
        <item x="3"/>
        <item x="6"/>
        <item x="0"/>
        <item t="default"/>
      </items>
    </pivotField>
    <pivotField compact="0" outline="0" showAll="0"/>
    <pivotField compact="0" outline="0" showAll="0"/>
    <pivotField compact="0" outline="0" showAll="0" defaultSubtotal="0">
      <items count="45">
        <item h="1" m="1" x="44"/>
        <item h="1" x="21"/>
        <item h="1" x="20"/>
        <item h="1" x="23"/>
        <item h="1" x="4"/>
        <item h="1" x="12"/>
        <item h="1" x="22"/>
        <item h="1" x="8"/>
        <item h="1" x="1"/>
        <item h="1" x="6"/>
        <item h="1" x="31"/>
        <item h="1" x="34"/>
        <item h="1" x="19"/>
        <item h="1" x="18"/>
        <item h="1" x="7"/>
        <item h="1" x="9"/>
        <item h="1" x="38"/>
        <item h="1" x="15"/>
        <item h="1" x="3"/>
        <item h="1" x="16"/>
        <item h="1" x="42"/>
        <item h="1" x="26"/>
        <item h="1" x="25"/>
        <item h="1" x="24"/>
        <item h="1" x="41"/>
        <item h="1" x="10"/>
        <item h="1" x="2"/>
        <item h="1" x="32"/>
        <item h="1" x="43"/>
        <item h="1" x="29"/>
        <item h="1" x="33"/>
        <item h="1" x="35"/>
        <item h="1" x="39"/>
        <item h="1" x="37"/>
        <item h="1" x="5"/>
        <item h="1" x="40"/>
        <item h="1" x="11"/>
        <item h="1" x="14"/>
        <item h="1" x="13"/>
        <item h="1" x="17"/>
        <item h="1" x="28"/>
        <item h="1" x="36"/>
        <item h="1" x="27"/>
        <item h="1" x="30"/>
        <item x="0"/>
      </items>
    </pivotField>
    <pivotField compact="0" outline="0" showAll="0">
      <items count="10">
        <item m="1" x="8"/>
        <item x="1"/>
        <item x="6"/>
        <item x="5"/>
        <item x="7"/>
        <item x="3"/>
        <item x="0"/>
        <item x="2"/>
        <item x="4"/>
        <item t="default"/>
      </items>
    </pivotField>
    <pivotField compact="0" outline="0" showAll="0">
      <items count="28">
        <item m="1" x="26"/>
        <item x="4"/>
        <item x="11"/>
        <item x="16"/>
        <item x="13"/>
        <item x="18"/>
        <item x="9"/>
        <item x="19"/>
        <item x="24"/>
        <item x="12"/>
        <item x="0"/>
        <item x="5"/>
        <item x="22"/>
        <item x="20"/>
        <item x="21"/>
        <item x="3"/>
        <item x="17"/>
        <item x="7"/>
        <item x="1"/>
        <item x="2"/>
        <item x="6"/>
        <item x="23"/>
        <item x="25"/>
        <item x="14"/>
        <item x="10"/>
        <item x="8"/>
        <item x="15"/>
        <item t="default"/>
      </items>
    </pivotField>
    <pivotField compact="0" outline="0" showAll="0"/>
    <pivotField compact="0" outline="0" showAll="0"/>
    <pivotField compact="0" outline="0" showAll="0"/>
    <pivotField compact="0" outline="0" showAll="0"/>
    <pivotField compact="0" outline="0" showAll="0">
      <items count="2">
        <item x="0"/>
        <item t="default"/>
      </items>
    </pivotField>
    <pivotField compact="0" outline="0" showAll="0"/>
    <pivotField axis="axisRow" compact="0" outline="0" showAll="0">
      <items count="77">
        <item m="1" x="62"/>
        <item m="1" x="63"/>
        <item m="1" x="65"/>
        <item m="1" x="66"/>
        <item x="0"/>
        <item x="41"/>
        <item m="1" x="64"/>
        <item x="44"/>
        <item x="1"/>
        <item m="1" x="67"/>
        <item m="1" x="68"/>
        <item x="24"/>
        <item m="1" x="69"/>
        <item x="35"/>
        <item m="1" x="71"/>
        <item x="2"/>
        <item m="1" x="72"/>
        <item x="38"/>
        <item x="3"/>
        <item m="1" x="75"/>
        <item x="4"/>
        <item m="1" x="73"/>
        <item x="52"/>
        <item m="1" x="74"/>
        <item x="25"/>
        <item x="5"/>
        <item x="34"/>
        <item x="36"/>
        <item x="6"/>
        <item x="7"/>
        <item x="33"/>
        <item x="26"/>
        <item x="15"/>
        <item x="27"/>
        <item x="8"/>
        <item x="9"/>
        <item x="37"/>
        <item x="42"/>
        <item x="49"/>
        <item x="28"/>
        <item x="11"/>
        <item x="46"/>
        <item x="19"/>
        <item m="1" x="70"/>
        <item x="12"/>
        <item m="1" x="60"/>
        <item x="29"/>
        <item x="39"/>
        <item x="40"/>
        <item x="13"/>
        <item x="59"/>
        <item x="14"/>
        <item x="47"/>
        <item x="16"/>
        <item x="45"/>
        <item x="43"/>
        <item x="22"/>
        <item x="20"/>
        <item x="48"/>
        <item x="30"/>
        <item x="23"/>
        <item x="31"/>
        <item x="17"/>
        <item x="32"/>
        <item x="21"/>
        <item x="18"/>
        <item x="50"/>
        <item x="51"/>
        <item x="53"/>
        <item x="54"/>
        <item x="55"/>
        <item m="1" x="61"/>
        <item x="56"/>
        <item x="57"/>
        <item x="58"/>
        <item x="10"/>
        <item t="default"/>
      </items>
    </pivotField>
    <pivotField compact="0" outline="0" showAll="0"/>
    <pivotField compact="0" outline="0" showAll="0"/>
    <pivotField compact="0" outline="0" showAll="0"/>
    <pivotField compact="0" outline="0" showAll="0"/>
    <pivotField compact="0" outline="0" showAll="0"/>
    <pivotField compact="0" numFmtId="3" outline="0" showAll="0"/>
    <pivotField compact="0" numFmtId="3" outline="0" showAll="0"/>
    <pivotField compact="0" numFmtId="3" outline="0" showAll="0"/>
    <pivotField compact="0" numFmtId="3" outline="0" showAll="0"/>
    <pivotField compact="0" outline="0" showAll="0"/>
    <pivotField compact="0" numFmtId="3" outline="0" showAll="0"/>
    <pivotField compact="0" outline="0" showAll="0"/>
    <pivotField dataField="1" compact="0" numFmtId="9" outline="0" showAll="0"/>
    <pivotField compact="0" numFmtId="3" outline="0" showAll="0"/>
    <pivotField compact="0" outline="0" showAll="0"/>
    <pivotField compact="0" numFmtId="9" outline="0" showAll="0"/>
    <pivotField compact="0" numFmtId="3" outline="0" showAll="0"/>
    <pivotField compact="0" numFmtId="3" outline="0" showAll="0"/>
    <pivotField compact="0" numFmtId="9" outline="0" showAll="0"/>
    <pivotField compact="0" numFmtId="3" outline="0" showAll="0"/>
    <pivotField compact="0" numFmtId="4" outline="0" showAll="0"/>
    <pivotField compact="0" outline="0" showAll="0"/>
    <pivotField compact="0" outline="0" showAll="0"/>
    <pivotField compact="0" outline="0" showAll="0"/>
    <pivotField compact="0" numFmtId="3" outline="0" showAll="0"/>
    <pivotField compact="0" numFmtId="3" outline="0" showAll="0"/>
    <pivotField compact="0" numFmtId="9" outline="0" showAll="0"/>
    <pivotField compact="0" numFmtId="3" outline="0" showAll="0"/>
    <pivotField compact="0" outline="0" showAll="0"/>
    <pivotField compact="0" numFmtId="3" outline="0" showAll="0"/>
    <pivotField compact="0" numFmtId="3" outline="0" showAll="0"/>
    <pivotField compact="0" outline="0" showAll="0"/>
    <pivotField compact="0" outline="0" showAll="0"/>
    <pivotField compact="0" numFmtId="3" outline="0" showAll="0"/>
    <pivotField compact="0" numFmtId="9" outline="0" showAll="0"/>
    <pivotField compact="0" numFmtId="9" outline="0" showAll="0"/>
    <pivotField compact="0" outline="0" showAll="0"/>
    <pivotField compact="0" numFmtId="3" outline="0" showAll="0"/>
    <pivotField compact="0" outline="0" showAll="0"/>
    <pivotField compact="0" outline="0" showAll="0">
      <items count="3">
        <item x="0"/>
        <item x="1"/>
        <item t="default"/>
      </items>
    </pivotField>
    <pivotField compact="0" outline="0" showAl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s>
  <rowFields count="1">
    <field x="12"/>
  </rowFields>
  <rowItems count="19">
    <i>
      <x v="4"/>
    </i>
    <i>
      <x v="8"/>
    </i>
    <i>
      <x v="15"/>
    </i>
    <i>
      <x v="18"/>
    </i>
    <i>
      <x v="20"/>
    </i>
    <i>
      <x v="25"/>
    </i>
    <i>
      <x v="28"/>
    </i>
    <i>
      <x v="29"/>
    </i>
    <i>
      <x v="32"/>
    </i>
    <i>
      <x v="34"/>
    </i>
    <i>
      <x v="35"/>
    </i>
    <i>
      <x v="40"/>
    </i>
    <i>
      <x v="44"/>
    </i>
    <i>
      <x v="49"/>
    </i>
    <i>
      <x v="51"/>
    </i>
    <i>
      <x v="53"/>
    </i>
    <i>
      <x v="62"/>
    </i>
    <i>
      <x v="65"/>
    </i>
    <i>
      <x v="75"/>
    </i>
  </rowItems>
  <colItems count="1">
    <i/>
  </colItems>
  <pageFields count="1">
    <pageField fld="0" hier="-1"/>
  </pageFields>
  <dataFields count="1">
    <dataField name="Origin Share% " fld="25" subtotal="average" baseField="9" baseItem="8" numFmtId="9"/>
  </dataFields>
  <formats count="4">
    <format dxfId="49">
      <pivotArea outline="0" collapsedLevelsAreSubtotals="1" fieldPosition="0"/>
    </format>
    <format dxfId="48">
      <pivotArea field="12" type="button" dataOnly="0" labelOnly="1" outline="0" axis="axisRow" fieldPosition="0"/>
    </format>
    <format dxfId="47">
      <pivotArea dataOnly="0" labelOnly="1" grandRow="1" outline="0" fieldPosition="0"/>
    </format>
    <format dxfId="46">
      <pivotArea dataOnly="0" labelOnly="1" outline="0" axis="axisValues" fieldPosition="0"/>
    </format>
  </formats>
  <chartFormats count="1">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CEBFDC9F-B934-4A44-9C49-6C8DFA4F6954}" name="Page2_PT1" cacheId="2341"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multipleFieldFilters="0" chartFormat="17">
  <location ref="Z8:AB33" firstHeaderRow="1" firstDataRow="1" firstDataCol="2" rowPageCount="1" colPageCount="1"/>
  <pivotFields count="62">
    <pivotField axis="axisPage" compact="0" outline="0" showAll="0" defaultSubtotal="0">
      <items count="44">
        <item x="4"/>
        <item x="2"/>
        <item x="5"/>
        <item x="1"/>
        <item x="3"/>
        <item x="0"/>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items count="10">
        <item m="1" x="8"/>
        <item x="1"/>
        <item x="6"/>
        <item x="5"/>
        <item x="7"/>
        <item x="3"/>
        <item x="0"/>
        <item x="2"/>
        <item x="4"/>
        <item t="default"/>
      </items>
      <extLst>
        <ext xmlns:x14="http://schemas.microsoft.com/office/spreadsheetml/2009/9/main" uri="{2946ED86-A175-432a-8AC1-64E0C546D7DE}">
          <x14:pivotField fillDownLabels="1"/>
        </ext>
      </extLst>
    </pivotField>
    <pivotField compact="0" outline="0" showAll="0">
      <items count="28">
        <item m="1" x="26"/>
        <item x="4"/>
        <item x="11"/>
        <item x="16"/>
        <item x="13"/>
        <item x="18"/>
        <item x="9"/>
        <item x="19"/>
        <item x="24"/>
        <item x="12"/>
        <item x="0"/>
        <item x="5"/>
        <item x="22"/>
        <item x="20"/>
        <item x="21"/>
        <item x="3"/>
        <item x="17"/>
        <item x="7"/>
        <item x="1"/>
        <item x="2"/>
        <item x="6"/>
        <item x="23"/>
        <item x="25"/>
        <item x="14"/>
        <item x="10"/>
        <item x="8"/>
        <item x="15"/>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60">
        <item x="59"/>
        <item x="18"/>
        <item x="21"/>
        <item x="32"/>
        <item x="50"/>
        <item x="17"/>
        <item x="58"/>
        <item x="31"/>
        <item x="23"/>
        <item x="30"/>
        <item x="48"/>
        <item x="20"/>
        <item x="22"/>
        <item x="43"/>
        <item x="45"/>
        <item x="16"/>
        <item x="47"/>
        <item x="14"/>
        <item x="55"/>
        <item x="57"/>
        <item x="13"/>
        <item x="40"/>
        <item x="39"/>
        <item x="29"/>
        <item x="10"/>
        <item h="1" x="12"/>
        <item h="1" x="19"/>
        <item h="1" x="51"/>
        <item h="1" x="46"/>
        <item h="1" x="11"/>
        <item h="1" x="56"/>
        <item h="1" x="28"/>
        <item h="1" x="49"/>
        <item h="1" x="42"/>
        <item h="1" x="37"/>
        <item h="1" x="9"/>
        <item h="1" x="54"/>
        <item h="1" x="8"/>
        <item h="1" x="27"/>
        <item h="1" x="15"/>
        <item h="1" x="26"/>
        <item h="1" x="33"/>
        <item h="1" x="7"/>
        <item h="1" x="6"/>
        <item h="1" x="36"/>
        <item h="1" x="34"/>
        <item h="1" x="5"/>
        <item h="1" x="25"/>
        <item h="1" x="52"/>
        <item h="1" x="4"/>
        <item h="1" x="3"/>
        <item h="1" x="38"/>
        <item h="1" x="2"/>
        <item h="1" x="35"/>
        <item h="1" x="24"/>
        <item h="1" x="53"/>
        <item h="1" x="1"/>
        <item h="1" x="44"/>
        <item h="1" x="41"/>
        <item h="1" x="0"/>
      </items>
      <extLst>
        <ext xmlns:x14="http://schemas.microsoft.com/office/spreadsheetml/2009/9/main" uri="{2946ED86-A175-432a-8AC1-64E0C546D7DE}">
          <x14:pivotField fillDownLabels="1"/>
        </ext>
      </extLst>
    </pivotField>
    <pivotField compact="0" outline="0" showAll="0">
      <items count="3">
        <item x="0"/>
        <item x="1"/>
        <item t="default"/>
      </items>
      <extLst>
        <ext xmlns:x14="http://schemas.microsoft.com/office/spreadsheetml/2009/9/main" uri="{2946ED86-A175-432a-8AC1-64E0C546D7DE}">
          <x14:pivotField fillDownLabels="1"/>
        </ext>
      </extLst>
    </pivotField>
    <pivotField compact="0" outline="0" showAll="0">
      <items count="2">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items count="77">
        <item m="1" x="62"/>
        <item m="1" x="63"/>
        <item m="1" x="65"/>
        <item m="1" x="66"/>
        <item x="0"/>
        <item x="41"/>
        <item m="1" x="64"/>
        <item x="44"/>
        <item x="1"/>
        <item x="53"/>
        <item m="1" x="67"/>
        <item m="1" x="68"/>
        <item x="24"/>
        <item m="1" x="69"/>
        <item x="35"/>
        <item m="1" x="71"/>
        <item x="2"/>
        <item m="1" x="72"/>
        <item x="38"/>
        <item x="3"/>
        <item m="1" x="75"/>
        <item x="4"/>
        <item m="1" x="73"/>
        <item x="52"/>
        <item m="1" x="74"/>
        <item x="25"/>
        <item x="5"/>
        <item x="34"/>
        <item x="36"/>
        <item x="6"/>
        <item x="7"/>
        <item x="33"/>
        <item x="26"/>
        <item x="15"/>
        <item x="27"/>
        <item x="8"/>
        <item x="54"/>
        <item x="9"/>
        <item x="37"/>
        <item x="42"/>
        <item x="49"/>
        <item x="28"/>
        <item x="56"/>
        <item x="11"/>
        <item x="46"/>
        <item x="51"/>
        <item x="19"/>
        <item m="1" x="70"/>
        <item x="12"/>
        <item m="1" x="60"/>
        <item x="29"/>
        <item x="39"/>
        <item x="40"/>
        <item x="13"/>
        <item x="57"/>
        <item x="59"/>
        <item m="1" x="61"/>
        <item x="55"/>
        <item x="14"/>
        <item x="47"/>
        <item x="16"/>
        <item x="45"/>
        <item x="43"/>
        <item x="22"/>
        <item x="20"/>
        <item x="48"/>
        <item x="30"/>
        <item x="23"/>
        <item x="31"/>
        <item x="58"/>
        <item x="17"/>
        <item x="50"/>
        <item x="32"/>
        <item x="21"/>
        <item x="18"/>
        <item x="1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items count="3">
        <item x="0"/>
        <item x="1"/>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dataField="1"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s>
  <rowFields count="2">
    <field x="8"/>
    <field x="12"/>
  </rowFields>
  <rowItems count="25">
    <i>
      <x/>
      <x v="55"/>
    </i>
    <i>
      <x v="1"/>
      <x v="74"/>
    </i>
    <i>
      <x v="2"/>
      <x v="73"/>
    </i>
    <i>
      <x v="3"/>
      <x v="72"/>
    </i>
    <i>
      <x v="4"/>
      <x v="71"/>
    </i>
    <i>
      <x v="5"/>
      <x v="70"/>
    </i>
    <i>
      <x v="6"/>
      <x v="69"/>
    </i>
    <i>
      <x v="7"/>
      <x v="68"/>
    </i>
    <i>
      <x v="8"/>
      <x v="67"/>
    </i>
    <i>
      <x v="9"/>
      <x v="66"/>
    </i>
    <i>
      <x v="10"/>
      <x v="65"/>
    </i>
    <i>
      <x v="11"/>
      <x v="64"/>
    </i>
    <i>
      <x v="12"/>
      <x v="63"/>
    </i>
    <i>
      <x v="13"/>
      <x v="62"/>
    </i>
    <i>
      <x v="14"/>
      <x v="61"/>
    </i>
    <i>
      <x v="15"/>
      <x v="60"/>
    </i>
    <i>
      <x v="16"/>
      <x v="59"/>
    </i>
    <i>
      <x v="17"/>
      <x v="58"/>
    </i>
    <i>
      <x v="18"/>
      <x v="57"/>
    </i>
    <i>
      <x v="19"/>
      <x v="54"/>
    </i>
    <i>
      <x v="20"/>
      <x v="53"/>
    </i>
    <i>
      <x v="21"/>
      <x v="52"/>
    </i>
    <i>
      <x v="22"/>
      <x v="51"/>
    </i>
    <i>
      <x v="23"/>
      <x v="50"/>
    </i>
    <i>
      <x v="24"/>
      <x v="75"/>
    </i>
  </rowItems>
  <colItems count="1">
    <i/>
  </colItems>
  <pageFields count="1">
    <pageField fld="0" hier="-1"/>
  </pageFields>
  <dataFields count="1">
    <dataField name="Volume - Ton" fld="57" baseField="0" baseItem="0" numFmtId="3"/>
  </dataFields>
  <formats count="2">
    <format dxfId="51">
      <pivotArea type="all" dataOnly="0" outline="0" fieldPosition="0"/>
    </format>
    <format dxfId="50">
      <pivotArea field="0" type="button" dataOnly="0" labelOnly="1" outline="0" axis="axisPage" fieldPosition="0"/>
    </format>
  </formats>
  <chartFormats count="2">
    <chartFormat chart="2" format="6"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D01E3463-DEE7-4E95-800A-38281AA76AD4}" name="Page2_PT3" cacheId="2341"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multipleFieldFilters="0" chartFormat="20">
  <location ref="AH8:AJ33" firstHeaderRow="1" firstDataRow="1" firstDataCol="2" rowPageCount="1" colPageCount="1"/>
  <pivotFields count="62">
    <pivotField axis="axisPage" compact="0" outline="0" multipleItemSelectionAllowed="1" showAll="0" defaultSubtotal="0">
      <items count="44">
        <item x="4"/>
        <item x="2"/>
        <item x="5"/>
        <item x="1"/>
        <item x="3"/>
        <item x="0"/>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items count="10">
        <item m="1" x="8"/>
        <item x="1"/>
        <item x="6"/>
        <item x="5"/>
        <item x="7"/>
        <item x="3"/>
        <item x="0"/>
        <item x="2"/>
        <item x="4"/>
        <item t="default"/>
      </items>
      <extLst>
        <ext xmlns:x14="http://schemas.microsoft.com/office/spreadsheetml/2009/9/main" uri="{2946ED86-A175-432a-8AC1-64E0C546D7DE}">
          <x14:pivotField fillDownLabels="1"/>
        </ext>
      </extLst>
    </pivotField>
    <pivotField compact="0" outline="0" showAll="0">
      <items count="28">
        <item m="1" x="26"/>
        <item x="4"/>
        <item x="11"/>
        <item x="16"/>
        <item x="13"/>
        <item x="18"/>
        <item x="9"/>
        <item x="19"/>
        <item x="24"/>
        <item x="12"/>
        <item x="0"/>
        <item x="5"/>
        <item x="22"/>
        <item x="20"/>
        <item x="21"/>
        <item x="3"/>
        <item x="17"/>
        <item x="7"/>
        <item x="1"/>
        <item x="2"/>
        <item x="6"/>
        <item x="23"/>
        <item x="25"/>
        <item x="14"/>
        <item x="10"/>
        <item x="8"/>
        <item x="15"/>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60">
        <item x="59"/>
        <item x="18"/>
        <item x="21"/>
        <item x="32"/>
        <item x="50"/>
        <item x="17"/>
        <item x="58"/>
        <item x="31"/>
        <item x="23"/>
        <item x="30"/>
        <item x="48"/>
        <item x="20"/>
        <item x="22"/>
        <item x="43"/>
        <item x="45"/>
        <item x="16"/>
        <item x="47"/>
        <item x="14"/>
        <item x="55"/>
        <item x="57"/>
        <item x="13"/>
        <item x="40"/>
        <item x="39"/>
        <item x="29"/>
        <item x="10"/>
        <item h="1" x="12"/>
        <item h="1" x="19"/>
        <item h="1" x="51"/>
        <item h="1" x="46"/>
        <item h="1" x="11"/>
        <item h="1" x="56"/>
        <item h="1" x="28"/>
        <item h="1" x="49"/>
        <item h="1" x="42"/>
        <item h="1" x="37"/>
        <item h="1" x="9"/>
        <item h="1" x="54"/>
        <item h="1" x="8"/>
        <item h="1" x="27"/>
        <item h="1" x="15"/>
        <item h="1" x="26"/>
        <item h="1" x="33"/>
        <item h="1" x="7"/>
        <item h="1" x="6"/>
        <item h="1" x="36"/>
        <item h="1" x="34"/>
        <item h="1" x="5"/>
        <item h="1" x="25"/>
        <item h="1" x="52"/>
        <item h="1" x="4"/>
        <item h="1" x="3"/>
        <item h="1" x="38"/>
        <item h="1" x="2"/>
        <item h="1" x="35"/>
        <item h="1" x="24"/>
        <item h="1" x="53"/>
        <item h="1" x="1"/>
        <item h="1" x="44"/>
        <item h="1" x="41"/>
        <item h="1" x="0"/>
      </items>
      <extLst>
        <ext xmlns:x14="http://schemas.microsoft.com/office/spreadsheetml/2009/9/main" uri="{2946ED86-A175-432a-8AC1-64E0C546D7DE}">
          <x14:pivotField fillDownLabels="1"/>
        </ext>
      </extLst>
    </pivotField>
    <pivotField compact="0" outline="0" showAll="0">
      <items count="3">
        <item x="0"/>
        <item x="1"/>
        <item t="default"/>
      </items>
      <extLst>
        <ext xmlns:x14="http://schemas.microsoft.com/office/spreadsheetml/2009/9/main" uri="{2946ED86-A175-432a-8AC1-64E0C546D7DE}">
          <x14:pivotField fillDownLabels="1"/>
        </ext>
      </extLst>
    </pivotField>
    <pivotField compact="0" outline="0" showAll="0">
      <items count="2">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items count="77">
        <item m="1" x="62"/>
        <item m="1" x="63"/>
        <item m="1" x="65"/>
        <item m="1" x="66"/>
        <item x="0"/>
        <item x="41"/>
        <item m="1" x="64"/>
        <item x="44"/>
        <item x="1"/>
        <item x="53"/>
        <item m="1" x="67"/>
        <item m="1" x="68"/>
        <item x="24"/>
        <item m="1" x="69"/>
        <item x="35"/>
        <item m="1" x="71"/>
        <item x="2"/>
        <item m="1" x="72"/>
        <item x="38"/>
        <item x="3"/>
        <item m="1" x="75"/>
        <item x="4"/>
        <item m="1" x="73"/>
        <item x="52"/>
        <item m="1" x="74"/>
        <item x="25"/>
        <item x="5"/>
        <item x="34"/>
        <item x="36"/>
        <item x="6"/>
        <item x="7"/>
        <item x="33"/>
        <item x="26"/>
        <item x="15"/>
        <item x="27"/>
        <item x="8"/>
        <item x="54"/>
        <item x="9"/>
        <item x="37"/>
        <item x="42"/>
        <item x="49"/>
        <item x="28"/>
        <item x="56"/>
        <item x="11"/>
        <item x="46"/>
        <item x="51"/>
        <item x="19"/>
        <item m="1" x="70"/>
        <item x="12"/>
        <item m="1" x="60"/>
        <item x="29"/>
        <item x="39"/>
        <item x="40"/>
        <item x="13"/>
        <item x="57"/>
        <item x="59"/>
        <item m="1" x="61"/>
        <item x="55"/>
        <item x="14"/>
        <item x="47"/>
        <item x="16"/>
        <item x="45"/>
        <item x="43"/>
        <item x="22"/>
        <item x="20"/>
        <item x="48"/>
        <item x="30"/>
        <item x="23"/>
        <item x="31"/>
        <item x="58"/>
        <item x="17"/>
        <item x="50"/>
        <item x="32"/>
        <item x="21"/>
        <item x="18"/>
        <item x="1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numFmtId="9"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items count="3">
        <item x="0"/>
        <item x="1"/>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s>
  <rowFields count="2">
    <field x="8"/>
    <field x="12"/>
  </rowFields>
  <rowItems count="25">
    <i>
      <x/>
      <x v="55"/>
    </i>
    <i>
      <x v="1"/>
      <x v="74"/>
    </i>
    <i>
      <x v="2"/>
      <x v="73"/>
    </i>
    <i>
      <x v="3"/>
      <x v="72"/>
    </i>
    <i>
      <x v="4"/>
      <x v="71"/>
    </i>
    <i>
      <x v="5"/>
      <x v="70"/>
    </i>
    <i>
      <x v="6"/>
      <x v="69"/>
    </i>
    <i>
      <x v="7"/>
      <x v="68"/>
    </i>
    <i>
      <x v="8"/>
      <x v="67"/>
    </i>
    <i>
      <x v="9"/>
      <x v="66"/>
    </i>
    <i>
      <x v="10"/>
      <x v="65"/>
    </i>
    <i>
      <x v="11"/>
      <x v="64"/>
    </i>
    <i>
      <x v="12"/>
      <x v="63"/>
    </i>
    <i>
      <x v="13"/>
      <x v="62"/>
    </i>
    <i>
      <x v="14"/>
      <x v="61"/>
    </i>
    <i>
      <x v="15"/>
      <x v="60"/>
    </i>
    <i>
      <x v="16"/>
      <x v="59"/>
    </i>
    <i>
      <x v="17"/>
      <x v="58"/>
    </i>
    <i>
      <x v="18"/>
      <x v="57"/>
    </i>
    <i>
      <x v="19"/>
      <x v="54"/>
    </i>
    <i>
      <x v="20"/>
      <x v="53"/>
    </i>
    <i>
      <x v="21"/>
      <x v="52"/>
    </i>
    <i>
      <x v="22"/>
      <x v="51"/>
    </i>
    <i>
      <x v="23"/>
      <x v="50"/>
    </i>
    <i>
      <x v="24"/>
      <x v="75"/>
    </i>
  </rowItems>
  <colItems count="1">
    <i/>
  </colItems>
  <pageFields count="1">
    <pageField fld="0" hier="-1"/>
  </pageFields>
  <dataFields count="1">
    <dataField name="Origin Share% " fld="25" baseField="0" baseItem="0" numFmtId="9"/>
  </dataFields>
  <formats count="2">
    <format dxfId="53">
      <pivotArea type="all" dataOnly="0" outline="0" fieldPosition="0"/>
    </format>
    <format dxfId="52">
      <pivotArea field="0" type="button" dataOnly="0" labelOnly="1" outline="0" axis="axisPage" fieldPosition="0"/>
    </format>
  </formats>
  <chartFormats count="1">
    <chartFormat chart="1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eriod" xr10:uid="{D9FA3982-5A86-4ED1-AFB8-B2203CCCA00D}" sourceName="Period">
  <pivotTables>
    <pivotTable tabId="19" name="Page1_PT1"/>
    <pivotTable tabId="19" name="Page1_PT2"/>
    <pivotTable tabId="19" name="Page1_PT3"/>
    <pivotTable tabId="19" name="Page1_PT4"/>
    <pivotTable tabId="19" name="Page1_PT5"/>
    <pivotTable tabId="19" name="Page1_PT6"/>
    <pivotTable tabId="19" name="Page2_PT1"/>
    <pivotTable tabId="19" name="Page2_PT2"/>
    <pivotTable tabId="19" name="PivotTable10"/>
    <pivotTable tabId="19" name="Page2_PT3"/>
    <pivotTable tabId="19" name="Page2_PT4"/>
    <pivotTable tabId="19" name="Page2_PT6"/>
    <pivotTable tabId="19" name="Page2_PT5"/>
  </pivotTables>
  <data>
    <tabular pivotCacheId="136805177">
      <items count="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Top10" xr10:uid="{84199953-746E-4A0B-B086-B1C7E8F8C946}" sourceName="Product Top10">
  <pivotTables>
    <pivotTable tabId="19" name="Page1_PT1"/>
    <pivotTable tabId="19" name="Page1_PT2"/>
    <pivotTable tabId="19" name="Page1_PT3"/>
    <pivotTable tabId="19" name="Page1_PT4"/>
    <pivotTable tabId="19" name="Page1_PT5"/>
    <pivotTable tabId="19" name="Page1_PT6"/>
    <pivotTable tabId="19" name="Page2_PT1"/>
    <pivotTable tabId="19" name="Page2_PT2"/>
    <pivotTable tabId="19" name="PivotTable10"/>
    <pivotTable tabId="19" name="Page2_PT3"/>
    <pivotTable tabId="19" name="Page2_PT4"/>
    <pivotTable tabId="19" name="Page2_PT6"/>
    <pivotTable tabId="19" name="Page2_PT5"/>
  </pivotTables>
  <data>
    <tabular pivotCacheId="136805177">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s" xr10:uid="{690E8E17-68B5-4B3A-9E03-C250F8655729}" sourceName="Products">
  <pivotTables>
    <pivotTable tabId="19" name="Page1_PT5"/>
    <pivotTable tabId="19" name="Page1_PT6"/>
  </pivotTables>
  <data>
    <tabular pivotCacheId="136805177">
      <items count="45">
        <i x="21"/>
        <i x="20"/>
        <i x="23"/>
        <i x="4"/>
        <i x="12"/>
        <i x="22"/>
        <i x="8"/>
        <i x="1"/>
        <i x="6"/>
        <i x="31"/>
        <i x="34"/>
        <i x="19"/>
        <i x="18"/>
        <i x="7"/>
        <i x="9"/>
        <i x="38"/>
        <i x="15"/>
        <i x="3"/>
        <i x="16"/>
        <i x="42"/>
        <i x="26"/>
        <i x="25"/>
        <i x="24"/>
        <i x="41"/>
        <i x="10"/>
        <i x="2"/>
        <i x="32"/>
        <i x="43"/>
        <i x="29"/>
        <i x="33"/>
        <i x="35"/>
        <i x="39"/>
        <i x="37"/>
        <i x="5"/>
        <i x="40"/>
        <i x="11"/>
        <i x="14"/>
        <i x="13"/>
        <i x="17"/>
        <i x="28"/>
        <i x="36"/>
        <i x="27"/>
        <i x="30"/>
        <i x="0" s="1"/>
        <i x="44"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7AFF8120-EE5B-4A66-B8F8-64F5CE14466E}" sourceName="Category">
  <pivotTables>
    <pivotTable tabId="19" name="Page1_PT1"/>
    <pivotTable tabId="19" name="Page1_PT2"/>
    <pivotTable tabId="19" name="Page1_PT3"/>
    <pivotTable tabId="19" name="Page1_PT4"/>
    <pivotTable tabId="19" name="Page1_PT5"/>
    <pivotTable tabId="19" name="Page1_PT6"/>
    <pivotTable tabId="19" name="Page2_PT1"/>
    <pivotTable tabId="19" name="Page2_PT2"/>
    <pivotTable tabId="19" name="PivotTable10"/>
    <pivotTable tabId="19" name="Page2_PT3"/>
    <pivotTable tabId="19" name="Page2_PT4"/>
    <pivotTable tabId="19" name="Page2_PT6"/>
    <pivotTable tabId="19" name="Page2_PT5"/>
  </pivotTables>
  <data>
    <tabular pivotCacheId="136805177">
      <items count="9">
        <i x="1" s="1"/>
        <i x="6" s="1"/>
        <i x="5" s="1"/>
        <i x="7" s="1"/>
        <i x="3" s="1"/>
        <i x="0" s="1"/>
        <i x="2" s="1"/>
        <i x="4" s="1"/>
        <i x="8"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_Category" xr10:uid="{ACD02FA8-8B69-44B1-B201-906C14CBAB27}" sourceName="Sub Category">
  <pivotTables>
    <pivotTable tabId="19" name="Page1_PT1"/>
    <pivotTable tabId="19" name="Page1_PT2"/>
    <pivotTable tabId="19" name="Page1_PT3"/>
    <pivotTable tabId="19" name="Page1_PT4"/>
    <pivotTable tabId="19" name="Page1_PT5"/>
    <pivotTable tabId="19" name="Page1_PT6"/>
    <pivotTable tabId="19" name="Page2_PT1"/>
    <pivotTable tabId="19" name="Page2_PT2"/>
    <pivotTable tabId="19" name="PivotTable10"/>
    <pivotTable tabId="19" name="Page2_PT3"/>
    <pivotTable tabId="19" name="Page2_PT4"/>
    <pivotTable tabId="19" name="Page2_PT6"/>
    <pivotTable tabId="19" name="Page2_PT5"/>
  </pivotTables>
  <data>
    <tabular pivotCacheId="136805177">
      <items count="27">
        <i x="4" s="1"/>
        <i x="11" s="1"/>
        <i x="16" s="1"/>
        <i x="13" s="1"/>
        <i x="18" s="1"/>
        <i x="9" s="1"/>
        <i x="19" s="1"/>
        <i x="24" s="1"/>
        <i x="12" s="1"/>
        <i x="0" s="1"/>
        <i x="5" s="1"/>
        <i x="22" s="1"/>
        <i x="20" s="1"/>
        <i x="21" s="1"/>
        <i x="3" s="1"/>
        <i x="17" s="1"/>
        <i x="7" s="1"/>
        <i x="1" s="1"/>
        <i x="2" s="1"/>
        <i x="6" s="1"/>
        <i x="23" s="1"/>
        <i x="25" s="1"/>
        <i x="14" s="1"/>
        <i x="10" s="1"/>
        <i x="8" s="1"/>
        <i x="15" s="1"/>
        <i x="26"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_Top10" xr10:uid="{D05871F4-F31B-49E8-A1DE-14CE1F87B956}" sourceName="Country Top10">
  <pivotTables>
    <pivotTable tabId="19" name="Page2_PT1"/>
    <pivotTable tabId="19" name="Page2_PT3"/>
    <pivotTable tabId="19" name="Page2_PT4"/>
  </pivotTables>
  <data>
    <tabular pivotCacheId="136805177">
      <items count="2">
        <i x="0" s="1"/>
        <i x="1"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porter" xr10:uid="{F1BF691C-C28A-4A34-AD4C-D714B079BD7C}" sourceName="Reporter">
  <pivotTables>
    <pivotTable tabId="19" name="Page2_PT5"/>
    <pivotTable tabId="19" name="Page2_PT6"/>
  </pivotTables>
  <data>
    <tabular pivotCacheId="136805177">
      <items count="76">
        <i x="0" s="1"/>
        <i x="41"/>
        <i x="44"/>
        <i x="1"/>
        <i x="53"/>
        <i x="24"/>
        <i x="35"/>
        <i x="2"/>
        <i x="38"/>
        <i x="3"/>
        <i x="4"/>
        <i x="52"/>
        <i x="25"/>
        <i x="5"/>
        <i x="34"/>
        <i x="36"/>
        <i x="6"/>
        <i x="7"/>
        <i x="33"/>
        <i x="26"/>
        <i x="15"/>
        <i x="27"/>
        <i x="8"/>
        <i x="54"/>
        <i x="9"/>
        <i x="37"/>
        <i x="42"/>
        <i x="49"/>
        <i x="28"/>
        <i x="56"/>
        <i x="11"/>
        <i x="46"/>
        <i x="51"/>
        <i x="19"/>
        <i x="12"/>
        <i x="10"/>
        <i x="29"/>
        <i x="39"/>
        <i x="40"/>
        <i x="13"/>
        <i x="57"/>
        <i x="59"/>
        <i x="55"/>
        <i x="14"/>
        <i x="47"/>
        <i x="16"/>
        <i x="45"/>
        <i x="43"/>
        <i x="22"/>
        <i x="20"/>
        <i x="48"/>
        <i x="30"/>
        <i x="23"/>
        <i x="31"/>
        <i x="58"/>
        <i x="17"/>
        <i x="50"/>
        <i x="32"/>
        <i x="21"/>
        <i x="18"/>
        <i x="62" nd="1"/>
        <i x="63" nd="1"/>
        <i x="65" nd="1"/>
        <i x="66" nd="1"/>
        <i x="64" nd="1"/>
        <i x="67" nd="1"/>
        <i x="68" nd="1"/>
        <i x="69" nd="1"/>
        <i x="71" nd="1"/>
        <i x="72" nd="1"/>
        <i x="75" nd="1"/>
        <i x="73" nd="1"/>
        <i x="74" nd="1"/>
        <i x="70" nd="1"/>
        <i x="60" nd="1"/>
        <i x="6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porter1" xr10:uid="{97CF980B-64E5-4CD8-993F-DD8848F6A154}" sourceName="Reporter">
  <pivotTables>
    <pivotTable tabId="19" name="Page4_PT2"/>
    <pivotTable tabId="19" name="Page4_PT1"/>
    <pivotTable tabId="19" name="Page4_PT3"/>
  </pivotTables>
  <data>
    <tabular pivotCacheId="136805177">
      <items count="76">
        <i x="3" s="1"/>
        <i x="27"/>
        <i x="54"/>
        <i x="13"/>
        <i x="16"/>
        <i x="17"/>
        <i x="32"/>
        <i x="18"/>
        <i x="62" nd="1"/>
        <i x="63" nd="1"/>
        <i x="65" nd="1"/>
        <i x="66" nd="1"/>
        <i x="0" nd="1"/>
        <i x="41" nd="1"/>
        <i x="64" nd="1"/>
        <i x="44" nd="1"/>
        <i x="1" nd="1"/>
        <i x="53" nd="1"/>
        <i x="67" nd="1"/>
        <i x="68" nd="1"/>
        <i x="24" nd="1"/>
        <i x="69" nd="1"/>
        <i x="35" nd="1"/>
        <i x="71" nd="1"/>
        <i x="2" nd="1"/>
        <i x="72" nd="1"/>
        <i x="38" nd="1"/>
        <i x="75" nd="1"/>
        <i x="4" nd="1"/>
        <i x="73" nd="1"/>
        <i x="52" nd="1"/>
        <i x="74" nd="1"/>
        <i x="25" nd="1"/>
        <i x="5" nd="1"/>
        <i x="34" nd="1"/>
        <i x="36" nd="1"/>
        <i x="6" nd="1"/>
        <i x="7" nd="1"/>
        <i x="33" nd="1"/>
        <i x="26" nd="1"/>
        <i x="15" nd="1"/>
        <i x="8" nd="1"/>
        <i x="9" nd="1"/>
        <i x="37" nd="1"/>
        <i x="42" nd="1"/>
        <i x="49" nd="1"/>
        <i x="28" nd="1"/>
        <i x="56" nd="1"/>
        <i x="11" nd="1"/>
        <i x="46" nd="1"/>
        <i x="51" nd="1"/>
        <i x="19" nd="1"/>
        <i x="70" nd="1"/>
        <i x="12" nd="1"/>
        <i x="10" nd="1"/>
        <i x="60" nd="1"/>
        <i x="29" nd="1"/>
        <i x="39" nd="1"/>
        <i x="40" nd="1"/>
        <i x="57" nd="1"/>
        <i x="59" nd="1"/>
        <i x="61" nd="1"/>
        <i x="55" nd="1"/>
        <i x="14" nd="1"/>
        <i x="47" nd="1"/>
        <i x="45" nd="1"/>
        <i x="43" nd="1"/>
        <i x="22" nd="1"/>
        <i x="20" nd="1"/>
        <i x="48" nd="1"/>
        <i x="30" nd="1"/>
        <i x="23" nd="1"/>
        <i x="31" nd="1"/>
        <i x="58" nd="1"/>
        <i x="50" nd="1"/>
        <i x="2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Top101" xr10:uid="{53DD2907-3FDE-4070-8444-D399D53B520D}" sourceName="Product Top10">
  <pivotTables>
    <pivotTable tabId="19" name="Page4_PT1"/>
  </pivotTables>
  <data>
    <tabular pivotCacheId="136805177">
      <items count="2">
        <i x="0" s="1"/>
        <i x="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eriod1" xr10:uid="{65660429-AF37-4B4F-946B-CAD63FECBD7E}" sourceName="Period">
  <pivotTables>
    <pivotTable tabId="19" name="Page4_PT2"/>
    <pivotTable tabId="19" name="Page4_PT1"/>
    <pivotTable tabId="19" name="Page4_PT3"/>
    <pivotTable tabId="19" name="Page4_PT4"/>
  </pivotTables>
  <data>
    <tabular pivotCacheId="136805177">
      <items count="1">
        <i x="0" s="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eriod2" xr10:uid="{566A1E47-4B30-4EE8-9C21-E74C94F3B82C}" sourceName="Period">
  <pivotTables>
    <pivotTable tabId="19" name="Page3_PT8"/>
  </pivotTables>
  <data>
    <tabular pivotCacheId="136805177">
      <items count="1">
        <i x="0" s="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Top102" xr10:uid="{E7F33274-D0E1-4221-9AE6-0E701423861A}" sourceName="Product Top10">
  <pivotTables>
    <pivotTable tabId="19" name="Page3_PT8"/>
  </pivotTables>
  <data>
    <tabular pivotCacheId="136805177">
      <items count="2">
        <i x="0" s="1"/>
        <i x="1"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age1_Slicer1" xr10:uid="{8E30315C-9F33-4622-A501-2FECE6999C9C}" cache="Slicer_Period" caption="Period" columnCount="2" style="SlicerStyleLight3" rowHeight="182880"/>
  <slicer name="Page2_Slicer2" xr10:uid="{89408D26-78B2-476F-AFBF-B39336A19066}" cache="Slicer_Period" caption="Period" columnCount="2" style="SlicerStyleLight3" lockedPosition="1" rowHeight="182880"/>
  <slicer name="Page1_Slicer2" xr10:uid="{05EBBECC-BFE9-4249-B2A3-5B3A680424B9}" cache="Slicer_Product_Top10" caption="Product Top10" columnCount="2" style="SlicerStyleLight2" rowHeight="182880"/>
  <slicer name="Page1_Slicer3" xr10:uid="{E68CF623-41CC-4BD1-BB25-776C0BEB8A52}" cache="Slicer_Products" caption="Products" showCaption="0" style="SlicerStyleLight3" rowHeight="182880"/>
  <slicer name="Page1_Slicer4" xr10:uid="{4FE85DE8-74CA-4544-A64B-52F098C2A838}" cache="Slicer_Category" caption="Category" style="SlicerStyleLight4" rowHeight="182880"/>
  <slicer name="Page2_Slicer3" xr10:uid="{B93C4E88-7F64-4096-B6DB-95E9BE66BEB6}" cache="Slicer_Category" caption="Category" style="SlicerStyleLight4" lockedPosition="1" rowHeight="182880"/>
  <slicer name="Page1_Slicer5" xr10:uid="{CAE1B372-FD95-465F-B6AD-9E6B23D3353B}" cache="Slicer_Sub_Category" caption="Sub Category" style="SlicerStyleLight4" rowHeight="182880"/>
  <slicer name="Page2_Slicer4" xr10:uid="{F6F164FA-3855-423D-B857-527CC7E4BD53}" cache="Slicer_Sub_Category" caption="Sub Category" style="SlicerStyleLight4" lockedPosition="1" rowHeight="182880"/>
  <slicer name="Page2_Slicer1" xr10:uid="{D22E85B8-EC42-443E-B384-F204F73ADBBA}" cache="Slicer_Country_Top10" caption="Country Top10" columnCount="2" style="SlicerStyleLight2" lockedPosition="1" rowHeight="182880"/>
  <slicer name="Page2_Slicer5" xr10:uid="{9C7B80A8-B428-4B4E-B2F4-A914689F99E5}" cache="Slicer_Reporter" caption="Country" showCaption="0" style="SlicerStyleLight3" rowHeight="182880"/>
  <slicer name="Page4_Slicer2" xr10:uid="{4578CADB-C719-4DA0-8F75-F9183CB0BB56}" cache="Slicer_Reporter1" caption="Country" showCaption="0" style="SlicerStyleLight2" lockedPosition="1" rowHeight="182880"/>
  <slicer name="Page4_Slicer1" xr10:uid="{18C06503-908C-4F2F-9B66-94C0F590C157}" cache="Slicer_Product_Top101" caption="Product Top10" columnCount="2" style="SlicerStyleLight4" lockedPosition="1" rowHeight="182880"/>
  <slicer name="Page4_Slicer3" xr10:uid="{893B362B-D3DB-400E-A7ED-97EBAB0EE30B}" cache="Slicer_Period1" caption="Period" columnCount="2" style="SlicerStyleLight3" lockedPosition="1" rowHeight="182880"/>
  <slicer name="Page3_Slicer2" xr10:uid="{49BEDED5-1170-42BE-A069-46BFA80E7010}" cache="Slicer_Period2" caption="Period" columnCount="2" style="SlicerStyleLight3" lockedPosition="1" rowHeight="182880"/>
  <slicer name="Page3_Slicer1" xr10:uid="{A49BBB95-1B7A-4642-B34B-7A8421CAB8D6}" cache="Slicer_Product_Top102" caption="Product Top10" columnCount="2" style="SlicerStyleLight4" lockedPosition="1" rowHeight="18288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DA46C66-DCB9-4436-8E35-2CC20B894732}" name="Table6" displayName="Table6" ref="B5:H90" totalsRowShown="0" headerRowDxfId="164" dataDxfId="163">
  <autoFilter ref="B5:H90" xr:uid="{FDA46C66-DCB9-4436-8E35-2CC20B894732}"/>
  <tableColumns count="7">
    <tableColumn id="1" xr3:uid="{EDCF6F4A-AB5D-4182-9CBE-61BD4105C363}" name="Sheet Name" dataDxfId="162"/>
    <tableColumn id="2" xr3:uid="{8047CE88-FB76-4D4B-949C-C98302433C93}" name="Table Name" dataDxfId="161"/>
    <tableColumn id="4" xr3:uid="{23B41C53-ECD5-4F77-941A-4080D145B619}" name="Column Name" dataDxfId="160"/>
    <tableColumn id="6" xr3:uid="{6FBB2FF2-D277-41F0-B975-231D61B0F91F}" name="Column" dataDxfId="159"/>
    <tableColumn id="3" xr3:uid="{A6386EFC-AFEC-4D00-BE63-2AFAE0CC2F5D}" name="Column Number" dataDxfId="158"/>
    <tableColumn id="7" xr3:uid="{66A18FA6-DE57-4076-BAF7-98BB8B31ECCE}" name="Row Head Number" dataDxfId="157"/>
    <tableColumn id="8" xr3:uid="{9B310624-6B58-4BF5-947E-CF9E5AB2BB36}" name="Column Format" dataDxfId="156"/>
  </tableColumns>
  <tableStyleInfo name="TableStyleMedium2"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0B37E55-9E03-4551-8674-C2DC91FE1BF2}" name="Standard_Taxonomy" displayName="Standard_Taxonomy" ref="B5:D73" totalsRowShown="0" headerRowDxfId="155" dataDxfId="154">
  <autoFilter ref="B5:D73" xr:uid="{70B37E55-9E03-4551-8674-C2DC91FE1BF2}"/>
  <tableColumns count="3">
    <tableColumn id="1" xr3:uid="{33E8E6A3-128B-4D5A-A3EC-532068FE2EF9}" name="Category" dataDxfId="153"/>
    <tableColumn id="2" xr3:uid="{EBD99ECB-99E7-4C18-B92A-5481FA710C07}" name="Sub Category" dataDxfId="152"/>
    <tableColumn id="3" xr3:uid="{1A15239D-85C7-4A48-93BE-6C861E7B8EB1}" name="Micro Category" dataDxfId="151"/>
  </tableColumns>
  <tableStyleInfo name="TableStyleMedium2"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28C39F0-9ADD-4EBA-866D-2DE607F5C9CD}" name="HS_MD" displayName="HS_MD" ref="B5:J50" totalsRowShown="0" headerRowDxfId="150" dataDxfId="149">
  <autoFilter ref="B5:J50" xr:uid="{828C39F0-9ADD-4EBA-866D-2DE607F5C9CD}"/>
  <tableColumns count="9">
    <tableColumn id="1" xr3:uid="{9C01E1FA-2BD3-4FFC-B7E5-2691CE8BAEDF}" name="HS Code" dataDxfId="148"/>
    <tableColumn id="10" xr3:uid="{94099469-E083-42EE-ABED-3ED473E84E13}" name="Index" dataDxfId="147">
      <calculatedColumnFormula array="1">ROW()-ROW(HS_MD[#Headers])</calculatedColumnFormula>
    </tableColumn>
    <tableColumn id="2" xr3:uid="{57DC6B2B-6143-4841-86C0-92D3CADA23A6}" name="HS Code Description" dataDxfId="146"/>
    <tableColumn id="4" xr3:uid="{38D2849F-4318-44FD-B109-5115E323FE31}" name="Products" dataDxfId="145"/>
    <tableColumn id="3" xr3:uid="{8EE2F7DC-1791-4E1B-BD96-FBEE7D1276F2}" name="Category" dataDxfId="144"/>
    <tableColumn id="8" xr3:uid="{C43AA4BE-C556-4210-9A17-9BBB0CD6AB8B}" name="Sub Category" dataDxfId="143"/>
    <tableColumn id="7" xr3:uid="{66D22CD8-4CE6-4FAC-AF28-3623DF763BB6}" name="Micro Category" dataDxfId="142"/>
    <tableColumn id="5" xr3:uid="{939E1259-BA36-4FBD-855C-C449D1CEF2B8}" name="Support Sector" dataDxfId="141"/>
    <tableColumn id="9" xr3:uid="{F9ACD641-6288-4D57-BBAB-A5D9B386EE54}" name="Column1" dataDxfId="0"/>
  </tableColumns>
  <tableStyleInfo name="TableStyleMedium2"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FF67FBE-D77F-459B-8DA3-908E0C8507F1}" name="HS_DB" displayName="HS_DB" ref="B5:BC544" totalsRowShown="0" headerRowDxfId="140" dataDxfId="139">
  <autoFilter ref="B5:BC544" xr:uid="{0FF67FBE-D77F-459B-8DA3-908E0C8507F1}"/>
  <tableColumns count="54">
    <tableColumn id="1" xr3:uid="{F17A3872-9135-43E0-8610-B107840C570E}" name="HS Code" dataDxfId="138">
      <calculatedColumnFormula>HS_DB[[#This Row],[Commodity Code]]</calculatedColumnFormula>
    </tableColumn>
    <tableColumn id="50" xr3:uid="{00986F00-AB4B-4FD6-978A-27E9CB9773CB}" name="Index" dataDxfId="137">
      <calculatedColumnFormula>IFERROR(INDEX(HS_MD!C:C,MATCH(B6,HS_MD!B:B,0),1),"")</calculatedColumnFormula>
    </tableColumn>
    <tableColumn id="22" xr3:uid="{29E8C859-DAC4-4DC1-A01B-204CE247CE20}" name="HS Code Description" dataDxfId="136">
      <calculatedColumnFormula>IFERROR(INDEX(HS_MD!D:D,MATCH(B6,HS_MD!B:B,0),1),"")</calculatedColumnFormula>
    </tableColumn>
    <tableColumn id="17" xr3:uid="{BE87A5D8-E509-4187-A9E5-5D17869E3564}" name="Products" dataDxfId="135">
      <calculatedColumnFormula>IFERROR(INDEX(HS_MD!E:E,MATCH(B6,HS_MD!B:B,0),1),"")</calculatedColumnFormula>
    </tableColumn>
    <tableColumn id="21" xr3:uid="{D7B3462A-74ED-427F-8168-11EA58C2ECB7}" name="Category" dataDxfId="134">
      <calculatedColumnFormula>IFERROR(INDEX(HS_MD!F:F,MATCH(B6,HS_MD!B:B,0),1),"")</calculatedColumnFormula>
    </tableColumn>
    <tableColumn id="49" xr3:uid="{C83205E3-7448-4079-813B-242FAA06198D}" name="Sub Category" dataDxfId="133">
      <calculatedColumnFormula>IFERROR(INDEX(HS_MD!G:G,MATCH(B6,HS_MD!B:B,0),1),"")</calculatedColumnFormula>
    </tableColumn>
    <tableColumn id="48" xr3:uid="{1383286E-2243-469C-AA66-5F1F3433253B}" name="Micro Category" dataDxfId="132">
      <calculatedColumnFormula>IFERROR(INDEX(HS_MD!H:H,MATCH(B6,HS_MD!B:B,0),1),"")</calculatedColumnFormula>
    </tableColumn>
    <tableColumn id="23" xr3:uid="{D866D013-9BB1-48B4-A769-DED5C840008E}" name="Support Sector" dataDxfId="131">
      <calculatedColumnFormula>IFERROR(INDEX(HS_MD!I:I,MATCH(B6,HS_MD!B:B,0),1),"")</calculatedColumnFormula>
    </tableColumn>
    <tableColumn id="52" xr3:uid="{078E504F-33A5-4BA3-9DE8-067352AB1FC8}" name="Country Index" dataDxfId="130">
      <calculatedColumnFormula>IFERROR(INDEX(Heat_Map[Index],MATCH(HS_DB[[#This Row],[Reporter]],Heat_Map[Global],0),1),"")</calculatedColumnFormula>
    </tableColumn>
    <tableColumn id="53" xr3:uid="{110FD2F6-B795-4C89-B240-ACB97C02F44F}" name="Country Top10" dataDxfId="129">
      <calculatedColumnFormula>IF(AND(HS_DB[[#This Row],[Origin Rank]]&gt;1,HS_DB[[#This Row],[Origin Rank]]&lt;=10),"Yes","No")</calculatedColumnFormula>
    </tableColumn>
    <tableColumn id="2" xr3:uid="{93D84F0A-3C60-4240-B6F2-E65458CCC752}" name="Period" dataDxfId="128"/>
    <tableColumn id="3" xr3:uid="{A3AF7710-1CA9-40E9-892A-FD7DD662810E}" name="Trade Flow" dataDxfId="127"/>
    <tableColumn id="4" xr3:uid="{D7D0C38D-3ADA-49BE-9F93-C4E7A63965DD}" name="Reporter" dataDxfId="126"/>
    <tableColumn id="5" xr3:uid="{5959CDEA-25E9-4845-9950-20F146C69D36}" name="Partner" dataDxfId="125"/>
    <tableColumn id="6" xr3:uid="{442C1BB8-37B3-4D0E-8067-E3F8B086B6F7}" name="2nd Partner" dataDxfId="124"/>
    <tableColumn id="7" xr3:uid="{FE85573F-054B-4E1A-A982-A843328E7BA2}" name="Customs Desc" dataDxfId="123"/>
    <tableColumn id="8" xr3:uid="{91214254-6D65-41E1-A19F-A291CB068F11}" name="Transport Mode" dataDxfId="122"/>
    <tableColumn id="9" xr3:uid="{A7BD489C-9AA2-4FBA-8872-06D36E02AAD0}" name="Commodity Code" dataDxfId="121"/>
    <tableColumn id="10" xr3:uid="{FE0C30B1-FFE5-4CC1-8598-32DAE4AFE05E}" name="Trade Value - USD" dataDxfId="120"/>
    <tableColumn id="11" xr3:uid="{8812A52D-DB9C-440E-BE0E-E2DD2E35024E}" name="Net Weight -KG" dataDxfId="119"/>
    <tableColumn id="12" xr3:uid="{4963ECE2-263D-497B-BC46-DD4A77B89CB7}" name="Gross Weight" dataDxfId="118"/>
    <tableColumn id="13" xr3:uid="{2FBDAFB5-84C0-43E2-A879-AFF7690B4ED6}" name="Qty" dataDxfId="117"/>
    <tableColumn id="14" xr3:uid="{8249BC0A-C64D-4355-B63B-159CE13F590F}" name="Qty Unit" dataDxfId="116"/>
    <tableColumn id="15" xr3:uid="{B0B9E14D-C0EC-46D4-ACF6-A988F01313C3}" name="Alternate Quantity" dataDxfId="115"/>
    <tableColumn id="16" xr3:uid="{280971A1-464A-48CA-B77E-4B0822CC4250}" name="Alt Qty Unit" dataDxfId="114"/>
    <tableColumn id="18" xr3:uid="{EFD9B565-0CB3-4280-8163-1E8C4F2DB079}" name="Origin Share%" dataDxfId="113">
      <calculatedColumnFormula>SUMIFS(HS_DB[Trade Value - USD],HS_DB[Reporter],HS_DB[[#This Row],[Reporter]])/SUM(HS_DB[Trade Value - USD])</calculatedColumnFormula>
    </tableColumn>
    <tableColumn id="25" xr3:uid="{A88088E6-D01A-423C-A8B8-0A04EFE59C1E}" name="Origin Rank" dataDxfId="112">
      <calculatedColumnFormula array="1">SUMPRODUCT(
(HS_DB[Reporter]=HS_DB[[#This Row],[Reporter]])*
(HS_DB[Trade Value - USD]&gt;HS_DB[[#This Row],[Trade Value - USD]])
)+1</calculatedColumnFormula>
    </tableColumn>
    <tableColumn id="44" xr3:uid="{78F5FF92-55E1-4F29-9DA1-AA4E03183B4F}" name="Origin Crisis" dataDxfId="13">
      <calculatedColumnFormula>IFERROR(IF(INDEX(Heat_Map[Crisis Impact %],MATCH(HS_DB[[#This Row],[Reporter]],Heat_Map[Global],0),1)&gt;0,"Yes","No"),"No")</calculatedColumnFormula>
    </tableColumn>
    <tableColumn id="45" xr3:uid="{7576738F-E1EE-4E01-8CDB-E8FC21F4606E}" name="Crisis Impact%" dataDxfId="12">
      <calculatedColumnFormula>IFERROR(INDEX(Heat_Map[Crisis Impact %],MATCH(HS_DB[[#This Row],[Reporter]],Heat_Map[Global],0),1),0)</calculatedColumnFormula>
    </tableColumn>
    <tableColumn id="47" xr3:uid="{F783BFCC-0135-4552-A68A-05742FB5FB38}" name="Crisis Spend Impact USD" dataDxfId="111">
      <calculatedColumnFormula>HS_DB[[#This Row],[Crisis Impact%]]*HS_DB[[#This Row],[Trade Value - USD]]</calculatedColumnFormula>
    </tableColumn>
    <tableColumn id="46" xr3:uid="{43B82489-3884-45CB-93D7-FCB9002B0344}" name="Crisis Volume Impact KG" dataDxfId="110">
      <calculatedColumnFormula>HS_DB[[#This Row],[Crisis Impact%]]*HS_DB[[#This Row],[Net Weight -KG]]</calculatedColumnFormula>
    </tableColumn>
    <tableColumn id="19" xr3:uid="{4868C578-CB75-4CF7-9EFB-3F86587C9A20}" name="Product Share%" dataDxfId="109">
      <calculatedColumnFormula>SUMIFS(HS_DB[Trade Value - USD],HS_DB[Products],HS_DB[[#This Row],[Products]])/SUM(HS_DB[Trade Value - USD])</calculatedColumnFormula>
    </tableColumn>
    <tableColumn id="20" xr3:uid="{16899ABF-E74F-498A-AFA3-E625C50370BE}" name="Product Rank" dataDxfId="108">
      <calculatedColumnFormula>_xlfn.RANK.EQ(HS_DB[[#This Row],[Trade Value - USD]], HS_DB[Trade Value - USD], 0)
 + COUNTIFS(HS_DB[Trade Value - USD],HS_DB[[#This Row],[Trade Value - USD]],
            HS_DB[HS Code],"&lt;"&amp;HS_DB[[#This Row],[HS Code]])</calculatedColumnFormula>
    </tableColumn>
    <tableColumn id="24" xr3:uid="{A1D9F309-96FE-4BE6-A1E2-3793658D093D}" name="Weighted Price - USD" dataDxfId="107">
      <calculatedColumnFormula>IFERROR(HS_DB[[#This Row],[Trade Value - USD]]/HS_DB[[#This Row],[Net Weight -KG]],0)</calculatedColumnFormula>
    </tableColumn>
    <tableColumn id="26" xr3:uid="{FB22D384-2168-48E3-95C2-6F6350ADF9D5}" name="HS Code Risk Score" dataDxfId="17">
      <calculatedColumnFormula array="1">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calculatedColumnFormula>
    </tableColumn>
    <tableColumn id="27" xr3:uid="{A267F85B-17F8-411C-B9A2-9BDC07FE808B}" name="HS Code Risk Status" dataDxfId="16">
      <calculatedColumnFormula>IF(HS_DB[[#This Row],[HS Code Risk Score]]&gt;=40,"High",
 IF(HS_DB[[#This Row],[HS Code Risk Score]]&gt;=25,"Medium","Low"))</calculatedColumnFormula>
    </tableColumn>
    <tableColumn id="54" xr3:uid="{96560354-5E60-423D-B514-C8DD7673CD60}" name="Product Top10 Risk" dataDxfId="106">
      <calculatedColumnFormula>IF(RANK(HS_DB[[#This Row],[HS Code Risk Score]],HS_DB[HS Code Risk Score])&lt;=10,"Yes","No")</calculatedColumnFormula>
    </tableColumn>
    <tableColumn id="28" xr3:uid="{787E9DD9-2DDB-47B2-8BFD-AB75E71AEF58}" name="Annual Volume" dataDxfId="105">
      <calculatedColumnFormula>SUMIFS(HS_DB[Net Weight -KG],HS_DB[HS Code],HS_DB[[#This Row],[HS Code]])</calculatedColumnFormula>
    </tableColumn>
    <tableColumn id="29" xr3:uid="{E1C9EE6C-003C-4E38-A6EF-AB3D034F5348}" name="Annual Spend - USD" dataDxfId="104">
      <calculatedColumnFormula>SUMIFS(HS_DB[Trade Value - USD],HS_DB[HS Code],HS_DB[[#This Row],[HS Code]])</calculatedColumnFormula>
    </tableColumn>
    <tableColumn id="30" xr3:uid="{F7CEB781-E840-412C-AEE5-08F14D297A32}" name="Max Origin Share %" dataDxfId="103">
      <calculatedColumnFormula>_xlfn.MAXIFS(HS_DB[Origin Share%],HS_DB[HS Code],HS_DB[[#This Row],[HS Code]])</calculatedColumnFormula>
    </tableColumn>
    <tableColumn id="51" xr3:uid="{250CD51D-588E-4B19-8E0C-243560F46410}" name="Origin Count" dataDxfId="19">
      <calculatedColumnFormula array="1">_xlfn.LET(
_xlpm.hs,HS_DB[[#This Row],[HS Code]],
COUNTA(_xlfn.UNIQUE(_xlfn._xlws.FILTER(HS_DB[Reporter],HS_DB[HS Code]=_xlpm.hs)))
)</calculatedColumnFormula>
    </tableColumn>
    <tableColumn id="31" xr3:uid="{20194E87-1A45-4A96-9068-82D00F28E738}" name="Single Structure" dataDxfId="18">
      <calculatedColumnFormula>IF(HS_DB[[#This Row],[Origin Count]]=1,"Single Source","Multiple Sources")</calculatedColumnFormula>
    </tableColumn>
    <tableColumn id="32" xr3:uid="{024889E9-E9A1-43F5-8357-33E78CD45EEE}" name="Risk Exposure - USD" dataDxfId="102">
      <calculatedColumnFormula>HS_DB[[#This Row],[Annual Spend - USD]]*(HS_DB[[#This Row],[HS Code Risk Score]]/100)</calculatedColumnFormula>
    </tableColumn>
    <tableColumn id="33" xr3:uid="{D2E58CEB-68D6-40BD-B674-2C630AE981F0}" name="Risk Exposure Rank" dataDxfId="101">
      <calculatedColumnFormula>RANK(HS_DB[[#This Row],[Risk Exposure - USD]],HS_DB[Risk Exposure - USD],0)</calculatedColumnFormula>
    </tableColumn>
    <tableColumn id="34" xr3:uid="{CE5D5B1A-84BA-4499-877D-CEABB8FBFDC4}" name="Risk Exposure Status" dataDxfId="100">
      <calculatedColumnFormula>IF(HS_DB[[#This Row],[Risk Exposure Rank]]&lt;=10,"High",
 IF(HS_DB[[#This Row],[Risk Exposure Rank]]&lt;=30,"Medium",
 "Low"))</calculatedColumnFormula>
    </tableColumn>
    <tableColumn id="35" xr3:uid="{E569AA3F-D923-4A5E-B5CA-D2A1E5286780}" name="Procurement Priority" dataDxfId="99">
      <calculatedColumnFormula>IF(HS_DB[[#This Row],[Risk Exposure Rank]]&lt;=5,"Immediate Action",
 IF(HS_DB[[#This Row],[Risk Exposure Rank]]&lt;=15,"Monitor Closely",
 "Routine Control"))</calculatedColumnFormula>
    </tableColumn>
    <tableColumn id="36" xr3:uid="{790F8B7A-E978-4E77-9CD8-0B099DF61BC8}" name="Total Market Size - USD" dataDxfId="98">
      <calculatedColumnFormula>SUMIFS(HS_DB[Trade Value - USD],HS_DB[HS Code],HS_DB[[#This Row],[HS Code]])</calculatedColumnFormula>
    </tableColumn>
    <tableColumn id="37" xr3:uid="{245AE91A-99CC-4685-931A-F9CA323C52FE}" name="Market Share %" dataDxfId="97">
      <calculatedColumnFormula>HS_DB[[#This Row],[Annual Spend - USD]]/HS_DB[[#This Row],[Total Market Size - USD]]</calculatedColumnFormula>
    </tableColumn>
    <tableColumn id="39" xr3:uid="{AE1D9A7E-ED98-431F-858D-D2DE4AF1E89C}" name="Competition Intensity" dataDxfId="96">
      <calculatedColumnFormula array="1">COUNTA(_xlfn.UNIQUE(_xlfn._xlws.FILTER(HS_DB[Partner],HS_DB[HS Code]=HS_DB[[#This Row],[HS Code]])))</calculatedColumnFormula>
    </tableColumn>
    <tableColumn id="40" xr3:uid="{A436B695-F147-46AF-B552-E88483FB7E5C}" name="Market Concentration Level" dataDxfId="95">
      <calculatedColumnFormula>IF(HS_DB[[#This Row],[Competition Intensity]]&lt;=2,"Highly Concentrated",
 IF(HS_DB[[#This Row],[Competition Intensity]]&lt;=5,"Moderate",
 "Highly Competitive"))</calculatedColumnFormula>
    </tableColumn>
    <tableColumn id="41" xr3:uid="{F0BE3A64-7878-404C-98F6-C53C7CD69E4B}" name="Commercial Opportunity Score" dataDxfId="94">
      <calculatedColumnFormula>HS_DB[[#This Row],[Total Market Size - USD]]
*
(1+IFERROR(#REF!,0))
/
HS_DB[[#This Row],[Competition Intensity]]</calculatedColumnFormula>
    </tableColumn>
    <tableColumn id="42" xr3:uid="{A7138125-2596-40BF-B50A-C67CF0763B2C}" name="Commercial Priority" dataDxfId="93">
      <calculatedColumnFormula>IF(HS_DB[[#This Row],[Commercial Opportunity Score]]&gt;=PERCENTILE(HS_DB[Commercial Opportunity Score],0.9),"High Opportunity",
 IF(HS_DB[[#This Row],[Commercial Opportunity Score]]&gt;=PERCENTILE(HS_DB[Commercial Opportunity Score],0.6),"Medium Opportunity",
 "Routine Market"))</calculatedColumnFormula>
    </tableColumn>
    <tableColumn id="38" xr3:uid="{270C00B2-C6B5-4B25-A365-9DD95E96BD04}" name="Product Top10" dataDxfId="92">
      <calculatedColumnFormula>IF(AND(HS_DB[[#This Row],[Product Rank]]&gt;0,HS_DB[[#This Row],[Product Rank]]&lt;=10),"Yes","No")</calculatedColumnFormula>
    </tableColumn>
    <tableColumn id="43" xr3:uid="{432FBA6F-DBC0-4560-A955-E2134B203079}" name="Origin Top10" dataDxfId="91">
      <calculatedColumnFormula>IF(AND(HS_DB[[#This Row],[Origin Rank]]&gt;0,HS_DB[[#This Row],[Origin Rank]]&lt;=10),"Yes","No")</calculatedColumnFormula>
    </tableColumn>
  </tableColumns>
  <tableStyleInfo name="TableStyleMedium2"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15A56CF-DC5D-42AB-8E0A-1C4EE93E559D}" name="HS_Summary" displayName="HS_Summary" ref="B5:U33" totalsRowShown="0" headerRowDxfId="90">
  <autoFilter ref="B5:U33" xr:uid="{515A56CF-DC5D-42AB-8E0A-1C4EE93E559D}"/>
  <tableColumns count="20">
    <tableColumn id="1" xr3:uid="{35824078-28B5-431D-908C-60956CD10D1A}" name="HS Code" dataDxfId="89"/>
    <tableColumn id="2" xr3:uid="{7A75228B-7B95-4D9D-8329-27CB38CD4355}" name="HS Code Description" dataDxfId="88">
      <calculatedColumnFormula>IFERROR(INDEX(HS_MD!D:D,MATCH(B6,HS_MD!B:B,0),1),"")</calculatedColumnFormula>
    </tableColumn>
    <tableColumn id="3" xr3:uid="{104121D9-0921-40FF-84B8-728E692EDF4C}" name="Category" dataDxfId="87">
      <calculatedColumnFormula>IFERROR(INDEX(HS_MD!F:F,MATCH(B6,HS_MD!B:B,0),1),"")</calculatedColumnFormula>
    </tableColumn>
    <tableColumn id="4" xr3:uid="{976AAD53-0F49-4106-99AC-3152616714AD}" name="Products" dataDxfId="86">
      <calculatedColumnFormula>IFERROR(INDEX(HS_MD!E:E,MATCH(B6,HS_MD!B:B,0),1),"")</calculatedColumnFormula>
    </tableColumn>
    <tableColumn id="5" xr3:uid="{0FE427BC-57B1-43A2-8B99-4E0D88CC0E96}" name="Support Sector" dataDxfId="85">
      <calculatedColumnFormula>IFERROR(INDEX(HS_MD!#REF!,MATCH(B6,HS_MD!B:B,0),1),"")</calculatedColumnFormula>
    </tableColumn>
    <tableColumn id="24" xr3:uid="{A52F7C99-BBEF-421A-AF6F-F7494EAB0B99}" name="Lines" dataDxfId="84">
      <calculatedColumnFormula>COUNTIFS(HS_DB[HS Code],HS_Summary[[#This Row],[HS Code]])</calculatedColumnFormula>
    </tableColumn>
    <tableColumn id="6" xr3:uid="{52574512-AB8A-4D9B-BFC9-D5FEA9A9B200}" name="HS Code Risk Score" dataDxfId="83">
      <calculatedColumnFormula>_xlfn.MAXIFS(HS_DB[HS Code Risk Score],HS_DB[HS Code],HS_Summary[[#This Row],[HS Code]])</calculatedColumnFormula>
    </tableColumn>
    <tableColumn id="7" xr3:uid="{EE6B2C0D-4702-4ED0-B343-A7884EEB8B71}" name="HS Code Risk Status" dataDxfId="82">
      <calculatedColumnFormula>INDEX(HS_DB[HS Code Risk Status],MATCH(HS_Summary[[#This Row],[HS Code]],HS_DB[HS Code],0))</calculatedColumnFormula>
    </tableColumn>
    <tableColumn id="8" xr3:uid="{B8624F20-790B-41F9-B4EC-792ADE20B036}" name="Annual Volume" dataDxfId="81">
      <calculatedColumnFormula>SUMIFS(HS_DB[Net Weight -KG],HS_DB[HS Code],HS_Summary[[#This Row],[HS Code]])</calculatedColumnFormula>
    </tableColumn>
    <tableColumn id="9" xr3:uid="{F98A1975-98EF-4F18-8608-A063364F9CCA}" name="Annual Spend - USD" dataDxfId="80">
      <calculatedColumnFormula>SUMIFS(HS_DB[Trade Value - USD],HS_DB[HS Code],HS_Summary[[#This Row],[HS Code]])</calculatedColumnFormula>
    </tableColumn>
    <tableColumn id="10" xr3:uid="{3A78604A-1FD1-482A-AF13-B7171B800B3C}" name="Max Origin Share %" dataDxfId="79">
      <calculatedColumnFormula>_xlfn.MAXIFS(HS_DB[Origin Share%],HS_DB[HS Code],HS_Summary[[#This Row],[HS Code]])</calculatedColumnFormula>
    </tableColumn>
    <tableColumn id="11" xr3:uid="{4CC80157-CE29-4DFF-A582-C6385394D4C7}" name="Single Structure" dataDxfId="78">
      <calculatedColumnFormula>IF(HS_Summary[[#This Row],[Max Origin Share %]]&gt;0.8,"Single Source",
 IF(HS_Summary[[#This Row],[Max Origin Share %]]&gt;0.6,"High Dependency",
 "Diversified"))</calculatedColumnFormula>
    </tableColumn>
    <tableColumn id="12" xr3:uid="{64A1E74F-056B-4791-ACA8-AD60935B2161}" name="Risk Exposure - USD" dataDxfId="77">
      <calculatedColumnFormula>HS_Summary[[#This Row],[Annual Spend - USD]]*(HS_Summary[[#This Row],[HS Code Risk Score]]/100)</calculatedColumnFormula>
    </tableColumn>
    <tableColumn id="13" xr3:uid="{FDFD261D-EB39-44B3-A115-8A6CEE5F984B}" name="Risk Exposure Rank" dataDxfId="76">
      <calculatedColumnFormula>RANK(HS_Summary[[#This Row],[Risk Exposure - USD]],HS_Summary[Risk Exposure - USD],0)</calculatedColumnFormula>
    </tableColumn>
    <tableColumn id="14" xr3:uid="{3DEC65AD-2549-4A00-AAD1-4F7FE13E4384}" name="Risk Exposure Status" dataDxfId="75">
      <calculatedColumnFormula>IF(HS_Summary[[#This Row],[Risk Exposure Rank]]&lt;=COUNT(HS_Summary[HS Code])*0.1,"High",
 IF(HS_Summary[[#This Row],[Risk Exposure Rank]]&lt;=COUNT(HS_Summary[HS Code])*0.3,"Medium",
 "Low"))</calculatedColumnFormula>
    </tableColumn>
    <tableColumn id="15" xr3:uid="{F53D6DA8-AD6C-43B8-A289-1A536CA168BD}" name="Procurement Priority" dataDxfId="74">
      <calculatedColumnFormula>IF(AND(HS_Summary[[#This Row],[HS Code Risk Score]]&gt;=85,HS_Summary[[#This Row],[Risk Exposure Rank]]&lt;=5),"Strategic Critical",
 IF(AND(HS_Summary[[#This Row],[HS Code Risk Score]]&gt;=70,HS_Summary[[#This Row],[Risk Exposure Rank]]&lt;=10),"High Priority",
 IF(AND(HS_Summary[[#This Row],[HS Code Risk Score]]&gt;=70,HS_Summary[[#This Row],[Max Origin Share %]]&gt;0.7),"Supply Risk Action",
 IF(HS_Summary[[#This Row],[Risk Exposure Rank]]&lt;=5,"Financial Control",
 IF(HS_Summary[[#This Row],[HS Code Risk Score]]&gt;=70,"Risk Monitoring",
 "Routine Control")))))</calculatedColumnFormula>
    </tableColumn>
    <tableColumn id="16" xr3:uid="{D929F7A9-B8B6-4E0E-B7C7-FD768B41928D}" name="Total Market Size - USD" dataDxfId="73">
      <calculatedColumnFormula>SUMIFS(HS_DB[Trade Value - USD],HS_DB[HS Code],HS_Summary[[#This Row],[HS Code]])</calculatedColumnFormula>
    </tableColumn>
    <tableColumn id="17" xr3:uid="{42E7B659-466B-4958-8B3E-069BEE5E1DAE}" name="Market Share %" dataDxfId="72">
      <calculatedColumnFormula>IFERROR(HS_Summary[[#This Row],[Annual Spend - USD]]/HS_Summary[[#This Row],[Total Market Size - USD]],0)</calculatedColumnFormula>
    </tableColumn>
    <tableColumn id="19" xr3:uid="{25F5C3B9-268C-4DC9-9164-4586A1F19E13}" name="Competition Intensity" dataDxfId="71">
      <calculatedColumnFormula array="1">COUNTA(_xlfn.UNIQUE(_xlfn._xlws.FILTER(HS_DB[Partner],HS_DB[HS Code]=HS_Summary[[#This Row],[HS Code]])))</calculatedColumnFormula>
    </tableColumn>
    <tableColumn id="20" xr3:uid="{A919E368-3E48-40DC-9713-9D9DCF8F701A}" name="Market Concentration Level" dataDxfId="70">
      <calculatedColumnFormula>IF(HS_Summary[[#This Row],[Competition Intensity]]&lt;=2,"Highly Concentrated",
 IF(HS_Summary[[#This Row],[Competition Intensity]]&lt;=5,"Moderate",
 "Highly Competitive"))</calculatedColumnFormula>
    </tableColumn>
  </tableColumns>
  <tableStyleInfo name="TableStyleMedium2"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E6C5DC5-AF61-49BC-B3D3-A502E81DF8D0}" name="Crisis_Type" displayName="Crisis_Type" ref="B5:H10" totalsRowShown="0" headerRowDxfId="62" dataDxfId="61">
  <autoFilter ref="B5:H10" xr:uid="{3E6C5DC5-AF61-49BC-B3D3-A502E81DF8D0}"/>
  <tableColumns count="7">
    <tableColumn id="1" xr3:uid="{24DF571D-146C-47D1-991C-7EC3290C0D80}" name="Crisis Type" dataDxfId="60"/>
    <tableColumn id="2" xr3:uid="{B22F0C78-AC48-4E62-B624-F4067002E19D}" name="Shock Factor" dataDxfId="59"/>
    <tableColumn id="3" xr3:uid="{4C22DCD5-820F-4485-A321-9F1AE6E8D2A7}" name="Risk Level 1" dataDxfId="58"/>
    <tableColumn id="4" xr3:uid="{6133D6E3-9740-44E0-A101-299E6FE5CC2A}" name="Risk Level 2" dataDxfId="57"/>
    <tableColumn id="5" xr3:uid="{061AFB16-5F0C-4A8F-B1C6-D820416CF3B5}" name="Risk Level 3" dataDxfId="56"/>
    <tableColumn id="6" xr3:uid="{309DB96C-5B2F-4E20-919C-02EB83338C2D}" name="Risk Level 4" dataDxfId="55"/>
    <tableColumn id="7" xr3:uid="{C53A2555-43D5-4EE4-9C89-731AF50B81B4}" name="Risk Level 5" dataDxfId="54"/>
  </tableColumns>
  <tableStyleInfo name="TableStyleMedium2" showFirstColumn="0" showLastColumn="0" showRowStripes="0"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B53EBD4-5701-411B-A7F9-08A6F1301233}" name="Heat_Map" displayName="Heat_Map" ref="B7:H198" totalsRowShown="0" headerRowDxfId="69" dataDxfId="68">
  <autoFilter ref="B7:H198" xr:uid="{FB53EBD4-5701-411B-A7F9-08A6F1301233}">
    <filterColumn colId="6">
      <filters>
        <filter val="10%"/>
        <filter val="14%"/>
        <filter val="21%"/>
        <filter val="30%"/>
        <filter val="4%"/>
        <filter val="45%"/>
        <filter val="6%"/>
      </filters>
    </filterColumn>
  </autoFilter>
  <tableColumns count="7">
    <tableColumn id="6" xr3:uid="{14ACAED4-47FB-475E-B522-89F5E38507EF}" name="Index" dataDxfId="67">
      <calculatedColumnFormula array="1">ROW()-ROW(Heat_Map[#Headers])</calculatedColumnFormula>
    </tableColumn>
    <tableColumn id="1" xr3:uid="{222A4048-0E98-44BF-98F4-A16215D5DBF7}" name="Global" dataDxfId="66"/>
    <tableColumn id="7" xr3:uid="{8AA4E120-61E0-4317-B5B5-5E3C645D8D42}" name="Describtion" dataDxfId="14"/>
    <tableColumn id="2" xr3:uid="{0068CED8-EBE7-448E-B6C5-45DCC63DC51E}" name="Crisis" dataDxfId="65"/>
    <tableColumn id="3" xr3:uid="{F62613C4-B160-48DE-95BD-7BCF3C8F9CB1}" name="Shock Factor" dataDxfId="64">
      <calculatedColumnFormula>IFERROR(_xlfn.XLOOKUP(Heat_Map[[#This Row],[Crisis]], Crisis_Type[Crisis Type], Crisis_Type[Shock Factor]),"")</calculatedColumnFormula>
    </tableColumn>
    <tableColumn id="4" xr3:uid="{9ED78729-4FF3-4B9B-8889-9ABE03AE005D}" name="Risk Level" dataDxfId="63"/>
    <tableColumn id="5" xr3:uid="{C6D21A03-29DD-4ECB-ADDF-A2A0D4AE69AC}" name="Crisis Impact %" dataDxfId="15">
      <calculatedColumnFormula array="1">IFERROR(
Heat_Map[[#This Row],[Shock Factor]] *
INDEX(
Crisis_Type[[Risk Level 1]:[Risk Level 5]],
MATCH(Heat_Map[[#This Row],[Crisis]],Crisis_Type[Crisis Type],0),
Heat_Map[[#This Row],[Risk Level]]
),0)</calculatedColumnFormula>
    </tableColumn>
  </tableColumns>
  <tableStyleInfo name="TableStyleMedium2"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20" Type="http://schemas.microsoft.com/office/2007/relationships/slicer" Target="../slicers/slicer1.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19" Type="http://schemas.openxmlformats.org/officeDocument/2006/relationships/ctrlProp" Target="../ctrlProps/ctrlProp17.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9.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26" Type="http://schemas.openxmlformats.org/officeDocument/2006/relationships/pivotTable" Target="../pivotTables/pivotTable26.xml"/><Relationship Id="rId3" Type="http://schemas.openxmlformats.org/officeDocument/2006/relationships/pivotTable" Target="../pivotTables/pivotTable3.xml"/><Relationship Id="rId21" Type="http://schemas.openxmlformats.org/officeDocument/2006/relationships/pivotTable" Target="../pivotTables/pivotTable21.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5" Type="http://schemas.openxmlformats.org/officeDocument/2006/relationships/pivotTable" Target="../pivotTables/pivotTable25.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pivotTable" Target="../pivotTables/pivotTable20.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24" Type="http://schemas.openxmlformats.org/officeDocument/2006/relationships/pivotTable" Target="../pivotTables/pivotTable24.xml"/><Relationship Id="rId5" Type="http://schemas.openxmlformats.org/officeDocument/2006/relationships/pivotTable" Target="../pivotTables/pivotTable5.xml"/><Relationship Id="rId15" Type="http://schemas.openxmlformats.org/officeDocument/2006/relationships/pivotTable" Target="../pivotTables/pivotTable15.xml"/><Relationship Id="rId23" Type="http://schemas.openxmlformats.org/officeDocument/2006/relationships/pivotTable" Target="../pivotTables/pivotTable23.xml"/><Relationship Id="rId10" Type="http://schemas.openxmlformats.org/officeDocument/2006/relationships/pivotTable" Target="../pivotTables/pivotTable10.xml"/><Relationship Id="rId19" Type="http://schemas.openxmlformats.org/officeDocument/2006/relationships/pivotTable" Target="../pivotTables/pivotTable19.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 Id="rId22" Type="http://schemas.openxmlformats.org/officeDocument/2006/relationships/pivotTable" Target="../pivotTables/pivotTable22.xml"/><Relationship Id="rId27" Type="http://schemas.openxmlformats.org/officeDocument/2006/relationships/pivotTable" Target="../pivotTables/pivotTable2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20C0C-9342-47CD-83EA-D0EB3AFAB499}">
  <sheetPr codeName="Sheet1">
    <tabColor theme="0" tint="-0.14999847407452621"/>
  </sheetPr>
  <dimension ref="A1:M90"/>
  <sheetViews>
    <sheetView showGridLines="0" workbookViewId="0">
      <pane ySplit="5" topLeftCell="A6" activePane="bottomLeft" state="frozen"/>
      <selection sqref="A1:HO5"/>
      <selection pane="bottomLeft" sqref="A1:HO5"/>
    </sheetView>
  </sheetViews>
  <sheetFormatPr defaultColWidth="0" defaultRowHeight="14.4" x14ac:dyDescent="0.3"/>
  <cols>
    <col min="1" max="1" width="0.88671875" customWidth="1"/>
    <col min="2" max="2" width="20.109375" bestFit="1" customWidth="1"/>
    <col min="3" max="3" width="20.6640625" bestFit="1" customWidth="1"/>
    <col min="4" max="4" width="26.77734375" bestFit="1" customWidth="1"/>
    <col min="5" max="5" width="10.33203125" bestFit="1" customWidth="1"/>
    <col min="6" max="6" width="10.77734375" bestFit="1" customWidth="1"/>
    <col min="7" max="7" width="10" bestFit="1" customWidth="1"/>
    <col min="8" max="8" width="8.109375" bestFit="1" customWidth="1"/>
    <col min="9" max="9" width="0.88671875" customWidth="1"/>
    <col min="10" max="13" width="0" hidden="1" customWidth="1"/>
    <col min="14" max="16384" width="8.88671875" hidden="1"/>
  </cols>
  <sheetData>
    <row r="1" spans="2:8" ht="4.95" customHeight="1" x14ac:dyDescent="0.3"/>
    <row r="2" spans="2:8" ht="14.4" customHeight="1" x14ac:dyDescent="0.3">
      <c r="B2" s="44" t="s">
        <v>182</v>
      </c>
      <c r="C2" s="44"/>
      <c r="D2" s="44"/>
      <c r="E2" s="21"/>
      <c r="F2" s="21"/>
      <c r="G2" s="21"/>
      <c r="H2" s="21"/>
    </row>
    <row r="3" spans="2:8" ht="14.4" customHeight="1" x14ac:dyDescent="0.3">
      <c r="B3" s="44"/>
      <c r="C3" s="44"/>
      <c r="D3" s="44"/>
      <c r="E3" s="21"/>
      <c r="F3" s="21"/>
      <c r="G3" s="21"/>
      <c r="H3" s="21"/>
    </row>
    <row r="4" spans="2:8" ht="4.95" customHeight="1" x14ac:dyDescent="0.3"/>
    <row r="5" spans="2:8" s="7" customFormat="1" ht="49.95" customHeight="1" x14ac:dyDescent="0.3">
      <c r="B5" s="15" t="s">
        <v>183</v>
      </c>
      <c r="C5" s="15" t="s">
        <v>184</v>
      </c>
      <c r="D5" s="15" t="s">
        <v>185</v>
      </c>
      <c r="E5" s="15" t="s">
        <v>186</v>
      </c>
      <c r="F5" s="15" t="s">
        <v>187</v>
      </c>
      <c r="G5" s="15" t="s">
        <v>230</v>
      </c>
      <c r="H5" s="15" t="s">
        <v>202</v>
      </c>
    </row>
    <row r="6" spans="2:8" x14ac:dyDescent="0.3">
      <c r="B6" s="2" t="s">
        <v>203</v>
      </c>
      <c r="C6" s="2" t="s">
        <v>203</v>
      </c>
      <c r="D6" s="2" t="s">
        <v>0</v>
      </c>
      <c r="E6" s="2" t="s">
        <v>188</v>
      </c>
      <c r="F6" s="2">
        <v>2</v>
      </c>
      <c r="G6" s="2">
        <v>5</v>
      </c>
      <c r="H6" s="2"/>
    </row>
    <row r="7" spans="2:8" x14ac:dyDescent="0.3">
      <c r="B7" s="2" t="s">
        <v>203</v>
      </c>
      <c r="C7" s="2" t="s">
        <v>203</v>
      </c>
      <c r="D7" s="2" t="s">
        <v>68</v>
      </c>
      <c r="E7" s="2" t="s">
        <v>189</v>
      </c>
      <c r="F7" s="2">
        <v>3</v>
      </c>
      <c r="G7" s="2">
        <v>5</v>
      </c>
      <c r="H7" s="2"/>
    </row>
    <row r="8" spans="2:8" x14ac:dyDescent="0.3">
      <c r="B8" s="2" t="s">
        <v>203</v>
      </c>
      <c r="C8" s="2" t="s">
        <v>203</v>
      </c>
      <c r="D8" s="2" t="s">
        <v>62</v>
      </c>
      <c r="E8" s="2" t="s">
        <v>190</v>
      </c>
      <c r="F8" s="2">
        <v>4</v>
      </c>
      <c r="G8" s="2">
        <v>5</v>
      </c>
      <c r="H8" s="2"/>
    </row>
    <row r="9" spans="2:8" x14ac:dyDescent="0.3">
      <c r="B9" s="2" t="s">
        <v>203</v>
      </c>
      <c r="C9" s="2" t="s">
        <v>203</v>
      </c>
      <c r="D9" s="2" t="s">
        <v>63</v>
      </c>
      <c r="E9" s="2" t="s">
        <v>191</v>
      </c>
      <c r="F9" s="2">
        <v>5</v>
      </c>
      <c r="G9" s="2">
        <v>5</v>
      </c>
      <c r="H9" s="2"/>
    </row>
    <row r="10" spans="2:8" x14ac:dyDescent="0.3">
      <c r="B10" s="2" t="s">
        <v>203</v>
      </c>
      <c r="C10" s="2" t="s">
        <v>203</v>
      </c>
      <c r="D10" s="2" t="s">
        <v>144</v>
      </c>
      <c r="E10" s="2" t="s">
        <v>192</v>
      </c>
      <c r="F10" s="2">
        <v>6</v>
      </c>
      <c r="G10" s="2">
        <v>5</v>
      </c>
      <c r="H10" s="2"/>
    </row>
    <row r="11" spans="2:8" x14ac:dyDescent="0.3">
      <c r="B11" s="2" t="s">
        <v>229</v>
      </c>
      <c r="C11" s="2" t="s">
        <v>229</v>
      </c>
      <c r="D11" s="2" t="s">
        <v>0</v>
      </c>
      <c r="E11" s="2" t="s">
        <v>188</v>
      </c>
      <c r="F11" s="2">
        <v>2</v>
      </c>
      <c r="G11" s="2">
        <v>5</v>
      </c>
      <c r="H11" s="2"/>
    </row>
    <row r="12" spans="2:8" x14ac:dyDescent="0.3">
      <c r="B12" s="2" t="s">
        <v>229</v>
      </c>
      <c r="C12" s="2" t="s">
        <v>229</v>
      </c>
      <c r="D12" s="2" t="s">
        <v>68</v>
      </c>
      <c r="E12" s="2" t="s">
        <v>189</v>
      </c>
      <c r="F12" s="2">
        <v>3</v>
      </c>
      <c r="G12" s="2">
        <v>5</v>
      </c>
      <c r="H12" s="2"/>
    </row>
    <row r="13" spans="2:8" x14ac:dyDescent="0.3">
      <c r="B13" s="2" t="s">
        <v>229</v>
      </c>
      <c r="C13" s="2" t="s">
        <v>229</v>
      </c>
      <c r="D13" s="2" t="s">
        <v>62</v>
      </c>
      <c r="E13" s="2" t="s">
        <v>190</v>
      </c>
      <c r="F13" s="2">
        <v>4</v>
      </c>
      <c r="G13" s="2">
        <v>5</v>
      </c>
      <c r="H13" s="2"/>
    </row>
    <row r="14" spans="2:8" x14ac:dyDescent="0.3">
      <c r="B14" s="2" t="s">
        <v>229</v>
      </c>
      <c r="C14" s="2" t="s">
        <v>229</v>
      </c>
      <c r="D14" s="2" t="s">
        <v>63</v>
      </c>
      <c r="E14" s="2" t="s">
        <v>191</v>
      </c>
      <c r="F14" s="2">
        <v>5</v>
      </c>
      <c r="G14" s="2">
        <v>5</v>
      </c>
      <c r="H14" s="2"/>
    </row>
    <row r="15" spans="2:8" x14ac:dyDescent="0.3">
      <c r="B15" s="2" t="s">
        <v>229</v>
      </c>
      <c r="C15" s="2" t="s">
        <v>229</v>
      </c>
      <c r="D15" s="2" t="s">
        <v>144</v>
      </c>
      <c r="E15" s="2" t="s">
        <v>192</v>
      </c>
      <c r="F15" s="2">
        <v>6</v>
      </c>
      <c r="G15" s="2">
        <v>5</v>
      </c>
      <c r="H15" s="2"/>
    </row>
    <row r="16" spans="2:8" x14ac:dyDescent="0.3">
      <c r="B16" s="2" t="s">
        <v>229</v>
      </c>
      <c r="C16" s="2" t="s">
        <v>229</v>
      </c>
      <c r="D16" s="2" t="s">
        <v>9</v>
      </c>
      <c r="E16" s="2" t="s">
        <v>193</v>
      </c>
      <c r="F16" s="2">
        <v>7</v>
      </c>
      <c r="G16" s="2">
        <v>5</v>
      </c>
      <c r="H16" s="2"/>
    </row>
    <row r="17" spans="2:8" x14ac:dyDescent="0.3">
      <c r="B17" s="2" t="s">
        <v>229</v>
      </c>
      <c r="C17" s="2" t="s">
        <v>229</v>
      </c>
      <c r="D17" s="2" t="s">
        <v>10</v>
      </c>
      <c r="E17" s="2" t="s">
        <v>194</v>
      </c>
      <c r="F17" s="2">
        <v>8</v>
      </c>
      <c r="G17" s="2">
        <v>5</v>
      </c>
      <c r="H17" s="2"/>
    </row>
    <row r="18" spans="2:8" x14ac:dyDescent="0.3">
      <c r="B18" s="2" t="s">
        <v>229</v>
      </c>
      <c r="C18" s="2" t="s">
        <v>229</v>
      </c>
      <c r="D18" s="2" t="s">
        <v>11</v>
      </c>
      <c r="E18" s="2" t="s">
        <v>195</v>
      </c>
      <c r="F18" s="2">
        <v>9</v>
      </c>
      <c r="G18" s="2">
        <v>5</v>
      </c>
      <c r="H18" s="2"/>
    </row>
    <row r="19" spans="2:8" x14ac:dyDescent="0.3">
      <c r="B19" s="2" t="s">
        <v>229</v>
      </c>
      <c r="C19" s="2" t="s">
        <v>229</v>
      </c>
      <c r="D19" s="2" t="s">
        <v>12</v>
      </c>
      <c r="E19" s="2" t="s">
        <v>196</v>
      </c>
      <c r="F19" s="2">
        <v>10</v>
      </c>
      <c r="G19" s="2">
        <v>5</v>
      </c>
      <c r="H19" s="2"/>
    </row>
    <row r="20" spans="2:8" x14ac:dyDescent="0.3">
      <c r="B20" s="2" t="s">
        <v>229</v>
      </c>
      <c r="C20" s="2" t="s">
        <v>229</v>
      </c>
      <c r="D20" s="2" t="s">
        <v>13</v>
      </c>
      <c r="E20" s="2" t="s">
        <v>197</v>
      </c>
      <c r="F20" s="2">
        <v>11</v>
      </c>
      <c r="G20" s="2">
        <v>5</v>
      </c>
      <c r="H20" s="2"/>
    </row>
    <row r="21" spans="2:8" x14ac:dyDescent="0.3">
      <c r="B21" s="2" t="s">
        <v>229</v>
      </c>
      <c r="C21" s="2" t="s">
        <v>229</v>
      </c>
      <c r="D21" s="2" t="s">
        <v>14</v>
      </c>
      <c r="E21" s="2" t="s">
        <v>198</v>
      </c>
      <c r="F21" s="2">
        <v>12</v>
      </c>
      <c r="G21" s="2">
        <v>5</v>
      </c>
      <c r="H21" s="2"/>
    </row>
    <row r="22" spans="2:8" x14ac:dyDescent="0.3">
      <c r="B22" s="2" t="s">
        <v>229</v>
      </c>
      <c r="C22" s="2" t="s">
        <v>229</v>
      </c>
      <c r="D22" s="2" t="s">
        <v>15</v>
      </c>
      <c r="E22" s="2" t="s">
        <v>199</v>
      </c>
      <c r="F22" s="2">
        <v>13</v>
      </c>
      <c r="G22" s="2">
        <v>5</v>
      </c>
      <c r="H22" s="2"/>
    </row>
    <row r="23" spans="2:8" x14ac:dyDescent="0.3">
      <c r="B23" s="2" t="s">
        <v>229</v>
      </c>
      <c r="C23" s="2" t="s">
        <v>229</v>
      </c>
      <c r="D23" s="2" t="s">
        <v>16</v>
      </c>
      <c r="E23" s="2" t="s">
        <v>200</v>
      </c>
      <c r="F23" s="2">
        <v>14</v>
      </c>
      <c r="G23" s="2">
        <v>5</v>
      </c>
      <c r="H23" s="2"/>
    </row>
    <row r="24" spans="2:8" x14ac:dyDescent="0.3">
      <c r="B24" s="2" t="s">
        <v>229</v>
      </c>
      <c r="C24" s="2" t="s">
        <v>229</v>
      </c>
      <c r="D24" s="2" t="s">
        <v>171</v>
      </c>
      <c r="E24" s="2" t="s">
        <v>201</v>
      </c>
      <c r="F24" s="2">
        <v>15</v>
      </c>
      <c r="G24" s="2">
        <v>5</v>
      </c>
      <c r="H24" s="2"/>
    </row>
    <row r="25" spans="2:8" x14ac:dyDescent="0.3">
      <c r="B25" s="2" t="s">
        <v>229</v>
      </c>
      <c r="C25" s="2" t="s">
        <v>229</v>
      </c>
      <c r="D25" s="2" t="s">
        <v>172</v>
      </c>
      <c r="E25" s="2" t="s">
        <v>204</v>
      </c>
      <c r="F25" s="2">
        <v>16</v>
      </c>
      <c r="G25" s="2">
        <v>5</v>
      </c>
      <c r="H25" s="2"/>
    </row>
    <row r="26" spans="2:8" x14ac:dyDescent="0.3">
      <c r="B26" s="2" t="s">
        <v>229</v>
      </c>
      <c r="C26" s="2" t="s">
        <v>229</v>
      </c>
      <c r="D26" s="2" t="s">
        <v>17</v>
      </c>
      <c r="E26" s="2" t="s">
        <v>205</v>
      </c>
      <c r="F26" s="2">
        <v>17</v>
      </c>
      <c r="G26" s="2">
        <v>5</v>
      </c>
      <c r="H26" s="2"/>
    </row>
    <row r="27" spans="2:8" x14ac:dyDescent="0.3">
      <c r="B27" s="2" t="s">
        <v>229</v>
      </c>
      <c r="C27" s="2" t="s">
        <v>229</v>
      </c>
      <c r="D27" s="2" t="s">
        <v>18</v>
      </c>
      <c r="E27" s="2" t="s">
        <v>206</v>
      </c>
      <c r="F27" s="2">
        <v>18</v>
      </c>
      <c r="G27" s="2">
        <v>5</v>
      </c>
      <c r="H27" s="2"/>
    </row>
    <row r="28" spans="2:8" x14ac:dyDescent="0.3">
      <c r="B28" s="2" t="s">
        <v>229</v>
      </c>
      <c r="C28" s="2" t="s">
        <v>229</v>
      </c>
      <c r="D28" s="2" t="s">
        <v>19</v>
      </c>
      <c r="E28" s="2" t="s">
        <v>207</v>
      </c>
      <c r="F28" s="2">
        <v>19</v>
      </c>
      <c r="G28" s="2">
        <v>5</v>
      </c>
      <c r="H28" s="2"/>
    </row>
    <row r="29" spans="2:8" x14ac:dyDescent="0.3">
      <c r="B29" s="2" t="s">
        <v>229</v>
      </c>
      <c r="C29" s="2" t="s">
        <v>229</v>
      </c>
      <c r="D29" s="2" t="s">
        <v>20</v>
      </c>
      <c r="E29" s="2" t="s">
        <v>208</v>
      </c>
      <c r="F29" s="2">
        <v>20</v>
      </c>
      <c r="G29" s="2">
        <v>5</v>
      </c>
      <c r="H29" s="2"/>
    </row>
    <row r="30" spans="2:8" x14ac:dyDescent="0.3">
      <c r="B30" s="2" t="s">
        <v>229</v>
      </c>
      <c r="C30" s="2" t="s">
        <v>229</v>
      </c>
      <c r="D30" s="2" t="s">
        <v>21</v>
      </c>
      <c r="E30" s="2" t="s">
        <v>209</v>
      </c>
      <c r="F30" s="2">
        <v>21</v>
      </c>
      <c r="G30" s="2">
        <v>5</v>
      </c>
      <c r="H30" s="2"/>
    </row>
    <row r="31" spans="2:8" x14ac:dyDescent="0.3">
      <c r="B31" s="2" t="s">
        <v>229</v>
      </c>
      <c r="C31" s="2" t="s">
        <v>229</v>
      </c>
      <c r="D31" s="2" t="s">
        <v>162</v>
      </c>
      <c r="E31" s="2" t="s">
        <v>210</v>
      </c>
      <c r="F31" s="2">
        <v>22</v>
      </c>
      <c r="G31" s="2">
        <v>5</v>
      </c>
      <c r="H31" s="2"/>
    </row>
    <row r="32" spans="2:8" x14ac:dyDescent="0.3">
      <c r="B32" s="2" t="s">
        <v>229</v>
      </c>
      <c r="C32" s="2" t="s">
        <v>229</v>
      </c>
      <c r="D32" s="2" t="s">
        <v>163</v>
      </c>
      <c r="E32" s="2" t="s">
        <v>211</v>
      </c>
      <c r="F32" s="2">
        <v>23</v>
      </c>
      <c r="G32" s="2">
        <v>5</v>
      </c>
      <c r="H32" s="2"/>
    </row>
    <row r="33" spans="2:8" x14ac:dyDescent="0.3">
      <c r="B33" s="2" t="s">
        <v>229</v>
      </c>
      <c r="C33" s="2" t="s">
        <v>229</v>
      </c>
      <c r="D33" s="2" t="s">
        <v>60</v>
      </c>
      <c r="E33" s="2" t="s">
        <v>57</v>
      </c>
      <c r="F33" s="2">
        <v>24</v>
      </c>
      <c r="G33" s="2">
        <v>5</v>
      </c>
      <c r="H33" s="2"/>
    </row>
    <row r="34" spans="2:8" x14ac:dyDescent="0.3">
      <c r="B34" s="2" t="s">
        <v>229</v>
      </c>
      <c r="C34" s="2" t="s">
        <v>229</v>
      </c>
      <c r="D34" s="2" t="s">
        <v>173</v>
      </c>
      <c r="E34" s="2" t="s">
        <v>212</v>
      </c>
      <c r="F34" s="2">
        <v>25</v>
      </c>
      <c r="G34" s="2">
        <v>5</v>
      </c>
      <c r="H34" s="2"/>
    </row>
    <row r="35" spans="2:8" x14ac:dyDescent="0.3">
      <c r="B35" s="2" t="s">
        <v>229</v>
      </c>
      <c r="C35" s="2" t="s">
        <v>229</v>
      </c>
      <c r="D35" s="2" t="s">
        <v>159</v>
      </c>
      <c r="E35" s="2" t="s">
        <v>213</v>
      </c>
      <c r="F35" s="2">
        <v>26</v>
      </c>
      <c r="G35" s="2">
        <v>5</v>
      </c>
      <c r="H35" s="2"/>
    </row>
    <row r="36" spans="2:8" x14ac:dyDescent="0.3">
      <c r="B36" s="2" t="s">
        <v>229</v>
      </c>
      <c r="C36" s="2" t="s">
        <v>229</v>
      </c>
      <c r="D36" s="2" t="s">
        <v>158</v>
      </c>
      <c r="E36" s="2" t="s">
        <v>214</v>
      </c>
      <c r="F36" s="2">
        <v>27</v>
      </c>
      <c r="G36" s="2">
        <v>5</v>
      </c>
      <c r="H36" s="2"/>
    </row>
    <row r="37" spans="2:8" x14ac:dyDescent="0.3">
      <c r="B37" s="2" t="s">
        <v>229</v>
      </c>
      <c r="C37" s="2" t="s">
        <v>229</v>
      </c>
      <c r="D37" s="2" t="s">
        <v>160</v>
      </c>
      <c r="E37" s="2" t="s">
        <v>215</v>
      </c>
      <c r="F37" s="2">
        <v>28</v>
      </c>
      <c r="G37" s="2">
        <v>5</v>
      </c>
      <c r="H37" s="2"/>
    </row>
    <row r="38" spans="2:8" x14ac:dyDescent="0.3">
      <c r="B38" s="2" t="s">
        <v>229</v>
      </c>
      <c r="C38" s="2" t="s">
        <v>229</v>
      </c>
      <c r="D38" s="2" t="s">
        <v>166</v>
      </c>
      <c r="E38" s="2" t="s">
        <v>216</v>
      </c>
      <c r="F38" s="2">
        <v>29</v>
      </c>
      <c r="G38" s="2">
        <v>5</v>
      </c>
      <c r="H38" s="2"/>
    </row>
    <row r="39" spans="2:8" x14ac:dyDescent="0.3">
      <c r="B39" s="2" t="s">
        <v>229</v>
      </c>
      <c r="C39" s="2" t="s">
        <v>229</v>
      </c>
      <c r="D39" s="2" t="s">
        <v>161</v>
      </c>
      <c r="E39" s="2" t="s">
        <v>217</v>
      </c>
      <c r="F39" s="2">
        <v>30</v>
      </c>
      <c r="G39" s="2">
        <v>5</v>
      </c>
      <c r="H39" s="2"/>
    </row>
    <row r="40" spans="2:8" x14ac:dyDescent="0.3">
      <c r="B40" s="2" t="s">
        <v>229</v>
      </c>
      <c r="C40" s="2" t="s">
        <v>229</v>
      </c>
      <c r="D40" s="2" t="s">
        <v>164</v>
      </c>
      <c r="E40" s="2" t="s">
        <v>218</v>
      </c>
      <c r="F40" s="2">
        <v>31</v>
      </c>
      <c r="G40" s="2">
        <v>5</v>
      </c>
      <c r="H40" s="2"/>
    </row>
    <row r="41" spans="2:8" x14ac:dyDescent="0.3">
      <c r="B41" s="2" t="s">
        <v>229</v>
      </c>
      <c r="C41" s="2" t="s">
        <v>229</v>
      </c>
      <c r="D41" s="2" t="s">
        <v>165</v>
      </c>
      <c r="E41" s="2" t="s">
        <v>219</v>
      </c>
      <c r="F41" s="2">
        <v>32</v>
      </c>
      <c r="G41" s="2">
        <v>5</v>
      </c>
      <c r="H41" s="2"/>
    </row>
    <row r="42" spans="2:8" x14ac:dyDescent="0.3">
      <c r="B42" s="2" t="s">
        <v>229</v>
      </c>
      <c r="C42" s="2" t="s">
        <v>229</v>
      </c>
      <c r="D42" s="2" t="s">
        <v>167</v>
      </c>
      <c r="E42" s="2" t="s">
        <v>220</v>
      </c>
      <c r="F42" s="2">
        <v>33</v>
      </c>
      <c r="G42" s="2">
        <v>5</v>
      </c>
      <c r="H42" s="2"/>
    </row>
    <row r="43" spans="2:8" x14ac:dyDescent="0.3">
      <c r="B43" s="2" t="s">
        <v>229</v>
      </c>
      <c r="C43" s="2" t="s">
        <v>229</v>
      </c>
      <c r="D43" s="2" t="s">
        <v>168</v>
      </c>
      <c r="E43" s="2" t="s">
        <v>221</v>
      </c>
      <c r="F43" s="2">
        <v>34</v>
      </c>
      <c r="G43" s="2">
        <v>5</v>
      </c>
      <c r="H43" s="2"/>
    </row>
    <row r="44" spans="2:8" x14ac:dyDescent="0.3">
      <c r="B44" s="2" t="s">
        <v>229</v>
      </c>
      <c r="C44" s="2" t="s">
        <v>229</v>
      </c>
      <c r="D44" s="2" t="s">
        <v>169</v>
      </c>
      <c r="E44" s="2" t="s">
        <v>222</v>
      </c>
      <c r="F44" s="2">
        <v>35</v>
      </c>
      <c r="G44" s="2">
        <v>5</v>
      </c>
      <c r="H44" s="2"/>
    </row>
    <row r="45" spans="2:8" x14ac:dyDescent="0.3">
      <c r="B45" s="2" t="s">
        <v>229</v>
      </c>
      <c r="C45" s="2" t="s">
        <v>229</v>
      </c>
      <c r="D45" s="2" t="s">
        <v>170</v>
      </c>
      <c r="E45" s="2" t="s">
        <v>223</v>
      </c>
      <c r="F45" s="2">
        <v>36</v>
      </c>
      <c r="G45" s="2">
        <v>5</v>
      </c>
      <c r="H45" s="2"/>
    </row>
    <row r="46" spans="2:8" x14ac:dyDescent="0.3">
      <c r="B46" s="2" t="s">
        <v>229</v>
      </c>
      <c r="C46" s="2" t="s">
        <v>229</v>
      </c>
      <c r="D46" s="2" t="s">
        <v>61</v>
      </c>
      <c r="E46" s="2" t="s">
        <v>224</v>
      </c>
      <c r="F46" s="2">
        <v>37</v>
      </c>
      <c r="G46" s="2">
        <v>5</v>
      </c>
      <c r="H46" s="2"/>
    </row>
    <row r="47" spans="2:8" x14ac:dyDescent="0.3">
      <c r="B47" s="2" t="s">
        <v>229</v>
      </c>
      <c r="C47" s="2" t="s">
        <v>229</v>
      </c>
      <c r="D47" s="2" t="s">
        <v>174</v>
      </c>
      <c r="E47" s="2" t="s">
        <v>225</v>
      </c>
      <c r="F47" s="2">
        <v>38</v>
      </c>
      <c r="G47" s="2">
        <v>5</v>
      </c>
      <c r="H47" s="2"/>
    </row>
    <row r="48" spans="2:8" x14ac:dyDescent="0.3">
      <c r="B48" s="2" t="s">
        <v>229</v>
      </c>
      <c r="C48" s="2" t="s">
        <v>229</v>
      </c>
      <c r="D48" s="2" t="s">
        <v>175</v>
      </c>
      <c r="E48" s="2" t="s">
        <v>226</v>
      </c>
      <c r="F48" s="2">
        <v>39</v>
      </c>
      <c r="G48" s="2">
        <v>5</v>
      </c>
      <c r="H48" s="2"/>
    </row>
    <row r="49" spans="2:8" x14ac:dyDescent="0.3">
      <c r="B49" s="2" t="s">
        <v>229</v>
      </c>
      <c r="C49" s="2" t="s">
        <v>229</v>
      </c>
      <c r="D49" s="2" t="s">
        <v>176</v>
      </c>
      <c r="E49" s="2" t="s">
        <v>227</v>
      </c>
      <c r="F49" s="2">
        <v>40</v>
      </c>
      <c r="G49" s="2">
        <v>5</v>
      </c>
      <c r="H49" s="2"/>
    </row>
    <row r="50" spans="2:8" x14ac:dyDescent="0.3">
      <c r="B50" s="2" t="s">
        <v>229</v>
      </c>
      <c r="C50" s="2" t="s">
        <v>229</v>
      </c>
      <c r="D50" s="2" t="s">
        <v>177</v>
      </c>
      <c r="E50" s="2" t="s">
        <v>228</v>
      </c>
      <c r="F50" s="2">
        <v>41</v>
      </c>
      <c r="G50" s="2">
        <v>5</v>
      </c>
      <c r="H50" s="2"/>
    </row>
    <row r="51" spans="2:8" x14ac:dyDescent="0.3">
      <c r="B51" s="2" t="s">
        <v>231</v>
      </c>
      <c r="C51" s="2" t="s">
        <v>231</v>
      </c>
      <c r="D51" s="2" t="s">
        <v>0</v>
      </c>
      <c r="E51" s="2" t="s">
        <v>188</v>
      </c>
      <c r="F51" s="2">
        <v>2</v>
      </c>
      <c r="G51" s="2">
        <v>5</v>
      </c>
      <c r="H51" s="2"/>
    </row>
    <row r="52" spans="2:8" x14ac:dyDescent="0.3">
      <c r="B52" s="2" t="s">
        <v>231</v>
      </c>
      <c r="C52" s="2" t="s">
        <v>231</v>
      </c>
      <c r="D52" s="2" t="s">
        <v>68</v>
      </c>
      <c r="E52" s="2" t="s">
        <v>189</v>
      </c>
      <c r="F52" s="2">
        <v>3</v>
      </c>
      <c r="G52" s="2">
        <v>5</v>
      </c>
      <c r="H52" s="2"/>
    </row>
    <row r="53" spans="2:8" x14ac:dyDescent="0.3">
      <c r="B53" s="2" t="s">
        <v>231</v>
      </c>
      <c r="C53" s="2" t="s">
        <v>231</v>
      </c>
      <c r="D53" s="2" t="s">
        <v>62</v>
      </c>
      <c r="E53" s="2" t="s">
        <v>190</v>
      </c>
      <c r="F53" s="2">
        <v>4</v>
      </c>
      <c r="G53" s="2">
        <v>5</v>
      </c>
      <c r="H53" s="2"/>
    </row>
    <row r="54" spans="2:8" x14ac:dyDescent="0.3">
      <c r="B54" s="2" t="s">
        <v>231</v>
      </c>
      <c r="C54" s="2" t="s">
        <v>231</v>
      </c>
      <c r="D54" s="2" t="s">
        <v>63</v>
      </c>
      <c r="E54" s="2" t="s">
        <v>191</v>
      </c>
      <c r="F54" s="2">
        <v>5</v>
      </c>
      <c r="G54" s="2">
        <v>5</v>
      </c>
      <c r="H54" s="2"/>
    </row>
    <row r="55" spans="2:8" x14ac:dyDescent="0.3">
      <c r="B55" s="2" t="s">
        <v>231</v>
      </c>
      <c r="C55" s="2" t="s">
        <v>231</v>
      </c>
      <c r="D55" s="2" t="s">
        <v>144</v>
      </c>
      <c r="E55" s="2" t="s">
        <v>192</v>
      </c>
      <c r="F55" s="2">
        <v>6</v>
      </c>
      <c r="G55" s="2">
        <v>5</v>
      </c>
      <c r="H55" s="2"/>
    </row>
    <row r="56" spans="2:8" x14ac:dyDescent="0.3">
      <c r="B56" s="2" t="s">
        <v>231</v>
      </c>
      <c r="C56" s="2" t="s">
        <v>231</v>
      </c>
      <c r="D56" s="2" t="s">
        <v>140</v>
      </c>
      <c r="E56" s="2" t="s">
        <v>193</v>
      </c>
      <c r="F56" s="2">
        <v>7</v>
      </c>
      <c r="G56" s="2">
        <v>5</v>
      </c>
      <c r="H56" s="2"/>
    </row>
    <row r="57" spans="2:8" x14ac:dyDescent="0.3">
      <c r="B57" s="2" t="s">
        <v>231</v>
      </c>
      <c r="C57" s="2" t="s">
        <v>231</v>
      </c>
      <c r="D57" s="2" t="s">
        <v>159</v>
      </c>
      <c r="E57" s="2" t="s">
        <v>194</v>
      </c>
      <c r="F57" s="2">
        <v>8</v>
      </c>
      <c r="G57" s="2">
        <v>5</v>
      </c>
      <c r="H57" s="2"/>
    </row>
    <row r="58" spans="2:8" x14ac:dyDescent="0.3">
      <c r="B58" s="2" t="s">
        <v>231</v>
      </c>
      <c r="C58" s="2" t="s">
        <v>231</v>
      </c>
      <c r="D58" s="2" t="s">
        <v>158</v>
      </c>
      <c r="E58" s="2" t="s">
        <v>195</v>
      </c>
      <c r="F58" s="2">
        <v>9</v>
      </c>
      <c r="G58" s="2">
        <v>5</v>
      </c>
      <c r="H58" s="2"/>
    </row>
    <row r="59" spans="2:8" x14ac:dyDescent="0.3">
      <c r="B59" s="2" t="s">
        <v>231</v>
      </c>
      <c r="C59" s="2" t="s">
        <v>231</v>
      </c>
      <c r="D59" s="2" t="s">
        <v>160</v>
      </c>
      <c r="E59" s="2" t="s">
        <v>196</v>
      </c>
      <c r="F59" s="2">
        <v>10</v>
      </c>
      <c r="G59" s="2">
        <v>5</v>
      </c>
      <c r="H59" s="2"/>
    </row>
    <row r="60" spans="2:8" x14ac:dyDescent="0.3">
      <c r="B60" s="2" t="s">
        <v>231</v>
      </c>
      <c r="C60" s="2" t="s">
        <v>231</v>
      </c>
      <c r="D60" s="2" t="s">
        <v>166</v>
      </c>
      <c r="E60" s="2" t="s">
        <v>197</v>
      </c>
      <c r="F60" s="2">
        <v>11</v>
      </c>
      <c r="G60" s="2">
        <v>5</v>
      </c>
      <c r="H60" s="2"/>
    </row>
    <row r="61" spans="2:8" x14ac:dyDescent="0.3">
      <c r="B61" s="2" t="s">
        <v>231</v>
      </c>
      <c r="C61" s="2" t="s">
        <v>231</v>
      </c>
      <c r="D61" s="2" t="s">
        <v>161</v>
      </c>
      <c r="E61" s="2" t="s">
        <v>198</v>
      </c>
      <c r="F61" s="2">
        <v>12</v>
      </c>
      <c r="G61" s="2">
        <v>5</v>
      </c>
      <c r="H61" s="2"/>
    </row>
    <row r="62" spans="2:8" x14ac:dyDescent="0.3">
      <c r="B62" s="2" t="s">
        <v>231</v>
      </c>
      <c r="C62" s="2" t="s">
        <v>231</v>
      </c>
      <c r="D62" s="2" t="s">
        <v>164</v>
      </c>
      <c r="E62" s="2" t="s">
        <v>199</v>
      </c>
      <c r="F62" s="2">
        <v>13</v>
      </c>
      <c r="G62" s="2">
        <v>5</v>
      </c>
      <c r="H62" s="2"/>
    </row>
    <row r="63" spans="2:8" x14ac:dyDescent="0.3">
      <c r="B63" s="2" t="s">
        <v>231</v>
      </c>
      <c r="C63" s="2" t="s">
        <v>231</v>
      </c>
      <c r="D63" s="2" t="s">
        <v>165</v>
      </c>
      <c r="E63" s="2" t="s">
        <v>200</v>
      </c>
      <c r="F63" s="2">
        <v>14</v>
      </c>
      <c r="G63" s="2">
        <v>5</v>
      </c>
      <c r="H63" s="2"/>
    </row>
    <row r="64" spans="2:8" x14ac:dyDescent="0.3">
      <c r="B64" s="2" t="s">
        <v>231</v>
      </c>
      <c r="C64" s="2" t="s">
        <v>231</v>
      </c>
      <c r="D64" s="2" t="s">
        <v>167</v>
      </c>
      <c r="E64" s="2" t="s">
        <v>201</v>
      </c>
      <c r="F64" s="2">
        <v>15</v>
      </c>
      <c r="G64" s="2">
        <v>5</v>
      </c>
      <c r="H64" s="2"/>
    </row>
    <row r="65" spans="2:8" x14ac:dyDescent="0.3">
      <c r="B65" s="2" t="s">
        <v>231</v>
      </c>
      <c r="C65" s="2" t="s">
        <v>231</v>
      </c>
      <c r="D65" s="2" t="s">
        <v>168</v>
      </c>
      <c r="E65" s="2" t="s">
        <v>204</v>
      </c>
      <c r="F65" s="2">
        <v>16</v>
      </c>
      <c r="G65" s="2">
        <v>5</v>
      </c>
      <c r="H65" s="2"/>
    </row>
    <row r="66" spans="2:8" x14ac:dyDescent="0.3">
      <c r="B66" s="2" t="s">
        <v>231</v>
      </c>
      <c r="C66" s="2" t="s">
        <v>231</v>
      </c>
      <c r="D66" s="2" t="s">
        <v>169</v>
      </c>
      <c r="E66" s="2" t="s">
        <v>205</v>
      </c>
      <c r="F66" s="2">
        <v>17</v>
      </c>
      <c r="G66" s="2">
        <v>5</v>
      </c>
      <c r="H66" s="2"/>
    </row>
    <row r="67" spans="2:8" x14ac:dyDescent="0.3">
      <c r="B67" s="2" t="s">
        <v>231</v>
      </c>
      <c r="C67" s="2" t="s">
        <v>231</v>
      </c>
      <c r="D67" s="2" t="s">
        <v>170</v>
      </c>
      <c r="E67" s="2" t="s">
        <v>206</v>
      </c>
      <c r="F67" s="2">
        <v>18</v>
      </c>
      <c r="G67" s="2">
        <v>5</v>
      </c>
      <c r="H67" s="2"/>
    </row>
    <row r="68" spans="2:8" x14ac:dyDescent="0.3">
      <c r="B68" s="2" t="s">
        <v>231</v>
      </c>
      <c r="C68" s="2" t="s">
        <v>231</v>
      </c>
      <c r="D68" s="2" t="s">
        <v>61</v>
      </c>
      <c r="E68" s="2" t="s">
        <v>207</v>
      </c>
      <c r="F68" s="2">
        <v>19</v>
      </c>
      <c r="G68" s="2">
        <v>5</v>
      </c>
      <c r="H68" s="2"/>
    </row>
    <row r="69" spans="2:8" x14ac:dyDescent="0.3">
      <c r="B69" s="2" t="s">
        <v>231</v>
      </c>
      <c r="C69" s="2" t="s">
        <v>231</v>
      </c>
      <c r="D69" s="2" t="s">
        <v>174</v>
      </c>
      <c r="E69" s="2" t="s">
        <v>208</v>
      </c>
      <c r="F69" s="2">
        <v>20</v>
      </c>
      <c r="G69" s="2">
        <v>5</v>
      </c>
      <c r="H69" s="2"/>
    </row>
    <row r="70" spans="2:8" x14ac:dyDescent="0.3">
      <c r="B70" s="2" t="s">
        <v>231</v>
      </c>
      <c r="C70" s="2" t="s">
        <v>231</v>
      </c>
      <c r="D70" s="2" t="s">
        <v>175</v>
      </c>
      <c r="E70" s="2" t="s">
        <v>209</v>
      </c>
      <c r="F70" s="2">
        <v>21</v>
      </c>
      <c r="G70" s="2">
        <v>5</v>
      </c>
      <c r="H70" s="2"/>
    </row>
    <row r="71" spans="2:8" x14ac:dyDescent="0.3">
      <c r="B71" s="2"/>
      <c r="C71" s="2"/>
      <c r="D71" s="2"/>
      <c r="E71" s="2"/>
      <c r="F71" s="2"/>
      <c r="G71" s="2"/>
      <c r="H71" s="2"/>
    </row>
    <row r="72" spans="2:8" x14ac:dyDescent="0.3">
      <c r="B72" s="2"/>
      <c r="C72" s="2"/>
      <c r="D72" s="2"/>
      <c r="E72" s="2"/>
      <c r="F72" s="2"/>
      <c r="G72" s="2"/>
      <c r="H72" s="2"/>
    </row>
    <row r="73" spans="2:8" x14ac:dyDescent="0.3">
      <c r="B73" s="2"/>
      <c r="C73" s="2"/>
      <c r="D73" s="2"/>
      <c r="E73" s="2"/>
      <c r="F73" s="2"/>
      <c r="G73" s="2"/>
      <c r="H73" s="2"/>
    </row>
    <row r="74" spans="2:8" x14ac:dyDescent="0.3">
      <c r="B74" s="2"/>
      <c r="C74" s="2"/>
      <c r="D74" s="2"/>
      <c r="E74" s="2"/>
      <c r="F74" s="2"/>
      <c r="G74" s="2"/>
      <c r="H74" s="2"/>
    </row>
    <row r="75" spans="2:8" x14ac:dyDescent="0.3">
      <c r="B75" s="2"/>
      <c r="C75" s="2"/>
      <c r="D75" s="2"/>
      <c r="E75" s="2"/>
      <c r="F75" s="2"/>
      <c r="G75" s="2"/>
      <c r="H75" s="2"/>
    </row>
    <row r="76" spans="2:8" x14ac:dyDescent="0.3">
      <c r="B76" s="2"/>
      <c r="C76" s="2"/>
      <c r="D76" s="2"/>
      <c r="E76" s="2"/>
      <c r="F76" s="2"/>
      <c r="G76" s="2"/>
      <c r="H76" s="2"/>
    </row>
    <row r="77" spans="2:8" x14ac:dyDescent="0.3">
      <c r="B77" s="2"/>
      <c r="C77" s="2"/>
      <c r="D77" s="2"/>
      <c r="E77" s="2"/>
      <c r="F77" s="2"/>
      <c r="G77" s="2"/>
      <c r="H77" s="2"/>
    </row>
    <row r="78" spans="2:8" x14ac:dyDescent="0.3">
      <c r="B78" s="2"/>
      <c r="C78" s="2"/>
      <c r="D78" s="2"/>
      <c r="E78" s="2"/>
      <c r="F78" s="2"/>
      <c r="G78" s="2"/>
      <c r="H78" s="2"/>
    </row>
    <row r="79" spans="2:8" x14ac:dyDescent="0.3">
      <c r="B79" s="2"/>
      <c r="C79" s="2"/>
      <c r="D79" s="2"/>
      <c r="E79" s="2"/>
      <c r="F79" s="2"/>
      <c r="G79" s="2"/>
      <c r="H79" s="2"/>
    </row>
    <row r="80" spans="2:8" x14ac:dyDescent="0.3">
      <c r="B80" s="2"/>
      <c r="C80" s="2"/>
      <c r="D80" s="2"/>
      <c r="E80" s="2"/>
      <c r="F80" s="2"/>
      <c r="G80" s="2"/>
      <c r="H80" s="2"/>
    </row>
    <row r="81" spans="2:8" x14ac:dyDescent="0.3">
      <c r="B81" s="2"/>
      <c r="C81" s="2"/>
      <c r="D81" s="2"/>
      <c r="E81" s="2"/>
      <c r="F81" s="2"/>
      <c r="G81" s="2"/>
      <c r="H81" s="2"/>
    </row>
    <row r="82" spans="2:8" x14ac:dyDescent="0.3">
      <c r="B82" s="2"/>
      <c r="C82" s="2"/>
      <c r="D82" s="2"/>
      <c r="E82" s="2"/>
      <c r="F82" s="2"/>
      <c r="G82" s="2"/>
      <c r="H82" s="2"/>
    </row>
    <row r="83" spans="2:8" x14ac:dyDescent="0.3">
      <c r="B83" s="2"/>
      <c r="C83" s="2"/>
      <c r="D83" s="2"/>
      <c r="E83" s="2"/>
      <c r="F83" s="2"/>
      <c r="G83" s="2"/>
      <c r="H83" s="2"/>
    </row>
    <row r="84" spans="2:8" x14ac:dyDescent="0.3">
      <c r="B84" s="2"/>
      <c r="C84" s="2"/>
      <c r="D84" s="2"/>
      <c r="E84" s="2"/>
      <c r="F84" s="2"/>
      <c r="G84" s="2"/>
      <c r="H84" s="2"/>
    </row>
    <row r="85" spans="2:8" x14ac:dyDescent="0.3">
      <c r="B85" s="2"/>
      <c r="C85" s="2"/>
      <c r="D85" s="2"/>
      <c r="E85" s="2"/>
      <c r="F85" s="2"/>
      <c r="G85" s="2"/>
      <c r="H85" s="2"/>
    </row>
    <row r="86" spans="2:8" x14ac:dyDescent="0.3">
      <c r="B86" s="2"/>
      <c r="C86" s="2"/>
      <c r="D86" s="2"/>
      <c r="E86" s="2"/>
      <c r="F86" s="2"/>
      <c r="G86" s="2"/>
      <c r="H86" s="2"/>
    </row>
    <row r="87" spans="2:8" x14ac:dyDescent="0.3">
      <c r="B87" s="2"/>
      <c r="C87" s="2"/>
      <c r="D87" s="2"/>
      <c r="E87" s="2"/>
      <c r="F87" s="2"/>
      <c r="G87" s="2"/>
      <c r="H87" s="2"/>
    </row>
    <row r="88" spans="2:8" x14ac:dyDescent="0.3">
      <c r="B88" s="2"/>
      <c r="C88" s="2"/>
      <c r="D88" s="2"/>
      <c r="E88" s="2"/>
      <c r="F88" s="2"/>
      <c r="G88" s="2"/>
      <c r="H88" s="2"/>
    </row>
    <row r="89" spans="2:8" x14ac:dyDescent="0.3">
      <c r="B89" s="2"/>
      <c r="C89" s="2"/>
      <c r="D89" s="2"/>
      <c r="E89" s="2"/>
      <c r="F89" s="2"/>
      <c r="G89" s="2"/>
      <c r="H89" s="2"/>
    </row>
    <row r="90" spans="2:8" x14ac:dyDescent="0.3">
      <c r="B90" s="2"/>
      <c r="C90" s="2"/>
      <c r="D90" s="2"/>
      <c r="E90" s="2"/>
      <c r="F90" s="2"/>
      <c r="G90" s="2"/>
      <c r="H90" s="2"/>
    </row>
  </sheetData>
  <mergeCells count="1">
    <mergeCell ref="B2:D3"/>
  </mergeCells>
  <dataValidations disablePrompts="1" count="1">
    <dataValidation type="list" allowBlank="1" showInputMessage="1" showErrorMessage="1" sqref="H6:H90" xr:uid="{FA0C87C3-4B6C-47D3-A1F6-A9BB73A1E074}">
      <formula1>"Text,Number,General,Percentage,Date"</formula1>
    </dataValidation>
  </dataValidation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ADE3F4-2D03-4A09-9B8B-B9C69C7884AA}">
  <sheetPr codeName="Sheet11">
    <tabColor theme="0" tint="-0.14999847407452621"/>
  </sheetPr>
  <dimension ref="A1:E73"/>
  <sheetViews>
    <sheetView showGridLines="0" workbookViewId="0">
      <pane ySplit="5" topLeftCell="A6" activePane="bottomLeft" state="frozen"/>
      <selection sqref="A1:HO5"/>
      <selection pane="bottomLeft" sqref="A1:HO5"/>
    </sheetView>
  </sheetViews>
  <sheetFormatPr defaultColWidth="0" defaultRowHeight="14.4" x14ac:dyDescent="0.3"/>
  <cols>
    <col min="1" max="1" width="0.88671875" customWidth="1"/>
    <col min="2" max="2" width="28.44140625" bestFit="1" customWidth="1"/>
    <col min="3" max="3" width="22.21875" bestFit="1" customWidth="1"/>
    <col min="4" max="4" width="19.21875" bestFit="1" customWidth="1"/>
    <col min="5" max="5" width="0.88671875" customWidth="1"/>
    <col min="6" max="16384" width="8.88671875" hidden="1"/>
  </cols>
  <sheetData>
    <row r="1" spans="2:4" ht="4.95" customHeight="1" x14ac:dyDescent="0.3"/>
    <row r="2" spans="2:4" x14ac:dyDescent="0.3">
      <c r="B2" s="45" t="s">
        <v>481</v>
      </c>
    </row>
    <row r="3" spans="2:4" x14ac:dyDescent="0.3">
      <c r="B3" s="45"/>
    </row>
    <row r="4" spans="2:4" ht="4.95" customHeight="1" x14ac:dyDescent="0.3"/>
    <row r="5" spans="2:4" x14ac:dyDescent="0.3">
      <c r="B5" s="26" t="s">
        <v>62</v>
      </c>
      <c r="C5" s="26" t="s">
        <v>482</v>
      </c>
      <c r="D5" s="26" t="s">
        <v>483</v>
      </c>
    </row>
    <row r="6" spans="2:4" x14ac:dyDescent="0.3">
      <c r="B6" s="27" t="s">
        <v>423</v>
      </c>
      <c r="C6" s="27" t="s">
        <v>424</v>
      </c>
      <c r="D6" s="27" t="s">
        <v>425</v>
      </c>
    </row>
    <row r="7" spans="2:4" x14ac:dyDescent="0.3">
      <c r="B7" s="27" t="s">
        <v>423</v>
      </c>
      <c r="C7" s="27" t="s">
        <v>424</v>
      </c>
      <c r="D7" s="27" t="s">
        <v>426</v>
      </c>
    </row>
    <row r="8" spans="2:4" x14ac:dyDescent="0.3">
      <c r="B8" s="27" t="s">
        <v>423</v>
      </c>
      <c r="C8" s="27" t="s">
        <v>424</v>
      </c>
      <c r="D8" s="27" t="s">
        <v>427</v>
      </c>
    </row>
    <row r="9" spans="2:4" x14ac:dyDescent="0.3">
      <c r="B9" s="27" t="s">
        <v>423</v>
      </c>
      <c r="C9" s="27" t="s">
        <v>428</v>
      </c>
      <c r="D9" s="27" t="s">
        <v>429</v>
      </c>
    </row>
    <row r="10" spans="2:4" x14ac:dyDescent="0.3">
      <c r="B10" s="27" t="s">
        <v>423</v>
      </c>
      <c r="C10" s="27" t="s">
        <v>428</v>
      </c>
      <c r="D10" s="27" t="s">
        <v>430</v>
      </c>
    </row>
    <row r="11" spans="2:4" x14ac:dyDescent="0.3">
      <c r="B11" s="27" t="s">
        <v>423</v>
      </c>
      <c r="C11" s="27" t="s">
        <v>431</v>
      </c>
      <c r="D11" s="27" t="s">
        <v>432</v>
      </c>
    </row>
    <row r="12" spans="2:4" x14ac:dyDescent="0.3">
      <c r="B12" s="27" t="s">
        <v>423</v>
      </c>
      <c r="C12" s="27" t="s">
        <v>431</v>
      </c>
      <c r="D12" s="27" t="s">
        <v>433</v>
      </c>
    </row>
    <row r="13" spans="2:4" x14ac:dyDescent="0.3">
      <c r="B13" s="27" t="s">
        <v>423</v>
      </c>
      <c r="C13" s="27" t="s">
        <v>434</v>
      </c>
      <c r="D13" s="27" t="s">
        <v>412</v>
      </c>
    </row>
    <row r="14" spans="2:4" x14ac:dyDescent="0.3">
      <c r="B14" s="27" t="s">
        <v>423</v>
      </c>
      <c r="C14" s="27" t="s">
        <v>434</v>
      </c>
      <c r="D14" s="27" t="s">
        <v>413</v>
      </c>
    </row>
    <row r="15" spans="2:4" x14ac:dyDescent="0.3">
      <c r="B15" s="27" t="s">
        <v>423</v>
      </c>
      <c r="C15" s="27" t="s">
        <v>435</v>
      </c>
      <c r="D15" s="27" t="s">
        <v>436</v>
      </c>
    </row>
    <row r="16" spans="2:4" x14ac:dyDescent="0.3">
      <c r="B16" s="27" t="s">
        <v>423</v>
      </c>
      <c r="C16" s="27" t="s">
        <v>435</v>
      </c>
      <c r="D16" s="27" t="s">
        <v>437</v>
      </c>
    </row>
    <row r="17" spans="2:4" x14ac:dyDescent="0.3">
      <c r="B17" s="27"/>
      <c r="C17" s="27"/>
      <c r="D17" s="27"/>
    </row>
    <row r="18" spans="2:4" x14ac:dyDescent="0.3">
      <c r="B18" s="27" t="s">
        <v>438</v>
      </c>
      <c r="C18" s="27" t="s">
        <v>416</v>
      </c>
      <c r="D18" s="27" t="s">
        <v>414</v>
      </c>
    </row>
    <row r="19" spans="2:4" x14ac:dyDescent="0.3">
      <c r="B19" s="27" t="s">
        <v>438</v>
      </c>
      <c r="C19" s="27" t="s">
        <v>416</v>
      </c>
      <c r="D19" s="27" t="s">
        <v>117</v>
      </c>
    </row>
    <row r="20" spans="2:4" x14ac:dyDescent="0.3">
      <c r="B20" s="27" t="s">
        <v>438</v>
      </c>
      <c r="C20" s="27" t="s">
        <v>416</v>
      </c>
      <c r="D20" s="27" t="s">
        <v>439</v>
      </c>
    </row>
    <row r="21" spans="2:4" x14ac:dyDescent="0.3">
      <c r="B21" s="27" t="s">
        <v>438</v>
      </c>
      <c r="C21" s="27" t="s">
        <v>440</v>
      </c>
      <c r="D21" s="27" t="s">
        <v>114</v>
      </c>
    </row>
    <row r="22" spans="2:4" x14ac:dyDescent="0.3">
      <c r="B22" s="27" t="s">
        <v>438</v>
      </c>
      <c r="C22" s="27" t="s">
        <v>409</v>
      </c>
      <c r="D22" s="27" t="s">
        <v>122</v>
      </c>
    </row>
    <row r="23" spans="2:4" x14ac:dyDescent="0.3">
      <c r="B23" s="27" t="s">
        <v>438</v>
      </c>
      <c r="C23" s="27" t="s">
        <v>409</v>
      </c>
      <c r="D23" s="27" t="s">
        <v>125</v>
      </c>
    </row>
    <row r="24" spans="2:4" x14ac:dyDescent="0.3">
      <c r="B24" s="27"/>
      <c r="C24" s="27"/>
      <c r="D24" s="27"/>
    </row>
    <row r="25" spans="2:4" x14ac:dyDescent="0.3">
      <c r="B25" s="27" t="s">
        <v>441</v>
      </c>
      <c r="C25" s="27" t="s">
        <v>404</v>
      </c>
      <c r="D25" s="27" t="s">
        <v>4</v>
      </c>
    </row>
    <row r="26" spans="2:4" x14ac:dyDescent="0.3">
      <c r="B26" s="27" t="s">
        <v>441</v>
      </c>
      <c r="C26" s="27" t="s">
        <v>404</v>
      </c>
      <c r="D26" s="27" t="s">
        <v>84</v>
      </c>
    </row>
    <row r="27" spans="2:4" x14ac:dyDescent="0.3">
      <c r="B27" s="27" t="s">
        <v>441</v>
      </c>
      <c r="C27" s="27" t="s">
        <v>405</v>
      </c>
      <c r="D27" s="27" t="s">
        <v>87</v>
      </c>
    </row>
    <row r="28" spans="2:4" x14ac:dyDescent="0.3">
      <c r="B28" s="27" t="s">
        <v>441</v>
      </c>
      <c r="C28" s="27" t="s">
        <v>442</v>
      </c>
      <c r="D28" s="27" t="s">
        <v>90</v>
      </c>
    </row>
    <row r="29" spans="2:4" x14ac:dyDescent="0.3">
      <c r="B29" s="27"/>
      <c r="C29" s="27"/>
      <c r="D29" s="27"/>
    </row>
    <row r="30" spans="2:4" x14ac:dyDescent="0.3">
      <c r="B30" s="27" t="s">
        <v>443</v>
      </c>
      <c r="C30" s="27" t="s">
        <v>406</v>
      </c>
      <c r="D30" s="27" t="s">
        <v>6</v>
      </c>
    </row>
    <row r="31" spans="2:4" x14ac:dyDescent="0.3">
      <c r="B31" s="27" t="s">
        <v>443</v>
      </c>
      <c r="C31" s="27" t="s">
        <v>406</v>
      </c>
      <c r="D31" s="27" t="s">
        <v>7</v>
      </c>
    </row>
    <row r="32" spans="2:4" x14ac:dyDescent="0.3">
      <c r="B32" s="27" t="s">
        <v>443</v>
      </c>
      <c r="C32" s="27" t="s">
        <v>406</v>
      </c>
      <c r="D32" s="27" t="s">
        <v>96</v>
      </c>
    </row>
    <row r="33" spans="2:4" x14ac:dyDescent="0.3">
      <c r="B33" s="27" t="s">
        <v>443</v>
      </c>
      <c r="C33" s="27" t="s">
        <v>407</v>
      </c>
      <c r="D33" s="27" t="s">
        <v>99</v>
      </c>
    </row>
    <row r="34" spans="2:4" x14ac:dyDescent="0.3">
      <c r="B34" s="27" t="s">
        <v>443</v>
      </c>
      <c r="C34" s="27" t="s">
        <v>103</v>
      </c>
      <c r="D34" s="27" t="s">
        <v>102</v>
      </c>
    </row>
    <row r="35" spans="2:4" x14ac:dyDescent="0.3">
      <c r="B35" s="27"/>
      <c r="C35" s="27"/>
      <c r="D35" s="27"/>
    </row>
    <row r="36" spans="2:4" x14ac:dyDescent="0.3">
      <c r="B36" s="27" t="s">
        <v>444</v>
      </c>
      <c r="C36" s="27" t="s">
        <v>64</v>
      </c>
      <c r="D36" s="27" t="s">
        <v>3</v>
      </c>
    </row>
    <row r="37" spans="2:4" x14ac:dyDescent="0.3">
      <c r="B37" s="27" t="s">
        <v>444</v>
      </c>
      <c r="C37" s="27" t="s">
        <v>64</v>
      </c>
      <c r="D37" s="27" t="s">
        <v>74</v>
      </c>
    </row>
    <row r="38" spans="2:4" x14ac:dyDescent="0.3">
      <c r="B38" s="27" t="s">
        <v>444</v>
      </c>
      <c r="C38" s="27" t="s">
        <v>64</v>
      </c>
      <c r="D38" s="27" t="s">
        <v>77</v>
      </c>
    </row>
    <row r="39" spans="2:4" x14ac:dyDescent="0.3">
      <c r="B39" s="27" t="s">
        <v>444</v>
      </c>
      <c r="C39" s="27" t="s">
        <v>64</v>
      </c>
      <c r="D39" s="27" t="s">
        <v>80</v>
      </c>
    </row>
    <row r="40" spans="2:4" x14ac:dyDescent="0.3">
      <c r="B40" s="27" t="s">
        <v>444</v>
      </c>
      <c r="C40" s="27" t="s">
        <v>408</v>
      </c>
      <c r="D40" s="27" t="s">
        <v>445</v>
      </c>
    </row>
    <row r="41" spans="2:4" x14ac:dyDescent="0.3">
      <c r="B41" s="27" t="s">
        <v>444</v>
      </c>
      <c r="C41" s="27" t="s">
        <v>107</v>
      </c>
      <c r="D41" s="27" t="s">
        <v>108</v>
      </c>
    </row>
    <row r="42" spans="2:4" x14ac:dyDescent="0.3">
      <c r="B42" s="27" t="s">
        <v>444</v>
      </c>
      <c r="C42" s="27" t="s">
        <v>107</v>
      </c>
      <c r="D42" s="27" t="s">
        <v>111</v>
      </c>
    </row>
    <row r="43" spans="2:4" x14ac:dyDescent="0.3">
      <c r="B43" s="27"/>
      <c r="C43" s="27"/>
      <c r="D43" s="27"/>
    </row>
    <row r="44" spans="2:4" x14ac:dyDescent="0.3">
      <c r="B44" s="27" t="s">
        <v>446</v>
      </c>
      <c r="C44" s="27" t="s">
        <v>410</v>
      </c>
      <c r="D44" s="27" t="s">
        <v>129</v>
      </c>
    </row>
    <row r="45" spans="2:4" x14ac:dyDescent="0.3">
      <c r="B45" s="27" t="s">
        <v>446</v>
      </c>
      <c r="C45" s="27" t="s">
        <v>410</v>
      </c>
      <c r="D45" s="27" t="s">
        <v>131</v>
      </c>
    </row>
    <row r="46" spans="2:4" x14ac:dyDescent="0.3">
      <c r="B46" s="27" t="s">
        <v>446</v>
      </c>
      <c r="C46" s="27" t="s">
        <v>411</v>
      </c>
      <c r="D46" s="27" t="s">
        <v>128</v>
      </c>
    </row>
    <row r="47" spans="2:4" x14ac:dyDescent="0.3">
      <c r="B47" s="27"/>
      <c r="C47" s="27"/>
      <c r="D47" s="27"/>
    </row>
    <row r="48" spans="2:4" x14ac:dyDescent="0.3">
      <c r="B48" s="27" t="s">
        <v>447</v>
      </c>
      <c r="C48" s="27" t="s">
        <v>448</v>
      </c>
      <c r="D48" s="27" t="s">
        <v>67</v>
      </c>
    </row>
    <row r="49" spans="2:4" x14ac:dyDescent="0.3">
      <c r="B49" s="27"/>
      <c r="C49" s="27"/>
      <c r="D49" s="27"/>
    </row>
    <row r="50" spans="2:4" x14ac:dyDescent="0.3">
      <c r="B50" s="27" t="s">
        <v>449</v>
      </c>
      <c r="C50" s="27" t="s">
        <v>450</v>
      </c>
      <c r="D50" s="27" t="s">
        <v>451</v>
      </c>
    </row>
    <row r="51" spans="2:4" x14ac:dyDescent="0.3">
      <c r="B51" s="27" t="s">
        <v>449</v>
      </c>
      <c r="C51" s="27" t="s">
        <v>452</v>
      </c>
      <c r="D51" s="27" t="s">
        <v>453</v>
      </c>
    </row>
    <row r="52" spans="2:4" x14ac:dyDescent="0.3">
      <c r="B52" s="27" t="s">
        <v>449</v>
      </c>
      <c r="C52" s="27" t="s">
        <v>454</v>
      </c>
      <c r="D52" s="27" t="s">
        <v>455</v>
      </c>
    </row>
    <row r="53" spans="2:4" x14ac:dyDescent="0.3">
      <c r="B53" s="27"/>
      <c r="C53" s="27"/>
      <c r="D53" s="27"/>
    </row>
    <row r="54" spans="2:4" x14ac:dyDescent="0.3">
      <c r="B54" s="27" t="s">
        <v>456</v>
      </c>
      <c r="C54" s="27" t="s">
        <v>457</v>
      </c>
      <c r="D54" s="27" t="s">
        <v>458</v>
      </c>
    </row>
    <row r="55" spans="2:4" x14ac:dyDescent="0.3">
      <c r="B55" s="27" t="s">
        <v>456</v>
      </c>
      <c r="C55" s="27" t="s">
        <v>457</v>
      </c>
      <c r="D55" s="27" t="s">
        <v>459</v>
      </c>
    </row>
    <row r="56" spans="2:4" x14ac:dyDescent="0.3">
      <c r="B56" s="27" t="s">
        <v>456</v>
      </c>
      <c r="C56" s="27" t="s">
        <v>460</v>
      </c>
      <c r="D56" s="27" t="s">
        <v>461</v>
      </c>
    </row>
    <row r="57" spans="2:4" x14ac:dyDescent="0.3">
      <c r="B57" s="27"/>
      <c r="C57" s="27"/>
      <c r="D57" s="27"/>
    </row>
    <row r="58" spans="2:4" x14ac:dyDescent="0.3">
      <c r="B58" s="27" t="s">
        <v>462</v>
      </c>
      <c r="C58" s="27" t="s">
        <v>463</v>
      </c>
      <c r="D58" s="27" t="s">
        <v>464</v>
      </c>
    </row>
    <row r="59" spans="2:4" x14ac:dyDescent="0.3">
      <c r="B59" s="27" t="s">
        <v>462</v>
      </c>
      <c r="C59" s="27" t="s">
        <v>463</v>
      </c>
      <c r="D59" s="27" t="s">
        <v>465</v>
      </c>
    </row>
    <row r="60" spans="2:4" x14ac:dyDescent="0.3">
      <c r="B60" s="27"/>
      <c r="C60" s="27"/>
      <c r="D60" s="27"/>
    </row>
    <row r="61" spans="2:4" x14ac:dyDescent="0.3">
      <c r="B61" s="27" t="s">
        <v>466</v>
      </c>
      <c r="C61" s="27" t="s">
        <v>415</v>
      </c>
      <c r="D61" s="27" t="s">
        <v>467</v>
      </c>
    </row>
    <row r="62" spans="2:4" x14ac:dyDescent="0.3">
      <c r="B62" s="27" t="s">
        <v>466</v>
      </c>
      <c r="C62" s="27" t="s">
        <v>468</v>
      </c>
      <c r="D62" s="27" t="s">
        <v>469</v>
      </c>
    </row>
    <row r="63" spans="2:4" x14ac:dyDescent="0.3">
      <c r="B63" s="27"/>
      <c r="C63" s="27"/>
      <c r="D63" s="27"/>
    </row>
    <row r="64" spans="2:4" x14ac:dyDescent="0.3">
      <c r="B64" s="27" t="s">
        <v>470</v>
      </c>
      <c r="C64" s="27" t="s">
        <v>471</v>
      </c>
      <c r="D64" s="27" t="s">
        <v>472</v>
      </c>
    </row>
    <row r="65" spans="2:4" x14ac:dyDescent="0.3">
      <c r="B65" s="27" t="s">
        <v>470</v>
      </c>
      <c r="C65" s="27" t="s">
        <v>473</v>
      </c>
      <c r="D65" s="27" t="s">
        <v>474</v>
      </c>
    </row>
    <row r="66" spans="2:4" x14ac:dyDescent="0.3">
      <c r="B66" s="27"/>
      <c r="C66" s="27"/>
      <c r="D66" s="27"/>
    </row>
    <row r="67" spans="2:4" x14ac:dyDescent="0.3">
      <c r="B67" s="27" t="s">
        <v>417</v>
      </c>
      <c r="C67" s="27" t="s">
        <v>418</v>
      </c>
      <c r="D67" s="27" t="s">
        <v>475</v>
      </c>
    </row>
    <row r="68" spans="2:4" x14ac:dyDescent="0.3">
      <c r="B68" s="27" t="s">
        <v>417</v>
      </c>
      <c r="C68" s="27" t="s">
        <v>418</v>
      </c>
      <c r="D68" s="27" t="s">
        <v>476</v>
      </c>
    </row>
    <row r="69" spans="2:4" x14ac:dyDescent="0.3">
      <c r="B69" s="27" t="s">
        <v>417</v>
      </c>
      <c r="C69" s="27" t="s">
        <v>419</v>
      </c>
      <c r="D69" s="27" t="s">
        <v>420</v>
      </c>
    </row>
    <row r="70" spans="2:4" x14ac:dyDescent="0.3">
      <c r="B70" s="27"/>
      <c r="C70" s="27"/>
      <c r="D70" s="27"/>
    </row>
    <row r="71" spans="2:4" x14ac:dyDescent="0.3">
      <c r="B71" s="27" t="s">
        <v>477</v>
      </c>
      <c r="C71" s="27" t="s">
        <v>421</v>
      </c>
      <c r="D71" s="27" t="s">
        <v>478</v>
      </c>
    </row>
    <row r="72" spans="2:4" x14ac:dyDescent="0.3">
      <c r="B72" s="27" t="s">
        <v>477</v>
      </c>
      <c r="C72" s="27" t="s">
        <v>422</v>
      </c>
      <c r="D72" s="27" t="s">
        <v>479</v>
      </c>
    </row>
    <row r="73" spans="2:4" x14ac:dyDescent="0.3">
      <c r="B73" s="27" t="s">
        <v>477</v>
      </c>
      <c r="C73" s="27" t="s">
        <v>386</v>
      </c>
      <c r="D73" s="27" t="s">
        <v>480</v>
      </c>
    </row>
  </sheetData>
  <mergeCells count="1">
    <mergeCell ref="B2:B3"/>
  </mergeCell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0BCD23-5CEB-49D8-9CB9-A177FBBE175D}">
  <sheetPr codeName="Sheet2">
    <tabColor theme="0" tint="-0.14999847407452621"/>
  </sheetPr>
  <dimension ref="A1:L50"/>
  <sheetViews>
    <sheetView showGridLines="0" zoomScale="85" zoomScaleNormal="85" workbookViewId="0">
      <pane ySplit="5" topLeftCell="A6" activePane="bottomLeft" state="frozen"/>
      <selection sqref="A1:HO5"/>
      <selection pane="bottomLeft" activeCell="K1" sqref="K1:XFD1048576"/>
    </sheetView>
  </sheetViews>
  <sheetFormatPr defaultColWidth="0" defaultRowHeight="14.4" x14ac:dyDescent="0.3"/>
  <cols>
    <col min="1" max="1" width="0.77734375" customWidth="1"/>
    <col min="2" max="2" width="10.77734375" bestFit="1" customWidth="1"/>
    <col min="3" max="3" width="10.77734375" customWidth="1"/>
    <col min="4" max="4" width="28.44140625" bestFit="1" customWidth="1"/>
    <col min="5" max="5" width="28.21875" bestFit="1" customWidth="1"/>
    <col min="6" max="6" width="26.109375" bestFit="1" customWidth="1"/>
    <col min="7" max="7" width="23.33203125" bestFit="1" customWidth="1"/>
    <col min="8" max="8" width="20.109375" customWidth="1"/>
    <col min="9" max="9" width="37.21875" bestFit="1" customWidth="1"/>
    <col min="10" max="10" width="8.77734375" customWidth="1"/>
    <col min="11" max="16384" width="8.77734375" hidden="1"/>
  </cols>
  <sheetData>
    <row r="1" spans="2:12" ht="4.95" customHeight="1" x14ac:dyDescent="0.3"/>
    <row r="2" spans="2:12" ht="14.55" customHeight="1" x14ac:dyDescent="0.3">
      <c r="B2" s="44" t="s">
        <v>180</v>
      </c>
      <c r="C2" s="44"/>
      <c r="D2" s="44"/>
      <c r="E2" s="19"/>
      <c r="F2" s="37"/>
      <c r="G2" s="37"/>
      <c r="H2" s="37"/>
      <c r="I2" s="19"/>
    </row>
    <row r="3" spans="2:12" ht="14.55" customHeight="1" x14ac:dyDescent="0.3">
      <c r="B3" s="44"/>
      <c r="C3" s="44"/>
      <c r="D3" s="44"/>
      <c r="E3" s="19"/>
      <c r="F3" s="37"/>
      <c r="G3" s="37"/>
      <c r="H3" s="37"/>
      <c r="I3" s="19"/>
    </row>
    <row r="4" spans="2:12" ht="4.95" customHeight="1" x14ac:dyDescent="0.3"/>
    <row r="5" spans="2:12" x14ac:dyDescent="0.3">
      <c r="B5" s="20" t="s">
        <v>0</v>
      </c>
      <c r="C5" s="20" t="s">
        <v>565</v>
      </c>
      <c r="D5" s="20" t="s">
        <v>68</v>
      </c>
      <c r="E5" s="20" t="s">
        <v>63</v>
      </c>
      <c r="F5" s="20" t="s">
        <v>62</v>
      </c>
      <c r="G5" s="20" t="s">
        <v>482</v>
      </c>
      <c r="H5" s="20" t="s">
        <v>483</v>
      </c>
      <c r="I5" s="20" t="s">
        <v>144</v>
      </c>
      <c r="J5" s="20" t="s">
        <v>580</v>
      </c>
      <c r="K5" t="s">
        <v>0</v>
      </c>
      <c r="L5" t="s">
        <v>613</v>
      </c>
    </row>
    <row r="6" spans="2:12" x14ac:dyDescent="0.3">
      <c r="B6" s="2">
        <v>391390</v>
      </c>
      <c r="C6" s="2" cm="1">
        <f t="array" ref="C6">ROW()-ROW(HS_MD[#Headers])</f>
        <v>1</v>
      </c>
      <c r="D6" s="2" t="s">
        <v>69</v>
      </c>
      <c r="E6" s="2" t="s">
        <v>3</v>
      </c>
      <c r="F6" s="2" t="s">
        <v>444</v>
      </c>
      <c r="G6" s="2" t="s">
        <v>64</v>
      </c>
      <c r="H6" s="2" t="s">
        <v>3</v>
      </c>
      <c r="I6" s="2" t="s">
        <v>70</v>
      </c>
      <c r="J6" s="2">
        <v>290544</v>
      </c>
      <c r="K6">
        <v>391390</v>
      </c>
      <c r="L6" t="s">
        <v>3</v>
      </c>
    </row>
    <row r="7" spans="2:12" x14ac:dyDescent="0.3">
      <c r="B7" s="2">
        <v>391231</v>
      </c>
      <c r="C7" s="2" cm="1">
        <f t="array" ref="C7">ROW()-ROW(HS_MD[#Headers])</f>
        <v>2</v>
      </c>
      <c r="D7" s="2" t="s">
        <v>72</v>
      </c>
      <c r="E7" s="2" t="s">
        <v>71</v>
      </c>
      <c r="F7" s="2" t="s">
        <v>444</v>
      </c>
      <c r="G7" s="2" t="s">
        <v>64</v>
      </c>
      <c r="H7" s="2" t="s">
        <v>403</v>
      </c>
      <c r="I7" s="2" t="s">
        <v>73</v>
      </c>
      <c r="J7" s="2">
        <v>170260</v>
      </c>
      <c r="K7">
        <v>391231</v>
      </c>
      <c r="L7" t="s">
        <v>71</v>
      </c>
    </row>
    <row r="8" spans="2:12" x14ac:dyDescent="0.3">
      <c r="B8" s="2">
        <v>130232</v>
      </c>
      <c r="C8" s="2" cm="1">
        <f t="array" ref="C8">ROW()-ROW(HS_MD[#Headers])</f>
        <v>3</v>
      </c>
      <c r="D8" s="2" t="s">
        <v>75</v>
      </c>
      <c r="E8" s="2" t="s">
        <v>74</v>
      </c>
      <c r="F8" s="2" t="s">
        <v>444</v>
      </c>
      <c r="G8" s="2" t="s">
        <v>64</v>
      </c>
      <c r="H8" s="2" t="s">
        <v>74</v>
      </c>
      <c r="I8" s="2" t="s">
        <v>76</v>
      </c>
      <c r="J8" s="2">
        <v>200290</v>
      </c>
      <c r="K8">
        <v>130232</v>
      </c>
      <c r="L8" t="s">
        <v>74</v>
      </c>
    </row>
    <row r="9" spans="2:12" x14ac:dyDescent="0.3">
      <c r="B9" s="2">
        <v>130239</v>
      </c>
      <c r="C9" s="2" cm="1">
        <f t="array" ref="C9">ROW()-ROW(HS_MD[#Headers])</f>
        <v>4</v>
      </c>
      <c r="D9" s="2" t="s">
        <v>78</v>
      </c>
      <c r="E9" s="2" t="s">
        <v>77</v>
      </c>
      <c r="F9" s="2" t="s">
        <v>444</v>
      </c>
      <c r="G9" s="2" t="s">
        <v>64</v>
      </c>
      <c r="H9" s="2" t="s">
        <v>77</v>
      </c>
      <c r="I9" s="2" t="s">
        <v>79</v>
      </c>
      <c r="J9" s="2">
        <v>110813</v>
      </c>
      <c r="K9">
        <v>130239</v>
      </c>
      <c r="L9" t="s">
        <v>77</v>
      </c>
    </row>
    <row r="10" spans="2:12" x14ac:dyDescent="0.3">
      <c r="B10" s="2">
        <v>130232</v>
      </c>
      <c r="C10" s="2" cm="1">
        <f t="array" ref="C10">ROW()-ROW(HS_MD[#Headers])</f>
        <v>5</v>
      </c>
      <c r="D10" s="2" t="s">
        <v>75</v>
      </c>
      <c r="E10" s="2" t="s">
        <v>80</v>
      </c>
      <c r="F10" s="2" t="s">
        <v>444</v>
      </c>
      <c r="G10" s="2" t="s">
        <v>64</v>
      </c>
      <c r="H10" s="2" t="s">
        <v>80</v>
      </c>
      <c r="I10" s="2" t="s">
        <v>81</v>
      </c>
      <c r="J10" s="2">
        <v>170211</v>
      </c>
      <c r="K10">
        <v>130232</v>
      </c>
      <c r="L10" t="s">
        <v>80</v>
      </c>
    </row>
    <row r="11" spans="2:12" x14ac:dyDescent="0.3">
      <c r="B11" s="2">
        <v>291814</v>
      </c>
      <c r="C11" s="2" cm="1">
        <f t="array" ref="C11">ROW()-ROW(HS_MD[#Headers])</f>
        <v>6</v>
      </c>
      <c r="D11" s="2" t="s">
        <v>82</v>
      </c>
      <c r="E11" s="2" t="s">
        <v>4</v>
      </c>
      <c r="F11" s="2" t="s">
        <v>441</v>
      </c>
      <c r="G11" s="2" t="s">
        <v>404</v>
      </c>
      <c r="H11" s="2" t="s">
        <v>4</v>
      </c>
      <c r="I11" s="2" t="s">
        <v>83</v>
      </c>
      <c r="J11" s="2">
        <v>291815</v>
      </c>
      <c r="K11">
        <v>291814</v>
      </c>
      <c r="L11" t="s">
        <v>4</v>
      </c>
    </row>
    <row r="12" spans="2:12" x14ac:dyDescent="0.3">
      <c r="B12" s="2">
        <v>291811</v>
      </c>
      <c r="C12" s="2" cm="1">
        <f t="array" ref="C12">ROW()-ROW(HS_MD[#Headers])</f>
        <v>7</v>
      </c>
      <c r="D12" s="2" t="s">
        <v>85</v>
      </c>
      <c r="E12" s="2" t="s">
        <v>84</v>
      </c>
      <c r="F12" s="2" t="s">
        <v>441</v>
      </c>
      <c r="G12" s="2" t="s">
        <v>404</v>
      </c>
      <c r="H12" s="2" t="s">
        <v>84</v>
      </c>
      <c r="I12" s="2" t="s">
        <v>86</v>
      </c>
      <c r="J12" s="2">
        <v>291619</v>
      </c>
      <c r="K12">
        <v>291811</v>
      </c>
      <c r="L12" t="s">
        <v>84</v>
      </c>
    </row>
    <row r="13" spans="2:12" x14ac:dyDescent="0.3">
      <c r="B13" s="2">
        <v>280920</v>
      </c>
      <c r="C13" s="2" cm="1">
        <f t="array" ref="C13">ROW()-ROW(HS_MD[#Headers])</f>
        <v>8</v>
      </c>
      <c r="D13" s="2" t="s">
        <v>88</v>
      </c>
      <c r="E13" s="2" t="s">
        <v>87</v>
      </c>
      <c r="F13" s="2" t="s">
        <v>441</v>
      </c>
      <c r="G13" s="2" t="s">
        <v>405</v>
      </c>
      <c r="H13" s="2" t="s">
        <v>87</v>
      </c>
      <c r="I13" s="2" t="s">
        <v>89</v>
      </c>
      <c r="J13" s="2">
        <v>291631</v>
      </c>
      <c r="K13">
        <v>280920</v>
      </c>
      <c r="L13" t="s">
        <v>87</v>
      </c>
    </row>
    <row r="14" spans="2:12" x14ac:dyDescent="0.3">
      <c r="B14" s="2">
        <v>291815</v>
      </c>
      <c r="C14" s="2" cm="1">
        <f t="array" ref="C14">ROW()-ROW(HS_MD[#Headers])</f>
        <v>9</v>
      </c>
      <c r="D14" s="2" t="s">
        <v>91</v>
      </c>
      <c r="E14" s="2" t="s">
        <v>90</v>
      </c>
      <c r="F14" s="2" t="s">
        <v>441</v>
      </c>
      <c r="G14" s="2" t="s">
        <v>442</v>
      </c>
      <c r="H14" s="2" t="s">
        <v>90</v>
      </c>
      <c r="I14" s="2" t="s">
        <v>92</v>
      </c>
      <c r="J14" s="2">
        <v>291550</v>
      </c>
      <c r="K14">
        <v>291815</v>
      </c>
      <c r="L14" t="s">
        <v>90</v>
      </c>
    </row>
    <row r="15" spans="2:12" x14ac:dyDescent="0.3">
      <c r="B15" s="2">
        <v>291619</v>
      </c>
      <c r="C15" s="2" cm="1">
        <f t="array" ref="C15">ROW()-ROW(HS_MD[#Headers])</f>
        <v>10</v>
      </c>
      <c r="D15" s="2" t="s">
        <v>93</v>
      </c>
      <c r="E15" s="2" t="s">
        <v>6</v>
      </c>
      <c r="F15" s="2" t="s">
        <v>443</v>
      </c>
      <c r="G15" s="2" t="s">
        <v>406</v>
      </c>
      <c r="H15" s="2" t="s">
        <v>6</v>
      </c>
      <c r="I15" s="2" t="s">
        <v>76</v>
      </c>
      <c r="J15" s="2">
        <v>283410</v>
      </c>
      <c r="K15">
        <v>291619</v>
      </c>
      <c r="L15" t="s">
        <v>6</v>
      </c>
    </row>
    <row r="16" spans="2:12" x14ac:dyDescent="0.3">
      <c r="B16" s="2">
        <v>291631</v>
      </c>
      <c r="C16" s="2" cm="1">
        <f t="array" ref="C16">ROW()-ROW(HS_MD[#Headers])</f>
        <v>11</v>
      </c>
      <c r="D16" s="2" t="s">
        <v>94</v>
      </c>
      <c r="E16" s="2" t="s">
        <v>7</v>
      </c>
      <c r="F16" s="2" t="s">
        <v>443</v>
      </c>
      <c r="G16" s="2" t="s">
        <v>406</v>
      </c>
      <c r="H16" s="2" t="s">
        <v>7</v>
      </c>
      <c r="I16" s="2" t="s">
        <v>95</v>
      </c>
      <c r="J16" s="2">
        <v>283210</v>
      </c>
      <c r="K16">
        <v>291631</v>
      </c>
      <c r="L16" t="s">
        <v>7</v>
      </c>
    </row>
    <row r="17" spans="2:12" x14ac:dyDescent="0.3">
      <c r="B17" s="2">
        <v>291550</v>
      </c>
      <c r="C17" s="2" cm="1">
        <f t="array" ref="C17">ROW()-ROW(HS_MD[#Headers])</f>
        <v>12</v>
      </c>
      <c r="D17" s="2" t="s">
        <v>97</v>
      </c>
      <c r="E17" s="2" t="s">
        <v>96</v>
      </c>
      <c r="F17" s="2" t="s">
        <v>443</v>
      </c>
      <c r="G17" s="2" t="s">
        <v>406</v>
      </c>
      <c r="H17" s="2" t="s">
        <v>96</v>
      </c>
      <c r="I17" s="2" t="s">
        <v>98</v>
      </c>
      <c r="J17" s="2">
        <v>350510</v>
      </c>
      <c r="K17">
        <v>291550</v>
      </c>
      <c r="L17" t="s">
        <v>96</v>
      </c>
    </row>
    <row r="18" spans="2:12" x14ac:dyDescent="0.3">
      <c r="B18" s="2">
        <v>283410</v>
      </c>
      <c r="C18" s="2" cm="1">
        <f t="array" ref="C18">ROW()-ROW(HS_MD[#Headers])</f>
        <v>13</v>
      </c>
      <c r="D18" s="2" t="s">
        <v>100</v>
      </c>
      <c r="E18" s="2" t="s">
        <v>99</v>
      </c>
      <c r="F18" s="2" t="s">
        <v>443</v>
      </c>
      <c r="G18" s="2" t="s">
        <v>407</v>
      </c>
      <c r="H18" s="2" t="s">
        <v>99</v>
      </c>
      <c r="I18" s="2" t="s">
        <v>101</v>
      </c>
      <c r="J18" s="2">
        <v>292320</v>
      </c>
      <c r="K18">
        <v>283410</v>
      </c>
      <c r="L18" t="s">
        <v>99</v>
      </c>
    </row>
    <row r="19" spans="2:12" x14ac:dyDescent="0.3">
      <c r="B19" s="2">
        <v>283210</v>
      </c>
      <c r="C19" s="2" cm="1">
        <f t="array" ref="C19">ROW()-ROW(HS_MD[#Headers])</f>
        <v>14</v>
      </c>
      <c r="D19" s="2" t="s">
        <v>103</v>
      </c>
      <c r="E19" s="2" t="s">
        <v>102</v>
      </c>
      <c r="F19" s="2" t="s">
        <v>443</v>
      </c>
      <c r="G19" s="2" t="s">
        <v>103</v>
      </c>
      <c r="H19" s="2" t="s">
        <v>102</v>
      </c>
      <c r="I19" s="2" t="s">
        <v>104</v>
      </c>
      <c r="J19" s="2">
        <v>290544</v>
      </c>
      <c r="K19">
        <v>283210</v>
      </c>
      <c r="L19" t="s">
        <v>102</v>
      </c>
    </row>
    <row r="20" spans="2:12" x14ac:dyDescent="0.3">
      <c r="B20" s="2">
        <v>350510</v>
      </c>
      <c r="C20" s="2" cm="1">
        <f t="array" ref="C20">ROW()-ROW(HS_MD[#Headers])</f>
        <v>15</v>
      </c>
      <c r="D20" s="2" t="s">
        <v>105</v>
      </c>
      <c r="E20" s="2" t="s">
        <v>65</v>
      </c>
      <c r="F20" s="2" t="s">
        <v>444</v>
      </c>
      <c r="G20" s="2" t="s">
        <v>408</v>
      </c>
      <c r="H20" s="2" t="s">
        <v>445</v>
      </c>
      <c r="I20" s="2" t="s">
        <v>106</v>
      </c>
      <c r="J20" s="2">
        <v>170260</v>
      </c>
      <c r="K20">
        <v>350510</v>
      </c>
      <c r="L20" t="s">
        <v>65</v>
      </c>
    </row>
    <row r="21" spans="2:12" x14ac:dyDescent="0.3">
      <c r="B21" s="2">
        <v>292320</v>
      </c>
      <c r="C21" s="2" cm="1">
        <f t="array" ref="C21">ROW()-ROW(HS_MD[#Headers])</f>
        <v>16</v>
      </c>
      <c r="D21" s="2" t="s">
        <v>109</v>
      </c>
      <c r="E21" s="2" t="s">
        <v>108</v>
      </c>
      <c r="F21" s="2" t="s">
        <v>444</v>
      </c>
      <c r="G21" s="2" t="s">
        <v>107</v>
      </c>
      <c r="H21" s="2" t="s">
        <v>108</v>
      </c>
      <c r="I21" s="2" t="s">
        <v>110</v>
      </c>
      <c r="J21" s="2">
        <v>292429</v>
      </c>
      <c r="K21">
        <v>292320</v>
      </c>
      <c r="L21" t="s">
        <v>108</v>
      </c>
    </row>
    <row r="22" spans="2:12" x14ac:dyDescent="0.3">
      <c r="B22" s="2">
        <v>291570</v>
      </c>
      <c r="C22" s="2" cm="1">
        <f t="array" ref="C22">ROW()-ROW(HS_MD[#Headers])</f>
        <v>17</v>
      </c>
      <c r="D22" s="2" t="s">
        <v>112</v>
      </c>
      <c r="E22" s="2" t="s">
        <v>111</v>
      </c>
      <c r="F22" s="2" t="s">
        <v>444</v>
      </c>
      <c r="G22" s="2" t="s">
        <v>107</v>
      </c>
      <c r="H22" s="2" t="s">
        <v>111</v>
      </c>
      <c r="I22" s="2" t="s">
        <v>113</v>
      </c>
      <c r="J22" s="2">
        <v>200290</v>
      </c>
      <c r="K22">
        <v>291570</v>
      </c>
      <c r="L22" t="s">
        <v>111</v>
      </c>
    </row>
    <row r="23" spans="2:12" x14ac:dyDescent="0.3">
      <c r="B23" s="2">
        <v>290544</v>
      </c>
      <c r="C23" s="2" cm="1">
        <f t="array" ref="C23">ROW()-ROW(HS_MD[#Headers])</f>
        <v>18</v>
      </c>
      <c r="D23" s="2" t="s">
        <v>115</v>
      </c>
      <c r="E23" s="2" t="s">
        <v>114</v>
      </c>
      <c r="F23" s="2" t="s">
        <v>438</v>
      </c>
      <c r="G23" s="2" t="s">
        <v>440</v>
      </c>
      <c r="H23" s="2" t="s">
        <v>114</v>
      </c>
      <c r="I23" s="2" t="s">
        <v>116</v>
      </c>
      <c r="J23" s="2">
        <v>290719</v>
      </c>
      <c r="K23">
        <v>290544</v>
      </c>
      <c r="L23" t="s">
        <v>114</v>
      </c>
    </row>
    <row r="24" spans="2:12" x14ac:dyDescent="0.3">
      <c r="B24" s="2">
        <v>170230</v>
      </c>
      <c r="C24" s="2" cm="1">
        <f t="array" ref="C24">ROW()-ROW(HS_MD[#Headers])</f>
        <v>19</v>
      </c>
      <c r="D24" s="2" t="s">
        <v>118</v>
      </c>
      <c r="E24" s="2" t="s">
        <v>117</v>
      </c>
      <c r="F24" s="2" t="s">
        <v>438</v>
      </c>
      <c r="G24" s="2" t="s">
        <v>416</v>
      </c>
      <c r="H24" s="2" t="s">
        <v>117</v>
      </c>
      <c r="I24" s="2" t="s">
        <v>119</v>
      </c>
      <c r="J24" s="2">
        <v>320419</v>
      </c>
      <c r="K24">
        <v>170230</v>
      </c>
      <c r="L24" t="s">
        <v>117</v>
      </c>
    </row>
    <row r="25" spans="2:12" x14ac:dyDescent="0.3">
      <c r="B25" s="2">
        <v>170260</v>
      </c>
      <c r="C25" s="2" cm="1">
        <f t="array" ref="C25">ROW()-ROW(HS_MD[#Headers])</f>
        <v>20</v>
      </c>
      <c r="D25" s="2" t="s">
        <v>121</v>
      </c>
      <c r="E25" s="2" t="s">
        <v>120</v>
      </c>
      <c r="F25" s="2" t="s">
        <v>438</v>
      </c>
      <c r="G25" s="2" t="s">
        <v>416</v>
      </c>
      <c r="H25" s="2" t="s">
        <v>439</v>
      </c>
      <c r="I25" s="2" t="s">
        <v>89</v>
      </c>
      <c r="J25" s="2">
        <v>130219</v>
      </c>
      <c r="K25">
        <v>170260</v>
      </c>
      <c r="L25" t="s">
        <v>120</v>
      </c>
    </row>
    <row r="26" spans="2:12" x14ac:dyDescent="0.3">
      <c r="B26" s="2">
        <v>292429</v>
      </c>
      <c r="C26" s="2" cm="1">
        <f t="array" ref="C26">ROW()-ROW(HS_MD[#Headers])</f>
        <v>21</v>
      </c>
      <c r="D26" s="2" t="s">
        <v>123</v>
      </c>
      <c r="E26" s="2" t="s">
        <v>122</v>
      </c>
      <c r="F26" s="2" t="s">
        <v>438</v>
      </c>
      <c r="G26" s="2" t="s">
        <v>409</v>
      </c>
      <c r="H26" s="2" t="s">
        <v>122</v>
      </c>
      <c r="I26" s="2" t="s">
        <v>124</v>
      </c>
      <c r="J26" s="2">
        <v>120750</v>
      </c>
      <c r="K26">
        <v>292429</v>
      </c>
      <c r="L26" t="s">
        <v>122</v>
      </c>
    </row>
    <row r="27" spans="2:12" x14ac:dyDescent="0.3">
      <c r="B27" s="2">
        <v>293499</v>
      </c>
      <c r="C27" s="2" cm="1">
        <f t="array" ref="C27">ROW()-ROW(HS_MD[#Headers])</f>
        <v>22</v>
      </c>
      <c r="D27" s="2" t="s">
        <v>126</v>
      </c>
      <c r="E27" s="2" t="s">
        <v>125</v>
      </c>
      <c r="F27" s="2" t="s">
        <v>438</v>
      </c>
      <c r="G27" s="2" t="s">
        <v>409</v>
      </c>
      <c r="H27" s="2" t="s">
        <v>125</v>
      </c>
      <c r="I27" s="2" t="s">
        <v>124</v>
      </c>
      <c r="J27" s="2">
        <v>110630</v>
      </c>
      <c r="K27">
        <v>293499</v>
      </c>
      <c r="L27" t="s">
        <v>125</v>
      </c>
    </row>
    <row r="28" spans="2:12" x14ac:dyDescent="0.3">
      <c r="B28" s="2">
        <v>200290</v>
      </c>
      <c r="C28" s="2" cm="1">
        <f t="array" ref="C28">ROW()-ROW(HS_MD[#Headers])</f>
        <v>23</v>
      </c>
      <c r="D28" s="2" t="s">
        <v>485</v>
      </c>
      <c r="E28" s="2" t="s">
        <v>486</v>
      </c>
      <c r="F28" s="2" t="s">
        <v>487</v>
      </c>
      <c r="G28" s="2" t="s">
        <v>488</v>
      </c>
      <c r="H28" s="2" t="s">
        <v>489</v>
      </c>
      <c r="I28" s="2" t="s">
        <v>490</v>
      </c>
      <c r="J28" s="2">
        <v>170199</v>
      </c>
      <c r="K28">
        <v>200290</v>
      </c>
      <c r="L28" t="s">
        <v>486</v>
      </c>
    </row>
    <row r="29" spans="2:12" x14ac:dyDescent="0.3">
      <c r="B29" s="2">
        <v>290719</v>
      </c>
      <c r="C29" s="2" cm="1">
        <f t="array" ref="C29">ROW()-ROW(HS_MD[#Headers])</f>
        <v>24</v>
      </c>
      <c r="D29" s="2" t="s">
        <v>132</v>
      </c>
      <c r="E29" s="2" t="s">
        <v>67</v>
      </c>
      <c r="F29" s="2" t="s">
        <v>491</v>
      </c>
      <c r="G29" s="2" t="s">
        <v>66</v>
      </c>
      <c r="H29" s="2" t="s">
        <v>448</v>
      </c>
      <c r="I29" s="2" t="s">
        <v>133</v>
      </c>
      <c r="J29" s="2">
        <v>110100</v>
      </c>
      <c r="K29">
        <v>290719</v>
      </c>
      <c r="L29" t="s">
        <v>67</v>
      </c>
    </row>
    <row r="30" spans="2:12" x14ac:dyDescent="0.3">
      <c r="B30" s="2">
        <v>170290</v>
      </c>
      <c r="C30" s="2" cm="1">
        <f t="array" ref="C30">ROW()-ROW(HS_MD[#Headers])</f>
        <v>25</v>
      </c>
      <c r="D30" s="2" t="s">
        <v>492</v>
      </c>
      <c r="E30" s="2" t="s">
        <v>128</v>
      </c>
      <c r="F30" s="2" t="s">
        <v>491</v>
      </c>
      <c r="G30" s="2" t="s">
        <v>127</v>
      </c>
      <c r="H30" s="2" t="s">
        <v>493</v>
      </c>
      <c r="I30" s="2" t="s">
        <v>95</v>
      </c>
      <c r="J30" s="2">
        <v>110812</v>
      </c>
      <c r="K30">
        <v>170290</v>
      </c>
      <c r="L30" t="s">
        <v>128</v>
      </c>
    </row>
    <row r="31" spans="2:12" x14ac:dyDescent="0.3">
      <c r="B31" s="2">
        <v>320419</v>
      </c>
      <c r="C31" s="2" cm="1">
        <f t="array" ref="C31">ROW()-ROW(HS_MD[#Headers])</f>
        <v>26</v>
      </c>
      <c r="D31" s="2" t="s">
        <v>130</v>
      </c>
      <c r="E31" s="2" t="s">
        <v>129</v>
      </c>
      <c r="F31" s="2" t="s">
        <v>491</v>
      </c>
      <c r="G31" s="2" t="s">
        <v>127</v>
      </c>
      <c r="H31" s="2" t="s">
        <v>494</v>
      </c>
      <c r="I31" s="2" t="s">
        <v>92</v>
      </c>
      <c r="J31" s="2">
        <v>110813</v>
      </c>
      <c r="K31">
        <v>320419</v>
      </c>
      <c r="L31" t="s">
        <v>129</v>
      </c>
    </row>
    <row r="32" spans="2:12" x14ac:dyDescent="0.3">
      <c r="B32" s="2">
        <v>130219</v>
      </c>
      <c r="C32" s="2" cm="1">
        <f t="array" ref="C32">ROW()-ROW(HS_MD[#Headers])</f>
        <v>27</v>
      </c>
      <c r="D32" s="2" t="s">
        <v>495</v>
      </c>
      <c r="E32" s="2" t="s">
        <v>131</v>
      </c>
      <c r="F32" s="2" t="s">
        <v>491</v>
      </c>
      <c r="G32" s="2" t="s">
        <v>127</v>
      </c>
      <c r="H32" s="2" t="s">
        <v>131</v>
      </c>
      <c r="I32" s="2" t="s">
        <v>496</v>
      </c>
      <c r="J32" s="2">
        <v>151620</v>
      </c>
      <c r="K32">
        <v>130219</v>
      </c>
      <c r="L32" t="s">
        <v>131</v>
      </c>
    </row>
    <row r="33" spans="2:12" x14ac:dyDescent="0.3">
      <c r="B33" s="2">
        <v>120750</v>
      </c>
      <c r="C33" s="2" cm="1">
        <f t="array" ref="C33">ROW()-ROW(HS_MD[#Headers])</f>
        <v>28</v>
      </c>
      <c r="D33" s="2" t="s">
        <v>136</v>
      </c>
      <c r="E33" s="2" t="s">
        <v>135</v>
      </c>
      <c r="F33" s="2" t="s">
        <v>497</v>
      </c>
      <c r="G33" s="2" t="s">
        <v>134</v>
      </c>
      <c r="H33" s="2" t="s">
        <v>498</v>
      </c>
      <c r="I33" s="2" t="s">
        <v>137</v>
      </c>
      <c r="J33" s="2">
        <v>170211</v>
      </c>
      <c r="K33">
        <v>120750</v>
      </c>
      <c r="L33" t="s">
        <v>135</v>
      </c>
    </row>
    <row r="34" spans="2:12" x14ac:dyDescent="0.3">
      <c r="B34" s="2">
        <v>110630</v>
      </c>
      <c r="C34" s="2" cm="1">
        <f t="array" ref="C34">ROW()-ROW(HS_MD[#Headers])</f>
        <v>29</v>
      </c>
      <c r="D34" s="2" t="s">
        <v>499</v>
      </c>
      <c r="E34" s="2" t="s">
        <v>138</v>
      </c>
      <c r="F34" s="2" t="s">
        <v>497</v>
      </c>
      <c r="G34" s="2" t="s">
        <v>134</v>
      </c>
      <c r="H34" s="2" t="s">
        <v>500</v>
      </c>
      <c r="I34" s="2" t="s">
        <v>139</v>
      </c>
      <c r="J34" s="2">
        <v>250100</v>
      </c>
      <c r="K34">
        <v>110630</v>
      </c>
      <c r="L34" t="s">
        <v>138</v>
      </c>
    </row>
    <row r="35" spans="2:12" x14ac:dyDescent="0.3">
      <c r="B35" s="2">
        <v>170199</v>
      </c>
      <c r="C35" s="2" cm="1">
        <f t="array" ref="C35">ROW()-ROW(HS_MD[#Headers])</f>
        <v>30</v>
      </c>
      <c r="D35" s="2" t="s">
        <v>501</v>
      </c>
      <c r="E35" s="2" t="s">
        <v>502</v>
      </c>
      <c r="F35" s="2" t="s">
        <v>438</v>
      </c>
      <c r="G35" s="2" t="s">
        <v>416</v>
      </c>
      <c r="H35" s="2" t="s">
        <v>503</v>
      </c>
      <c r="I35" s="2" t="s">
        <v>83</v>
      </c>
      <c r="J35" s="2">
        <v>283630</v>
      </c>
      <c r="K35">
        <v>170199</v>
      </c>
      <c r="L35" t="s">
        <v>502</v>
      </c>
    </row>
    <row r="36" spans="2:12" x14ac:dyDescent="0.3">
      <c r="B36" s="2">
        <v>170113</v>
      </c>
      <c r="C36" s="2" cm="1">
        <f t="array" ref="C36">ROW()-ROW(HS_MD[#Headers])</f>
        <v>31</v>
      </c>
      <c r="D36" s="2" t="s">
        <v>504</v>
      </c>
      <c r="E36" s="2" t="s">
        <v>505</v>
      </c>
      <c r="F36" s="2" t="s">
        <v>438</v>
      </c>
      <c r="G36" s="2" t="s">
        <v>416</v>
      </c>
      <c r="H36" s="2" t="s">
        <v>506</v>
      </c>
      <c r="I36" s="2" t="s">
        <v>507</v>
      </c>
      <c r="J36" s="2">
        <v>283526</v>
      </c>
      <c r="K36">
        <v>170113</v>
      </c>
      <c r="L36" t="s">
        <v>505</v>
      </c>
    </row>
    <row r="37" spans="2:12" x14ac:dyDescent="0.3">
      <c r="B37" s="2">
        <v>110100</v>
      </c>
      <c r="C37" s="2" cm="1">
        <f t="array" ref="C37">ROW()-ROW(HS_MD[#Headers])</f>
        <v>32</v>
      </c>
      <c r="D37" s="2" t="s">
        <v>508</v>
      </c>
      <c r="E37" s="2" t="s">
        <v>467</v>
      </c>
      <c r="F37" s="2" t="s">
        <v>497</v>
      </c>
      <c r="G37" s="2" t="s">
        <v>509</v>
      </c>
      <c r="H37" s="2" t="s">
        <v>510</v>
      </c>
      <c r="I37" s="2" t="s">
        <v>511</v>
      </c>
      <c r="J37" s="2"/>
      <c r="K37">
        <v>110100</v>
      </c>
      <c r="L37" t="s">
        <v>467</v>
      </c>
    </row>
    <row r="38" spans="2:12" x14ac:dyDescent="0.3">
      <c r="B38" s="2">
        <v>110812</v>
      </c>
      <c r="C38" s="2" cm="1">
        <f t="array" ref="C38">ROW()-ROW(HS_MD[#Headers])</f>
        <v>33</v>
      </c>
      <c r="D38" s="2" t="s">
        <v>512</v>
      </c>
      <c r="E38" s="2" t="s">
        <v>513</v>
      </c>
      <c r="F38" s="2" t="s">
        <v>444</v>
      </c>
      <c r="G38" s="2" t="s">
        <v>514</v>
      </c>
      <c r="H38" s="2" t="s">
        <v>515</v>
      </c>
      <c r="I38" s="2" t="s">
        <v>516</v>
      </c>
      <c r="J38" s="2"/>
      <c r="K38">
        <v>110812</v>
      </c>
      <c r="L38" t="s">
        <v>513</v>
      </c>
    </row>
    <row r="39" spans="2:12" x14ac:dyDescent="0.3">
      <c r="B39" s="2">
        <v>110813</v>
      </c>
      <c r="C39" s="2" cm="1">
        <f t="array" ref="C39">ROW()-ROW(HS_MD[#Headers])</f>
        <v>34</v>
      </c>
      <c r="D39" s="2" t="s">
        <v>517</v>
      </c>
      <c r="E39" s="2" t="s">
        <v>518</v>
      </c>
      <c r="F39" s="2" t="s">
        <v>444</v>
      </c>
      <c r="G39" s="2" t="s">
        <v>514</v>
      </c>
      <c r="H39" s="2" t="s">
        <v>519</v>
      </c>
      <c r="I39" s="2" t="s">
        <v>520</v>
      </c>
      <c r="J39" s="2"/>
      <c r="K39">
        <v>110813</v>
      </c>
      <c r="L39" t="s">
        <v>518</v>
      </c>
    </row>
    <row r="40" spans="2:12" x14ac:dyDescent="0.3">
      <c r="B40" s="2">
        <v>151190</v>
      </c>
      <c r="C40" s="2" cm="1">
        <f t="array" ref="C40">ROW()-ROW(HS_MD[#Headers])</f>
        <v>35</v>
      </c>
      <c r="D40" s="2" t="s">
        <v>523</v>
      </c>
      <c r="E40" s="2" t="s">
        <v>524</v>
      </c>
      <c r="F40" s="2" t="s">
        <v>497</v>
      </c>
      <c r="G40" s="2" t="s">
        <v>521</v>
      </c>
      <c r="H40" s="2" t="s">
        <v>525</v>
      </c>
      <c r="I40" s="2" t="s">
        <v>526</v>
      </c>
      <c r="J40" s="2"/>
      <c r="K40">
        <v>151190</v>
      </c>
      <c r="L40" t="s">
        <v>524</v>
      </c>
    </row>
    <row r="41" spans="2:12" x14ac:dyDescent="0.3">
      <c r="B41" s="2">
        <v>150710</v>
      </c>
      <c r="C41" s="2" cm="1">
        <f t="array" ref="C41">ROW()-ROW(HS_MD[#Headers])</f>
        <v>36</v>
      </c>
      <c r="D41" s="2" t="s">
        <v>527</v>
      </c>
      <c r="E41" s="2" t="s">
        <v>528</v>
      </c>
      <c r="F41" s="2" t="s">
        <v>497</v>
      </c>
      <c r="G41" s="2" t="s">
        <v>521</v>
      </c>
      <c r="H41" s="2" t="s">
        <v>522</v>
      </c>
      <c r="I41" s="2" t="s">
        <v>529</v>
      </c>
      <c r="J41" s="2"/>
      <c r="K41">
        <v>150710</v>
      </c>
      <c r="L41" t="s">
        <v>528</v>
      </c>
    </row>
    <row r="42" spans="2:12" x14ac:dyDescent="0.3">
      <c r="B42" s="2">
        <v>150790</v>
      </c>
      <c r="C42" s="2" cm="1">
        <f t="array" ref="C42">ROW()-ROW(HS_MD[#Headers])</f>
        <v>37</v>
      </c>
      <c r="D42" s="2" t="s">
        <v>530</v>
      </c>
      <c r="E42" s="2" t="s">
        <v>531</v>
      </c>
      <c r="F42" s="2" t="s">
        <v>497</v>
      </c>
      <c r="G42" s="2" t="s">
        <v>521</v>
      </c>
      <c r="H42" s="2" t="s">
        <v>525</v>
      </c>
      <c r="I42" s="2" t="s">
        <v>532</v>
      </c>
      <c r="J42" s="2"/>
      <c r="K42">
        <v>150790</v>
      </c>
      <c r="L42" t="s">
        <v>531</v>
      </c>
    </row>
    <row r="43" spans="2:12" x14ac:dyDescent="0.3">
      <c r="B43" s="2">
        <v>151211</v>
      </c>
      <c r="C43" s="2" cm="1">
        <f t="array" ref="C43">ROW()-ROW(HS_MD[#Headers])</f>
        <v>38</v>
      </c>
      <c r="D43" s="2" t="s">
        <v>533</v>
      </c>
      <c r="E43" s="2" t="s">
        <v>459</v>
      </c>
      <c r="F43" s="2" t="s">
        <v>497</v>
      </c>
      <c r="G43" s="2" t="s">
        <v>521</v>
      </c>
      <c r="H43" s="2" t="s">
        <v>534</v>
      </c>
      <c r="I43" s="2" t="s">
        <v>535</v>
      </c>
      <c r="J43" s="2"/>
      <c r="K43">
        <v>151211</v>
      </c>
      <c r="L43" t="s">
        <v>459</v>
      </c>
    </row>
    <row r="44" spans="2:12" x14ac:dyDescent="0.3">
      <c r="B44" s="2">
        <v>151620</v>
      </c>
      <c r="C44" s="2" cm="1">
        <f t="array" ref="C44">ROW()-ROW(HS_MD[#Headers])</f>
        <v>39</v>
      </c>
      <c r="D44" s="2" t="s">
        <v>536</v>
      </c>
      <c r="E44" s="2" t="s">
        <v>537</v>
      </c>
      <c r="F44" s="2" t="s">
        <v>444</v>
      </c>
      <c r="G44" s="2" t="s">
        <v>538</v>
      </c>
      <c r="H44" s="2" t="s">
        <v>539</v>
      </c>
      <c r="I44" s="2" t="s">
        <v>540</v>
      </c>
      <c r="J44" s="2"/>
      <c r="K44">
        <v>151620</v>
      </c>
      <c r="L44" t="s">
        <v>537</v>
      </c>
    </row>
    <row r="45" spans="2:12" x14ac:dyDescent="0.3">
      <c r="B45" s="2">
        <v>170211</v>
      </c>
      <c r="C45" s="2" cm="1">
        <f t="array" ref="C45">ROW()-ROW(HS_MD[#Headers])</f>
        <v>40</v>
      </c>
      <c r="D45" s="2" t="s">
        <v>542</v>
      </c>
      <c r="E45" s="2" t="s">
        <v>542</v>
      </c>
      <c r="F45" s="2" t="s">
        <v>541</v>
      </c>
      <c r="G45" s="2" t="s">
        <v>543</v>
      </c>
      <c r="H45" s="2" t="s">
        <v>544</v>
      </c>
      <c r="I45" s="2" t="s">
        <v>545</v>
      </c>
      <c r="J45" s="2"/>
      <c r="K45">
        <v>170211</v>
      </c>
      <c r="L45" t="s">
        <v>542</v>
      </c>
    </row>
    <row r="46" spans="2:12" x14ac:dyDescent="0.3">
      <c r="B46" s="2">
        <v>250100</v>
      </c>
      <c r="C46" s="2" cm="1">
        <f t="array" ref="C46">ROW()-ROW(HS_MD[#Headers])</f>
        <v>41</v>
      </c>
      <c r="D46" s="2" t="s">
        <v>546</v>
      </c>
      <c r="E46" s="2" t="s">
        <v>547</v>
      </c>
      <c r="F46" s="2" t="s">
        <v>491</v>
      </c>
      <c r="G46" s="2" t="s">
        <v>548</v>
      </c>
      <c r="H46" s="2" t="s">
        <v>549</v>
      </c>
      <c r="I46" s="2" t="s">
        <v>550</v>
      </c>
      <c r="J46" s="2"/>
      <c r="K46">
        <v>250100</v>
      </c>
      <c r="L46" t="s">
        <v>547</v>
      </c>
    </row>
    <row r="47" spans="2:12" x14ac:dyDescent="0.3">
      <c r="B47" s="2">
        <v>283630</v>
      </c>
      <c r="C47" s="2" cm="1">
        <f t="array" ref="C47">ROW()-ROW(HS_MD[#Headers])</f>
        <v>42</v>
      </c>
      <c r="D47" s="2" t="s">
        <v>551</v>
      </c>
      <c r="E47" s="2" t="s">
        <v>552</v>
      </c>
      <c r="F47" s="2" t="s">
        <v>491</v>
      </c>
      <c r="G47" s="2" t="s">
        <v>468</v>
      </c>
      <c r="H47" s="2" t="s">
        <v>553</v>
      </c>
      <c r="I47" s="2" t="s">
        <v>554</v>
      </c>
      <c r="J47" s="2"/>
      <c r="K47">
        <v>283630</v>
      </c>
      <c r="L47" t="s">
        <v>552</v>
      </c>
    </row>
    <row r="48" spans="2:12" x14ac:dyDescent="0.3">
      <c r="B48" s="2">
        <v>283526</v>
      </c>
      <c r="C48" s="2" cm="1">
        <f t="array" ref="C48">ROW()-ROW(HS_MD[#Headers])</f>
        <v>43</v>
      </c>
      <c r="D48" s="2" t="s">
        <v>555</v>
      </c>
      <c r="E48" s="2" t="s">
        <v>555</v>
      </c>
      <c r="F48" s="2" t="s">
        <v>491</v>
      </c>
      <c r="G48" s="2" t="s">
        <v>556</v>
      </c>
      <c r="H48" s="2" t="s">
        <v>557</v>
      </c>
      <c r="I48" s="2" t="s">
        <v>558</v>
      </c>
      <c r="J48" s="2"/>
      <c r="K48">
        <v>283526</v>
      </c>
      <c r="L48" t="s">
        <v>555</v>
      </c>
    </row>
    <row r="49" spans="2:12" x14ac:dyDescent="0.3">
      <c r="B49" s="2">
        <v>292242</v>
      </c>
      <c r="C49" s="2" cm="1">
        <f t="array" ref="C49">ROW()-ROW(HS_MD[#Headers])</f>
        <v>44</v>
      </c>
      <c r="D49" s="2" t="s">
        <v>559</v>
      </c>
      <c r="E49" s="2" t="s">
        <v>560</v>
      </c>
      <c r="F49" s="2" t="s">
        <v>491</v>
      </c>
      <c r="G49" s="2" t="s">
        <v>561</v>
      </c>
      <c r="H49" s="2" t="s">
        <v>562</v>
      </c>
      <c r="I49" s="2" t="s">
        <v>563</v>
      </c>
      <c r="J49" s="2"/>
      <c r="K49">
        <v>292242</v>
      </c>
      <c r="L49" t="s">
        <v>560</v>
      </c>
    </row>
    <row r="50" spans="2:12" x14ac:dyDescent="0.3">
      <c r="B50" s="2">
        <v>290532</v>
      </c>
      <c r="C50" s="66" cm="1">
        <f t="array" ref="C50">ROW()-ROW(HS_MD[#Headers])</f>
        <v>45</v>
      </c>
      <c r="D50" s="2" t="s">
        <v>609</v>
      </c>
      <c r="E50" s="2" t="s">
        <v>610</v>
      </c>
      <c r="F50" s="2" t="s">
        <v>491</v>
      </c>
      <c r="G50" s="2" t="s">
        <v>611</v>
      </c>
      <c r="H50" s="2" t="s">
        <v>610</v>
      </c>
      <c r="I50" s="2" t="s">
        <v>612</v>
      </c>
      <c r="J50" s="2"/>
      <c r="K50">
        <v>290532</v>
      </c>
      <c r="L50" t="s">
        <v>610</v>
      </c>
    </row>
  </sheetData>
  <mergeCells count="1">
    <mergeCell ref="B2:D3"/>
  </mergeCell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7DA5F2-979D-4290-B7C4-9B05EBD37EFC}">
  <sheetPr codeName="Sheet8">
    <tabColor theme="0" tint="-0.14999847407452621"/>
  </sheetPr>
  <dimension ref="A1:BD544"/>
  <sheetViews>
    <sheetView showGridLines="0" zoomScale="70" zoomScaleNormal="70" workbookViewId="0">
      <pane xSplit="5" ySplit="5" topLeftCell="F6" activePane="bottomRight" state="frozen"/>
      <selection pane="topRight" activeCell="F1" sqref="F1"/>
      <selection pane="bottomLeft" activeCell="A6" sqref="A6"/>
      <selection pane="bottomRight" activeCell="E10" sqref="E10"/>
    </sheetView>
  </sheetViews>
  <sheetFormatPr defaultColWidth="0" defaultRowHeight="14.4" x14ac:dyDescent="0.3"/>
  <cols>
    <col min="1" max="1" width="0.77734375" customWidth="1"/>
    <col min="2" max="2" width="8.77734375" bestFit="1" customWidth="1"/>
    <col min="3" max="3" width="9" bestFit="1" customWidth="1"/>
    <col min="4" max="4" width="55.6640625" bestFit="1" customWidth="1"/>
    <col min="5" max="5" width="29" style="1" bestFit="1" customWidth="1"/>
    <col min="6" max="6" width="25.33203125" customWidth="1"/>
    <col min="7" max="7" width="23.77734375" bestFit="1" customWidth="1"/>
    <col min="8" max="8" width="33.5546875" bestFit="1" customWidth="1"/>
    <col min="9" max="9" width="38.21875" bestFit="1" customWidth="1"/>
    <col min="10" max="11" width="8.5546875" customWidth="1"/>
    <col min="12" max="12" width="10" style="1" bestFit="1" customWidth="1"/>
    <col min="13" max="13" width="9.88671875" style="1" bestFit="1" customWidth="1"/>
    <col min="14" max="14" width="15" style="1" bestFit="1" customWidth="1"/>
    <col min="15" max="15" width="14.77734375" style="1" customWidth="1"/>
    <col min="16" max="17" width="10.88671875" style="1" bestFit="1" customWidth="1"/>
    <col min="18" max="18" width="10.5546875" style="1" customWidth="1"/>
    <col min="19" max="19" width="12.21875" style="1" customWidth="1"/>
    <col min="20" max="20" width="13.77734375" style="1" customWidth="1"/>
    <col min="21" max="21" width="18.21875" style="1" bestFit="1" customWidth="1"/>
    <col min="22" max="22" width="17.88671875" style="4" bestFit="1" customWidth="1"/>
    <col min="23" max="23" width="15.77734375" style="4" bestFit="1" customWidth="1"/>
    <col min="24" max="24" width="10.6640625" style="4" bestFit="1" customWidth="1"/>
    <col min="25" max="25" width="12" style="4" bestFit="1" customWidth="1"/>
    <col min="26" max="26" width="12.77734375" style="4" customWidth="1"/>
    <col min="27" max="27" width="8.77734375" style="4" customWidth="1"/>
    <col min="28" max="28" width="8.88671875" style="1" customWidth="1"/>
    <col min="29" max="30" width="9.21875" style="4" customWidth="1"/>
    <col min="31" max="31" width="11.5546875" style="5" bestFit="1" customWidth="1"/>
    <col min="32" max="33" width="13" style="4" bestFit="1" customWidth="1"/>
    <col min="34" max="35" width="10.33203125" style="1" customWidth="1"/>
    <col min="36" max="36" width="11.77734375" customWidth="1"/>
    <col min="37" max="38" width="10.21875" customWidth="1"/>
    <col min="39" max="39" width="13.5546875" bestFit="1" customWidth="1"/>
    <col min="40" max="40" width="14.6640625" bestFit="1" customWidth="1"/>
    <col min="41" max="41" width="11.77734375" customWidth="1"/>
    <col min="42" max="42" width="11.77734375" style="24" customWidth="1"/>
    <col min="43" max="43" width="16.5546875" bestFit="1" customWidth="1"/>
    <col min="44" max="45" width="16.5546875" customWidth="1"/>
    <col min="46" max="46" width="14.21875" customWidth="1"/>
    <col min="47" max="47" width="14.5546875" customWidth="1"/>
    <col min="48" max="48" width="15.6640625" customWidth="1"/>
    <col min="49" max="49" width="12.5546875" bestFit="1" customWidth="1"/>
    <col min="50" max="50" width="11.88671875" bestFit="1" customWidth="1"/>
    <col min="51" max="51" width="18.88671875" bestFit="1" customWidth="1"/>
    <col min="52" max="52" width="18.5546875" bestFit="1" customWidth="1"/>
    <col min="53" max="53" width="14.88671875" bestFit="1" customWidth="1"/>
    <col min="54" max="54" width="19.21875" bestFit="1" customWidth="1"/>
    <col min="55" max="55" width="10" bestFit="1" customWidth="1"/>
    <col min="56" max="56" width="0.88671875" customWidth="1"/>
    <col min="57" max="16384" width="8.88671875" hidden="1"/>
  </cols>
  <sheetData>
    <row r="1" spans="2:55" ht="4.95" customHeight="1" x14ac:dyDescent="0.3">
      <c r="I1" s="1"/>
      <c r="J1" s="1"/>
      <c r="K1" s="1"/>
      <c r="U1" s="4"/>
      <c r="AA1" s="1"/>
      <c r="AB1" s="4"/>
      <c r="AD1" s="5"/>
      <c r="AE1" s="4"/>
      <c r="AG1" s="1"/>
      <c r="AI1"/>
    </row>
    <row r="2" spans="2:55" ht="14.4" customHeight="1" x14ac:dyDescent="0.3">
      <c r="B2" s="44" t="s">
        <v>179</v>
      </c>
      <c r="C2" s="44"/>
      <c r="D2" s="44"/>
      <c r="E2" s="19"/>
      <c r="F2" s="19"/>
      <c r="G2" s="19"/>
      <c r="H2" s="19"/>
      <c r="I2" s="19"/>
      <c r="J2" s="19"/>
      <c r="K2" s="19"/>
      <c r="U2" s="4"/>
      <c r="AA2" s="1"/>
      <c r="AB2" s="4"/>
      <c r="AD2" s="5"/>
      <c r="AE2" s="4"/>
      <c r="AG2" s="1"/>
      <c r="AI2"/>
    </row>
    <row r="3" spans="2:55" ht="14.4" customHeight="1" x14ac:dyDescent="0.3">
      <c r="B3" s="44"/>
      <c r="C3" s="44"/>
      <c r="D3" s="44"/>
      <c r="E3" s="19"/>
      <c r="F3" s="19"/>
      <c r="G3" s="19"/>
      <c r="H3" s="19"/>
      <c r="I3" s="19"/>
      <c r="J3" s="19"/>
      <c r="K3" s="19"/>
      <c r="U3" s="4"/>
      <c r="AA3" s="1"/>
      <c r="AB3" s="4"/>
      <c r="AD3" s="5"/>
      <c r="AE3" s="4"/>
      <c r="AG3" s="1"/>
      <c r="AI3"/>
    </row>
    <row r="4" spans="2:55" ht="4.95" customHeight="1" x14ac:dyDescent="0.3">
      <c r="I4" s="1"/>
      <c r="J4" s="1"/>
      <c r="K4" s="1"/>
      <c r="U4" s="4"/>
      <c r="AA4" s="1"/>
      <c r="AB4" s="4"/>
      <c r="AD4" s="5"/>
      <c r="AE4" s="4"/>
      <c r="AG4" s="1"/>
      <c r="AI4" s="4"/>
      <c r="AJ4" s="1"/>
      <c r="AK4" s="4"/>
      <c r="AL4" s="4"/>
      <c r="AM4" s="1"/>
      <c r="AN4" s="4"/>
      <c r="AO4" s="1"/>
      <c r="AP4" s="4"/>
      <c r="AQ4" s="4"/>
      <c r="AR4" s="1"/>
      <c r="AS4" s="4"/>
      <c r="AT4" s="1"/>
      <c r="AU4" s="4"/>
      <c r="AV4" s="1"/>
      <c r="AW4" s="4"/>
      <c r="AX4" s="1"/>
      <c r="AY4" s="4"/>
      <c r="AZ4" s="1"/>
      <c r="BA4" s="4"/>
    </row>
    <row r="5" spans="2:55" s="10" customFormat="1" ht="49.95" customHeight="1" x14ac:dyDescent="0.3">
      <c r="B5" s="11" t="s">
        <v>0</v>
      </c>
      <c r="C5" s="11" t="s">
        <v>565</v>
      </c>
      <c r="D5" s="13" t="s">
        <v>68</v>
      </c>
      <c r="E5" s="13" t="s">
        <v>63</v>
      </c>
      <c r="F5" s="13" t="s">
        <v>62</v>
      </c>
      <c r="G5" s="13" t="s">
        <v>482</v>
      </c>
      <c r="H5" s="13" t="s">
        <v>483</v>
      </c>
      <c r="I5" s="13" t="s">
        <v>144</v>
      </c>
      <c r="J5" s="13" t="s">
        <v>570</v>
      </c>
      <c r="K5" s="13" t="s">
        <v>571</v>
      </c>
      <c r="L5" s="11" t="s">
        <v>9</v>
      </c>
      <c r="M5" s="11" t="s">
        <v>10</v>
      </c>
      <c r="N5" s="11" t="s">
        <v>11</v>
      </c>
      <c r="O5" s="11" t="s">
        <v>12</v>
      </c>
      <c r="P5" s="11" t="s">
        <v>13</v>
      </c>
      <c r="Q5" s="11" t="s">
        <v>14</v>
      </c>
      <c r="R5" s="11" t="s">
        <v>15</v>
      </c>
      <c r="S5" s="11" t="s">
        <v>16</v>
      </c>
      <c r="T5" s="12" t="s">
        <v>171</v>
      </c>
      <c r="U5" s="12" t="s">
        <v>172</v>
      </c>
      <c r="V5" s="12" t="s">
        <v>17</v>
      </c>
      <c r="W5" s="12" t="s">
        <v>18</v>
      </c>
      <c r="X5" s="12" t="s">
        <v>19</v>
      </c>
      <c r="Y5" s="12" t="s">
        <v>20</v>
      </c>
      <c r="Z5" s="11" t="s">
        <v>21</v>
      </c>
      <c r="AA5" s="13" t="s">
        <v>162</v>
      </c>
      <c r="AB5" s="14" t="s">
        <v>163</v>
      </c>
      <c r="AC5" s="14" t="s">
        <v>396</v>
      </c>
      <c r="AD5" s="33" t="s">
        <v>397</v>
      </c>
      <c r="AE5" s="14" t="s">
        <v>398</v>
      </c>
      <c r="AF5" s="14" t="s">
        <v>399</v>
      </c>
      <c r="AG5" s="13" t="s">
        <v>60</v>
      </c>
      <c r="AH5" s="13" t="s">
        <v>236</v>
      </c>
      <c r="AI5" s="13" t="s">
        <v>173</v>
      </c>
      <c r="AJ5" s="13" t="s">
        <v>159</v>
      </c>
      <c r="AK5" s="13" t="s">
        <v>158</v>
      </c>
      <c r="AL5" s="13" t="s">
        <v>573</v>
      </c>
      <c r="AM5" s="13" t="s">
        <v>160</v>
      </c>
      <c r="AN5" s="13" t="s">
        <v>166</v>
      </c>
      <c r="AO5" s="13" t="s">
        <v>161</v>
      </c>
      <c r="AP5" s="14" t="s">
        <v>581</v>
      </c>
      <c r="AQ5" s="13" t="s">
        <v>164</v>
      </c>
      <c r="AR5" s="13" t="s">
        <v>165</v>
      </c>
      <c r="AS5" s="13" t="s">
        <v>167</v>
      </c>
      <c r="AT5" s="13" t="s">
        <v>168</v>
      </c>
      <c r="AU5" s="13" t="s">
        <v>169</v>
      </c>
      <c r="AV5" s="13" t="s">
        <v>170</v>
      </c>
      <c r="AW5" s="13" t="s">
        <v>61</v>
      </c>
      <c r="AX5" s="13" t="s">
        <v>174</v>
      </c>
      <c r="AY5" s="13" t="s">
        <v>175</v>
      </c>
      <c r="AZ5" s="13" t="s">
        <v>176</v>
      </c>
      <c r="BA5" s="13" t="s">
        <v>177</v>
      </c>
      <c r="BB5" s="11" t="s">
        <v>237</v>
      </c>
      <c r="BC5" s="11" t="s">
        <v>238</v>
      </c>
    </row>
    <row r="6" spans="2:55" x14ac:dyDescent="0.3">
      <c r="B6" s="2">
        <f>HS_DB[[#This Row],[Commodity Code]]</f>
        <v>391390</v>
      </c>
      <c r="C6" s="2">
        <f>IFERROR(INDEX(HS_MD!C:C,MATCH(B6,HS_MD!B:B,0),1),"")</f>
        <v>1</v>
      </c>
      <c r="D6" s="17" t="str">
        <f>IFERROR(INDEX(HS_MD!D:D,MATCH(B6,HS_MD!B:B,0),1),"")</f>
        <v>Other polymers of natural origin</v>
      </c>
      <c r="E6" s="17" t="str">
        <f>IFERROR(INDEX(HS_MD!E:E,MATCH(B6,HS_MD!B:B,0),1),"")</f>
        <v>Xanthan Gum</v>
      </c>
      <c r="F6" s="17" t="str">
        <f>IFERROR(INDEX(HS_MD!F:F,MATCH(B6,HS_MD!B:B,0),1),"")</f>
        <v>FUNCTIONAL INGREDIENTS</v>
      </c>
      <c r="G6" s="17" t="str">
        <f>IFERROR(INDEX(HS_MD!G:G,MATCH(B6,HS_MD!B:B,0),1),"")</f>
        <v>Hydrocolloids</v>
      </c>
      <c r="H6" s="17" t="str">
        <f>IFERROR(INDEX(HS_MD!H:H,MATCH(B6,HS_MD!B:B,0),1),"")</f>
        <v>Xanthan Gum</v>
      </c>
      <c r="I6" s="17" t="str">
        <f>IFERROR(INDEX(HS_MD!I:I,MATCH(B6,HS_MD!B:B,0),1),"")</f>
        <v>Sauces / Dairy / Beverages</v>
      </c>
      <c r="J6" s="17">
        <f>IFERROR(INDEX(Heat_Map[Index],MATCH(HS_DB[[#This Row],[Reporter]],Heat_Map[Global],0),1),"")</f>
        <v>9</v>
      </c>
      <c r="K6" s="17" t="str">
        <f>IF(AND(HS_DB[[#This Row],[Origin Rank]]&gt;1,HS_DB[[#This Row],[Origin Rank]]&lt;=10),"Yes","No")</f>
        <v>No</v>
      </c>
      <c r="L6" s="2">
        <v>2024</v>
      </c>
      <c r="M6" s="2" t="s">
        <v>57</v>
      </c>
      <c r="N6" s="2" t="s">
        <v>37</v>
      </c>
      <c r="O6" s="2" t="s">
        <v>22</v>
      </c>
      <c r="P6" s="2" t="s">
        <v>23</v>
      </c>
      <c r="Q6" s="2" t="s">
        <v>24</v>
      </c>
      <c r="R6" s="2" t="s">
        <v>25</v>
      </c>
      <c r="S6" s="2">
        <v>391390</v>
      </c>
      <c r="T6" s="3">
        <v>65031</v>
      </c>
      <c r="U6" s="3">
        <v>12822.7</v>
      </c>
      <c r="V6" s="3">
        <v>12</v>
      </c>
      <c r="W6" s="3">
        <v>12823</v>
      </c>
      <c r="X6" s="3" t="s">
        <v>58</v>
      </c>
      <c r="Y6" s="3">
        <v>12823</v>
      </c>
      <c r="Z6" s="2" t="s">
        <v>58</v>
      </c>
      <c r="AA6" s="6">
        <f>SUMIFS(HS_DB[Trade Value - USD],HS_DB[Reporter],HS_DB[[#This Row],[Reporter]])/SUM(HS_DB[Trade Value - USD])</f>
        <v>3.4499052228579408E-5</v>
      </c>
      <c r="AB6" s="8" cm="1">
        <f t="array" ref="AB6">SUMPRODUCT(
(HS_DB[Reporter]=HS_DB[[#This Row],[Reporter]])*
(HS_DB[Trade Value - USD]&gt;HS_DB[[#This Row],[Trade Value - USD]])
)+1</f>
        <v>1</v>
      </c>
      <c r="AC6" s="8" t="str">
        <f>IFERROR(IF(INDEX(Heat_Map[Crisis Impact %],MATCH(HS_DB[[#This Row],[Reporter]],Heat_Map[Global],0),1)&gt;0,"Yes","No"),"No")</f>
        <v>No</v>
      </c>
      <c r="AD6" s="6">
        <f>IFERROR(INDEX(Heat_Map[Crisis Impact %],MATCH(HS_DB[[#This Row],[Reporter]],Heat_Map[Global],0),1),0)</f>
        <v>0</v>
      </c>
      <c r="AE6" s="8">
        <f>HS_DB[[#This Row],[Crisis Impact%]]*HS_DB[[#This Row],[Trade Value - USD]]</f>
        <v>0</v>
      </c>
      <c r="AF6" s="8">
        <f>HS_DB[[#This Row],[Crisis Impact%]]*HS_DB[[#This Row],[Net Weight -KG]]</f>
        <v>0</v>
      </c>
      <c r="AG6" s="6">
        <f>SUMIFS(HS_DB[Trade Value - USD],HS_DB[Products],HS_DB[[#This Row],[Products]])/SUM(HS_DB[Trade Value - USD])</f>
        <v>6.1305607849135918E-3</v>
      </c>
      <c r="AH6" s="8">
        <f>_xlfn.RANK.EQ(HS_DB[[#This Row],[Trade Value - USD]], HS_DB[Trade Value - USD], 0)
 + COUNTIFS(HS_DB[Trade Value - USD],HS_DB[[#This Row],[Trade Value - USD]],
            HS_DB[HS Code],"&lt;"&amp;HS_DB[[#This Row],[HS Code]])</f>
        <v>310</v>
      </c>
      <c r="AI6" s="9">
        <f>IFERROR(HS_DB[[#This Row],[Trade Value - USD]]/HS_DB[[#This Row],[Net Weight -KG]],0)</f>
        <v>5.071552793093498</v>
      </c>
      <c r="AJ6" s="17" cm="1">
        <f t="array" ref="AJ6">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6" s="17" t="str">
        <f>IF(HS_DB[[#This Row],[HS Code Risk Score]]&gt;=40,"High",
 IF(HS_DB[[#This Row],[HS Code Risk Score]]&gt;=25,"Medium","Low"))</f>
        <v>Medium</v>
      </c>
      <c r="AL6" s="17" t="str">
        <f>IF(RANK(HS_DB[[#This Row],[HS Code Risk Score]],HS_DB[HS Code Risk Score])&lt;=10,"Yes","No")</f>
        <v>No</v>
      </c>
      <c r="AM6" s="8">
        <f>SUMIFS(HS_DB[Net Weight -KG],HS_DB[HS Code],HS_DB[[#This Row],[HS Code]])</f>
        <v>2298360.2000000002</v>
      </c>
      <c r="AN6" s="8">
        <f>SUMIFS(HS_DB[Trade Value - USD],HS_DB[HS Code],HS_DB[[#This Row],[HS Code]])</f>
        <v>11556158</v>
      </c>
      <c r="AO6" s="6">
        <f>_xlfn.MAXIFS(HS_DB[Origin Share%],HS_DB[HS Code],HS_DB[[#This Row],[HS Code]])</f>
        <v>0.25769345655074266</v>
      </c>
      <c r="AP6" s="8" cm="1">
        <f t="array" ref="AP6">_xlfn.LET(
_xlpm.hs,HS_DB[[#This Row],[HS Code]],
COUNTA(_xlfn.UNIQUE(_xlfn._xlws.FILTER(HS_DB[Reporter],HS_DB[HS Code]=_xlpm.hs)))
)</f>
        <v>19</v>
      </c>
      <c r="AQ6" s="17" t="str">
        <f>IF(HS_DB[[#This Row],[Origin Count]]=1,"Single Source","Multiple Sources")</f>
        <v>Multiple Sources</v>
      </c>
      <c r="AR6" s="8">
        <f>HS_DB[[#This Row],[Annual Spend - USD]]*(HS_DB[[#This Row],[HS Code Risk Score]]/100)</f>
        <v>3929093.72</v>
      </c>
      <c r="AS6" s="8">
        <f>RANK(HS_DB[[#This Row],[Risk Exposure - USD]],HS_DB[Risk Exposure - USD],0)</f>
        <v>261</v>
      </c>
      <c r="AT6" s="8" t="str">
        <f>IF(HS_DB[[#This Row],[Risk Exposure Rank]]&lt;=10,"High",
 IF(HS_DB[[#This Row],[Risk Exposure Rank]]&lt;=30,"Medium",
 "Low"))</f>
        <v>Low</v>
      </c>
      <c r="AU6" s="8" t="str">
        <f>IF(HS_DB[[#This Row],[Risk Exposure Rank]]&lt;=5,"Immediate Action",
 IF(HS_DB[[#This Row],[Risk Exposure Rank]]&lt;=15,"Monitor Closely",
 "Routine Control"))</f>
        <v>Routine Control</v>
      </c>
      <c r="AV6" s="8">
        <f>SUMIFS(HS_DB[Trade Value - USD],HS_DB[HS Code],HS_DB[[#This Row],[HS Code]])</f>
        <v>11556158</v>
      </c>
      <c r="AW6" s="6">
        <f>HS_DB[[#This Row],[Annual Spend - USD]]/HS_DB[[#This Row],[Total Market Size - USD]]</f>
        <v>1</v>
      </c>
      <c r="AX6" s="6" cm="1">
        <f t="array" ref="AX6">COUNTA(_xlfn.UNIQUE(_xlfn._xlws.FILTER(HS_DB[Partner],HS_DB[HS Code]=HS_DB[[#This Row],[HS Code]])))</f>
        <v>1</v>
      </c>
      <c r="AY6" s="8" t="str">
        <f>IF(HS_DB[[#This Row],[Competition Intensity]]&lt;=2,"Highly Concentrated",
 IF(HS_DB[[#This Row],[Competition Intensity]]&lt;=5,"Moderate",
 "Highly Competitive"))</f>
        <v>Highly Concentrated</v>
      </c>
      <c r="AZ6" s="8">
        <f>HS_DB[[#This Row],[Total Market Size - USD]]
*
(1+IFERROR(#REF!,0))
/
HS_DB[[#This Row],[Competition Intensity]]</f>
        <v>11556158</v>
      </c>
      <c r="BA6" s="8" t="str">
        <f>IF(HS_DB[[#This Row],[Commercial Opportunity Score]]&gt;=PERCENTILE(HS_DB[Commercial Opportunity Score],0.9),"High Opportunity",
 IF(HS_DB[[#This Row],[Commercial Opportunity Score]]&gt;=PERCENTILE(HS_DB[Commercial Opportunity Score],0.6),"Medium Opportunity",
 "Routine Market"))</f>
        <v>Routine Market</v>
      </c>
      <c r="BB6" s="3" t="str">
        <f>IF(AND(HS_DB[[#This Row],[Product Rank]]&gt;0,HS_DB[[#This Row],[Product Rank]]&lt;=10),"Yes","No")</f>
        <v>No</v>
      </c>
      <c r="BC6" s="3" t="str">
        <f>IF(AND(HS_DB[[#This Row],[Origin Rank]]&gt;0,HS_DB[[#This Row],[Origin Rank]]&lt;=10),"Yes","No")</f>
        <v>Yes</v>
      </c>
    </row>
    <row r="7" spans="2:55" x14ac:dyDescent="0.3">
      <c r="B7" s="2">
        <f>HS_DB[[#This Row],[Commodity Code]]</f>
        <v>391390</v>
      </c>
      <c r="C7" s="2">
        <f>IFERROR(INDEX(HS_MD!C:C,MATCH(B7,HS_MD!B:B,0),1),"")</f>
        <v>1</v>
      </c>
      <c r="D7" s="17" t="str">
        <f>IFERROR(INDEX(HS_MD!D:D,MATCH(B7,HS_MD!B:B,0),1),"")</f>
        <v>Other polymers of natural origin</v>
      </c>
      <c r="E7" s="17" t="str">
        <f>IFERROR(INDEX(HS_MD!E:E,MATCH(B7,HS_MD!B:B,0),1),"")</f>
        <v>Xanthan Gum</v>
      </c>
      <c r="F7" s="17" t="str">
        <f>IFERROR(INDEX(HS_MD!F:F,MATCH(B7,HS_MD!B:B,0),1),"")</f>
        <v>FUNCTIONAL INGREDIENTS</v>
      </c>
      <c r="G7" s="17" t="str">
        <f>IFERROR(INDEX(HS_MD!G:G,MATCH(B7,HS_MD!B:B,0),1),"")</f>
        <v>Hydrocolloids</v>
      </c>
      <c r="H7" s="17" t="str">
        <f>IFERROR(INDEX(HS_MD!H:H,MATCH(B7,HS_MD!B:B,0),1),"")</f>
        <v>Xanthan Gum</v>
      </c>
      <c r="I7" s="17" t="str">
        <f>IFERROR(INDEX(HS_MD!I:I,MATCH(B7,HS_MD!B:B,0),1),"")</f>
        <v>Sauces / Dairy / Beverages</v>
      </c>
      <c r="J7" s="17">
        <f>IFERROR(INDEX(Heat_Map[Index],MATCH(HS_DB[[#This Row],[Reporter]],Heat_Map[Global],0),1),"")</f>
        <v>17</v>
      </c>
      <c r="K7" s="17" t="str">
        <f>IF(AND(HS_DB[[#This Row],[Origin Rank]]&gt;1,HS_DB[[#This Row],[Origin Rank]]&lt;=10),"Yes","No")</f>
        <v>No</v>
      </c>
      <c r="L7" s="2">
        <v>2024</v>
      </c>
      <c r="M7" s="2" t="s">
        <v>57</v>
      </c>
      <c r="N7" s="2" t="s">
        <v>5</v>
      </c>
      <c r="O7" s="2" t="s">
        <v>22</v>
      </c>
      <c r="P7" s="2" t="s">
        <v>23</v>
      </c>
      <c r="Q7" s="2" t="s">
        <v>24</v>
      </c>
      <c r="R7" s="2" t="s">
        <v>25</v>
      </c>
      <c r="S7" s="2">
        <v>391390</v>
      </c>
      <c r="T7" s="3">
        <v>60669</v>
      </c>
      <c r="U7" s="3">
        <v>443.6</v>
      </c>
      <c r="V7" s="3">
        <v>0</v>
      </c>
      <c r="W7" s="3">
        <v>444</v>
      </c>
      <c r="X7" s="3" t="s">
        <v>58</v>
      </c>
      <c r="Y7" s="3">
        <v>444</v>
      </c>
      <c r="Z7" s="2" t="s">
        <v>58</v>
      </c>
      <c r="AA7" s="6">
        <f>SUMIFS(HS_DB[Trade Value - USD],HS_DB[Reporter],HS_DB[[#This Row],[Reporter]])/SUM(HS_DB[Trade Value - USD])</f>
        <v>5.3992075088500962E-3</v>
      </c>
      <c r="AB7" s="8" cm="1">
        <f t="array" ref="AB7">SUMPRODUCT(
(HS_DB[Reporter]=HS_DB[[#This Row],[Reporter]])*
(HS_DB[Trade Value - USD]&gt;HS_DB[[#This Row],[Trade Value - USD]])
)+1</f>
        <v>13</v>
      </c>
      <c r="AC7" s="8" t="str">
        <f>IFERROR(IF(INDEX(Heat_Map[Crisis Impact %],MATCH(HS_DB[[#This Row],[Reporter]],Heat_Map[Global],0),1)&gt;0,"Yes","No"),"No")</f>
        <v>No</v>
      </c>
      <c r="AD7" s="6">
        <f>IFERROR(INDEX(Heat_Map[Crisis Impact %],MATCH(HS_DB[[#This Row],[Reporter]],Heat_Map[Global],0),1),0)</f>
        <v>0</v>
      </c>
      <c r="AE7" s="8">
        <f>HS_DB[[#This Row],[Crisis Impact%]]*HS_DB[[#This Row],[Trade Value - USD]]</f>
        <v>0</v>
      </c>
      <c r="AF7" s="8">
        <f>HS_DB[[#This Row],[Crisis Impact%]]*HS_DB[[#This Row],[Net Weight -KG]]</f>
        <v>0</v>
      </c>
      <c r="AG7" s="6">
        <f>SUMIFS(HS_DB[Trade Value - USD],HS_DB[Products],HS_DB[[#This Row],[Products]])/SUM(HS_DB[Trade Value - USD])</f>
        <v>6.1305607849135918E-3</v>
      </c>
      <c r="AH7" s="8">
        <f>_xlfn.RANK.EQ(HS_DB[[#This Row],[Trade Value - USD]], HS_DB[Trade Value - USD], 0)
 + COUNTIFS(HS_DB[Trade Value - USD],HS_DB[[#This Row],[Trade Value - USD]],
            HS_DB[HS Code],"&lt;"&amp;HS_DB[[#This Row],[HS Code]])</f>
        <v>316</v>
      </c>
      <c r="AI7" s="9">
        <f>IFERROR(HS_DB[[#This Row],[Trade Value - USD]]/HS_DB[[#This Row],[Net Weight -KG]],0)</f>
        <v>136.76510369702433</v>
      </c>
      <c r="AJ7" s="17" cm="1">
        <f t="array" ref="AJ7">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7" s="17" t="str">
        <f>IF(HS_DB[[#This Row],[HS Code Risk Score]]&gt;=40,"High",
 IF(HS_DB[[#This Row],[HS Code Risk Score]]&gt;=25,"Medium","Low"))</f>
        <v>Medium</v>
      </c>
      <c r="AL7" s="17" t="str">
        <f>IF(RANK(HS_DB[[#This Row],[HS Code Risk Score]],HS_DB[HS Code Risk Score])&lt;=10,"Yes","No")</f>
        <v>No</v>
      </c>
      <c r="AM7" s="8">
        <f>SUMIFS(HS_DB[Net Weight -KG],HS_DB[HS Code],HS_DB[[#This Row],[HS Code]])</f>
        <v>2298360.2000000002</v>
      </c>
      <c r="AN7" s="8">
        <f>SUMIFS(HS_DB[Trade Value - USD],HS_DB[HS Code],HS_DB[[#This Row],[HS Code]])</f>
        <v>11556158</v>
      </c>
      <c r="AO7" s="6">
        <f>_xlfn.MAXIFS(HS_DB[Origin Share%],HS_DB[HS Code],HS_DB[[#This Row],[HS Code]])</f>
        <v>0.25769345655074266</v>
      </c>
      <c r="AP7" s="8" cm="1">
        <f t="array" ref="AP7">_xlfn.LET(
_xlpm.hs,HS_DB[[#This Row],[HS Code]],
COUNTA(_xlfn.UNIQUE(_xlfn._xlws.FILTER(HS_DB[Reporter],HS_DB[HS Code]=_xlpm.hs)))
)</f>
        <v>19</v>
      </c>
      <c r="AQ7" s="17" t="str">
        <f>IF(HS_DB[[#This Row],[Origin Count]]=1,"Single Source","Multiple Sources")</f>
        <v>Multiple Sources</v>
      </c>
      <c r="AR7" s="8">
        <f>HS_DB[[#This Row],[Annual Spend - USD]]*(HS_DB[[#This Row],[HS Code Risk Score]]/100)</f>
        <v>3929093.72</v>
      </c>
      <c r="AS7" s="8">
        <f>RANK(HS_DB[[#This Row],[Risk Exposure - USD]],HS_DB[Risk Exposure - USD],0)</f>
        <v>261</v>
      </c>
      <c r="AT7" s="8" t="str">
        <f>IF(HS_DB[[#This Row],[Risk Exposure Rank]]&lt;=10,"High",
 IF(HS_DB[[#This Row],[Risk Exposure Rank]]&lt;=30,"Medium",
 "Low"))</f>
        <v>Low</v>
      </c>
      <c r="AU7" s="8" t="str">
        <f>IF(HS_DB[[#This Row],[Risk Exposure Rank]]&lt;=5,"Immediate Action",
 IF(HS_DB[[#This Row],[Risk Exposure Rank]]&lt;=15,"Monitor Closely",
 "Routine Control"))</f>
        <v>Routine Control</v>
      </c>
      <c r="AV7" s="8">
        <f>SUMIFS(HS_DB[Trade Value - USD],HS_DB[HS Code],HS_DB[[#This Row],[HS Code]])</f>
        <v>11556158</v>
      </c>
      <c r="AW7" s="6">
        <f>HS_DB[[#This Row],[Annual Spend - USD]]/HS_DB[[#This Row],[Total Market Size - USD]]</f>
        <v>1</v>
      </c>
      <c r="AX7" s="6" cm="1">
        <f t="array" ref="AX7">COUNTA(_xlfn.UNIQUE(_xlfn._xlws.FILTER(HS_DB[Partner],HS_DB[HS Code]=HS_DB[[#This Row],[HS Code]])))</f>
        <v>1</v>
      </c>
      <c r="AY7" s="8" t="str">
        <f>IF(HS_DB[[#This Row],[Competition Intensity]]&lt;=2,"Highly Concentrated",
 IF(HS_DB[[#This Row],[Competition Intensity]]&lt;=5,"Moderate",
 "Highly Competitive"))</f>
        <v>Highly Concentrated</v>
      </c>
      <c r="AZ7" s="8">
        <f>HS_DB[[#This Row],[Total Market Size - USD]]
*
(1+IFERROR(#REF!,0))
/
HS_DB[[#This Row],[Competition Intensity]]</f>
        <v>11556158</v>
      </c>
      <c r="BA7" s="8" t="str">
        <f>IF(HS_DB[[#This Row],[Commercial Opportunity Score]]&gt;=PERCENTILE(HS_DB[Commercial Opportunity Score],0.9),"High Opportunity",
 IF(HS_DB[[#This Row],[Commercial Opportunity Score]]&gt;=PERCENTILE(HS_DB[Commercial Opportunity Score],0.6),"Medium Opportunity",
 "Routine Market"))</f>
        <v>Routine Market</v>
      </c>
      <c r="BB7" s="3" t="str">
        <f>IF(AND(HS_DB[[#This Row],[Product Rank]]&gt;0,HS_DB[[#This Row],[Product Rank]]&lt;=10),"Yes","No")</f>
        <v>No</v>
      </c>
      <c r="BC7" s="3" t="str">
        <f>IF(AND(HS_DB[[#This Row],[Origin Rank]]&gt;0,HS_DB[[#This Row],[Origin Rank]]&lt;=10),"Yes","No")</f>
        <v>No</v>
      </c>
    </row>
    <row r="8" spans="2:55" x14ac:dyDescent="0.3">
      <c r="B8" s="2">
        <f>HS_DB[[#This Row],[Commodity Code]]</f>
        <v>391390</v>
      </c>
      <c r="C8" s="2">
        <f>IFERROR(INDEX(HS_MD!C:C,MATCH(B8,HS_MD!B:B,0),1),"")</f>
        <v>1</v>
      </c>
      <c r="D8" s="17" t="str">
        <f>IFERROR(INDEX(HS_MD!D:D,MATCH(B8,HS_MD!B:B,0),1),"")</f>
        <v>Other polymers of natural origin</v>
      </c>
      <c r="E8" s="17" t="str">
        <f>IFERROR(INDEX(HS_MD!E:E,MATCH(B8,HS_MD!B:B,0),1),"")</f>
        <v>Xanthan Gum</v>
      </c>
      <c r="F8" s="17" t="str">
        <f>IFERROR(INDEX(HS_MD!F:F,MATCH(B8,HS_MD!B:B,0),1),"")</f>
        <v>FUNCTIONAL INGREDIENTS</v>
      </c>
      <c r="G8" s="17" t="str">
        <f>IFERROR(INDEX(HS_MD!G:G,MATCH(B8,HS_MD!B:B,0),1),"")</f>
        <v>Hydrocolloids</v>
      </c>
      <c r="H8" s="17" t="str">
        <f>IFERROR(INDEX(HS_MD!H:H,MATCH(B8,HS_MD!B:B,0),1),"")</f>
        <v>Xanthan Gum</v>
      </c>
      <c r="I8" s="17" t="str">
        <f>IFERROR(INDEX(HS_MD!I:I,MATCH(B8,HS_MD!B:B,0),1),"")</f>
        <v>Sauces / Dairy / Beverages</v>
      </c>
      <c r="J8" s="17">
        <f>IFERROR(INDEX(Heat_Map[Index],MATCH(HS_DB[[#This Row],[Reporter]],Heat_Map[Global],0),1),"")</f>
        <v>32</v>
      </c>
      <c r="K8" s="17" t="str">
        <f>IF(AND(HS_DB[[#This Row],[Origin Rank]]&gt;1,HS_DB[[#This Row],[Origin Rank]]&lt;=10),"Yes","No")</f>
        <v>No</v>
      </c>
      <c r="L8" s="2">
        <v>2024</v>
      </c>
      <c r="M8" s="2" t="s">
        <v>57</v>
      </c>
      <c r="N8" s="2" t="s">
        <v>39</v>
      </c>
      <c r="O8" s="2" t="s">
        <v>22</v>
      </c>
      <c r="P8" s="2" t="s">
        <v>23</v>
      </c>
      <c r="Q8" s="2" t="s">
        <v>24</v>
      </c>
      <c r="R8" s="2" t="s">
        <v>25</v>
      </c>
      <c r="S8" s="2">
        <v>391390</v>
      </c>
      <c r="T8" s="3">
        <v>192</v>
      </c>
      <c r="U8" s="3">
        <v>28</v>
      </c>
      <c r="V8" s="3">
        <v>0</v>
      </c>
      <c r="W8" s="3">
        <v>28</v>
      </c>
      <c r="X8" s="3" t="s">
        <v>58</v>
      </c>
      <c r="Y8" s="3">
        <v>28</v>
      </c>
      <c r="Z8" s="2" t="s">
        <v>58</v>
      </c>
      <c r="AA8" s="6">
        <f>SUMIFS(HS_DB[Trade Value - USD],HS_DB[Reporter],HS_DB[[#This Row],[Reporter]])/SUM(HS_DB[Trade Value - USD])</f>
        <v>1.2732039388690099E-7</v>
      </c>
      <c r="AB8" s="8" cm="1">
        <f t="array" ref="AB8">SUMPRODUCT(
(HS_DB[Reporter]=HS_DB[[#This Row],[Reporter]])*
(HS_DB[Trade Value - USD]&gt;HS_DB[[#This Row],[Trade Value - USD]])
)+1</f>
        <v>1</v>
      </c>
      <c r="AC8" s="8" t="str">
        <f>IFERROR(IF(INDEX(Heat_Map[Crisis Impact %],MATCH(HS_DB[[#This Row],[Reporter]],Heat_Map[Global],0),1)&gt;0,"Yes","No"),"No")</f>
        <v>No</v>
      </c>
      <c r="AD8" s="6">
        <f>IFERROR(INDEX(Heat_Map[Crisis Impact %],MATCH(HS_DB[[#This Row],[Reporter]],Heat_Map[Global],0),1),0)</f>
        <v>0</v>
      </c>
      <c r="AE8" s="8">
        <f>HS_DB[[#This Row],[Crisis Impact%]]*HS_DB[[#This Row],[Trade Value - USD]]</f>
        <v>0</v>
      </c>
      <c r="AF8" s="8">
        <f>HS_DB[[#This Row],[Crisis Impact%]]*HS_DB[[#This Row],[Net Weight -KG]]</f>
        <v>0</v>
      </c>
      <c r="AG8" s="6">
        <f>SUMIFS(HS_DB[Trade Value - USD],HS_DB[Products],HS_DB[[#This Row],[Products]])/SUM(HS_DB[Trade Value - USD])</f>
        <v>6.1305607849135918E-3</v>
      </c>
      <c r="AH8" s="8">
        <f>_xlfn.RANK.EQ(HS_DB[[#This Row],[Trade Value - USD]], HS_DB[Trade Value - USD], 0)
 + COUNTIFS(HS_DB[Trade Value - USD],HS_DB[[#This Row],[Trade Value - USD]],
            HS_DB[HS Code],"&lt;"&amp;HS_DB[[#This Row],[HS Code]])</f>
        <v>509</v>
      </c>
      <c r="AI8" s="9">
        <f>IFERROR(HS_DB[[#This Row],[Trade Value - USD]]/HS_DB[[#This Row],[Net Weight -KG]],0)</f>
        <v>6.8571428571428568</v>
      </c>
      <c r="AJ8" s="17" cm="1">
        <f t="array" ref="AJ8">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8" s="17" t="str">
        <f>IF(HS_DB[[#This Row],[HS Code Risk Score]]&gt;=40,"High",
 IF(HS_DB[[#This Row],[HS Code Risk Score]]&gt;=25,"Medium","Low"))</f>
        <v>Medium</v>
      </c>
      <c r="AL8" s="17" t="str">
        <f>IF(RANK(HS_DB[[#This Row],[HS Code Risk Score]],HS_DB[HS Code Risk Score])&lt;=10,"Yes","No")</f>
        <v>No</v>
      </c>
      <c r="AM8" s="8">
        <f>SUMIFS(HS_DB[Net Weight -KG],HS_DB[HS Code],HS_DB[[#This Row],[HS Code]])</f>
        <v>2298360.2000000002</v>
      </c>
      <c r="AN8" s="8">
        <f>SUMIFS(HS_DB[Trade Value - USD],HS_DB[HS Code],HS_DB[[#This Row],[HS Code]])</f>
        <v>11556158</v>
      </c>
      <c r="AO8" s="6">
        <f>_xlfn.MAXIFS(HS_DB[Origin Share%],HS_DB[HS Code],HS_DB[[#This Row],[HS Code]])</f>
        <v>0.25769345655074266</v>
      </c>
      <c r="AP8" s="8" cm="1">
        <f t="array" ref="AP8">_xlfn.LET(
_xlpm.hs,HS_DB[[#This Row],[HS Code]],
COUNTA(_xlfn.UNIQUE(_xlfn._xlws.FILTER(HS_DB[Reporter],HS_DB[HS Code]=_xlpm.hs)))
)</f>
        <v>19</v>
      </c>
      <c r="AQ8" s="17" t="str">
        <f>IF(HS_DB[[#This Row],[Origin Count]]=1,"Single Source","Multiple Sources")</f>
        <v>Multiple Sources</v>
      </c>
      <c r="AR8" s="8">
        <f>HS_DB[[#This Row],[Annual Spend - USD]]*(HS_DB[[#This Row],[HS Code Risk Score]]/100)</f>
        <v>3929093.72</v>
      </c>
      <c r="AS8" s="8">
        <f>RANK(HS_DB[[#This Row],[Risk Exposure - USD]],HS_DB[Risk Exposure - USD],0)</f>
        <v>261</v>
      </c>
      <c r="AT8" s="8" t="str">
        <f>IF(HS_DB[[#This Row],[Risk Exposure Rank]]&lt;=10,"High",
 IF(HS_DB[[#This Row],[Risk Exposure Rank]]&lt;=30,"Medium",
 "Low"))</f>
        <v>Low</v>
      </c>
      <c r="AU8" s="8" t="str">
        <f>IF(HS_DB[[#This Row],[Risk Exposure Rank]]&lt;=5,"Immediate Action",
 IF(HS_DB[[#This Row],[Risk Exposure Rank]]&lt;=15,"Monitor Closely",
 "Routine Control"))</f>
        <v>Routine Control</v>
      </c>
      <c r="AV8" s="8">
        <f>SUMIFS(HS_DB[Trade Value - USD],HS_DB[HS Code],HS_DB[[#This Row],[HS Code]])</f>
        <v>11556158</v>
      </c>
      <c r="AW8" s="6">
        <f>HS_DB[[#This Row],[Annual Spend - USD]]/HS_DB[[#This Row],[Total Market Size - USD]]</f>
        <v>1</v>
      </c>
      <c r="AX8" s="6" cm="1">
        <f t="array" ref="AX8">COUNTA(_xlfn.UNIQUE(_xlfn._xlws.FILTER(HS_DB[Partner],HS_DB[HS Code]=HS_DB[[#This Row],[HS Code]])))</f>
        <v>1</v>
      </c>
      <c r="AY8" s="8" t="str">
        <f>IF(HS_DB[[#This Row],[Competition Intensity]]&lt;=2,"Highly Concentrated",
 IF(HS_DB[[#This Row],[Competition Intensity]]&lt;=5,"Moderate",
 "Highly Competitive"))</f>
        <v>Highly Concentrated</v>
      </c>
      <c r="AZ8" s="8">
        <f>HS_DB[[#This Row],[Total Market Size - USD]]
*
(1+IFERROR(#REF!,0))
/
HS_DB[[#This Row],[Competition Intensity]]</f>
        <v>11556158</v>
      </c>
      <c r="BA8" s="8" t="str">
        <f>IF(HS_DB[[#This Row],[Commercial Opportunity Score]]&gt;=PERCENTILE(HS_DB[Commercial Opportunity Score],0.9),"High Opportunity",
 IF(HS_DB[[#This Row],[Commercial Opportunity Score]]&gt;=PERCENTILE(HS_DB[Commercial Opportunity Score],0.6),"Medium Opportunity",
 "Routine Market"))</f>
        <v>Routine Market</v>
      </c>
      <c r="BB8" s="3" t="str">
        <f>IF(AND(HS_DB[[#This Row],[Product Rank]]&gt;0,HS_DB[[#This Row],[Product Rank]]&lt;=10),"Yes","No")</f>
        <v>No</v>
      </c>
      <c r="BC8" s="3" t="str">
        <f>IF(AND(HS_DB[[#This Row],[Origin Rank]]&gt;0,HS_DB[[#This Row],[Origin Rank]]&lt;=10),"Yes","No")</f>
        <v>Yes</v>
      </c>
    </row>
    <row r="9" spans="2:55" x14ac:dyDescent="0.3">
      <c r="B9" s="2">
        <f>HS_DB[[#This Row],[Commodity Code]]</f>
        <v>391390</v>
      </c>
      <c r="C9" s="2">
        <f>IFERROR(INDEX(HS_MD!C:C,MATCH(B9,HS_MD!B:B,0),1),"")</f>
        <v>1</v>
      </c>
      <c r="D9" s="17" t="str">
        <f>IFERROR(INDEX(HS_MD!D:D,MATCH(B9,HS_MD!B:B,0),1),"")</f>
        <v>Other polymers of natural origin</v>
      </c>
      <c r="E9" s="17" t="str">
        <f>IFERROR(INDEX(HS_MD!E:E,MATCH(B9,HS_MD!B:B,0),1),"")</f>
        <v>Xanthan Gum</v>
      </c>
      <c r="F9" s="17" t="str">
        <f>IFERROR(INDEX(HS_MD!F:F,MATCH(B9,HS_MD!B:B,0),1),"")</f>
        <v>FUNCTIONAL INGREDIENTS</v>
      </c>
      <c r="G9" s="17" t="str">
        <f>IFERROR(INDEX(HS_MD!G:G,MATCH(B9,HS_MD!B:B,0),1),"")</f>
        <v>Hydrocolloids</v>
      </c>
      <c r="H9" s="17" t="str">
        <f>IFERROR(INDEX(HS_MD!H:H,MATCH(B9,HS_MD!B:B,0),1),"")</f>
        <v>Xanthan Gum</v>
      </c>
      <c r="I9" s="17" t="str">
        <f>IFERROR(INDEX(HS_MD!I:I,MATCH(B9,HS_MD!B:B,0),1),"")</f>
        <v>Sauces / Dairy / Beverages</v>
      </c>
      <c r="J9" s="17">
        <f>IFERROR(INDEX(Heat_Map[Index],MATCH(HS_DB[[#This Row],[Reporter]],Heat_Map[Global],0),1),"")</f>
        <v>36</v>
      </c>
      <c r="K9" s="17" t="str">
        <f>IF(AND(HS_DB[[#This Row],[Origin Rank]]&gt;1,HS_DB[[#This Row],[Origin Rank]]&lt;=10),"Yes","No")</f>
        <v>Yes</v>
      </c>
      <c r="L9" s="2">
        <v>2024</v>
      </c>
      <c r="M9" s="2" t="s">
        <v>57</v>
      </c>
      <c r="N9" s="2" t="s">
        <v>1</v>
      </c>
      <c r="O9" s="2" t="s">
        <v>22</v>
      </c>
      <c r="P9" s="2" t="s">
        <v>23</v>
      </c>
      <c r="Q9" s="2" t="s">
        <v>24</v>
      </c>
      <c r="R9" s="2" t="s">
        <v>25</v>
      </c>
      <c r="S9" s="2">
        <v>391390</v>
      </c>
      <c r="T9" s="3">
        <v>10080261</v>
      </c>
      <c r="U9" s="3">
        <v>2124212</v>
      </c>
      <c r="V9" s="3">
        <v>0</v>
      </c>
      <c r="W9" s="3">
        <v>2124212</v>
      </c>
      <c r="X9" s="3" t="s">
        <v>58</v>
      </c>
      <c r="Y9" s="3">
        <v>2124212</v>
      </c>
      <c r="Z9" s="2" t="s">
        <v>58</v>
      </c>
      <c r="AA9" s="6">
        <f>SUMIFS(HS_DB[Trade Value - USD],HS_DB[Reporter],HS_DB[[#This Row],[Reporter]])/SUM(HS_DB[Trade Value - USD])</f>
        <v>6.321329281187793E-2</v>
      </c>
      <c r="AB9" s="8" cm="1">
        <f t="array" ref="AB9">SUMPRODUCT(
(HS_DB[Reporter]=HS_DB[[#This Row],[Reporter]])*
(HS_DB[Trade Value - USD]&gt;HS_DB[[#This Row],[Trade Value - USD]])
)+1</f>
        <v>4</v>
      </c>
      <c r="AC9" s="8" t="str">
        <f>IFERROR(IF(INDEX(Heat_Map[Crisis Impact %],MATCH(HS_DB[[#This Row],[Reporter]],Heat_Map[Global],0),1)&gt;0,"Yes","No"),"No")</f>
        <v>Yes</v>
      </c>
      <c r="AD9" s="6">
        <f>IFERROR(INDEX(Heat_Map[Crisis Impact %],MATCH(HS_DB[[#This Row],[Reporter]],Heat_Map[Global],0),1),0)</f>
        <v>0.14000000000000001</v>
      </c>
      <c r="AE9" s="8">
        <f>HS_DB[[#This Row],[Crisis Impact%]]*HS_DB[[#This Row],[Trade Value - USD]]</f>
        <v>1411236.54</v>
      </c>
      <c r="AF9" s="8">
        <f>HS_DB[[#This Row],[Crisis Impact%]]*HS_DB[[#This Row],[Net Weight -KG]]</f>
        <v>297389.68000000005</v>
      </c>
      <c r="AG9" s="6">
        <f>SUMIFS(HS_DB[Trade Value - USD],HS_DB[Products],HS_DB[[#This Row],[Products]])/SUM(HS_DB[Trade Value - USD])</f>
        <v>6.1305607849135918E-3</v>
      </c>
      <c r="AH9" s="8">
        <f>_xlfn.RANK.EQ(HS_DB[[#This Row],[Trade Value - USD]], HS_DB[Trade Value - USD], 0)
 + COUNTIFS(HS_DB[Trade Value - USD],HS_DB[[#This Row],[Trade Value - USD]],
            HS_DB[HS Code],"&lt;"&amp;HS_DB[[#This Row],[HS Code]])</f>
        <v>18</v>
      </c>
      <c r="AI9" s="9">
        <f>IFERROR(HS_DB[[#This Row],[Trade Value - USD]]/HS_DB[[#This Row],[Net Weight -KG]],0)</f>
        <v>4.7454119457003348</v>
      </c>
      <c r="AJ9" s="17" cm="1">
        <f t="array" ref="AJ9">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9" s="17" t="str">
        <f>IF(HS_DB[[#This Row],[HS Code Risk Score]]&gt;=40,"High",
 IF(HS_DB[[#This Row],[HS Code Risk Score]]&gt;=25,"Medium","Low"))</f>
        <v>Medium</v>
      </c>
      <c r="AL9" s="17" t="str">
        <f>IF(RANK(HS_DB[[#This Row],[HS Code Risk Score]],HS_DB[HS Code Risk Score])&lt;=10,"Yes","No")</f>
        <v>No</v>
      </c>
      <c r="AM9" s="8">
        <f>SUMIFS(HS_DB[Net Weight -KG],HS_DB[HS Code],HS_DB[[#This Row],[HS Code]])</f>
        <v>2298360.2000000002</v>
      </c>
      <c r="AN9" s="8">
        <f>SUMIFS(HS_DB[Trade Value - USD],HS_DB[HS Code],HS_DB[[#This Row],[HS Code]])</f>
        <v>11556158</v>
      </c>
      <c r="AO9" s="6">
        <f>_xlfn.MAXIFS(HS_DB[Origin Share%],HS_DB[HS Code],HS_DB[[#This Row],[HS Code]])</f>
        <v>0.25769345655074266</v>
      </c>
      <c r="AP9" s="8" cm="1">
        <f t="array" ref="AP9">_xlfn.LET(
_xlpm.hs,HS_DB[[#This Row],[HS Code]],
COUNTA(_xlfn.UNIQUE(_xlfn._xlws.FILTER(HS_DB[Reporter],HS_DB[HS Code]=_xlpm.hs)))
)</f>
        <v>19</v>
      </c>
      <c r="AQ9" s="17" t="str">
        <f>IF(HS_DB[[#This Row],[Origin Count]]=1,"Single Source","Multiple Sources")</f>
        <v>Multiple Sources</v>
      </c>
      <c r="AR9" s="8">
        <f>HS_DB[[#This Row],[Annual Spend - USD]]*(HS_DB[[#This Row],[HS Code Risk Score]]/100)</f>
        <v>3929093.72</v>
      </c>
      <c r="AS9" s="8">
        <f>RANK(HS_DB[[#This Row],[Risk Exposure - USD]],HS_DB[Risk Exposure - USD],0)</f>
        <v>261</v>
      </c>
      <c r="AT9" s="8" t="str">
        <f>IF(HS_DB[[#This Row],[Risk Exposure Rank]]&lt;=10,"High",
 IF(HS_DB[[#This Row],[Risk Exposure Rank]]&lt;=30,"Medium",
 "Low"))</f>
        <v>Low</v>
      </c>
      <c r="AU9" s="8" t="str">
        <f>IF(HS_DB[[#This Row],[Risk Exposure Rank]]&lt;=5,"Immediate Action",
 IF(HS_DB[[#This Row],[Risk Exposure Rank]]&lt;=15,"Monitor Closely",
 "Routine Control"))</f>
        <v>Routine Control</v>
      </c>
      <c r="AV9" s="8">
        <f>SUMIFS(HS_DB[Trade Value - USD],HS_DB[HS Code],HS_DB[[#This Row],[HS Code]])</f>
        <v>11556158</v>
      </c>
      <c r="AW9" s="6">
        <f>HS_DB[[#This Row],[Annual Spend - USD]]/HS_DB[[#This Row],[Total Market Size - USD]]</f>
        <v>1</v>
      </c>
      <c r="AX9" s="6" cm="1">
        <f t="array" ref="AX9">COUNTA(_xlfn.UNIQUE(_xlfn._xlws.FILTER(HS_DB[Partner],HS_DB[HS Code]=HS_DB[[#This Row],[HS Code]])))</f>
        <v>1</v>
      </c>
      <c r="AY9" s="8" t="str">
        <f>IF(HS_DB[[#This Row],[Competition Intensity]]&lt;=2,"Highly Concentrated",
 IF(HS_DB[[#This Row],[Competition Intensity]]&lt;=5,"Moderate",
 "Highly Competitive"))</f>
        <v>Highly Concentrated</v>
      </c>
      <c r="AZ9" s="8">
        <f>HS_DB[[#This Row],[Total Market Size - USD]]
*
(1+IFERROR(#REF!,0))
/
HS_DB[[#This Row],[Competition Intensity]]</f>
        <v>11556158</v>
      </c>
      <c r="BA9" s="8" t="str">
        <f>IF(HS_DB[[#This Row],[Commercial Opportunity Score]]&gt;=PERCENTILE(HS_DB[Commercial Opportunity Score],0.9),"High Opportunity",
 IF(HS_DB[[#This Row],[Commercial Opportunity Score]]&gt;=PERCENTILE(HS_DB[Commercial Opportunity Score],0.6),"Medium Opportunity",
 "Routine Market"))</f>
        <v>Routine Market</v>
      </c>
      <c r="BB9" s="3" t="str">
        <f>IF(AND(HS_DB[[#This Row],[Product Rank]]&gt;0,HS_DB[[#This Row],[Product Rank]]&lt;=10),"Yes","No")</f>
        <v>No</v>
      </c>
      <c r="BC9" s="3" t="str">
        <f>IF(AND(HS_DB[[#This Row],[Origin Rank]]&gt;0,HS_DB[[#This Row],[Origin Rank]]&lt;=10),"Yes","No")</f>
        <v>Yes</v>
      </c>
    </row>
    <row r="10" spans="2:55" x14ac:dyDescent="0.3">
      <c r="B10" s="2">
        <f>HS_DB[[#This Row],[Commodity Code]]</f>
        <v>391390</v>
      </c>
      <c r="C10" s="2">
        <f>IFERROR(INDEX(HS_MD!C:C,MATCH(B10,HS_MD!B:B,0),1),"")</f>
        <v>1</v>
      </c>
      <c r="D10" s="17" t="str">
        <f>IFERROR(INDEX(HS_MD!D:D,MATCH(B10,HS_MD!B:B,0),1),"")</f>
        <v>Other polymers of natural origin</v>
      </c>
      <c r="E10" s="17" t="str">
        <f>IFERROR(INDEX(HS_MD!E:E,MATCH(B10,HS_MD!B:B,0),1),"")</f>
        <v>Xanthan Gum</v>
      </c>
      <c r="F10" s="17" t="str">
        <f>IFERROR(INDEX(HS_MD!F:F,MATCH(B10,HS_MD!B:B,0),1),"")</f>
        <v>FUNCTIONAL INGREDIENTS</v>
      </c>
      <c r="G10" s="17" t="str">
        <f>IFERROR(INDEX(HS_MD!G:G,MATCH(B10,HS_MD!B:B,0),1),"")</f>
        <v>Hydrocolloids</v>
      </c>
      <c r="H10" s="17" t="str">
        <f>IFERROR(INDEX(HS_MD!H:H,MATCH(B10,HS_MD!B:B,0),1),"")</f>
        <v>Xanthan Gum</v>
      </c>
      <c r="I10" s="17" t="str">
        <f>IFERROR(INDEX(HS_MD!I:I,MATCH(B10,HS_MD!B:B,0),1),"")</f>
        <v>Sauces / Dairy / Beverages</v>
      </c>
      <c r="J10" s="17">
        <f>IFERROR(INDEX(Heat_Map[Index],MATCH(HS_DB[[#This Row],[Reporter]],Heat_Map[Global],0),1),"")</f>
        <v>37</v>
      </c>
      <c r="K10" s="17" t="str">
        <f>IF(AND(HS_DB[[#This Row],[Origin Rank]]&gt;1,HS_DB[[#This Row],[Origin Rank]]&lt;=10),"Yes","No")</f>
        <v>No</v>
      </c>
      <c r="L10" s="2">
        <v>2024</v>
      </c>
      <c r="M10" s="2" t="s">
        <v>57</v>
      </c>
      <c r="N10" s="2" t="s">
        <v>40</v>
      </c>
      <c r="O10" s="2" t="s">
        <v>22</v>
      </c>
      <c r="P10" s="2" t="s">
        <v>23</v>
      </c>
      <c r="Q10" s="2" t="s">
        <v>24</v>
      </c>
      <c r="R10" s="2" t="s">
        <v>25</v>
      </c>
      <c r="S10" s="2">
        <v>391390</v>
      </c>
      <c r="T10" s="3">
        <v>109664</v>
      </c>
      <c r="U10" s="3">
        <v>20000.2</v>
      </c>
      <c r="V10" s="3">
        <v>0</v>
      </c>
      <c r="W10" s="3">
        <v>20000</v>
      </c>
      <c r="X10" s="3" t="s">
        <v>58</v>
      </c>
      <c r="Y10" s="3">
        <v>20000</v>
      </c>
      <c r="Z10" s="2" t="s">
        <v>58</v>
      </c>
      <c r="AA10" s="6">
        <f>SUMIFS(HS_DB[Trade Value - USD],HS_DB[Reporter],HS_DB[[#This Row],[Reporter]])/SUM(HS_DB[Trade Value - USD])</f>
        <v>1.0324304639960562E-4</v>
      </c>
      <c r="AB10" s="8" cm="1">
        <f t="array" ref="AB10">SUMPRODUCT(
(HS_DB[Reporter]=HS_DB[[#This Row],[Reporter]])*
(HS_DB[Trade Value - USD]&gt;HS_DB[[#This Row],[Trade Value - USD]])
)+1</f>
        <v>1</v>
      </c>
      <c r="AC10" s="8" t="str">
        <f>IFERROR(IF(INDEX(Heat_Map[Crisis Impact %],MATCH(HS_DB[[#This Row],[Reporter]],Heat_Map[Global],0),1)&gt;0,"Yes","No"),"No")</f>
        <v>No</v>
      </c>
      <c r="AD10" s="6">
        <f>IFERROR(INDEX(Heat_Map[Crisis Impact %],MATCH(HS_DB[[#This Row],[Reporter]],Heat_Map[Global],0),1),0)</f>
        <v>0</v>
      </c>
      <c r="AE10" s="8">
        <f>HS_DB[[#This Row],[Crisis Impact%]]*HS_DB[[#This Row],[Trade Value - USD]]</f>
        <v>0</v>
      </c>
      <c r="AF10" s="8">
        <f>HS_DB[[#This Row],[Crisis Impact%]]*HS_DB[[#This Row],[Net Weight -KG]]</f>
        <v>0</v>
      </c>
      <c r="AG10" s="6">
        <f>SUMIFS(HS_DB[Trade Value - USD],HS_DB[Products],HS_DB[[#This Row],[Products]])/SUM(HS_DB[Trade Value - USD])</f>
        <v>6.1305607849135918E-3</v>
      </c>
      <c r="AH10" s="8">
        <f>_xlfn.RANK.EQ(HS_DB[[#This Row],[Trade Value - USD]], HS_DB[Trade Value - USD], 0)
 + COUNTIFS(HS_DB[Trade Value - USD],HS_DB[[#This Row],[Trade Value - USD]],
            HS_DB[HS Code],"&lt;"&amp;HS_DB[[#This Row],[HS Code]])</f>
        <v>268</v>
      </c>
      <c r="AI10" s="9">
        <f>IFERROR(HS_DB[[#This Row],[Trade Value - USD]]/HS_DB[[#This Row],[Net Weight -KG]],0)</f>
        <v>5.4831451685483144</v>
      </c>
      <c r="AJ10" s="17" cm="1">
        <f t="array" ref="AJ10">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0" s="17" t="str">
        <f>IF(HS_DB[[#This Row],[HS Code Risk Score]]&gt;=40,"High",
 IF(HS_DB[[#This Row],[HS Code Risk Score]]&gt;=25,"Medium","Low"))</f>
        <v>Medium</v>
      </c>
      <c r="AL10" s="17" t="str">
        <f>IF(RANK(HS_DB[[#This Row],[HS Code Risk Score]],HS_DB[HS Code Risk Score])&lt;=10,"Yes","No")</f>
        <v>No</v>
      </c>
      <c r="AM10" s="8">
        <f>SUMIFS(HS_DB[Net Weight -KG],HS_DB[HS Code],HS_DB[[#This Row],[HS Code]])</f>
        <v>2298360.2000000002</v>
      </c>
      <c r="AN10" s="8">
        <f>SUMIFS(HS_DB[Trade Value - USD],HS_DB[HS Code],HS_DB[[#This Row],[HS Code]])</f>
        <v>11556158</v>
      </c>
      <c r="AO10" s="6">
        <f>_xlfn.MAXIFS(HS_DB[Origin Share%],HS_DB[HS Code],HS_DB[[#This Row],[HS Code]])</f>
        <v>0.25769345655074266</v>
      </c>
      <c r="AP10" s="8" cm="1">
        <f t="array" ref="AP10">_xlfn.LET(
_xlpm.hs,HS_DB[[#This Row],[HS Code]],
COUNTA(_xlfn.UNIQUE(_xlfn._xlws.FILTER(HS_DB[Reporter],HS_DB[HS Code]=_xlpm.hs)))
)</f>
        <v>19</v>
      </c>
      <c r="AQ10" s="17" t="str">
        <f>IF(HS_DB[[#This Row],[Origin Count]]=1,"Single Source","Multiple Sources")</f>
        <v>Multiple Sources</v>
      </c>
      <c r="AR10" s="8">
        <f>HS_DB[[#This Row],[Annual Spend - USD]]*(HS_DB[[#This Row],[HS Code Risk Score]]/100)</f>
        <v>3929093.72</v>
      </c>
      <c r="AS10" s="8">
        <f>RANK(HS_DB[[#This Row],[Risk Exposure - USD]],HS_DB[Risk Exposure - USD],0)</f>
        <v>261</v>
      </c>
      <c r="AT10" s="8" t="str">
        <f>IF(HS_DB[[#This Row],[Risk Exposure Rank]]&lt;=10,"High",
 IF(HS_DB[[#This Row],[Risk Exposure Rank]]&lt;=30,"Medium",
 "Low"))</f>
        <v>Low</v>
      </c>
      <c r="AU10" s="8" t="str">
        <f>IF(HS_DB[[#This Row],[Risk Exposure Rank]]&lt;=5,"Immediate Action",
 IF(HS_DB[[#This Row],[Risk Exposure Rank]]&lt;=15,"Monitor Closely",
 "Routine Control"))</f>
        <v>Routine Control</v>
      </c>
      <c r="AV10" s="8">
        <f>SUMIFS(HS_DB[Trade Value - USD],HS_DB[HS Code],HS_DB[[#This Row],[HS Code]])</f>
        <v>11556158</v>
      </c>
      <c r="AW10" s="6">
        <f>HS_DB[[#This Row],[Annual Spend - USD]]/HS_DB[[#This Row],[Total Market Size - USD]]</f>
        <v>1</v>
      </c>
      <c r="AX10" s="6" cm="1">
        <f t="array" ref="AX10">COUNTA(_xlfn.UNIQUE(_xlfn._xlws.FILTER(HS_DB[Partner],HS_DB[HS Code]=HS_DB[[#This Row],[HS Code]])))</f>
        <v>1</v>
      </c>
      <c r="AY10" s="8" t="str">
        <f>IF(HS_DB[[#This Row],[Competition Intensity]]&lt;=2,"Highly Concentrated",
 IF(HS_DB[[#This Row],[Competition Intensity]]&lt;=5,"Moderate",
 "Highly Competitive"))</f>
        <v>Highly Concentrated</v>
      </c>
      <c r="AZ10" s="8">
        <f>HS_DB[[#This Row],[Total Market Size - USD]]
*
(1+IFERROR(#REF!,0))
/
HS_DB[[#This Row],[Competition Intensity]]</f>
        <v>11556158</v>
      </c>
      <c r="BA10" s="8" t="str">
        <f>IF(HS_DB[[#This Row],[Commercial Opportunity Score]]&gt;=PERCENTILE(HS_DB[Commercial Opportunity Score],0.9),"High Opportunity",
 IF(HS_DB[[#This Row],[Commercial Opportunity Score]]&gt;=PERCENTILE(HS_DB[Commercial Opportunity Score],0.6),"Medium Opportunity",
 "Routine Market"))</f>
        <v>Routine Market</v>
      </c>
      <c r="BB10" s="3" t="str">
        <f>IF(AND(HS_DB[[#This Row],[Product Rank]]&gt;0,HS_DB[[#This Row],[Product Rank]]&lt;=10),"Yes","No")</f>
        <v>No</v>
      </c>
      <c r="BC10" s="3" t="str">
        <f>IF(AND(HS_DB[[#This Row],[Origin Rank]]&gt;0,HS_DB[[#This Row],[Origin Rank]]&lt;=10),"Yes","No")</f>
        <v>Yes</v>
      </c>
    </row>
    <row r="11" spans="2:55" x14ac:dyDescent="0.3">
      <c r="B11" s="2">
        <f>HS_DB[[#This Row],[Commodity Code]]</f>
        <v>391390</v>
      </c>
      <c r="C11" s="2">
        <f>IFERROR(INDEX(HS_MD!C:C,MATCH(B11,HS_MD!B:B,0),1),"")</f>
        <v>1</v>
      </c>
      <c r="D11" s="17" t="str">
        <f>IFERROR(INDEX(HS_MD!D:D,MATCH(B11,HS_MD!B:B,0),1),"")</f>
        <v>Other polymers of natural origin</v>
      </c>
      <c r="E11" s="17" t="str">
        <f>IFERROR(INDEX(HS_MD!E:E,MATCH(B11,HS_MD!B:B,0),1),"")</f>
        <v>Xanthan Gum</v>
      </c>
      <c r="F11" s="17" t="str">
        <f>IFERROR(INDEX(HS_MD!F:F,MATCH(B11,HS_MD!B:B,0),1),"")</f>
        <v>FUNCTIONAL INGREDIENTS</v>
      </c>
      <c r="G11" s="17" t="str">
        <f>IFERROR(INDEX(HS_MD!G:G,MATCH(B11,HS_MD!B:B,0),1),"")</f>
        <v>Hydrocolloids</v>
      </c>
      <c r="H11" s="17" t="str">
        <f>IFERROR(INDEX(HS_MD!H:H,MATCH(B11,HS_MD!B:B,0),1),"")</f>
        <v>Xanthan Gum</v>
      </c>
      <c r="I11" s="17" t="str">
        <f>IFERROR(INDEX(HS_MD!I:I,MATCH(B11,HS_MD!B:B,0),1),"")</f>
        <v>Sauces / Dairy / Beverages</v>
      </c>
      <c r="J11" s="17">
        <f>IFERROR(INDEX(Heat_Map[Index],MATCH(HS_DB[[#This Row],[Reporter]],Heat_Map[Global],0),1),"")</f>
        <v>45</v>
      </c>
      <c r="K11" s="17" t="str">
        <f>IF(AND(HS_DB[[#This Row],[Origin Rank]]&gt;1,HS_DB[[#This Row],[Origin Rank]]&lt;=10),"Yes","No")</f>
        <v>Yes</v>
      </c>
      <c r="L11" s="2">
        <v>2024</v>
      </c>
      <c r="M11" s="2" t="s">
        <v>57</v>
      </c>
      <c r="N11" s="2" t="s">
        <v>42</v>
      </c>
      <c r="O11" s="2" t="s">
        <v>22</v>
      </c>
      <c r="P11" s="2" t="s">
        <v>23</v>
      </c>
      <c r="Q11" s="2" t="s">
        <v>24</v>
      </c>
      <c r="R11" s="2" t="s">
        <v>25</v>
      </c>
      <c r="S11" s="2">
        <v>391390</v>
      </c>
      <c r="T11" s="3">
        <v>16370</v>
      </c>
      <c r="U11" s="3">
        <v>360</v>
      </c>
      <c r="V11" s="3">
        <v>0</v>
      </c>
      <c r="W11" s="3">
        <v>360</v>
      </c>
      <c r="X11" s="3" t="s">
        <v>58</v>
      </c>
      <c r="Y11" s="3">
        <v>360</v>
      </c>
      <c r="Z11" s="2" t="s">
        <v>58</v>
      </c>
      <c r="AA11" s="6">
        <f>SUMIFS(HS_DB[Trade Value - USD],HS_DB[Reporter],HS_DB[[#This Row],[Reporter]])/SUM(HS_DB[Trade Value - USD])</f>
        <v>4.8573207719329804E-4</v>
      </c>
      <c r="AB11" s="8" cm="1">
        <f t="array" ref="AB11">SUMPRODUCT(
(HS_DB[Reporter]=HS_DB[[#This Row],[Reporter]])*
(HS_DB[Trade Value - USD]&gt;HS_DB[[#This Row],[Trade Value - USD]])
)+1</f>
        <v>5</v>
      </c>
      <c r="AC11" s="8" t="str">
        <f>IFERROR(IF(INDEX(Heat_Map[Crisis Impact %],MATCH(HS_DB[[#This Row],[Reporter]],Heat_Map[Global],0),1)&gt;0,"Yes","No"),"No")</f>
        <v>No</v>
      </c>
      <c r="AD11" s="6">
        <f>IFERROR(INDEX(Heat_Map[Crisis Impact %],MATCH(HS_DB[[#This Row],[Reporter]],Heat_Map[Global],0),1),0)</f>
        <v>0</v>
      </c>
      <c r="AE11" s="8">
        <f>HS_DB[[#This Row],[Crisis Impact%]]*HS_DB[[#This Row],[Trade Value - USD]]</f>
        <v>0</v>
      </c>
      <c r="AF11" s="8">
        <f>HS_DB[[#This Row],[Crisis Impact%]]*HS_DB[[#This Row],[Net Weight -KG]]</f>
        <v>0</v>
      </c>
      <c r="AG11" s="6">
        <f>SUMIFS(HS_DB[Trade Value - USD],HS_DB[Products],HS_DB[[#This Row],[Products]])/SUM(HS_DB[Trade Value - USD])</f>
        <v>6.1305607849135918E-3</v>
      </c>
      <c r="AH11" s="8">
        <f>_xlfn.RANK.EQ(HS_DB[[#This Row],[Trade Value - USD]], HS_DB[Trade Value - USD], 0)
 + COUNTIFS(HS_DB[Trade Value - USD],HS_DB[[#This Row],[Trade Value - USD]],
            HS_DB[HS Code],"&lt;"&amp;HS_DB[[#This Row],[HS Code]])</f>
        <v>389</v>
      </c>
      <c r="AI11" s="9">
        <f>IFERROR(HS_DB[[#This Row],[Trade Value - USD]]/HS_DB[[#This Row],[Net Weight -KG]],0)</f>
        <v>45.472222222222221</v>
      </c>
      <c r="AJ11" s="17" cm="1">
        <f t="array" ref="AJ11">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1" s="17" t="str">
        <f>IF(HS_DB[[#This Row],[HS Code Risk Score]]&gt;=40,"High",
 IF(HS_DB[[#This Row],[HS Code Risk Score]]&gt;=25,"Medium","Low"))</f>
        <v>Medium</v>
      </c>
      <c r="AL11" s="17" t="str">
        <f>IF(RANK(HS_DB[[#This Row],[HS Code Risk Score]],HS_DB[HS Code Risk Score])&lt;=10,"Yes","No")</f>
        <v>No</v>
      </c>
      <c r="AM11" s="8">
        <f>SUMIFS(HS_DB[Net Weight -KG],HS_DB[HS Code],HS_DB[[#This Row],[HS Code]])</f>
        <v>2298360.2000000002</v>
      </c>
      <c r="AN11" s="8">
        <f>SUMIFS(HS_DB[Trade Value - USD],HS_DB[HS Code],HS_DB[[#This Row],[HS Code]])</f>
        <v>11556158</v>
      </c>
      <c r="AO11" s="6">
        <f>_xlfn.MAXIFS(HS_DB[Origin Share%],HS_DB[HS Code],HS_DB[[#This Row],[HS Code]])</f>
        <v>0.25769345655074266</v>
      </c>
      <c r="AP11" s="8" cm="1">
        <f t="array" ref="AP11">_xlfn.LET(
_xlpm.hs,HS_DB[[#This Row],[HS Code]],
COUNTA(_xlfn.UNIQUE(_xlfn._xlws.FILTER(HS_DB[Reporter],HS_DB[HS Code]=_xlpm.hs)))
)</f>
        <v>19</v>
      </c>
      <c r="AQ11" s="17" t="str">
        <f>IF(HS_DB[[#This Row],[Origin Count]]=1,"Single Source","Multiple Sources")</f>
        <v>Multiple Sources</v>
      </c>
      <c r="AR11" s="8">
        <f>HS_DB[[#This Row],[Annual Spend - USD]]*(HS_DB[[#This Row],[HS Code Risk Score]]/100)</f>
        <v>3929093.72</v>
      </c>
      <c r="AS11" s="8">
        <f>RANK(HS_DB[[#This Row],[Risk Exposure - USD]],HS_DB[Risk Exposure - USD],0)</f>
        <v>261</v>
      </c>
      <c r="AT11" s="8" t="str">
        <f>IF(HS_DB[[#This Row],[Risk Exposure Rank]]&lt;=10,"High",
 IF(HS_DB[[#This Row],[Risk Exposure Rank]]&lt;=30,"Medium",
 "Low"))</f>
        <v>Low</v>
      </c>
      <c r="AU11" s="8" t="str">
        <f>IF(HS_DB[[#This Row],[Risk Exposure Rank]]&lt;=5,"Immediate Action",
 IF(HS_DB[[#This Row],[Risk Exposure Rank]]&lt;=15,"Monitor Closely",
 "Routine Control"))</f>
        <v>Routine Control</v>
      </c>
      <c r="AV11" s="8">
        <f>SUMIFS(HS_DB[Trade Value - USD],HS_DB[HS Code],HS_DB[[#This Row],[HS Code]])</f>
        <v>11556158</v>
      </c>
      <c r="AW11" s="6">
        <f>HS_DB[[#This Row],[Annual Spend - USD]]/HS_DB[[#This Row],[Total Market Size - USD]]</f>
        <v>1</v>
      </c>
      <c r="AX11" s="6" cm="1">
        <f t="array" ref="AX11">COUNTA(_xlfn.UNIQUE(_xlfn._xlws.FILTER(HS_DB[Partner],HS_DB[HS Code]=HS_DB[[#This Row],[HS Code]])))</f>
        <v>1</v>
      </c>
      <c r="AY11" s="8" t="str">
        <f>IF(HS_DB[[#This Row],[Competition Intensity]]&lt;=2,"Highly Concentrated",
 IF(HS_DB[[#This Row],[Competition Intensity]]&lt;=5,"Moderate",
 "Highly Competitive"))</f>
        <v>Highly Concentrated</v>
      </c>
      <c r="AZ11" s="8">
        <f>HS_DB[[#This Row],[Total Market Size - USD]]
*
(1+IFERROR(#REF!,0))
/
HS_DB[[#This Row],[Competition Intensity]]</f>
        <v>11556158</v>
      </c>
      <c r="BA11" s="8" t="str">
        <f>IF(HS_DB[[#This Row],[Commercial Opportunity Score]]&gt;=PERCENTILE(HS_DB[Commercial Opportunity Score],0.9),"High Opportunity",
 IF(HS_DB[[#This Row],[Commercial Opportunity Score]]&gt;=PERCENTILE(HS_DB[Commercial Opportunity Score],0.6),"Medium Opportunity",
 "Routine Market"))</f>
        <v>Routine Market</v>
      </c>
      <c r="BB11" s="3" t="str">
        <f>IF(AND(HS_DB[[#This Row],[Product Rank]]&gt;0,HS_DB[[#This Row],[Product Rank]]&lt;=10),"Yes","No")</f>
        <v>No</v>
      </c>
      <c r="BC11" s="3" t="str">
        <f>IF(AND(HS_DB[[#This Row],[Origin Rank]]&gt;0,HS_DB[[#This Row],[Origin Rank]]&lt;=10),"Yes","No")</f>
        <v>Yes</v>
      </c>
    </row>
    <row r="12" spans="2:55" x14ac:dyDescent="0.3">
      <c r="B12" s="2">
        <f>HS_DB[[#This Row],[Commodity Code]]</f>
        <v>391390</v>
      </c>
      <c r="C12" s="2">
        <f>IFERROR(INDEX(HS_MD!C:C,MATCH(B12,HS_MD!B:B,0),1),"")</f>
        <v>1</v>
      </c>
      <c r="D12" s="17" t="str">
        <f>IFERROR(INDEX(HS_MD!D:D,MATCH(B12,HS_MD!B:B,0),1),"")</f>
        <v>Other polymers of natural origin</v>
      </c>
      <c r="E12" s="17" t="str">
        <f>IFERROR(INDEX(HS_MD!E:E,MATCH(B12,HS_MD!B:B,0),1),"")</f>
        <v>Xanthan Gum</v>
      </c>
      <c r="F12" s="17" t="str">
        <f>IFERROR(INDEX(HS_MD!F:F,MATCH(B12,HS_MD!B:B,0),1),"")</f>
        <v>FUNCTIONAL INGREDIENTS</v>
      </c>
      <c r="G12" s="17" t="str">
        <f>IFERROR(INDEX(HS_MD!G:G,MATCH(B12,HS_MD!B:B,0),1),"")</f>
        <v>Hydrocolloids</v>
      </c>
      <c r="H12" s="17" t="str">
        <f>IFERROR(INDEX(HS_MD!H:H,MATCH(B12,HS_MD!B:B,0),1),"")</f>
        <v>Xanthan Gum</v>
      </c>
      <c r="I12" s="17" t="str">
        <f>IFERROR(INDEX(HS_MD!I:I,MATCH(B12,HS_MD!B:B,0),1),"")</f>
        <v>Sauces / Dairy / Beverages</v>
      </c>
      <c r="J12" s="17">
        <f>IFERROR(INDEX(Heat_Map[Index],MATCH(HS_DB[[#This Row],[Reporter]],Heat_Map[Global],0),1),"")</f>
        <v>59</v>
      </c>
      <c r="K12" s="17" t="str">
        <f>IF(AND(HS_DB[[#This Row],[Origin Rank]]&gt;1,HS_DB[[#This Row],[Origin Rank]]&lt;=10),"Yes","No")</f>
        <v>No</v>
      </c>
      <c r="L12" s="2">
        <v>2024</v>
      </c>
      <c r="M12" s="2" t="s">
        <v>57</v>
      </c>
      <c r="N12" s="2" t="s">
        <v>44</v>
      </c>
      <c r="O12" s="2" t="s">
        <v>22</v>
      </c>
      <c r="P12" s="2" t="s">
        <v>23</v>
      </c>
      <c r="Q12" s="2" t="s">
        <v>24</v>
      </c>
      <c r="R12" s="2" t="s">
        <v>25</v>
      </c>
      <c r="S12" s="2">
        <v>391390</v>
      </c>
      <c r="T12" s="3">
        <v>139396</v>
      </c>
      <c r="U12" s="3">
        <v>889.7</v>
      </c>
      <c r="V12" s="3">
        <v>0</v>
      </c>
      <c r="W12" s="3">
        <v>890</v>
      </c>
      <c r="X12" s="3" t="s">
        <v>58</v>
      </c>
      <c r="Y12" s="3">
        <v>0</v>
      </c>
      <c r="Z12" s="2" t="s">
        <v>26</v>
      </c>
      <c r="AA12" s="6">
        <f>SUMIFS(HS_DB[Trade Value - USD],HS_DB[Reporter],HS_DB[[#This Row],[Reporter]])/SUM(HS_DB[Trade Value - USD])</f>
        <v>1.6951290293147386E-2</v>
      </c>
      <c r="AB12" s="8" cm="1">
        <f t="array" ref="AB12">SUMPRODUCT(
(HS_DB[Reporter]=HS_DB[[#This Row],[Reporter]])*
(HS_DB[Trade Value - USD]&gt;HS_DB[[#This Row],[Trade Value - USD]])
)+1</f>
        <v>21</v>
      </c>
      <c r="AC12" s="8" t="str">
        <f>IFERROR(IF(INDEX(Heat_Map[Crisis Impact %],MATCH(HS_DB[[#This Row],[Reporter]],Heat_Map[Global],0),1)&gt;0,"Yes","No"),"No")</f>
        <v>No</v>
      </c>
      <c r="AD12" s="6">
        <f>IFERROR(INDEX(Heat_Map[Crisis Impact %],MATCH(HS_DB[[#This Row],[Reporter]],Heat_Map[Global],0),1),0)</f>
        <v>0</v>
      </c>
      <c r="AE12" s="8">
        <f>HS_DB[[#This Row],[Crisis Impact%]]*HS_DB[[#This Row],[Trade Value - USD]]</f>
        <v>0</v>
      </c>
      <c r="AF12" s="8">
        <f>HS_DB[[#This Row],[Crisis Impact%]]*HS_DB[[#This Row],[Net Weight -KG]]</f>
        <v>0</v>
      </c>
      <c r="AG12" s="6">
        <f>SUMIFS(HS_DB[Trade Value - USD],HS_DB[Products],HS_DB[[#This Row],[Products]])/SUM(HS_DB[Trade Value - USD])</f>
        <v>6.1305607849135918E-3</v>
      </c>
      <c r="AH12" s="8">
        <f>_xlfn.RANK.EQ(HS_DB[[#This Row],[Trade Value - USD]], HS_DB[Trade Value - USD], 0)
 + COUNTIFS(HS_DB[Trade Value - USD],HS_DB[[#This Row],[Trade Value - USD]],
            HS_DB[HS Code],"&lt;"&amp;HS_DB[[#This Row],[HS Code]])</f>
        <v>252</v>
      </c>
      <c r="AI12" s="9">
        <f>IFERROR(HS_DB[[#This Row],[Trade Value - USD]]/HS_DB[[#This Row],[Net Weight -KG]],0)</f>
        <v>156.67753175227605</v>
      </c>
      <c r="AJ12" s="17" cm="1">
        <f t="array" ref="AJ12">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2" s="17" t="str">
        <f>IF(HS_DB[[#This Row],[HS Code Risk Score]]&gt;=40,"High",
 IF(HS_DB[[#This Row],[HS Code Risk Score]]&gt;=25,"Medium","Low"))</f>
        <v>Medium</v>
      </c>
      <c r="AL12" s="17" t="str">
        <f>IF(RANK(HS_DB[[#This Row],[HS Code Risk Score]],HS_DB[HS Code Risk Score])&lt;=10,"Yes","No")</f>
        <v>No</v>
      </c>
      <c r="AM12" s="8">
        <f>SUMIFS(HS_DB[Net Weight -KG],HS_DB[HS Code],HS_DB[[#This Row],[HS Code]])</f>
        <v>2298360.2000000002</v>
      </c>
      <c r="AN12" s="8">
        <f>SUMIFS(HS_DB[Trade Value - USD],HS_DB[HS Code],HS_DB[[#This Row],[HS Code]])</f>
        <v>11556158</v>
      </c>
      <c r="AO12" s="6">
        <f>_xlfn.MAXIFS(HS_DB[Origin Share%],HS_DB[HS Code],HS_DB[[#This Row],[HS Code]])</f>
        <v>0.25769345655074266</v>
      </c>
      <c r="AP12" s="8" cm="1">
        <f t="array" ref="AP12">_xlfn.LET(
_xlpm.hs,HS_DB[[#This Row],[HS Code]],
COUNTA(_xlfn.UNIQUE(_xlfn._xlws.FILTER(HS_DB[Reporter],HS_DB[HS Code]=_xlpm.hs)))
)</f>
        <v>19</v>
      </c>
      <c r="AQ12" s="17" t="str">
        <f>IF(HS_DB[[#This Row],[Origin Count]]=1,"Single Source","Multiple Sources")</f>
        <v>Multiple Sources</v>
      </c>
      <c r="AR12" s="8">
        <f>HS_DB[[#This Row],[Annual Spend - USD]]*(HS_DB[[#This Row],[HS Code Risk Score]]/100)</f>
        <v>3929093.72</v>
      </c>
      <c r="AS12" s="8">
        <f>RANK(HS_DB[[#This Row],[Risk Exposure - USD]],HS_DB[Risk Exposure - USD],0)</f>
        <v>261</v>
      </c>
      <c r="AT12" s="8" t="str">
        <f>IF(HS_DB[[#This Row],[Risk Exposure Rank]]&lt;=10,"High",
 IF(HS_DB[[#This Row],[Risk Exposure Rank]]&lt;=30,"Medium",
 "Low"))</f>
        <v>Low</v>
      </c>
      <c r="AU12" s="8" t="str">
        <f>IF(HS_DB[[#This Row],[Risk Exposure Rank]]&lt;=5,"Immediate Action",
 IF(HS_DB[[#This Row],[Risk Exposure Rank]]&lt;=15,"Monitor Closely",
 "Routine Control"))</f>
        <v>Routine Control</v>
      </c>
      <c r="AV12" s="8">
        <f>SUMIFS(HS_DB[Trade Value - USD],HS_DB[HS Code],HS_DB[[#This Row],[HS Code]])</f>
        <v>11556158</v>
      </c>
      <c r="AW12" s="6">
        <f>HS_DB[[#This Row],[Annual Spend - USD]]/HS_DB[[#This Row],[Total Market Size - USD]]</f>
        <v>1</v>
      </c>
      <c r="AX12" s="6" cm="1">
        <f t="array" ref="AX12">COUNTA(_xlfn.UNIQUE(_xlfn._xlws.FILTER(HS_DB[Partner],HS_DB[HS Code]=HS_DB[[#This Row],[HS Code]])))</f>
        <v>1</v>
      </c>
      <c r="AY12" s="8" t="str">
        <f>IF(HS_DB[[#This Row],[Competition Intensity]]&lt;=2,"Highly Concentrated",
 IF(HS_DB[[#This Row],[Competition Intensity]]&lt;=5,"Moderate",
 "Highly Competitive"))</f>
        <v>Highly Concentrated</v>
      </c>
      <c r="AZ12" s="8">
        <f>HS_DB[[#This Row],[Total Market Size - USD]]
*
(1+IFERROR(#REF!,0))
/
HS_DB[[#This Row],[Competition Intensity]]</f>
        <v>11556158</v>
      </c>
      <c r="BA12" s="8" t="str">
        <f>IF(HS_DB[[#This Row],[Commercial Opportunity Score]]&gt;=PERCENTILE(HS_DB[Commercial Opportunity Score],0.9),"High Opportunity",
 IF(HS_DB[[#This Row],[Commercial Opportunity Score]]&gt;=PERCENTILE(HS_DB[Commercial Opportunity Score],0.6),"Medium Opportunity",
 "Routine Market"))</f>
        <v>Routine Market</v>
      </c>
      <c r="BB12" s="3" t="str">
        <f>IF(AND(HS_DB[[#This Row],[Product Rank]]&gt;0,HS_DB[[#This Row],[Product Rank]]&lt;=10),"Yes","No")</f>
        <v>No</v>
      </c>
      <c r="BC12" s="3" t="str">
        <f>IF(AND(HS_DB[[#This Row],[Origin Rank]]&gt;0,HS_DB[[#This Row],[Origin Rank]]&lt;=10),"Yes","No")</f>
        <v>No</v>
      </c>
    </row>
    <row r="13" spans="2:55" x14ac:dyDescent="0.3">
      <c r="B13" s="2">
        <f>HS_DB[[#This Row],[Commodity Code]]</f>
        <v>391390</v>
      </c>
      <c r="C13" s="2">
        <f>IFERROR(INDEX(HS_MD!C:C,MATCH(B13,HS_MD!B:B,0),1),"")</f>
        <v>1</v>
      </c>
      <c r="D13" s="17" t="str">
        <f>IFERROR(INDEX(HS_MD!D:D,MATCH(B13,HS_MD!B:B,0),1),"")</f>
        <v>Other polymers of natural origin</v>
      </c>
      <c r="E13" s="17" t="str">
        <f>IFERROR(INDEX(HS_MD!E:E,MATCH(B13,HS_MD!B:B,0),1),"")</f>
        <v>Xanthan Gum</v>
      </c>
      <c r="F13" s="17" t="str">
        <f>IFERROR(INDEX(HS_MD!F:F,MATCH(B13,HS_MD!B:B,0),1),"")</f>
        <v>FUNCTIONAL INGREDIENTS</v>
      </c>
      <c r="G13" s="17" t="str">
        <f>IFERROR(INDEX(HS_MD!G:G,MATCH(B13,HS_MD!B:B,0),1),"")</f>
        <v>Hydrocolloids</v>
      </c>
      <c r="H13" s="17" t="str">
        <f>IFERROR(INDEX(HS_MD!H:H,MATCH(B13,HS_MD!B:B,0),1),"")</f>
        <v>Xanthan Gum</v>
      </c>
      <c r="I13" s="17" t="str">
        <f>IFERROR(INDEX(HS_MD!I:I,MATCH(B13,HS_MD!B:B,0),1),"")</f>
        <v>Sauces / Dairy / Beverages</v>
      </c>
      <c r="J13" s="17">
        <f>IFERROR(INDEX(Heat_Map[Index],MATCH(HS_DB[[#This Row],[Reporter]],Heat_Map[Global],0),1),"")</f>
        <v>63</v>
      </c>
      <c r="K13" s="17" t="str">
        <f>IF(AND(HS_DB[[#This Row],[Origin Rank]]&gt;1,HS_DB[[#This Row],[Origin Rank]]&lt;=10),"Yes","No")</f>
        <v>No</v>
      </c>
      <c r="L13" s="2">
        <v>2024</v>
      </c>
      <c r="M13" s="2" t="s">
        <v>57</v>
      </c>
      <c r="N13" s="2" t="s">
        <v>2</v>
      </c>
      <c r="O13" s="2" t="s">
        <v>22</v>
      </c>
      <c r="P13" s="2" t="s">
        <v>23</v>
      </c>
      <c r="Q13" s="2" t="s">
        <v>24</v>
      </c>
      <c r="R13" s="2" t="s">
        <v>25</v>
      </c>
      <c r="S13" s="2">
        <v>391390</v>
      </c>
      <c r="T13" s="3">
        <v>108654</v>
      </c>
      <c r="U13" s="3">
        <v>1961</v>
      </c>
      <c r="V13" s="3">
        <v>0</v>
      </c>
      <c r="W13" s="3">
        <v>1961</v>
      </c>
      <c r="X13" s="3" t="s">
        <v>58</v>
      </c>
      <c r="Y13" s="3">
        <v>0</v>
      </c>
      <c r="Z13" s="2" t="s">
        <v>26</v>
      </c>
      <c r="AA13" s="6">
        <f>SUMIFS(HS_DB[Trade Value - USD],HS_DB[Reporter],HS_DB[[#This Row],[Reporter]])/SUM(HS_DB[Trade Value - USD])</f>
        <v>1.1674623358397021E-2</v>
      </c>
      <c r="AB13" s="8" cm="1">
        <f t="array" ref="AB13">SUMPRODUCT(
(HS_DB[Reporter]=HS_DB[[#This Row],[Reporter]])*
(HS_DB[Trade Value - USD]&gt;HS_DB[[#This Row],[Trade Value - USD]])
)+1</f>
        <v>20</v>
      </c>
      <c r="AC13" s="8" t="str">
        <f>IFERROR(IF(INDEX(Heat_Map[Crisis Impact %],MATCH(HS_DB[[#This Row],[Reporter]],Heat_Map[Global],0),1)&gt;0,"Yes","No"),"No")</f>
        <v>No</v>
      </c>
      <c r="AD13" s="6">
        <f>IFERROR(INDEX(Heat_Map[Crisis Impact %],MATCH(HS_DB[[#This Row],[Reporter]],Heat_Map[Global],0),1),0)</f>
        <v>0</v>
      </c>
      <c r="AE13" s="8">
        <f>HS_DB[[#This Row],[Crisis Impact%]]*HS_DB[[#This Row],[Trade Value - USD]]</f>
        <v>0</v>
      </c>
      <c r="AF13" s="8">
        <f>HS_DB[[#This Row],[Crisis Impact%]]*HS_DB[[#This Row],[Net Weight -KG]]</f>
        <v>0</v>
      </c>
      <c r="AG13" s="6">
        <f>SUMIFS(HS_DB[Trade Value - USD],HS_DB[Products],HS_DB[[#This Row],[Products]])/SUM(HS_DB[Trade Value - USD])</f>
        <v>6.1305607849135918E-3</v>
      </c>
      <c r="AH13" s="8">
        <f>_xlfn.RANK.EQ(HS_DB[[#This Row],[Trade Value - USD]], HS_DB[Trade Value - USD], 0)
 + COUNTIFS(HS_DB[Trade Value - USD],HS_DB[[#This Row],[Trade Value - USD]],
            HS_DB[HS Code],"&lt;"&amp;HS_DB[[#This Row],[HS Code]])</f>
        <v>269</v>
      </c>
      <c r="AI13" s="9">
        <f>IFERROR(HS_DB[[#This Row],[Trade Value - USD]]/HS_DB[[#This Row],[Net Weight -KG]],0)</f>
        <v>55.407445181030084</v>
      </c>
      <c r="AJ13" s="17" cm="1">
        <f t="array" ref="AJ13">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3" s="17" t="str">
        <f>IF(HS_DB[[#This Row],[HS Code Risk Score]]&gt;=40,"High",
 IF(HS_DB[[#This Row],[HS Code Risk Score]]&gt;=25,"Medium","Low"))</f>
        <v>Medium</v>
      </c>
      <c r="AL13" s="17" t="str">
        <f>IF(RANK(HS_DB[[#This Row],[HS Code Risk Score]],HS_DB[HS Code Risk Score])&lt;=10,"Yes","No")</f>
        <v>No</v>
      </c>
      <c r="AM13" s="8">
        <f>SUMIFS(HS_DB[Net Weight -KG],HS_DB[HS Code],HS_DB[[#This Row],[HS Code]])</f>
        <v>2298360.2000000002</v>
      </c>
      <c r="AN13" s="8">
        <f>SUMIFS(HS_DB[Trade Value - USD],HS_DB[HS Code],HS_DB[[#This Row],[HS Code]])</f>
        <v>11556158</v>
      </c>
      <c r="AO13" s="6">
        <f>_xlfn.MAXIFS(HS_DB[Origin Share%],HS_DB[HS Code],HS_DB[[#This Row],[HS Code]])</f>
        <v>0.25769345655074266</v>
      </c>
      <c r="AP13" s="8" cm="1">
        <f t="array" ref="AP13">_xlfn.LET(
_xlpm.hs,HS_DB[[#This Row],[HS Code]],
COUNTA(_xlfn.UNIQUE(_xlfn._xlws.FILTER(HS_DB[Reporter],HS_DB[HS Code]=_xlpm.hs)))
)</f>
        <v>19</v>
      </c>
      <c r="AQ13" s="17" t="str">
        <f>IF(HS_DB[[#This Row],[Origin Count]]=1,"Single Source","Multiple Sources")</f>
        <v>Multiple Sources</v>
      </c>
      <c r="AR13" s="8">
        <f>HS_DB[[#This Row],[Annual Spend - USD]]*(HS_DB[[#This Row],[HS Code Risk Score]]/100)</f>
        <v>3929093.72</v>
      </c>
      <c r="AS13" s="8">
        <f>RANK(HS_DB[[#This Row],[Risk Exposure - USD]],HS_DB[Risk Exposure - USD],0)</f>
        <v>261</v>
      </c>
      <c r="AT13" s="8" t="str">
        <f>IF(HS_DB[[#This Row],[Risk Exposure Rank]]&lt;=10,"High",
 IF(HS_DB[[#This Row],[Risk Exposure Rank]]&lt;=30,"Medium",
 "Low"))</f>
        <v>Low</v>
      </c>
      <c r="AU13" s="8" t="str">
        <f>IF(HS_DB[[#This Row],[Risk Exposure Rank]]&lt;=5,"Immediate Action",
 IF(HS_DB[[#This Row],[Risk Exposure Rank]]&lt;=15,"Monitor Closely",
 "Routine Control"))</f>
        <v>Routine Control</v>
      </c>
      <c r="AV13" s="8">
        <f>SUMIFS(HS_DB[Trade Value - USD],HS_DB[HS Code],HS_DB[[#This Row],[HS Code]])</f>
        <v>11556158</v>
      </c>
      <c r="AW13" s="6">
        <f>HS_DB[[#This Row],[Annual Spend - USD]]/HS_DB[[#This Row],[Total Market Size - USD]]</f>
        <v>1</v>
      </c>
      <c r="AX13" s="6" cm="1">
        <f t="array" ref="AX13">COUNTA(_xlfn.UNIQUE(_xlfn._xlws.FILTER(HS_DB[Partner],HS_DB[HS Code]=HS_DB[[#This Row],[HS Code]])))</f>
        <v>1</v>
      </c>
      <c r="AY13" s="8" t="str">
        <f>IF(HS_DB[[#This Row],[Competition Intensity]]&lt;=2,"Highly Concentrated",
 IF(HS_DB[[#This Row],[Competition Intensity]]&lt;=5,"Moderate",
 "Highly Competitive"))</f>
        <v>Highly Concentrated</v>
      </c>
      <c r="AZ13" s="8">
        <f>HS_DB[[#This Row],[Total Market Size - USD]]
*
(1+IFERROR(#REF!,0))
/
HS_DB[[#This Row],[Competition Intensity]]</f>
        <v>11556158</v>
      </c>
      <c r="BA13" s="8" t="str">
        <f>IF(HS_DB[[#This Row],[Commercial Opportunity Score]]&gt;=PERCENTILE(HS_DB[Commercial Opportunity Score],0.9),"High Opportunity",
 IF(HS_DB[[#This Row],[Commercial Opportunity Score]]&gt;=PERCENTILE(HS_DB[Commercial Opportunity Score],0.6),"Medium Opportunity",
 "Routine Market"))</f>
        <v>Routine Market</v>
      </c>
      <c r="BB13" s="3" t="str">
        <f>IF(AND(HS_DB[[#This Row],[Product Rank]]&gt;0,HS_DB[[#This Row],[Product Rank]]&lt;=10),"Yes","No")</f>
        <v>No</v>
      </c>
      <c r="BC13" s="3" t="str">
        <f>IF(AND(HS_DB[[#This Row],[Origin Rank]]&gt;0,HS_DB[[#This Row],[Origin Rank]]&lt;=10),"Yes","No")</f>
        <v>No</v>
      </c>
    </row>
    <row r="14" spans="2:55" x14ac:dyDescent="0.3">
      <c r="B14" s="2">
        <f>HS_DB[[#This Row],[Commodity Code]]</f>
        <v>391390</v>
      </c>
      <c r="C14" s="2">
        <f>IFERROR(INDEX(HS_MD!C:C,MATCH(B14,HS_MD!B:B,0),1),"")</f>
        <v>1</v>
      </c>
      <c r="D14" s="17" t="str">
        <f>IFERROR(INDEX(HS_MD!D:D,MATCH(B14,HS_MD!B:B,0),1),"")</f>
        <v>Other polymers of natural origin</v>
      </c>
      <c r="E14" s="17" t="str">
        <f>IFERROR(INDEX(HS_MD!E:E,MATCH(B14,HS_MD!B:B,0),1),"")</f>
        <v>Xanthan Gum</v>
      </c>
      <c r="F14" s="17" t="str">
        <f>IFERROR(INDEX(HS_MD!F:F,MATCH(B14,HS_MD!B:B,0),1),"")</f>
        <v>FUNCTIONAL INGREDIENTS</v>
      </c>
      <c r="G14" s="17" t="str">
        <f>IFERROR(INDEX(HS_MD!G:G,MATCH(B14,HS_MD!B:B,0),1),"")</f>
        <v>Hydrocolloids</v>
      </c>
      <c r="H14" s="17" t="str">
        <f>IFERROR(INDEX(HS_MD!H:H,MATCH(B14,HS_MD!B:B,0),1),"")</f>
        <v>Xanthan Gum</v>
      </c>
      <c r="I14" s="17" t="str">
        <f>IFERROR(INDEX(HS_MD!I:I,MATCH(B14,HS_MD!B:B,0),1),"")</f>
        <v>Sauces / Dairy / Beverages</v>
      </c>
      <c r="J14" s="17">
        <f>IFERROR(INDEX(Heat_Map[Index],MATCH(HS_DB[[#This Row],[Reporter]],Heat_Map[Global],0),1),"")</f>
        <v>79</v>
      </c>
      <c r="K14" s="17" t="str">
        <f>IF(AND(HS_DB[[#This Row],[Origin Rank]]&gt;1,HS_DB[[#This Row],[Origin Rank]]&lt;=10),"Yes","No")</f>
        <v>No</v>
      </c>
      <c r="L14" s="2">
        <v>2024</v>
      </c>
      <c r="M14" s="2" t="s">
        <v>57</v>
      </c>
      <c r="N14" s="2" t="s">
        <v>48</v>
      </c>
      <c r="O14" s="2" t="s">
        <v>22</v>
      </c>
      <c r="P14" s="2" t="s">
        <v>23</v>
      </c>
      <c r="Q14" s="2" t="s">
        <v>24</v>
      </c>
      <c r="R14" s="2" t="s">
        <v>25</v>
      </c>
      <c r="S14" s="2">
        <v>391390</v>
      </c>
      <c r="T14" s="3">
        <v>179415</v>
      </c>
      <c r="U14" s="3">
        <v>328</v>
      </c>
      <c r="V14" s="3">
        <v>0</v>
      </c>
      <c r="W14" s="3">
        <v>328</v>
      </c>
      <c r="X14" s="3" t="s">
        <v>58</v>
      </c>
      <c r="Y14" s="3">
        <v>328</v>
      </c>
      <c r="Z14" s="2" t="s">
        <v>58</v>
      </c>
      <c r="AA14" s="6">
        <f>SUMIFS(HS_DB[Trade Value - USD],HS_DB[Reporter],HS_DB[[#This Row],[Reporter]])/SUM(HS_DB[Trade Value - USD])</f>
        <v>4.9588465845200368E-3</v>
      </c>
      <c r="AB14" s="8" cm="1">
        <f t="array" ref="AB14">SUMPRODUCT(
(HS_DB[Reporter]=HS_DB[[#This Row],[Reporter]])*
(HS_DB[Trade Value - USD]&gt;HS_DB[[#This Row],[Trade Value - USD]])
)+1</f>
        <v>12</v>
      </c>
      <c r="AC14" s="8" t="str">
        <f>IFERROR(IF(INDEX(Heat_Map[Crisis Impact %],MATCH(HS_DB[[#This Row],[Reporter]],Heat_Map[Global],0),1)&gt;0,"Yes","No"),"No")</f>
        <v>No</v>
      </c>
      <c r="AD14" s="6">
        <f>IFERROR(INDEX(Heat_Map[Crisis Impact %],MATCH(HS_DB[[#This Row],[Reporter]],Heat_Map[Global],0),1),0)</f>
        <v>0</v>
      </c>
      <c r="AE14" s="8">
        <f>HS_DB[[#This Row],[Crisis Impact%]]*HS_DB[[#This Row],[Trade Value - USD]]</f>
        <v>0</v>
      </c>
      <c r="AF14" s="8">
        <f>HS_DB[[#This Row],[Crisis Impact%]]*HS_DB[[#This Row],[Net Weight -KG]]</f>
        <v>0</v>
      </c>
      <c r="AG14" s="6">
        <f>SUMIFS(HS_DB[Trade Value - USD],HS_DB[Products],HS_DB[[#This Row],[Products]])/SUM(HS_DB[Trade Value - USD])</f>
        <v>6.1305607849135918E-3</v>
      </c>
      <c r="AH14" s="8">
        <f>_xlfn.RANK.EQ(HS_DB[[#This Row],[Trade Value - USD]], HS_DB[Trade Value - USD], 0)
 + COUNTIFS(HS_DB[Trade Value - USD],HS_DB[[#This Row],[Trade Value - USD]],
            HS_DB[HS Code],"&lt;"&amp;HS_DB[[#This Row],[HS Code]])</f>
        <v>228</v>
      </c>
      <c r="AI14" s="9">
        <f>IFERROR(HS_DB[[#This Row],[Trade Value - USD]]/HS_DB[[#This Row],[Net Weight -KG]],0)</f>
        <v>546.9969512195122</v>
      </c>
      <c r="AJ14" s="17" cm="1">
        <f t="array" ref="AJ14">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4" s="17" t="str">
        <f>IF(HS_DB[[#This Row],[HS Code Risk Score]]&gt;=40,"High",
 IF(HS_DB[[#This Row],[HS Code Risk Score]]&gt;=25,"Medium","Low"))</f>
        <v>Medium</v>
      </c>
      <c r="AL14" s="17" t="str">
        <f>IF(RANK(HS_DB[[#This Row],[HS Code Risk Score]],HS_DB[HS Code Risk Score])&lt;=10,"Yes","No")</f>
        <v>No</v>
      </c>
      <c r="AM14" s="8">
        <f>SUMIFS(HS_DB[Net Weight -KG],HS_DB[HS Code],HS_DB[[#This Row],[HS Code]])</f>
        <v>2298360.2000000002</v>
      </c>
      <c r="AN14" s="8">
        <f>SUMIFS(HS_DB[Trade Value - USD],HS_DB[HS Code],HS_DB[[#This Row],[HS Code]])</f>
        <v>11556158</v>
      </c>
      <c r="AO14" s="6">
        <f>_xlfn.MAXIFS(HS_DB[Origin Share%],HS_DB[HS Code],HS_DB[[#This Row],[HS Code]])</f>
        <v>0.25769345655074266</v>
      </c>
      <c r="AP14" s="8" cm="1">
        <f t="array" ref="AP14">_xlfn.LET(
_xlpm.hs,HS_DB[[#This Row],[HS Code]],
COUNTA(_xlfn.UNIQUE(_xlfn._xlws.FILTER(HS_DB[Reporter],HS_DB[HS Code]=_xlpm.hs)))
)</f>
        <v>19</v>
      </c>
      <c r="AQ14" s="17" t="str">
        <f>IF(HS_DB[[#This Row],[Origin Count]]=1,"Single Source","Multiple Sources")</f>
        <v>Multiple Sources</v>
      </c>
      <c r="AR14" s="8">
        <f>HS_DB[[#This Row],[Annual Spend - USD]]*(HS_DB[[#This Row],[HS Code Risk Score]]/100)</f>
        <v>3929093.72</v>
      </c>
      <c r="AS14" s="8">
        <f>RANK(HS_DB[[#This Row],[Risk Exposure - USD]],HS_DB[Risk Exposure - USD],0)</f>
        <v>261</v>
      </c>
      <c r="AT14" s="8" t="str">
        <f>IF(HS_DB[[#This Row],[Risk Exposure Rank]]&lt;=10,"High",
 IF(HS_DB[[#This Row],[Risk Exposure Rank]]&lt;=30,"Medium",
 "Low"))</f>
        <v>Low</v>
      </c>
      <c r="AU14" s="8" t="str">
        <f>IF(HS_DB[[#This Row],[Risk Exposure Rank]]&lt;=5,"Immediate Action",
 IF(HS_DB[[#This Row],[Risk Exposure Rank]]&lt;=15,"Monitor Closely",
 "Routine Control"))</f>
        <v>Routine Control</v>
      </c>
      <c r="AV14" s="8">
        <f>SUMIFS(HS_DB[Trade Value - USD],HS_DB[HS Code],HS_DB[[#This Row],[HS Code]])</f>
        <v>11556158</v>
      </c>
      <c r="AW14" s="6">
        <f>HS_DB[[#This Row],[Annual Spend - USD]]/HS_DB[[#This Row],[Total Market Size - USD]]</f>
        <v>1</v>
      </c>
      <c r="AX14" s="6" cm="1">
        <f t="array" ref="AX14">COUNTA(_xlfn.UNIQUE(_xlfn._xlws.FILTER(HS_DB[Partner],HS_DB[HS Code]=HS_DB[[#This Row],[HS Code]])))</f>
        <v>1</v>
      </c>
      <c r="AY14" s="8" t="str">
        <f>IF(HS_DB[[#This Row],[Competition Intensity]]&lt;=2,"Highly Concentrated",
 IF(HS_DB[[#This Row],[Competition Intensity]]&lt;=5,"Moderate",
 "Highly Competitive"))</f>
        <v>Highly Concentrated</v>
      </c>
      <c r="AZ14" s="8">
        <f>HS_DB[[#This Row],[Total Market Size - USD]]
*
(1+IFERROR(#REF!,0))
/
HS_DB[[#This Row],[Competition Intensity]]</f>
        <v>11556158</v>
      </c>
      <c r="BA14" s="8" t="str">
        <f>IF(HS_DB[[#This Row],[Commercial Opportunity Score]]&gt;=PERCENTILE(HS_DB[Commercial Opportunity Score],0.9),"High Opportunity",
 IF(HS_DB[[#This Row],[Commercial Opportunity Score]]&gt;=PERCENTILE(HS_DB[Commercial Opportunity Score],0.6),"Medium Opportunity",
 "Routine Market"))</f>
        <v>Routine Market</v>
      </c>
      <c r="BB14" s="3" t="str">
        <f>IF(AND(HS_DB[[#This Row],[Product Rank]]&gt;0,HS_DB[[#This Row],[Product Rank]]&lt;=10),"Yes","No")</f>
        <v>No</v>
      </c>
      <c r="BC14" s="3" t="str">
        <f>IF(AND(HS_DB[[#This Row],[Origin Rank]]&gt;0,HS_DB[[#This Row],[Origin Rank]]&lt;=10),"Yes","No")</f>
        <v>No</v>
      </c>
    </row>
    <row r="15" spans="2:55" x14ac:dyDescent="0.3">
      <c r="B15" s="2">
        <f>HS_DB[[#This Row],[Commodity Code]]</f>
        <v>391390</v>
      </c>
      <c r="C15" s="2">
        <f>IFERROR(INDEX(HS_MD!C:C,MATCH(B15,HS_MD!B:B,0),1),"")</f>
        <v>1</v>
      </c>
      <c r="D15" s="17" t="str">
        <f>IFERROR(INDEX(HS_MD!D:D,MATCH(B15,HS_MD!B:B,0),1),"")</f>
        <v>Other polymers of natural origin</v>
      </c>
      <c r="E15" s="17" t="str">
        <f>IFERROR(INDEX(HS_MD!E:E,MATCH(B15,HS_MD!B:B,0),1),"")</f>
        <v>Xanthan Gum</v>
      </c>
      <c r="F15" s="17" t="str">
        <f>IFERROR(INDEX(HS_MD!F:F,MATCH(B15,HS_MD!B:B,0),1),"")</f>
        <v>FUNCTIONAL INGREDIENTS</v>
      </c>
      <c r="G15" s="17" t="str">
        <f>IFERROR(INDEX(HS_MD!G:G,MATCH(B15,HS_MD!B:B,0),1),"")</f>
        <v>Hydrocolloids</v>
      </c>
      <c r="H15" s="17" t="str">
        <f>IFERROR(INDEX(HS_MD!H:H,MATCH(B15,HS_MD!B:B,0),1),"")</f>
        <v>Xanthan Gum</v>
      </c>
      <c r="I15" s="17" t="str">
        <f>IFERROR(INDEX(HS_MD!I:I,MATCH(B15,HS_MD!B:B,0),1),"")</f>
        <v>Sauces / Dairy / Beverages</v>
      </c>
      <c r="J15" s="17">
        <f>IFERROR(INDEX(Heat_Map[Index],MATCH(HS_DB[[#This Row],[Reporter]],Heat_Map[Global],0),1),"")</f>
        <v>81</v>
      </c>
      <c r="K15" s="17" t="str">
        <f>IF(AND(HS_DB[[#This Row],[Origin Rank]]&gt;1,HS_DB[[#This Row],[Origin Rank]]&lt;=10),"Yes","No")</f>
        <v>No</v>
      </c>
      <c r="L15" s="2">
        <v>2024</v>
      </c>
      <c r="M15" s="2" t="s">
        <v>57</v>
      </c>
      <c r="N15" s="2" t="s">
        <v>49</v>
      </c>
      <c r="O15" s="2" t="s">
        <v>22</v>
      </c>
      <c r="P15" s="2" t="s">
        <v>23</v>
      </c>
      <c r="Q15" s="2" t="s">
        <v>24</v>
      </c>
      <c r="R15" s="2" t="s">
        <v>25</v>
      </c>
      <c r="S15" s="2">
        <v>391390</v>
      </c>
      <c r="T15" s="3">
        <v>52649</v>
      </c>
      <c r="U15" s="3">
        <v>143</v>
      </c>
      <c r="V15" s="3">
        <v>0</v>
      </c>
      <c r="W15" s="3">
        <v>143</v>
      </c>
      <c r="X15" s="3" t="s">
        <v>58</v>
      </c>
      <c r="Y15" s="3">
        <v>143</v>
      </c>
      <c r="Z15" s="2" t="s">
        <v>58</v>
      </c>
      <c r="AA15" s="6">
        <f>SUMIFS(HS_DB[Trade Value - USD],HS_DB[Reporter],HS_DB[[#This Row],[Reporter]])/SUM(HS_DB[Trade Value - USD])</f>
        <v>1.1178535358665947E-2</v>
      </c>
      <c r="AB15" s="8" cm="1">
        <f t="array" ref="AB15">SUMPRODUCT(
(HS_DB[Reporter]=HS_DB[[#This Row],[Reporter]])*
(HS_DB[Trade Value - USD]&gt;HS_DB[[#This Row],[Trade Value - USD]])
)+1</f>
        <v>15</v>
      </c>
      <c r="AC15" s="8" t="str">
        <f>IFERROR(IF(INDEX(Heat_Map[Crisis Impact %],MATCH(HS_DB[[#This Row],[Reporter]],Heat_Map[Global],0),1)&gt;0,"Yes","No"),"No")</f>
        <v>No</v>
      </c>
      <c r="AD15" s="6">
        <f>IFERROR(INDEX(Heat_Map[Crisis Impact %],MATCH(HS_DB[[#This Row],[Reporter]],Heat_Map[Global],0),1),0)</f>
        <v>0</v>
      </c>
      <c r="AE15" s="8">
        <f>HS_DB[[#This Row],[Crisis Impact%]]*HS_DB[[#This Row],[Trade Value - USD]]</f>
        <v>0</v>
      </c>
      <c r="AF15" s="8">
        <f>HS_DB[[#This Row],[Crisis Impact%]]*HS_DB[[#This Row],[Net Weight -KG]]</f>
        <v>0</v>
      </c>
      <c r="AG15" s="6">
        <f>SUMIFS(HS_DB[Trade Value - USD],HS_DB[Products],HS_DB[[#This Row],[Products]])/SUM(HS_DB[Trade Value - USD])</f>
        <v>6.1305607849135918E-3</v>
      </c>
      <c r="AH15" s="8">
        <f>_xlfn.RANK.EQ(HS_DB[[#This Row],[Trade Value - USD]], HS_DB[Trade Value - USD], 0)
 + COUNTIFS(HS_DB[Trade Value - USD],HS_DB[[#This Row],[Trade Value - USD]],
            HS_DB[HS Code],"&lt;"&amp;HS_DB[[#This Row],[HS Code]])</f>
        <v>321</v>
      </c>
      <c r="AI15" s="9">
        <f>IFERROR(HS_DB[[#This Row],[Trade Value - USD]]/HS_DB[[#This Row],[Net Weight -KG]],0)</f>
        <v>368.17482517482517</v>
      </c>
      <c r="AJ15" s="17" cm="1">
        <f t="array" ref="AJ15">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5" s="17" t="str">
        <f>IF(HS_DB[[#This Row],[HS Code Risk Score]]&gt;=40,"High",
 IF(HS_DB[[#This Row],[HS Code Risk Score]]&gt;=25,"Medium","Low"))</f>
        <v>Medium</v>
      </c>
      <c r="AL15" s="17" t="str">
        <f>IF(RANK(HS_DB[[#This Row],[HS Code Risk Score]],HS_DB[HS Code Risk Score])&lt;=10,"Yes","No")</f>
        <v>No</v>
      </c>
      <c r="AM15" s="8">
        <f>SUMIFS(HS_DB[Net Weight -KG],HS_DB[HS Code],HS_DB[[#This Row],[HS Code]])</f>
        <v>2298360.2000000002</v>
      </c>
      <c r="AN15" s="8">
        <f>SUMIFS(HS_DB[Trade Value - USD],HS_DB[HS Code],HS_DB[[#This Row],[HS Code]])</f>
        <v>11556158</v>
      </c>
      <c r="AO15" s="6">
        <f>_xlfn.MAXIFS(HS_DB[Origin Share%],HS_DB[HS Code],HS_DB[[#This Row],[HS Code]])</f>
        <v>0.25769345655074266</v>
      </c>
      <c r="AP15" s="8" cm="1">
        <f t="array" ref="AP15">_xlfn.LET(
_xlpm.hs,HS_DB[[#This Row],[HS Code]],
COUNTA(_xlfn.UNIQUE(_xlfn._xlws.FILTER(HS_DB[Reporter],HS_DB[HS Code]=_xlpm.hs)))
)</f>
        <v>19</v>
      </c>
      <c r="AQ15" s="17" t="str">
        <f>IF(HS_DB[[#This Row],[Origin Count]]=1,"Single Source","Multiple Sources")</f>
        <v>Multiple Sources</v>
      </c>
      <c r="AR15" s="8">
        <f>HS_DB[[#This Row],[Annual Spend - USD]]*(HS_DB[[#This Row],[HS Code Risk Score]]/100)</f>
        <v>3929093.72</v>
      </c>
      <c r="AS15" s="8">
        <f>RANK(HS_DB[[#This Row],[Risk Exposure - USD]],HS_DB[Risk Exposure - USD],0)</f>
        <v>261</v>
      </c>
      <c r="AT15" s="8" t="str">
        <f>IF(HS_DB[[#This Row],[Risk Exposure Rank]]&lt;=10,"High",
 IF(HS_DB[[#This Row],[Risk Exposure Rank]]&lt;=30,"Medium",
 "Low"))</f>
        <v>Low</v>
      </c>
      <c r="AU15" s="8" t="str">
        <f>IF(HS_DB[[#This Row],[Risk Exposure Rank]]&lt;=5,"Immediate Action",
 IF(HS_DB[[#This Row],[Risk Exposure Rank]]&lt;=15,"Monitor Closely",
 "Routine Control"))</f>
        <v>Routine Control</v>
      </c>
      <c r="AV15" s="8">
        <f>SUMIFS(HS_DB[Trade Value - USD],HS_DB[HS Code],HS_DB[[#This Row],[HS Code]])</f>
        <v>11556158</v>
      </c>
      <c r="AW15" s="6">
        <f>HS_DB[[#This Row],[Annual Spend - USD]]/HS_DB[[#This Row],[Total Market Size - USD]]</f>
        <v>1</v>
      </c>
      <c r="AX15" s="6" cm="1">
        <f t="array" ref="AX15">COUNTA(_xlfn.UNIQUE(_xlfn._xlws.FILTER(HS_DB[Partner],HS_DB[HS Code]=HS_DB[[#This Row],[HS Code]])))</f>
        <v>1</v>
      </c>
      <c r="AY15" s="8" t="str">
        <f>IF(HS_DB[[#This Row],[Competition Intensity]]&lt;=2,"Highly Concentrated",
 IF(HS_DB[[#This Row],[Competition Intensity]]&lt;=5,"Moderate",
 "Highly Competitive"))</f>
        <v>Highly Concentrated</v>
      </c>
      <c r="AZ15" s="8">
        <f>HS_DB[[#This Row],[Total Market Size - USD]]
*
(1+IFERROR(#REF!,0))
/
HS_DB[[#This Row],[Competition Intensity]]</f>
        <v>11556158</v>
      </c>
      <c r="BA15" s="8" t="str">
        <f>IF(HS_DB[[#This Row],[Commercial Opportunity Score]]&gt;=PERCENTILE(HS_DB[Commercial Opportunity Score],0.9),"High Opportunity",
 IF(HS_DB[[#This Row],[Commercial Opportunity Score]]&gt;=PERCENTILE(HS_DB[Commercial Opportunity Score],0.6),"Medium Opportunity",
 "Routine Market"))</f>
        <v>Routine Market</v>
      </c>
      <c r="BB15" s="3" t="str">
        <f>IF(AND(HS_DB[[#This Row],[Product Rank]]&gt;0,HS_DB[[#This Row],[Product Rank]]&lt;=10),"Yes","No")</f>
        <v>No</v>
      </c>
      <c r="BC15" s="3" t="str">
        <f>IF(AND(HS_DB[[#This Row],[Origin Rank]]&gt;0,HS_DB[[#This Row],[Origin Rank]]&lt;=10),"Yes","No")</f>
        <v>No</v>
      </c>
    </row>
    <row r="16" spans="2:55" x14ac:dyDescent="0.3">
      <c r="B16" s="2">
        <f>HS_DB[[#This Row],[Commodity Code]]</f>
        <v>391390</v>
      </c>
      <c r="C16" s="2">
        <f>IFERROR(INDEX(HS_MD!C:C,MATCH(B16,HS_MD!B:B,0),1),"")</f>
        <v>1</v>
      </c>
      <c r="D16" s="17" t="str">
        <f>IFERROR(INDEX(HS_MD!D:D,MATCH(B16,HS_MD!B:B,0),1),"")</f>
        <v>Other polymers of natural origin</v>
      </c>
      <c r="E16" s="17" t="str">
        <f>IFERROR(INDEX(HS_MD!E:E,MATCH(B16,HS_MD!B:B,0),1),"")</f>
        <v>Xanthan Gum</v>
      </c>
      <c r="F16" s="17" t="str">
        <f>IFERROR(INDEX(HS_MD!F:F,MATCH(B16,HS_MD!B:B,0),1),"")</f>
        <v>FUNCTIONAL INGREDIENTS</v>
      </c>
      <c r="G16" s="17" t="str">
        <f>IFERROR(INDEX(HS_MD!G:G,MATCH(B16,HS_MD!B:B,0),1),"")</f>
        <v>Hydrocolloids</v>
      </c>
      <c r="H16" s="17" t="str">
        <f>IFERROR(INDEX(HS_MD!H:H,MATCH(B16,HS_MD!B:B,0),1),"")</f>
        <v>Xanthan Gum</v>
      </c>
      <c r="I16" s="17" t="str">
        <f>IFERROR(INDEX(HS_MD!I:I,MATCH(B16,HS_MD!B:B,0),1),"")</f>
        <v>Sauces / Dairy / Beverages</v>
      </c>
      <c r="J16" s="17">
        <f>IFERROR(INDEX(Heat_Map[Index],MATCH(HS_DB[[#This Row],[Reporter]],Heat_Map[Global],0),1),"")</f>
        <v>123</v>
      </c>
      <c r="K16" s="17" t="str">
        <f>IF(AND(HS_DB[[#This Row],[Origin Rank]]&gt;1,HS_DB[[#This Row],[Origin Rank]]&lt;=10),"Yes","No")</f>
        <v>Yes</v>
      </c>
      <c r="L16" s="2">
        <v>2024</v>
      </c>
      <c r="M16" s="2" t="s">
        <v>57</v>
      </c>
      <c r="N16" s="2" t="s">
        <v>330</v>
      </c>
      <c r="O16" s="2" t="s">
        <v>22</v>
      </c>
      <c r="P16" s="2" t="s">
        <v>23</v>
      </c>
      <c r="Q16" s="2" t="s">
        <v>24</v>
      </c>
      <c r="R16" s="2" t="s">
        <v>25</v>
      </c>
      <c r="S16" s="2">
        <v>391390</v>
      </c>
      <c r="T16" s="3">
        <v>2310</v>
      </c>
      <c r="U16" s="3">
        <v>26</v>
      </c>
      <c r="V16" s="3">
        <v>0</v>
      </c>
      <c r="W16" s="3">
        <v>26</v>
      </c>
      <c r="X16" s="3" t="s">
        <v>58</v>
      </c>
      <c r="Y16" s="3">
        <v>26</v>
      </c>
      <c r="Z16" s="2" t="s">
        <v>58</v>
      </c>
      <c r="AA16" s="6">
        <f>SUMIFS(HS_DB[Trade Value - USD],HS_DB[Reporter],HS_DB[[#This Row],[Reporter]])/SUM(HS_DB[Trade Value - USD])</f>
        <v>1.389484063100993E-2</v>
      </c>
      <c r="AB16" s="8" cm="1">
        <f t="array" ref="AB16">SUMPRODUCT(
(HS_DB[Reporter]=HS_DB[[#This Row],[Reporter]])*
(HS_DB[Trade Value - USD]&gt;HS_DB[[#This Row],[Trade Value - USD]])
)+1</f>
        <v>8</v>
      </c>
      <c r="AC16" s="8" t="str">
        <f>IFERROR(IF(INDEX(Heat_Map[Crisis Impact %],MATCH(HS_DB[[#This Row],[Reporter]],Heat_Map[Global],0),1)&gt;0,"Yes","No"),"No")</f>
        <v>No</v>
      </c>
      <c r="AD16" s="6">
        <f>IFERROR(INDEX(Heat_Map[Crisis Impact %],MATCH(HS_DB[[#This Row],[Reporter]],Heat_Map[Global],0),1),0)</f>
        <v>0</v>
      </c>
      <c r="AE16" s="8">
        <f>HS_DB[[#This Row],[Crisis Impact%]]*HS_DB[[#This Row],[Trade Value - USD]]</f>
        <v>0</v>
      </c>
      <c r="AF16" s="8">
        <f>HS_DB[[#This Row],[Crisis Impact%]]*HS_DB[[#This Row],[Net Weight -KG]]</f>
        <v>0</v>
      </c>
      <c r="AG16" s="6">
        <f>SUMIFS(HS_DB[Trade Value - USD],HS_DB[Products],HS_DB[[#This Row],[Products]])/SUM(HS_DB[Trade Value - USD])</f>
        <v>6.1305607849135918E-3</v>
      </c>
      <c r="AH16" s="8">
        <f>_xlfn.RANK.EQ(HS_DB[[#This Row],[Trade Value - USD]], HS_DB[Trade Value - USD], 0)
 + COUNTIFS(HS_DB[Trade Value - USD],HS_DB[[#This Row],[Trade Value - USD]],
            HS_DB[HS Code],"&lt;"&amp;HS_DB[[#This Row],[HS Code]])</f>
        <v>466</v>
      </c>
      <c r="AI16" s="9">
        <f>IFERROR(HS_DB[[#This Row],[Trade Value - USD]]/HS_DB[[#This Row],[Net Weight -KG]],0)</f>
        <v>88.84615384615384</v>
      </c>
      <c r="AJ16" s="17" cm="1">
        <f t="array" ref="AJ16">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6" s="17" t="str">
        <f>IF(HS_DB[[#This Row],[HS Code Risk Score]]&gt;=40,"High",
 IF(HS_DB[[#This Row],[HS Code Risk Score]]&gt;=25,"Medium","Low"))</f>
        <v>Medium</v>
      </c>
      <c r="AL16" s="17" t="str">
        <f>IF(RANK(HS_DB[[#This Row],[HS Code Risk Score]],HS_DB[HS Code Risk Score])&lt;=10,"Yes","No")</f>
        <v>No</v>
      </c>
      <c r="AM16" s="8">
        <f>SUMIFS(HS_DB[Net Weight -KG],HS_DB[HS Code],HS_DB[[#This Row],[HS Code]])</f>
        <v>2298360.2000000002</v>
      </c>
      <c r="AN16" s="8">
        <f>SUMIFS(HS_DB[Trade Value - USD],HS_DB[HS Code],HS_DB[[#This Row],[HS Code]])</f>
        <v>11556158</v>
      </c>
      <c r="AO16" s="6">
        <f>_xlfn.MAXIFS(HS_DB[Origin Share%],HS_DB[HS Code],HS_DB[[#This Row],[HS Code]])</f>
        <v>0.25769345655074266</v>
      </c>
      <c r="AP16" s="8" cm="1">
        <f t="array" ref="AP16">_xlfn.LET(
_xlpm.hs,HS_DB[[#This Row],[HS Code]],
COUNTA(_xlfn.UNIQUE(_xlfn._xlws.FILTER(HS_DB[Reporter],HS_DB[HS Code]=_xlpm.hs)))
)</f>
        <v>19</v>
      </c>
      <c r="AQ16" s="17" t="str">
        <f>IF(HS_DB[[#This Row],[Origin Count]]=1,"Single Source","Multiple Sources")</f>
        <v>Multiple Sources</v>
      </c>
      <c r="AR16" s="8">
        <f>HS_DB[[#This Row],[Annual Spend - USD]]*(HS_DB[[#This Row],[HS Code Risk Score]]/100)</f>
        <v>3929093.72</v>
      </c>
      <c r="AS16" s="8">
        <f>RANK(HS_DB[[#This Row],[Risk Exposure - USD]],HS_DB[Risk Exposure - USD],0)</f>
        <v>261</v>
      </c>
      <c r="AT16" s="8" t="str">
        <f>IF(HS_DB[[#This Row],[Risk Exposure Rank]]&lt;=10,"High",
 IF(HS_DB[[#This Row],[Risk Exposure Rank]]&lt;=30,"Medium",
 "Low"))</f>
        <v>Low</v>
      </c>
      <c r="AU16" s="8" t="str">
        <f>IF(HS_DB[[#This Row],[Risk Exposure Rank]]&lt;=5,"Immediate Action",
 IF(HS_DB[[#This Row],[Risk Exposure Rank]]&lt;=15,"Monitor Closely",
 "Routine Control"))</f>
        <v>Routine Control</v>
      </c>
      <c r="AV16" s="8">
        <f>SUMIFS(HS_DB[Trade Value - USD],HS_DB[HS Code],HS_DB[[#This Row],[HS Code]])</f>
        <v>11556158</v>
      </c>
      <c r="AW16" s="6">
        <f>HS_DB[[#This Row],[Annual Spend - USD]]/HS_DB[[#This Row],[Total Market Size - USD]]</f>
        <v>1</v>
      </c>
      <c r="AX16" s="6" cm="1">
        <f t="array" ref="AX16">COUNTA(_xlfn.UNIQUE(_xlfn._xlws.FILTER(HS_DB[Partner],HS_DB[HS Code]=HS_DB[[#This Row],[HS Code]])))</f>
        <v>1</v>
      </c>
      <c r="AY16" s="8" t="str">
        <f>IF(HS_DB[[#This Row],[Competition Intensity]]&lt;=2,"Highly Concentrated",
 IF(HS_DB[[#This Row],[Competition Intensity]]&lt;=5,"Moderate",
 "Highly Competitive"))</f>
        <v>Highly Concentrated</v>
      </c>
      <c r="AZ16" s="8">
        <f>HS_DB[[#This Row],[Total Market Size - USD]]
*
(1+IFERROR(#REF!,0))
/
HS_DB[[#This Row],[Competition Intensity]]</f>
        <v>11556158</v>
      </c>
      <c r="BA16" s="8" t="str">
        <f>IF(HS_DB[[#This Row],[Commercial Opportunity Score]]&gt;=PERCENTILE(HS_DB[Commercial Opportunity Score],0.9),"High Opportunity",
 IF(HS_DB[[#This Row],[Commercial Opportunity Score]]&gt;=PERCENTILE(HS_DB[Commercial Opportunity Score],0.6),"Medium Opportunity",
 "Routine Market"))</f>
        <v>Routine Market</v>
      </c>
      <c r="BB16" s="3" t="str">
        <f>IF(AND(HS_DB[[#This Row],[Product Rank]]&gt;0,HS_DB[[#This Row],[Product Rank]]&lt;=10),"Yes","No")</f>
        <v>No</v>
      </c>
      <c r="BC16" s="3" t="str">
        <f>IF(AND(HS_DB[[#This Row],[Origin Rank]]&gt;0,HS_DB[[#This Row],[Origin Rank]]&lt;=10),"Yes","No")</f>
        <v>Yes</v>
      </c>
    </row>
    <row r="17" spans="2:55" x14ac:dyDescent="0.3">
      <c r="B17" s="2">
        <f>HS_DB[[#This Row],[Commodity Code]]</f>
        <v>391390</v>
      </c>
      <c r="C17" s="2">
        <f>IFERROR(INDEX(HS_MD!C:C,MATCH(B17,HS_MD!B:B,0),1),"")</f>
        <v>1</v>
      </c>
      <c r="D17" s="17" t="str">
        <f>IFERROR(INDEX(HS_MD!D:D,MATCH(B17,HS_MD!B:B,0),1),"")</f>
        <v>Other polymers of natural origin</v>
      </c>
      <c r="E17" s="17" t="str">
        <f>IFERROR(INDEX(HS_MD!E:E,MATCH(B17,HS_MD!B:B,0),1),"")</f>
        <v>Xanthan Gum</v>
      </c>
      <c r="F17" s="17" t="str">
        <f>IFERROR(INDEX(HS_MD!F:F,MATCH(B17,HS_MD!B:B,0),1),"")</f>
        <v>FUNCTIONAL INGREDIENTS</v>
      </c>
      <c r="G17" s="17" t="str">
        <f>IFERROR(INDEX(HS_MD!G:G,MATCH(B17,HS_MD!B:B,0),1),"")</f>
        <v>Hydrocolloids</v>
      </c>
      <c r="H17" s="17" t="str">
        <f>IFERROR(INDEX(HS_MD!H:H,MATCH(B17,HS_MD!B:B,0),1),"")</f>
        <v>Xanthan Gum</v>
      </c>
      <c r="I17" s="17" t="str">
        <f>IFERROR(INDEX(HS_MD!I:I,MATCH(B17,HS_MD!B:B,0),1),"")</f>
        <v>Sauces / Dairy / Beverages</v>
      </c>
      <c r="J17" s="17">
        <f>IFERROR(INDEX(Heat_Map[Index],MATCH(HS_DB[[#This Row],[Reporter]],Heat_Map[Global],0),1),"")</f>
        <v>100</v>
      </c>
      <c r="K17" s="17" t="str">
        <f>IF(AND(HS_DB[[#This Row],[Origin Rank]]&gt;1,HS_DB[[#This Row],[Origin Rank]]&lt;=10),"Yes","No")</f>
        <v>Yes</v>
      </c>
      <c r="L17" s="2">
        <v>2024</v>
      </c>
      <c r="M17" s="2" t="s">
        <v>57</v>
      </c>
      <c r="N17" s="2" t="s">
        <v>51</v>
      </c>
      <c r="O17" s="2" t="s">
        <v>22</v>
      </c>
      <c r="P17" s="2" t="s">
        <v>23</v>
      </c>
      <c r="Q17" s="2" t="s">
        <v>24</v>
      </c>
      <c r="R17" s="2" t="s">
        <v>25</v>
      </c>
      <c r="S17" s="2">
        <v>391390</v>
      </c>
      <c r="T17" s="3">
        <v>90</v>
      </c>
      <c r="U17" s="3">
        <v>4</v>
      </c>
      <c r="V17" s="3">
        <v>0</v>
      </c>
      <c r="W17" s="3">
        <v>4</v>
      </c>
      <c r="X17" s="3" t="s">
        <v>58</v>
      </c>
      <c r="Y17" s="3">
        <v>4</v>
      </c>
      <c r="Z17" s="2" t="s">
        <v>58</v>
      </c>
      <c r="AA17" s="6">
        <f>SUMIFS(HS_DB[Trade Value - USD],HS_DB[Reporter],HS_DB[[#This Row],[Reporter]])/SUM(HS_DB[Trade Value - USD])</f>
        <v>0.25769345655074266</v>
      </c>
      <c r="AB17" s="8" cm="1">
        <f t="array" ref="AB17">SUMPRODUCT(
(HS_DB[Reporter]=HS_DB[[#This Row],[Reporter]])*
(HS_DB[Trade Value - USD]&gt;HS_DB[[#This Row],[Trade Value - USD]])
)+1</f>
        <v>5</v>
      </c>
      <c r="AC17" s="8" t="str">
        <f>IFERROR(IF(INDEX(Heat_Map[Crisis Impact %],MATCH(HS_DB[[#This Row],[Reporter]],Heat_Map[Global],0),1)&gt;0,"Yes","No"),"No")</f>
        <v>No</v>
      </c>
      <c r="AD17" s="6">
        <f>IFERROR(INDEX(Heat_Map[Crisis Impact %],MATCH(HS_DB[[#This Row],[Reporter]],Heat_Map[Global],0),1),0)</f>
        <v>0</v>
      </c>
      <c r="AE17" s="8">
        <f>HS_DB[[#This Row],[Crisis Impact%]]*HS_DB[[#This Row],[Trade Value - USD]]</f>
        <v>0</v>
      </c>
      <c r="AF17" s="8">
        <f>HS_DB[[#This Row],[Crisis Impact%]]*HS_DB[[#This Row],[Net Weight -KG]]</f>
        <v>0</v>
      </c>
      <c r="AG17" s="6">
        <f>SUMIFS(HS_DB[Trade Value - USD],HS_DB[Products],HS_DB[[#This Row],[Products]])/SUM(HS_DB[Trade Value - USD])</f>
        <v>6.1305607849135918E-3</v>
      </c>
      <c r="AH17" s="8">
        <f>_xlfn.RANK.EQ(HS_DB[[#This Row],[Trade Value - USD]], HS_DB[Trade Value - USD], 0)
 + COUNTIFS(HS_DB[Trade Value - USD],HS_DB[[#This Row],[Trade Value - USD]],
            HS_DB[HS Code],"&lt;"&amp;HS_DB[[#This Row],[HS Code]])</f>
        <v>519</v>
      </c>
      <c r="AI17" s="9">
        <f>IFERROR(HS_DB[[#This Row],[Trade Value - USD]]/HS_DB[[#This Row],[Net Weight -KG]],0)</f>
        <v>22.5</v>
      </c>
      <c r="AJ17" s="17" cm="1">
        <f t="array" ref="AJ17">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7" s="17" t="str">
        <f>IF(HS_DB[[#This Row],[HS Code Risk Score]]&gt;=40,"High",
 IF(HS_DB[[#This Row],[HS Code Risk Score]]&gt;=25,"Medium","Low"))</f>
        <v>Medium</v>
      </c>
      <c r="AL17" s="17" t="str">
        <f>IF(RANK(HS_DB[[#This Row],[HS Code Risk Score]],HS_DB[HS Code Risk Score])&lt;=10,"Yes","No")</f>
        <v>No</v>
      </c>
      <c r="AM17" s="8">
        <f>SUMIFS(HS_DB[Net Weight -KG],HS_DB[HS Code],HS_DB[[#This Row],[HS Code]])</f>
        <v>2298360.2000000002</v>
      </c>
      <c r="AN17" s="8">
        <f>SUMIFS(HS_DB[Trade Value - USD],HS_DB[HS Code],HS_DB[[#This Row],[HS Code]])</f>
        <v>11556158</v>
      </c>
      <c r="AO17" s="6">
        <f>_xlfn.MAXIFS(HS_DB[Origin Share%],HS_DB[HS Code],HS_DB[[#This Row],[HS Code]])</f>
        <v>0.25769345655074266</v>
      </c>
      <c r="AP17" s="8" cm="1">
        <f t="array" ref="AP17">_xlfn.LET(
_xlpm.hs,HS_DB[[#This Row],[HS Code]],
COUNTA(_xlfn.UNIQUE(_xlfn._xlws.FILTER(HS_DB[Reporter],HS_DB[HS Code]=_xlpm.hs)))
)</f>
        <v>19</v>
      </c>
      <c r="AQ17" s="17" t="str">
        <f>IF(HS_DB[[#This Row],[Origin Count]]=1,"Single Source","Multiple Sources")</f>
        <v>Multiple Sources</v>
      </c>
      <c r="AR17" s="8">
        <f>HS_DB[[#This Row],[Annual Spend - USD]]*(HS_DB[[#This Row],[HS Code Risk Score]]/100)</f>
        <v>3929093.72</v>
      </c>
      <c r="AS17" s="8">
        <f>RANK(HS_DB[[#This Row],[Risk Exposure - USD]],HS_DB[Risk Exposure - USD],0)</f>
        <v>261</v>
      </c>
      <c r="AT17" s="8" t="str">
        <f>IF(HS_DB[[#This Row],[Risk Exposure Rank]]&lt;=10,"High",
 IF(HS_DB[[#This Row],[Risk Exposure Rank]]&lt;=30,"Medium",
 "Low"))</f>
        <v>Low</v>
      </c>
      <c r="AU17" s="8" t="str">
        <f>IF(HS_DB[[#This Row],[Risk Exposure Rank]]&lt;=5,"Immediate Action",
 IF(HS_DB[[#This Row],[Risk Exposure Rank]]&lt;=15,"Monitor Closely",
 "Routine Control"))</f>
        <v>Routine Control</v>
      </c>
      <c r="AV17" s="8">
        <f>SUMIFS(HS_DB[Trade Value - USD],HS_DB[HS Code],HS_DB[[#This Row],[HS Code]])</f>
        <v>11556158</v>
      </c>
      <c r="AW17" s="6">
        <f>HS_DB[[#This Row],[Annual Spend - USD]]/HS_DB[[#This Row],[Total Market Size - USD]]</f>
        <v>1</v>
      </c>
      <c r="AX17" s="6" cm="1">
        <f t="array" ref="AX17">COUNTA(_xlfn.UNIQUE(_xlfn._xlws.FILTER(HS_DB[Partner],HS_DB[HS Code]=HS_DB[[#This Row],[HS Code]])))</f>
        <v>1</v>
      </c>
      <c r="AY17" s="8" t="str">
        <f>IF(HS_DB[[#This Row],[Competition Intensity]]&lt;=2,"Highly Concentrated",
 IF(HS_DB[[#This Row],[Competition Intensity]]&lt;=5,"Moderate",
 "Highly Competitive"))</f>
        <v>Highly Concentrated</v>
      </c>
      <c r="AZ17" s="8">
        <f>HS_DB[[#This Row],[Total Market Size - USD]]
*
(1+IFERROR(#REF!,0))
/
HS_DB[[#This Row],[Competition Intensity]]</f>
        <v>11556158</v>
      </c>
      <c r="BA17" s="8" t="str">
        <f>IF(HS_DB[[#This Row],[Commercial Opportunity Score]]&gt;=PERCENTILE(HS_DB[Commercial Opportunity Score],0.9),"High Opportunity",
 IF(HS_DB[[#This Row],[Commercial Opportunity Score]]&gt;=PERCENTILE(HS_DB[Commercial Opportunity Score],0.6),"Medium Opportunity",
 "Routine Market"))</f>
        <v>Routine Market</v>
      </c>
      <c r="BB17" s="3" t="str">
        <f>IF(AND(HS_DB[[#This Row],[Product Rank]]&gt;0,HS_DB[[#This Row],[Product Rank]]&lt;=10),"Yes","No")</f>
        <v>No</v>
      </c>
      <c r="BC17" s="3" t="str">
        <f>IF(AND(HS_DB[[#This Row],[Origin Rank]]&gt;0,HS_DB[[#This Row],[Origin Rank]]&lt;=10),"Yes","No")</f>
        <v>Yes</v>
      </c>
    </row>
    <row r="18" spans="2:55" x14ac:dyDescent="0.3">
      <c r="B18" s="2">
        <f>HS_DB[[#This Row],[Commodity Code]]</f>
        <v>391390</v>
      </c>
      <c r="C18" s="2">
        <f>IFERROR(INDEX(HS_MD!C:C,MATCH(B18,HS_MD!B:B,0),1),"")</f>
        <v>1</v>
      </c>
      <c r="D18" s="17" t="str">
        <f>IFERROR(INDEX(HS_MD!D:D,MATCH(B18,HS_MD!B:B,0),1),"")</f>
        <v>Other polymers of natural origin</v>
      </c>
      <c r="E18" s="17" t="str">
        <f>IFERROR(INDEX(HS_MD!E:E,MATCH(B18,HS_MD!B:B,0),1),"")</f>
        <v>Xanthan Gum</v>
      </c>
      <c r="F18" s="17" t="str">
        <f>IFERROR(INDEX(HS_MD!F:F,MATCH(B18,HS_MD!B:B,0),1),"")</f>
        <v>FUNCTIONAL INGREDIENTS</v>
      </c>
      <c r="G18" s="17" t="str">
        <f>IFERROR(INDEX(HS_MD!G:G,MATCH(B18,HS_MD!B:B,0),1),"")</f>
        <v>Hydrocolloids</v>
      </c>
      <c r="H18" s="17" t="str">
        <f>IFERROR(INDEX(HS_MD!H:H,MATCH(B18,HS_MD!B:B,0),1),"")</f>
        <v>Xanthan Gum</v>
      </c>
      <c r="I18" s="17" t="str">
        <f>IFERROR(INDEX(HS_MD!I:I,MATCH(B18,HS_MD!B:B,0),1),"")</f>
        <v>Sauces / Dairy / Beverages</v>
      </c>
      <c r="J18" s="17">
        <f>IFERROR(INDEX(Heat_Map[Index],MATCH(HS_DB[[#This Row],[Reporter]],Heat_Map[Global],0),1),"")</f>
        <v>118</v>
      </c>
      <c r="K18" s="17" t="str">
        <f>IF(AND(HS_DB[[#This Row],[Origin Rank]]&gt;1,HS_DB[[#This Row],[Origin Rank]]&lt;=10),"Yes","No")</f>
        <v>No</v>
      </c>
      <c r="L18" s="2">
        <v>2024</v>
      </c>
      <c r="M18" s="2" t="s">
        <v>57</v>
      </c>
      <c r="N18" s="2" t="s">
        <v>53</v>
      </c>
      <c r="O18" s="2" t="s">
        <v>22</v>
      </c>
      <c r="P18" s="2" t="s">
        <v>23</v>
      </c>
      <c r="Q18" s="2" t="s">
        <v>24</v>
      </c>
      <c r="R18" s="2" t="s">
        <v>25</v>
      </c>
      <c r="S18" s="2">
        <v>391390</v>
      </c>
      <c r="T18" s="3">
        <v>90798</v>
      </c>
      <c r="U18" s="3">
        <v>3876</v>
      </c>
      <c r="V18" s="3">
        <v>0</v>
      </c>
      <c r="W18" s="3">
        <v>3876</v>
      </c>
      <c r="X18" s="3" t="s">
        <v>58</v>
      </c>
      <c r="Y18" s="3">
        <v>3876</v>
      </c>
      <c r="Z18" s="2" t="s">
        <v>58</v>
      </c>
      <c r="AA18" s="6">
        <f>SUMIFS(HS_DB[Trade Value - USD],HS_DB[Reporter],HS_DB[[#This Row],[Reporter]])/SUM(HS_DB[Trade Value - USD])</f>
        <v>1.4561232389604124E-2</v>
      </c>
      <c r="AB18" s="8" cm="1">
        <f t="array" ref="AB18">SUMPRODUCT(
(HS_DB[Reporter]=HS_DB[[#This Row],[Reporter]])*
(HS_DB[Trade Value - USD]&gt;HS_DB[[#This Row],[Trade Value - USD]])
)+1</f>
        <v>15</v>
      </c>
      <c r="AC18" s="8" t="str">
        <f>IFERROR(IF(INDEX(Heat_Map[Crisis Impact %],MATCH(HS_DB[[#This Row],[Reporter]],Heat_Map[Global],0),1)&gt;0,"Yes","No"),"No")</f>
        <v>No</v>
      </c>
      <c r="AD18" s="6">
        <f>IFERROR(INDEX(Heat_Map[Crisis Impact %],MATCH(HS_DB[[#This Row],[Reporter]],Heat_Map[Global],0),1),0)</f>
        <v>0</v>
      </c>
      <c r="AE18" s="8">
        <f>HS_DB[[#This Row],[Crisis Impact%]]*HS_DB[[#This Row],[Trade Value - USD]]</f>
        <v>0</v>
      </c>
      <c r="AF18" s="8">
        <f>HS_DB[[#This Row],[Crisis Impact%]]*HS_DB[[#This Row],[Net Weight -KG]]</f>
        <v>0</v>
      </c>
      <c r="AG18" s="6">
        <f>SUMIFS(HS_DB[Trade Value - USD],HS_DB[Products],HS_DB[[#This Row],[Products]])/SUM(HS_DB[Trade Value - USD])</f>
        <v>6.1305607849135918E-3</v>
      </c>
      <c r="AH18" s="8">
        <f>_xlfn.RANK.EQ(HS_DB[[#This Row],[Trade Value - USD]], HS_DB[Trade Value - USD], 0)
 + COUNTIFS(HS_DB[Trade Value - USD],HS_DB[[#This Row],[Trade Value - USD]],
            HS_DB[HS Code],"&lt;"&amp;HS_DB[[#This Row],[HS Code]])</f>
        <v>282</v>
      </c>
      <c r="AI18" s="9">
        <f>IFERROR(HS_DB[[#This Row],[Trade Value - USD]]/HS_DB[[#This Row],[Net Weight -KG]],0)</f>
        <v>23.425696594427244</v>
      </c>
      <c r="AJ18" s="17" cm="1">
        <f t="array" ref="AJ18">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8" s="17" t="str">
        <f>IF(HS_DB[[#This Row],[HS Code Risk Score]]&gt;=40,"High",
 IF(HS_DB[[#This Row],[HS Code Risk Score]]&gt;=25,"Medium","Low"))</f>
        <v>Medium</v>
      </c>
      <c r="AL18" s="17" t="str">
        <f>IF(RANK(HS_DB[[#This Row],[HS Code Risk Score]],HS_DB[HS Code Risk Score])&lt;=10,"Yes","No")</f>
        <v>No</v>
      </c>
      <c r="AM18" s="8">
        <f>SUMIFS(HS_DB[Net Weight -KG],HS_DB[HS Code],HS_DB[[#This Row],[HS Code]])</f>
        <v>2298360.2000000002</v>
      </c>
      <c r="AN18" s="8">
        <f>SUMIFS(HS_DB[Trade Value - USD],HS_DB[HS Code],HS_DB[[#This Row],[HS Code]])</f>
        <v>11556158</v>
      </c>
      <c r="AO18" s="6">
        <f>_xlfn.MAXIFS(HS_DB[Origin Share%],HS_DB[HS Code],HS_DB[[#This Row],[HS Code]])</f>
        <v>0.25769345655074266</v>
      </c>
      <c r="AP18" s="8" cm="1">
        <f t="array" ref="AP18">_xlfn.LET(
_xlpm.hs,HS_DB[[#This Row],[HS Code]],
COUNTA(_xlfn.UNIQUE(_xlfn._xlws.FILTER(HS_DB[Reporter],HS_DB[HS Code]=_xlpm.hs)))
)</f>
        <v>19</v>
      </c>
      <c r="AQ18" s="17" t="str">
        <f>IF(HS_DB[[#This Row],[Origin Count]]=1,"Single Source","Multiple Sources")</f>
        <v>Multiple Sources</v>
      </c>
      <c r="AR18" s="8">
        <f>HS_DB[[#This Row],[Annual Spend - USD]]*(HS_DB[[#This Row],[HS Code Risk Score]]/100)</f>
        <v>3929093.72</v>
      </c>
      <c r="AS18" s="8">
        <f>RANK(HS_DB[[#This Row],[Risk Exposure - USD]],HS_DB[Risk Exposure - USD],0)</f>
        <v>261</v>
      </c>
      <c r="AT18" s="8" t="str">
        <f>IF(HS_DB[[#This Row],[Risk Exposure Rank]]&lt;=10,"High",
 IF(HS_DB[[#This Row],[Risk Exposure Rank]]&lt;=30,"Medium",
 "Low"))</f>
        <v>Low</v>
      </c>
      <c r="AU18" s="8" t="str">
        <f>IF(HS_DB[[#This Row],[Risk Exposure Rank]]&lt;=5,"Immediate Action",
 IF(HS_DB[[#This Row],[Risk Exposure Rank]]&lt;=15,"Monitor Closely",
 "Routine Control"))</f>
        <v>Routine Control</v>
      </c>
      <c r="AV18" s="8">
        <f>SUMIFS(HS_DB[Trade Value - USD],HS_DB[HS Code],HS_DB[[#This Row],[HS Code]])</f>
        <v>11556158</v>
      </c>
      <c r="AW18" s="6">
        <f>HS_DB[[#This Row],[Annual Spend - USD]]/HS_DB[[#This Row],[Total Market Size - USD]]</f>
        <v>1</v>
      </c>
      <c r="AX18" s="6" cm="1">
        <f t="array" ref="AX18">COUNTA(_xlfn.UNIQUE(_xlfn._xlws.FILTER(HS_DB[Partner],HS_DB[HS Code]=HS_DB[[#This Row],[HS Code]])))</f>
        <v>1</v>
      </c>
      <c r="AY18" s="8" t="str">
        <f>IF(HS_DB[[#This Row],[Competition Intensity]]&lt;=2,"Highly Concentrated",
 IF(HS_DB[[#This Row],[Competition Intensity]]&lt;=5,"Moderate",
 "Highly Competitive"))</f>
        <v>Highly Concentrated</v>
      </c>
      <c r="AZ18" s="8">
        <f>HS_DB[[#This Row],[Total Market Size - USD]]
*
(1+IFERROR(#REF!,0))
/
HS_DB[[#This Row],[Competition Intensity]]</f>
        <v>11556158</v>
      </c>
      <c r="BA18" s="8" t="str">
        <f>IF(HS_DB[[#This Row],[Commercial Opportunity Score]]&gt;=PERCENTILE(HS_DB[Commercial Opportunity Score],0.9),"High Opportunity",
 IF(HS_DB[[#This Row],[Commercial Opportunity Score]]&gt;=PERCENTILE(HS_DB[Commercial Opportunity Score],0.6),"Medium Opportunity",
 "Routine Market"))</f>
        <v>Routine Market</v>
      </c>
      <c r="BB18" s="3" t="str">
        <f>IF(AND(HS_DB[[#This Row],[Product Rank]]&gt;0,HS_DB[[#This Row],[Product Rank]]&lt;=10),"Yes","No")</f>
        <v>No</v>
      </c>
      <c r="BC18" s="3" t="str">
        <f>IF(AND(HS_DB[[#This Row],[Origin Rank]]&gt;0,HS_DB[[#This Row],[Origin Rank]]&lt;=10),"Yes","No")</f>
        <v>No</v>
      </c>
    </row>
    <row r="19" spans="2:55" x14ac:dyDescent="0.3">
      <c r="B19" s="2">
        <f>HS_DB[[#This Row],[Commodity Code]]</f>
        <v>391390</v>
      </c>
      <c r="C19" s="2">
        <f>IFERROR(INDEX(HS_MD!C:C,MATCH(B19,HS_MD!B:B,0),1),"")</f>
        <v>1</v>
      </c>
      <c r="D19" s="17" t="str">
        <f>IFERROR(INDEX(HS_MD!D:D,MATCH(B19,HS_MD!B:B,0),1),"")</f>
        <v>Other polymers of natural origin</v>
      </c>
      <c r="E19" s="17" t="str">
        <f>IFERROR(INDEX(HS_MD!E:E,MATCH(B19,HS_MD!B:B,0),1),"")</f>
        <v>Xanthan Gum</v>
      </c>
      <c r="F19" s="17" t="str">
        <f>IFERROR(INDEX(HS_MD!F:F,MATCH(B19,HS_MD!B:B,0),1),"")</f>
        <v>FUNCTIONAL INGREDIENTS</v>
      </c>
      <c r="G19" s="17" t="str">
        <f>IFERROR(INDEX(HS_MD!G:G,MATCH(B19,HS_MD!B:B,0),1),"")</f>
        <v>Hydrocolloids</v>
      </c>
      <c r="H19" s="17" t="str">
        <f>IFERROR(INDEX(HS_MD!H:H,MATCH(B19,HS_MD!B:B,0),1),"")</f>
        <v>Xanthan Gum</v>
      </c>
      <c r="I19" s="17" t="str">
        <f>IFERROR(INDEX(HS_MD!I:I,MATCH(B19,HS_MD!B:B,0),1),"")</f>
        <v>Sauces / Dairy / Beverages</v>
      </c>
      <c r="J19" s="17">
        <f>IFERROR(INDEX(Heat_Map[Index],MATCH(HS_DB[[#This Row],[Reporter]],Heat_Map[Global],0),1),"")</f>
        <v>134</v>
      </c>
      <c r="K19" s="17" t="str">
        <f>IF(AND(HS_DB[[#This Row],[Origin Rank]]&gt;1,HS_DB[[#This Row],[Origin Rank]]&lt;=10),"Yes","No")</f>
        <v>Yes</v>
      </c>
      <c r="L19" s="2">
        <v>2024</v>
      </c>
      <c r="M19" s="2" t="s">
        <v>57</v>
      </c>
      <c r="N19" s="2" t="s">
        <v>55</v>
      </c>
      <c r="O19" s="2" t="s">
        <v>22</v>
      </c>
      <c r="P19" s="2" t="s">
        <v>23</v>
      </c>
      <c r="Q19" s="2" t="s">
        <v>24</v>
      </c>
      <c r="R19" s="2" t="s">
        <v>25</v>
      </c>
      <c r="S19" s="2">
        <v>391390</v>
      </c>
      <c r="T19" s="3">
        <v>212138</v>
      </c>
      <c r="U19" s="3">
        <v>425</v>
      </c>
      <c r="V19" s="3">
        <v>0</v>
      </c>
      <c r="W19" s="3">
        <v>425</v>
      </c>
      <c r="X19" s="3" t="s">
        <v>58</v>
      </c>
      <c r="Y19" s="3">
        <v>425</v>
      </c>
      <c r="Z19" s="2" t="s">
        <v>58</v>
      </c>
      <c r="AA19" s="6">
        <f>SUMIFS(HS_DB[Trade Value - USD],HS_DB[Reporter],HS_DB[[#This Row],[Reporter]])/SUM(HS_DB[Trade Value - USD])</f>
        <v>6.3855771678493602E-3</v>
      </c>
      <c r="AB19" s="8" cm="1">
        <f t="array" ref="AB19">SUMPRODUCT(
(HS_DB[Reporter]=HS_DB[[#This Row],[Reporter]])*
(HS_DB[Trade Value - USD]&gt;HS_DB[[#This Row],[Trade Value - USD]])
)+1</f>
        <v>3</v>
      </c>
      <c r="AC19" s="8" t="str">
        <f>IFERROR(IF(INDEX(Heat_Map[Crisis Impact %],MATCH(HS_DB[[#This Row],[Reporter]],Heat_Map[Global],0),1)&gt;0,"Yes","No"),"No")</f>
        <v>Yes</v>
      </c>
      <c r="AD19" s="6">
        <f>IFERROR(INDEX(Heat_Map[Crisis Impact %],MATCH(HS_DB[[#This Row],[Reporter]],Heat_Map[Global],0),1),0)</f>
        <v>0.06</v>
      </c>
      <c r="AE19" s="8">
        <f>HS_DB[[#This Row],[Crisis Impact%]]*HS_DB[[#This Row],[Trade Value - USD]]</f>
        <v>12728.279999999999</v>
      </c>
      <c r="AF19" s="8">
        <f>HS_DB[[#This Row],[Crisis Impact%]]*HS_DB[[#This Row],[Net Weight -KG]]</f>
        <v>25.5</v>
      </c>
      <c r="AG19" s="6">
        <f>SUMIFS(HS_DB[Trade Value - USD],HS_DB[Products],HS_DB[[#This Row],[Products]])/SUM(HS_DB[Trade Value - USD])</f>
        <v>6.1305607849135918E-3</v>
      </c>
      <c r="AH19" s="8">
        <f>_xlfn.RANK.EQ(HS_DB[[#This Row],[Trade Value - USD]], HS_DB[Trade Value - USD], 0)
 + COUNTIFS(HS_DB[Trade Value - USD],HS_DB[[#This Row],[Trade Value - USD]],
            HS_DB[HS Code],"&lt;"&amp;HS_DB[[#This Row],[HS Code]])</f>
        <v>215</v>
      </c>
      <c r="AI19" s="9">
        <f>IFERROR(HS_DB[[#This Row],[Trade Value - USD]]/HS_DB[[#This Row],[Net Weight -KG]],0)</f>
        <v>499.14823529411763</v>
      </c>
      <c r="AJ19" s="17" cm="1">
        <f t="array" ref="AJ19">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9" s="17" t="str">
        <f>IF(HS_DB[[#This Row],[HS Code Risk Score]]&gt;=40,"High",
 IF(HS_DB[[#This Row],[HS Code Risk Score]]&gt;=25,"Medium","Low"))</f>
        <v>Medium</v>
      </c>
      <c r="AL19" s="17" t="str">
        <f>IF(RANK(HS_DB[[#This Row],[HS Code Risk Score]],HS_DB[HS Code Risk Score])&lt;=10,"Yes","No")</f>
        <v>No</v>
      </c>
      <c r="AM19" s="8">
        <f>SUMIFS(HS_DB[Net Weight -KG],HS_DB[HS Code],HS_DB[[#This Row],[HS Code]])</f>
        <v>2298360.2000000002</v>
      </c>
      <c r="AN19" s="8">
        <f>SUMIFS(HS_DB[Trade Value - USD],HS_DB[HS Code],HS_DB[[#This Row],[HS Code]])</f>
        <v>11556158</v>
      </c>
      <c r="AO19" s="6">
        <f>_xlfn.MAXIFS(HS_DB[Origin Share%],HS_DB[HS Code],HS_DB[[#This Row],[HS Code]])</f>
        <v>0.25769345655074266</v>
      </c>
      <c r="AP19" s="8" cm="1">
        <f t="array" ref="AP19">_xlfn.LET(
_xlpm.hs,HS_DB[[#This Row],[HS Code]],
COUNTA(_xlfn.UNIQUE(_xlfn._xlws.FILTER(HS_DB[Reporter],HS_DB[HS Code]=_xlpm.hs)))
)</f>
        <v>19</v>
      </c>
      <c r="AQ19" s="17" t="str">
        <f>IF(HS_DB[[#This Row],[Origin Count]]=1,"Single Source","Multiple Sources")</f>
        <v>Multiple Sources</v>
      </c>
      <c r="AR19" s="8">
        <f>HS_DB[[#This Row],[Annual Spend - USD]]*(HS_DB[[#This Row],[HS Code Risk Score]]/100)</f>
        <v>3929093.72</v>
      </c>
      <c r="AS19" s="8">
        <f>RANK(HS_DB[[#This Row],[Risk Exposure - USD]],HS_DB[Risk Exposure - USD],0)</f>
        <v>261</v>
      </c>
      <c r="AT19" s="8" t="str">
        <f>IF(HS_DB[[#This Row],[Risk Exposure Rank]]&lt;=10,"High",
 IF(HS_DB[[#This Row],[Risk Exposure Rank]]&lt;=30,"Medium",
 "Low"))</f>
        <v>Low</v>
      </c>
      <c r="AU19" s="8" t="str">
        <f>IF(HS_DB[[#This Row],[Risk Exposure Rank]]&lt;=5,"Immediate Action",
 IF(HS_DB[[#This Row],[Risk Exposure Rank]]&lt;=15,"Monitor Closely",
 "Routine Control"))</f>
        <v>Routine Control</v>
      </c>
      <c r="AV19" s="8">
        <f>SUMIFS(HS_DB[Trade Value - USD],HS_DB[HS Code],HS_DB[[#This Row],[HS Code]])</f>
        <v>11556158</v>
      </c>
      <c r="AW19" s="6">
        <f>HS_DB[[#This Row],[Annual Spend - USD]]/HS_DB[[#This Row],[Total Market Size - USD]]</f>
        <v>1</v>
      </c>
      <c r="AX19" s="6" cm="1">
        <f t="array" ref="AX19">COUNTA(_xlfn.UNIQUE(_xlfn._xlws.FILTER(HS_DB[Partner],HS_DB[HS Code]=HS_DB[[#This Row],[HS Code]])))</f>
        <v>1</v>
      </c>
      <c r="AY19" s="8" t="str">
        <f>IF(HS_DB[[#This Row],[Competition Intensity]]&lt;=2,"Highly Concentrated",
 IF(HS_DB[[#This Row],[Competition Intensity]]&lt;=5,"Moderate",
 "Highly Competitive"))</f>
        <v>Highly Concentrated</v>
      </c>
      <c r="AZ19" s="8">
        <f>HS_DB[[#This Row],[Total Market Size - USD]]
*
(1+IFERROR(#REF!,0))
/
HS_DB[[#This Row],[Competition Intensity]]</f>
        <v>11556158</v>
      </c>
      <c r="BA19" s="8" t="str">
        <f>IF(HS_DB[[#This Row],[Commercial Opportunity Score]]&gt;=PERCENTILE(HS_DB[Commercial Opportunity Score],0.9),"High Opportunity",
 IF(HS_DB[[#This Row],[Commercial Opportunity Score]]&gt;=PERCENTILE(HS_DB[Commercial Opportunity Score],0.6),"Medium Opportunity",
 "Routine Market"))</f>
        <v>Routine Market</v>
      </c>
      <c r="BB19" s="3" t="str">
        <f>IF(AND(HS_DB[[#This Row],[Product Rank]]&gt;0,HS_DB[[#This Row],[Product Rank]]&lt;=10),"Yes","No")</f>
        <v>No</v>
      </c>
      <c r="BC19" s="3" t="str">
        <f>IF(AND(HS_DB[[#This Row],[Origin Rank]]&gt;0,HS_DB[[#This Row],[Origin Rank]]&lt;=10),"Yes","No")</f>
        <v>Yes</v>
      </c>
    </row>
    <row r="20" spans="2:55" x14ac:dyDescent="0.3">
      <c r="B20" s="2">
        <f>HS_DB[[#This Row],[Commodity Code]]</f>
        <v>391390</v>
      </c>
      <c r="C20" s="2">
        <f>IFERROR(INDEX(HS_MD!C:C,MATCH(B20,HS_MD!B:B,0),1),"")</f>
        <v>1</v>
      </c>
      <c r="D20" s="17" t="str">
        <f>IFERROR(INDEX(HS_MD!D:D,MATCH(B20,HS_MD!B:B,0),1),"")</f>
        <v>Other polymers of natural origin</v>
      </c>
      <c r="E20" s="17" t="str">
        <f>IFERROR(INDEX(HS_MD!E:E,MATCH(B20,HS_MD!B:B,0),1),"")</f>
        <v>Xanthan Gum</v>
      </c>
      <c r="F20" s="17" t="str">
        <f>IFERROR(INDEX(HS_MD!F:F,MATCH(B20,HS_MD!B:B,0),1),"")</f>
        <v>FUNCTIONAL INGREDIENTS</v>
      </c>
      <c r="G20" s="17" t="str">
        <f>IFERROR(INDEX(HS_MD!G:G,MATCH(B20,HS_MD!B:B,0),1),"")</f>
        <v>Hydrocolloids</v>
      </c>
      <c r="H20" s="17" t="str">
        <f>IFERROR(INDEX(HS_MD!H:H,MATCH(B20,HS_MD!B:B,0),1),"")</f>
        <v>Xanthan Gum</v>
      </c>
      <c r="I20" s="17" t="str">
        <f>IFERROR(INDEX(HS_MD!I:I,MATCH(B20,HS_MD!B:B,0),1),"")</f>
        <v>Sauces / Dairy / Beverages</v>
      </c>
      <c r="J20" s="17">
        <f>IFERROR(INDEX(Heat_Map[Index],MATCH(HS_DB[[#This Row],[Reporter]],Heat_Map[Global],0),1),"")</f>
        <v>146</v>
      </c>
      <c r="K20" s="17" t="str">
        <f>IF(AND(HS_DB[[#This Row],[Origin Rank]]&gt;1,HS_DB[[#This Row],[Origin Rank]]&lt;=10),"Yes","No")</f>
        <v>Yes</v>
      </c>
      <c r="L20" s="2">
        <v>2024</v>
      </c>
      <c r="M20" s="2" t="s">
        <v>57</v>
      </c>
      <c r="N20" s="2" t="s">
        <v>27</v>
      </c>
      <c r="O20" s="2" t="s">
        <v>22</v>
      </c>
      <c r="P20" s="2" t="s">
        <v>23</v>
      </c>
      <c r="Q20" s="2" t="s">
        <v>24</v>
      </c>
      <c r="R20" s="2" t="s">
        <v>25</v>
      </c>
      <c r="S20" s="2">
        <v>391390</v>
      </c>
      <c r="T20" s="3">
        <v>205184</v>
      </c>
      <c r="U20" s="3">
        <v>82800</v>
      </c>
      <c r="V20" s="3">
        <v>0</v>
      </c>
      <c r="W20" s="3">
        <v>82800</v>
      </c>
      <c r="X20" s="3" t="s">
        <v>58</v>
      </c>
      <c r="Y20" s="3">
        <v>82800</v>
      </c>
      <c r="Z20" s="2" t="s">
        <v>58</v>
      </c>
      <c r="AA20" s="6">
        <f>SUMIFS(HS_DB[Trade Value - USD],HS_DB[Reporter],HS_DB[[#This Row],[Reporter]])/SUM(HS_DB[Trade Value - USD])</f>
        <v>9.709938116315122E-3</v>
      </c>
      <c r="AB20" s="8" cm="1">
        <f t="array" ref="AB20">SUMPRODUCT(
(HS_DB[Reporter]=HS_DB[[#This Row],[Reporter]])*
(HS_DB[Trade Value - USD]&gt;HS_DB[[#This Row],[Trade Value - USD]])
)+1</f>
        <v>6</v>
      </c>
      <c r="AC20" s="8" t="str">
        <f>IFERROR(IF(INDEX(Heat_Map[Crisis Impact %],MATCH(HS_DB[[#This Row],[Reporter]],Heat_Map[Global],0),1)&gt;0,"Yes","No"),"No")</f>
        <v>No</v>
      </c>
      <c r="AD20" s="6">
        <f>IFERROR(INDEX(Heat_Map[Crisis Impact %],MATCH(HS_DB[[#This Row],[Reporter]],Heat_Map[Global],0),1),0)</f>
        <v>0</v>
      </c>
      <c r="AE20" s="8">
        <f>HS_DB[[#This Row],[Crisis Impact%]]*HS_DB[[#This Row],[Trade Value - USD]]</f>
        <v>0</v>
      </c>
      <c r="AF20" s="8">
        <f>HS_DB[[#This Row],[Crisis Impact%]]*HS_DB[[#This Row],[Net Weight -KG]]</f>
        <v>0</v>
      </c>
      <c r="AG20" s="6">
        <f>SUMIFS(HS_DB[Trade Value - USD],HS_DB[Products],HS_DB[[#This Row],[Products]])/SUM(HS_DB[Trade Value - USD])</f>
        <v>6.1305607849135918E-3</v>
      </c>
      <c r="AH20" s="8">
        <f>_xlfn.RANK.EQ(HS_DB[[#This Row],[Trade Value - USD]], HS_DB[Trade Value - USD], 0)
 + COUNTIFS(HS_DB[Trade Value - USD],HS_DB[[#This Row],[Trade Value - USD]],
            HS_DB[HS Code],"&lt;"&amp;HS_DB[[#This Row],[HS Code]])</f>
        <v>217</v>
      </c>
      <c r="AI20" s="9">
        <f>IFERROR(HS_DB[[#This Row],[Trade Value - USD]]/HS_DB[[#This Row],[Net Weight -KG]],0)</f>
        <v>2.4780676328502413</v>
      </c>
      <c r="AJ20" s="17" cm="1">
        <f t="array" ref="AJ20">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0" s="17" t="str">
        <f>IF(HS_DB[[#This Row],[HS Code Risk Score]]&gt;=40,"High",
 IF(HS_DB[[#This Row],[HS Code Risk Score]]&gt;=25,"Medium","Low"))</f>
        <v>Medium</v>
      </c>
      <c r="AL20" s="17" t="str">
        <f>IF(RANK(HS_DB[[#This Row],[HS Code Risk Score]],HS_DB[HS Code Risk Score])&lt;=10,"Yes","No")</f>
        <v>No</v>
      </c>
      <c r="AM20" s="8">
        <f>SUMIFS(HS_DB[Net Weight -KG],HS_DB[HS Code],HS_DB[[#This Row],[HS Code]])</f>
        <v>2298360.2000000002</v>
      </c>
      <c r="AN20" s="8">
        <f>SUMIFS(HS_DB[Trade Value - USD],HS_DB[HS Code],HS_DB[[#This Row],[HS Code]])</f>
        <v>11556158</v>
      </c>
      <c r="AO20" s="6">
        <f>_xlfn.MAXIFS(HS_DB[Origin Share%],HS_DB[HS Code],HS_DB[[#This Row],[HS Code]])</f>
        <v>0.25769345655074266</v>
      </c>
      <c r="AP20" s="8" cm="1">
        <f t="array" ref="AP20">_xlfn.LET(
_xlpm.hs,HS_DB[[#This Row],[HS Code]],
COUNTA(_xlfn.UNIQUE(_xlfn._xlws.FILTER(HS_DB[Reporter],HS_DB[HS Code]=_xlpm.hs)))
)</f>
        <v>19</v>
      </c>
      <c r="AQ20" s="17" t="str">
        <f>IF(HS_DB[[#This Row],[Origin Count]]=1,"Single Source","Multiple Sources")</f>
        <v>Multiple Sources</v>
      </c>
      <c r="AR20" s="8">
        <f>HS_DB[[#This Row],[Annual Spend - USD]]*(HS_DB[[#This Row],[HS Code Risk Score]]/100)</f>
        <v>3929093.72</v>
      </c>
      <c r="AS20" s="8">
        <f>RANK(HS_DB[[#This Row],[Risk Exposure - USD]],HS_DB[Risk Exposure - USD],0)</f>
        <v>261</v>
      </c>
      <c r="AT20" s="8" t="str">
        <f>IF(HS_DB[[#This Row],[Risk Exposure Rank]]&lt;=10,"High",
 IF(HS_DB[[#This Row],[Risk Exposure Rank]]&lt;=30,"Medium",
 "Low"))</f>
        <v>Low</v>
      </c>
      <c r="AU20" s="8" t="str">
        <f>IF(HS_DB[[#This Row],[Risk Exposure Rank]]&lt;=5,"Immediate Action",
 IF(HS_DB[[#This Row],[Risk Exposure Rank]]&lt;=15,"Monitor Closely",
 "Routine Control"))</f>
        <v>Routine Control</v>
      </c>
      <c r="AV20" s="8">
        <f>SUMIFS(HS_DB[Trade Value - USD],HS_DB[HS Code],HS_DB[[#This Row],[HS Code]])</f>
        <v>11556158</v>
      </c>
      <c r="AW20" s="6">
        <f>HS_DB[[#This Row],[Annual Spend - USD]]/HS_DB[[#This Row],[Total Market Size - USD]]</f>
        <v>1</v>
      </c>
      <c r="AX20" s="6" cm="1">
        <f t="array" ref="AX20">COUNTA(_xlfn.UNIQUE(_xlfn._xlws.FILTER(HS_DB[Partner],HS_DB[HS Code]=HS_DB[[#This Row],[HS Code]])))</f>
        <v>1</v>
      </c>
      <c r="AY20" s="8" t="str">
        <f>IF(HS_DB[[#This Row],[Competition Intensity]]&lt;=2,"Highly Concentrated",
 IF(HS_DB[[#This Row],[Competition Intensity]]&lt;=5,"Moderate",
 "Highly Competitive"))</f>
        <v>Highly Concentrated</v>
      </c>
      <c r="AZ20" s="8">
        <f>HS_DB[[#This Row],[Total Market Size - USD]]
*
(1+IFERROR(#REF!,0))
/
HS_DB[[#This Row],[Competition Intensity]]</f>
        <v>11556158</v>
      </c>
      <c r="BA20" s="8" t="str">
        <f>IF(HS_DB[[#This Row],[Commercial Opportunity Score]]&gt;=PERCENTILE(HS_DB[Commercial Opportunity Score],0.9),"High Opportunity",
 IF(HS_DB[[#This Row],[Commercial Opportunity Score]]&gt;=PERCENTILE(HS_DB[Commercial Opportunity Score],0.6),"Medium Opportunity",
 "Routine Market"))</f>
        <v>Routine Market</v>
      </c>
      <c r="BB20" s="3" t="str">
        <f>IF(AND(HS_DB[[#This Row],[Product Rank]]&gt;0,HS_DB[[#This Row],[Product Rank]]&lt;=10),"Yes","No")</f>
        <v>No</v>
      </c>
      <c r="BC20" s="3" t="str">
        <f>IF(AND(HS_DB[[#This Row],[Origin Rank]]&gt;0,HS_DB[[#This Row],[Origin Rank]]&lt;=10),"Yes","No")</f>
        <v>Yes</v>
      </c>
    </row>
    <row r="21" spans="2:55" x14ac:dyDescent="0.3">
      <c r="B21" s="2">
        <f>HS_DB[[#This Row],[Commodity Code]]</f>
        <v>391390</v>
      </c>
      <c r="C21" s="2">
        <f>IFERROR(INDEX(HS_MD!C:C,MATCH(B21,HS_MD!B:B,0),1),"")</f>
        <v>1</v>
      </c>
      <c r="D21" s="17" t="str">
        <f>IFERROR(INDEX(HS_MD!D:D,MATCH(B21,HS_MD!B:B,0),1),"")</f>
        <v>Other polymers of natural origin</v>
      </c>
      <c r="E21" s="17" t="str">
        <f>IFERROR(INDEX(HS_MD!E:E,MATCH(B21,HS_MD!B:B,0),1),"")</f>
        <v>Xanthan Gum</v>
      </c>
      <c r="F21" s="17" t="str">
        <f>IFERROR(INDEX(HS_MD!F:F,MATCH(B21,HS_MD!B:B,0),1),"")</f>
        <v>FUNCTIONAL INGREDIENTS</v>
      </c>
      <c r="G21" s="17" t="str">
        <f>IFERROR(INDEX(HS_MD!G:G,MATCH(B21,HS_MD!B:B,0),1),"")</f>
        <v>Hydrocolloids</v>
      </c>
      <c r="H21" s="17" t="str">
        <f>IFERROR(INDEX(HS_MD!H:H,MATCH(B21,HS_MD!B:B,0),1),"")</f>
        <v>Xanthan Gum</v>
      </c>
      <c r="I21" s="17" t="str">
        <f>IFERROR(INDEX(HS_MD!I:I,MATCH(B21,HS_MD!B:B,0),1),"")</f>
        <v>Sauces / Dairy / Beverages</v>
      </c>
      <c r="J21" s="17">
        <f>IFERROR(INDEX(Heat_Map[Index],MATCH(HS_DB[[#This Row],[Reporter]],Heat_Map[Global],0),1),"")</f>
        <v>75</v>
      </c>
      <c r="K21" s="17" t="str">
        <f>IF(AND(HS_DB[[#This Row],[Origin Rank]]&gt;1,HS_DB[[#This Row],[Origin Rank]]&lt;=10),"Yes","No")</f>
        <v>No</v>
      </c>
      <c r="L21" s="2">
        <v>2024</v>
      </c>
      <c r="M21" s="2" t="s">
        <v>57</v>
      </c>
      <c r="N21" s="2" t="s">
        <v>8</v>
      </c>
      <c r="O21" s="2" t="s">
        <v>22</v>
      </c>
      <c r="P21" s="2" t="s">
        <v>23</v>
      </c>
      <c r="Q21" s="2" t="s">
        <v>24</v>
      </c>
      <c r="R21" s="2" t="s">
        <v>25</v>
      </c>
      <c r="S21" s="2">
        <v>391390</v>
      </c>
      <c r="T21" s="3">
        <v>37251</v>
      </c>
      <c r="U21" s="3">
        <v>4901</v>
      </c>
      <c r="V21" s="3">
        <v>0</v>
      </c>
      <c r="W21" s="3">
        <v>4901</v>
      </c>
      <c r="X21" s="3" t="s">
        <v>58</v>
      </c>
      <c r="Y21" s="3">
        <v>4901</v>
      </c>
      <c r="Z21" s="2" t="s">
        <v>58</v>
      </c>
      <c r="AA21" s="6">
        <f>SUMIFS(HS_DB[Trade Value - USD],HS_DB[Reporter],HS_DB[[#This Row],[Reporter]])/SUM(HS_DB[Trade Value - USD])</f>
        <v>2.2441761060335613E-2</v>
      </c>
      <c r="AB21" s="8" cm="1">
        <f t="array" ref="AB21">SUMPRODUCT(
(HS_DB[Reporter]=HS_DB[[#This Row],[Reporter]])*
(HS_DB[Trade Value - USD]&gt;HS_DB[[#This Row],[Trade Value - USD]])
)+1</f>
        <v>28</v>
      </c>
      <c r="AC21" s="8" t="str">
        <f>IFERROR(IF(INDEX(Heat_Map[Crisis Impact %],MATCH(HS_DB[[#This Row],[Reporter]],Heat_Map[Global],0),1)&gt;0,"Yes","No"),"No")</f>
        <v>No</v>
      </c>
      <c r="AD21" s="6">
        <f>IFERROR(INDEX(Heat_Map[Crisis Impact %],MATCH(HS_DB[[#This Row],[Reporter]],Heat_Map[Global],0),1),0)</f>
        <v>0</v>
      </c>
      <c r="AE21" s="8">
        <f>HS_DB[[#This Row],[Crisis Impact%]]*HS_DB[[#This Row],[Trade Value - USD]]</f>
        <v>0</v>
      </c>
      <c r="AF21" s="8">
        <f>HS_DB[[#This Row],[Crisis Impact%]]*HS_DB[[#This Row],[Net Weight -KG]]</f>
        <v>0</v>
      </c>
      <c r="AG21" s="6">
        <f>SUMIFS(HS_DB[Trade Value - USD],HS_DB[Products],HS_DB[[#This Row],[Products]])/SUM(HS_DB[Trade Value - USD])</f>
        <v>6.1305607849135918E-3</v>
      </c>
      <c r="AH21" s="8">
        <f>_xlfn.RANK.EQ(HS_DB[[#This Row],[Trade Value - USD]], HS_DB[Trade Value - USD], 0)
 + COUNTIFS(HS_DB[Trade Value - USD],HS_DB[[#This Row],[Trade Value - USD]],
            HS_DB[HS Code],"&lt;"&amp;HS_DB[[#This Row],[HS Code]])</f>
        <v>336</v>
      </c>
      <c r="AI21" s="9">
        <f>IFERROR(HS_DB[[#This Row],[Trade Value - USD]]/HS_DB[[#This Row],[Net Weight -KG]],0)</f>
        <v>7.6006937359722508</v>
      </c>
      <c r="AJ21" s="17" cm="1">
        <f t="array" ref="AJ21">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1" s="17" t="str">
        <f>IF(HS_DB[[#This Row],[HS Code Risk Score]]&gt;=40,"High",
 IF(HS_DB[[#This Row],[HS Code Risk Score]]&gt;=25,"Medium","Low"))</f>
        <v>Medium</v>
      </c>
      <c r="AL21" s="17" t="str">
        <f>IF(RANK(HS_DB[[#This Row],[HS Code Risk Score]],HS_DB[HS Code Risk Score])&lt;=10,"Yes","No")</f>
        <v>No</v>
      </c>
      <c r="AM21" s="8">
        <f>SUMIFS(HS_DB[Net Weight -KG],HS_DB[HS Code],HS_DB[[#This Row],[HS Code]])</f>
        <v>2298360.2000000002</v>
      </c>
      <c r="AN21" s="8">
        <f>SUMIFS(HS_DB[Trade Value - USD],HS_DB[HS Code],HS_DB[[#This Row],[HS Code]])</f>
        <v>11556158</v>
      </c>
      <c r="AO21" s="6">
        <f>_xlfn.MAXIFS(HS_DB[Origin Share%],HS_DB[HS Code],HS_DB[[#This Row],[HS Code]])</f>
        <v>0.25769345655074266</v>
      </c>
      <c r="AP21" s="8" cm="1">
        <f t="array" ref="AP21">_xlfn.LET(
_xlpm.hs,HS_DB[[#This Row],[HS Code]],
COUNTA(_xlfn.UNIQUE(_xlfn._xlws.FILTER(HS_DB[Reporter],HS_DB[HS Code]=_xlpm.hs)))
)</f>
        <v>19</v>
      </c>
      <c r="AQ21" s="17" t="str">
        <f>IF(HS_DB[[#This Row],[Origin Count]]=1,"Single Source","Multiple Sources")</f>
        <v>Multiple Sources</v>
      </c>
      <c r="AR21" s="8">
        <f>HS_DB[[#This Row],[Annual Spend - USD]]*(HS_DB[[#This Row],[HS Code Risk Score]]/100)</f>
        <v>3929093.72</v>
      </c>
      <c r="AS21" s="8">
        <f>RANK(HS_DB[[#This Row],[Risk Exposure - USD]],HS_DB[Risk Exposure - USD],0)</f>
        <v>261</v>
      </c>
      <c r="AT21" s="8" t="str">
        <f>IF(HS_DB[[#This Row],[Risk Exposure Rank]]&lt;=10,"High",
 IF(HS_DB[[#This Row],[Risk Exposure Rank]]&lt;=30,"Medium",
 "Low"))</f>
        <v>Low</v>
      </c>
      <c r="AU21" s="8" t="str">
        <f>IF(HS_DB[[#This Row],[Risk Exposure Rank]]&lt;=5,"Immediate Action",
 IF(HS_DB[[#This Row],[Risk Exposure Rank]]&lt;=15,"Monitor Closely",
 "Routine Control"))</f>
        <v>Routine Control</v>
      </c>
      <c r="AV21" s="8">
        <f>SUMIFS(HS_DB[Trade Value - USD],HS_DB[HS Code],HS_DB[[#This Row],[HS Code]])</f>
        <v>11556158</v>
      </c>
      <c r="AW21" s="6">
        <f>HS_DB[[#This Row],[Annual Spend - USD]]/HS_DB[[#This Row],[Total Market Size - USD]]</f>
        <v>1</v>
      </c>
      <c r="AX21" s="6" cm="1">
        <f t="array" ref="AX21">COUNTA(_xlfn.UNIQUE(_xlfn._xlws.FILTER(HS_DB[Partner],HS_DB[HS Code]=HS_DB[[#This Row],[HS Code]])))</f>
        <v>1</v>
      </c>
      <c r="AY21" s="8" t="str">
        <f>IF(HS_DB[[#This Row],[Competition Intensity]]&lt;=2,"Highly Concentrated",
 IF(HS_DB[[#This Row],[Competition Intensity]]&lt;=5,"Moderate",
 "Highly Competitive"))</f>
        <v>Highly Concentrated</v>
      </c>
      <c r="AZ21" s="8">
        <f>HS_DB[[#This Row],[Total Market Size - USD]]
*
(1+IFERROR(#REF!,0))
/
HS_DB[[#This Row],[Competition Intensity]]</f>
        <v>11556158</v>
      </c>
      <c r="BA21" s="8" t="str">
        <f>IF(HS_DB[[#This Row],[Commercial Opportunity Score]]&gt;=PERCENTILE(HS_DB[Commercial Opportunity Score],0.9),"High Opportunity",
 IF(HS_DB[[#This Row],[Commercial Opportunity Score]]&gt;=PERCENTILE(HS_DB[Commercial Opportunity Score],0.6),"Medium Opportunity",
 "Routine Market"))</f>
        <v>Routine Market</v>
      </c>
      <c r="BB21" s="3" t="str">
        <f>IF(AND(HS_DB[[#This Row],[Product Rank]]&gt;0,HS_DB[[#This Row],[Product Rank]]&lt;=10),"Yes","No")</f>
        <v>No</v>
      </c>
      <c r="BC21" s="3" t="str">
        <f>IF(AND(HS_DB[[#This Row],[Origin Rank]]&gt;0,HS_DB[[#This Row],[Origin Rank]]&lt;=10),"Yes","No")</f>
        <v>No</v>
      </c>
    </row>
    <row r="22" spans="2:55" x14ac:dyDescent="0.3">
      <c r="B22" s="2">
        <f>HS_DB[[#This Row],[Commodity Code]]</f>
        <v>391390</v>
      </c>
      <c r="C22" s="2">
        <f>IFERROR(INDEX(HS_MD!C:C,MATCH(B22,HS_MD!B:B,0),1),"")</f>
        <v>1</v>
      </c>
      <c r="D22" s="17" t="str">
        <f>IFERROR(INDEX(HS_MD!D:D,MATCH(B22,HS_MD!B:B,0),1),"")</f>
        <v>Other polymers of natural origin</v>
      </c>
      <c r="E22" s="17" t="str">
        <f>IFERROR(INDEX(HS_MD!E:E,MATCH(B22,HS_MD!B:B,0),1),"")</f>
        <v>Xanthan Gum</v>
      </c>
      <c r="F22" s="17" t="str">
        <f>IFERROR(INDEX(HS_MD!F:F,MATCH(B22,HS_MD!B:B,0),1),"")</f>
        <v>FUNCTIONAL INGREDIENTS</v>
      </c>
      <c r="G22" s="17" t="str">
        <f>IFERROR(INDEX(HS_MD!G:G,MATCH(B22,HS_MD!B:B,0),1),"")</f>
        <v>Hydrocolloids</v>
      </c>
      <c r="H22" s="17" t="str">
        <f>IFERROR(INDEX(HS_MD!H:H,MATCH(B22,HS_MD!B:B,0),1),"")</f>
        <v>Xanthan Gum</v>
      </c>
      <c r="I22" s="17" t="str">
        <f>IFERROR(INDEX(HS_MD!I:I,MATCH(B22,HS_MD!B:B,0),1),"")</f>
        <v>Sauces / Dairy / Beverages</v>
      </c>
      <c r="J22" s="17">
        <f>IFERROR(INDEX(Heat_Map[Index],MATCH(HS_DB[[#This Row],[Reporter]],Heat_Map[Global],0),1),"")</f>
        <v>151</v>
      </c>
      <c r="K22" s="17" t="str">
        <f>IF(AND(HS_DB[[#This Row],[Origin Rank]]&gt;1,HS_DB[[#This Row],[Origin Rank]]&lt;=10),"Yes","No")</f>
        <v>Yes</v>
      </c>
      <c r="L22" s="2">
        <v>2024</v>
      </c>
      <c r="M22" s="2" t="s">
        <v>57</v>
      </c>
      <c r="N22" s="2" t="s">
        <v>28</v>
      </c>
      <c r="O22" s="2" t="s">
        <v>22</v>
      </c>
      <c r="P22" s="2" t="s">
        <v>23</v>
      </c>
      <c r="Q22" s="2" t="s">
        <v>24</v>
      </c>
      <c r="R22" s="2" t="s">
        <v>25</v>
      </c>
      <c r="S22" s="2">
        <v>391390</v>
      </c>
      <c r="T22" s="3">
        <v>115343</v>
      </c>
      <c r="U22" s="3">
        <v>39340</v>
      </c>
      <c r="V22" s="3">
        <v>0</v>
      </c>
      <c r="W22" s="3">
        <v>39340</v>
      </c>
      <c r="X22" s="3" t="s">
        <v>58</v>
      </c>
      <c r="Y22" s="3">
        <v>39</v>
      </c>
      <c r="Z22" s="2" t="s">
        <v>59</v>
      </c>
      <c r="AA22" s="6">
        <f>SUMIFS(HS_DB[Trade Value - USD],HS_DB[Reporter],HS_DB[[#This Row],[Reporter]])/SUM(HS_DB[Trade Value - USD])</f>
        <v>8.2796770445636432E-4</v>
      </c>
      <c r="AB22" s="8" cm="1">
        <f t="array" ref="AB22">SUMPRODUCT(
(HS_DB[Reporter]=HS_DB[[#This Row],[Reporter]])*
(HS_DB[Trade Value - USD]&gt;HS_DB[[#This Row],[Trade Value - USD]])
)+1</f>
        <v>2</v>
      </c>
      <c r="AC22" s="8" t="str">
        <f>IFERROR(IF(INDEX(Heat_Map[Crisis Impact %],MATCH(HS_DB[[#This Row],[Reporter]],Heat_Map[Global],0),1)&gt;0,"Yes","No"),"No")</f>
        <v>Yes</v>
      </c>
      <c r="AD22" s="6">
        <f>IFERROR(INDEX(Heat_Map[Crisis Impact %],MATCH(HS_DB[[#This Row],[Reporter]],Heat_Map[Global],0),1),0)</f>
        <v>0.06</v>
      </c>
      <c r="AE22" s="8">
        <f>HS_DB[[#This Row],[Crisis Impact%]]*HS_DB[[#This Row],[Trade Value - USD]]</f>
        <v>6920.58</v>
      </c>
      <c r="AF22" s="8">
        <f>HS_DB[[#This Row],[Crisis Impact%]]*HS_DB[[#This Row],[Net Weight -KG]]</f>
        <v>2360.4</v>
      </c>
      <c r="AG22" s="6">
        <f>SUMIFS(HS_DB[Trade Value - USD],HS_DB[Products],HS_DB[[#This Row],[Products]])/SUM(HS_DB[Trade Value - USD])</f>
        <v>6.1305607849135918E-3</v>
      </c>
      <c r="AH22" s="8">
        <f>_xlfn.RANK.EQ(HS_DB[[#This Row],[Trade Value - USD]], HS_DB[Trade Value - USD], 0)
 + COUNTIFS(HS_DB[Trade Value - USD],HS_DB[[#This Row],[Trade Value - USD]],
            HS_DB[HS Code],"&lt;"&amp;HS_DB[[#This Row],[HS Code]])</f>
        <v>266</v>
      </c>
      <c r="AI22" s="9">
        <f>IFERROR(HS_DB[[#This Row],[Trade Value - USD]]/HS_DB[[#This Row],[Net Weight -KG]],0)</f>
        <v>2.9319522114895782</v>
      </c>
      <c r="AJ22" s="17" cm="1">
        <f t="array" ref="AJ22">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2" s="17" t="str">
        <f>IF(HS_DB[[#This Row],[HS Code Risk Score]]&gt;=40,"High",
 IF(HS_DB[[#This Row],[HS Code Risk Score]]&gt;=25,"Medium","Low"))</f>
        <v>Medium</v>
      </c>
      <c r="AL22" s="17" t="str">
        <f>IF(RANK(HS_DB[[#This Row],[HS Code Risk Score]],HS_DB[HS Code Risk Score])&lt;=10,"Yes","No")</f>
        <v>No</v>
      </c>
      <c r="AM22" s="8">
        <f>SUMIFS(HS_DB[Net Weight -KG],HS_DB[HS Code],HS_DB[[#This Row],[HS Code]])</f>
        <v>2298360.2000000002</v>
      </c>
      <c r="AN22" s="8">
        <f>SUMIFS(HS_DB[Trade Value - USD],HS_DB[HS Code],HS_DB[[#This Row],[HS Code]])</f>
        <v>11556158</v>
      </c>
      <c r="AO22" s="6">
        <f>_xlfn.MAXIFS(HS_DB[Origin Share%],HS_DB[HS Code],HS_DB[[#This Row],[HS Code]])</f>
        <v>0.25769345655074266</v>
      </c>
      <c r="AP22" s="8" cm="1">
        <f t="array" ref="AP22">_xlfn.LET(
_xlpm.hs,HS_DB[[#This Row],[HS Code]],
COUNTA(_xlfn.UNIQUE(_xlfn._xlws.FILTER(HS_DB[Reporter],HS_DB[HS Code]=_xlpm.hs)))
)</f>
        <v>19</v>
      </c>
      <c r="AQ22" s="17" t="str">
        <f>IF(HS_DB[[#This Row],[Origin Count]]=1,"Single Source","Multiple Sources")</f>
        <v>Multiple Sources</v>
      </c>
      <c r="AR22" s="8">
        <f>HS_DB[[#This Row],[Annual Spend - USD]]*(HS_DB[[#This Row],[HS Code Risk Score]]/100)</f>
        <v>3929093.72</v>
      </c>
      <c r="AS22" s="8">
        <f>RANK(HS_DB[[#This Row],[Risk Exposure - USD]],HS_DB[Risk Exposure - USD],0)</f>
        <v>261</v>
      </c>
      <c r="AT22" s="8" t="str">
        <f>IF(HS_DB[[#This Row],[Risk Exposure Rank]]&lt;=10,"High",
 IF(HS_DB[[#This Row],[Risk Exposure Rank]]&lt;=30,"Medium",
 "Low"))</f>
        <v>Low</v>
      </c>
      <c r="AU22" s="8" t="str">
        <f>IF(HS_DB[[#This Row],[Risk Exposure Rank]]&lt;=5,"Immediate Action",
 IF(HS_DB[[#This Row],[Risk Exposure Rank]]&lt;=15,"Monitor Closely",
 "Routine Control"))</f>
        <v>Routine Control</v>
      </c>
      <c r="AV22" s="8">
        <f>SUMIFS(HS_DB[Trade Value - USD],HS_DB[HS Code],HS_DB[[#This Row],[HS Code]])</f>
        <v>11556158</v>
      </c>
      <c r="AW22" s="6">
        <f>HS_DB[[#This Row],[Annual Spend - USD]]/HS_DB[[#This Row],[Total Market Size - USD]]</f>
        <v>1</v>
      </c>
      <c r="AX22" s="6" cm="1">
        <f t="array" ref="AX22">COUNTA(_xlfn.UNIQUE(_xlfn._xlws.FILTER(HS_DB[Partner],HS_DB[HS Code]=HS_DB[[#This Row],[HS Code]])))</f>
        <v>1</v>
      </c>
      <c r="AY22" s="8" t="str">
        <f>IF(HS_DB[[#This Row],[Competition Intensity]]&lt;=2,"Highly Concentrated",
 IF(HS_DB[[#This Row],[Competition Intensity]]&lt;=5,"Moderate",
 "Highly Competitive"))</f>
        <v>Highly Concentrated</v>
      </c>
      <c r="AZ22" s="8">
        <f>HS_DB[[#This Row],[Total Market Size - USD]]
*
(1+IFERROR(#REF!,0))
/
HS_DB[[#This Row],[Competition Intensity]]</f>
        <v>11556158</v>
      </c>
      <c r="BA22" s="8" t="str">
        <f>IF(HS_DB[[#This Row],[Commercial Opportunity Score]]&gt;=PERCENTILE(HS_DB[Commercial Opportunity Score],0.9),"High Opportunity",
 IF(HS_DB[[#This Row],[Commercial Opportunity Score]]&gt;=PERCENTILE(HS_DB[Commercial Opportunity Score],0.6),"Medium Opportunity",
 "Routine Market"))</f>
        <v>Routine Market</v>
      </c>
      <c r="BB22" s="3" t="str">
        <f>IF(AND(HS_DB[[#This Row],[Product Rank]]&gt;0,HS_DB[[#This Row],[Product Rank]]&lt;=10),"Yes","No")</f>
        <v>No</v>
      </c>
      <c r="BC22" s="3" t="str">
        <f>IF(AND(HS_DB[[#This Row],[Origin Rank]]&gt;0,HS_DB[[#This Row],[Origin Rank]]&lt;=10),"Yes","No")</f>
        <v>Yes</v>
      </c>
    </row>
    <row r="23" spans="2:55" x14ac:dyDescent="0.3">
      <c r="B23" s="2">
        <f>HS_DB[[#This Row],[Commodity Code]]</f>
        <v>391390</v>
      </c>
      <c r="C23" s="2">
        <f>IFERROR(INDEX(HS_MD!C:C,MATCH(B23,HS_MD!B:B,0),1),"")</f>
        <v>1</v>
      </c>
      <c r="D23" s="17" t="str">
        <f>IFERROR(INDEX(HS_MD!D:D,MATCH(B23,HS_MD!B:B,0),1),"")</f>
        <v>Other polymers of natural origin</v>
      </c>
      <c r="E23" s="17" t="str">
        <f>IFERROR(INDEX(HS_MD!E:E,MATCH(B23,HS_MD!B:B,0),1),"")</f>
        <v>Xanthan Gum</v>
      </c>
      <c r="F23" s="17" t="str">
        <f>IFERROR(INDEX(HS_MD!F:F,MATCH(B23,HS_MD!B:B,0),1),"")</f>
        <v>FUNCTIONAL INGREDIENTS</v>
      </c>
      <c r="G23" s="17" t="str">
        <f>IFERROR(INDEX(HS_MD!G:G,MATCH(B23,HS_MD!B:B,0),1),"")</f>
        <v>Hydrocolloids</v>
      </c>
      <c r="H23" s="17" t="str">
        <f>IFERROR(INDEX(HS_MD!H:H,MATCH(B23,HS_MD!B:B,0),1),"")</f>
        <v>Xanthan Gum</v>
      </c>
      <c r="I23" s="17" t="str">
        <f>IFERROR(INDEX(HS_MD!I:I,MATCH(B23,HS_MD!B:B,0),1),"")</f>
        <v>Sauces / Dairy / Beverages</v>
      </c>
      <c r="J23" s="17">
        <f>IFERROR(INDEX(Heat_Map[Index],MATCH(HS_DB[[#This Row],[Reporter]],Heat_Map[Global],0),1),"")</f>
        <v>175</v>
      </c>
      <c r="K23" s="17" t="str">
        <f>IF(AND(HS_DB[[#This Row],[Origin Rank]]&gt;1,HS_DB[[#This Row],[Origin Rank]]&lt;=10),"Yes","No")</f>
        <v>No</v>
      </c>
      <c r="L23" s="2">
        <v>2024</v>
      </c>
      <c r="M23" s="2" t="s">
        <v>57</v>
      </c>
      <c r="N23" s="2" t="s">
        <v>34</v>
      </c>
      <c r="O23" s="2" t="s">
        <v>22</v>
      </c>
      <c r="P23" s="2" t="s">
        <v>23</v>
      </c>
      <c r="Q23" s="2" t="s">
        <v>24</v>
      </c>
      <c r="R23" s="2" t="s">
        <v>25</v>
      </c>
      <c r="S23" s="2">
        <v>391390</v>
      </c>
      <c r="T23" s="3">
        <v>13030</v>
      </c>
      <c r="U23" s="3">
        <v>5000</v>
      </c>
      <c r="V23" s="3">
        <v>0</v>
      </c>
      <c r="W23" s="3">
        <v>5000</v>
      </c>
      <c r="X23" s="3" t="s">
        <v>58</v>
      </c>
      <c r="Y23" s="3">
        <v>5000</v>
      </c>
      <c r="Z23" s="2" t="s">
        <v>58</v>
      </c>
      <c r="AA23" s="6">
        <f>SUMIFS(HS_DB[Trade Value - USD],HS_DB[Reporter],HS_DB[[#This Row],[Reporter]])/SUM(HS_DB[Trade Value - USD])</f>
        <v>4.7522902002533667E-2</v>
      </c>
      <c r="AB23" s="8" cm="1">
        <f t="array" ref="AB23">SUMPRODUCT(
(HS_DB[Reporter]=HS_DB[[#This Row],[Reporter]])*
(HS_DB[Trade Value - USD]&gt;HS_DB[[#This Row],[Trade Value - USD]])
)+1</f>
        <v>29</v>
      </c>
      <c r="AC23" s="8" t="str">
        <f>IFERROR(IF(INDEX(Heat_Map[Crisis Impact %],MATCH(HS_DB[[#This Row],[Reporter]],Heat_Map[Global],0),1)&gt;0,"Yes","No"),"No")</f>
        <v>Yes</v>
      </c>
      <c r="AD23" s="6">
        <f>IFERROR(INDEX(Heat_Map[Crisis Impact %],MATCH(HS_DB[[#This Row],[Reporter]],Heat_Map[Global],0),1),0)</f>
        <v>0.1</v>
      </c>
      <c r="AE23" s="8">
        <f>HS_DB[[#This Row],[Crisis Impact%]]*HS_DB[[#This Row],[Trade Value - USD]]</f>
        <v>1303</v>
      </c>
      <c r="AF23" s="8">
        <f>HS_DB[[#This Row],[Crisis Impact%]]*HS_DB[[#This Row],[Net Weight -KG]]</f>
        <v>500</v>
      </c>
      <c r="AG23" s="6">
        <f>SUMIFS(HS_DB[Trade Value - USD],HS_DB[Products],HS_DB[[#This Row],[Products]])/SUM(HS_DB[Trade Value - USD])</f>
        <v>6.1305607849135918E-3</v>
      </c>
      <c r="AH23" s="8">
        <f>_xlfn.RANK.EQ(HS_DB[[#This Row],[Trade Value - USD]], HS_DB[Trade Value - USD], 0)
 + COUNTIFS(HS_DB[Trade Value - USD],HS_DB[[#This Row],[Trade Value - USD]],
            HS_DB[HS Code],"&lt;"&amp;HS_DB[[#This Row],[HS Code]])</f>
        <v>400</v>
      </c>
      <c r="AI23" s="9">
        <f>IFERROR(HS_DB[[#This Row],[Trade Value - USD]]/HS_DB[[#This Row],[Net Weight -KG]],0)</f>
        <v>2.6059999999999999</v>
      </c>
      <c r="AJ23" s="17" cm="1">
        <f t="array" ref="AJ23">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3" s="17" t="str">
        <f>IF(HS_DB[[#This Row],[HS Code Risk Score]]&gt;=40,"High",
 IF(HS_DB[[#This Row],[HS Code Risk Score]]&gt;=25,"Medium","Low"))</f>
        <v>Medium</v>
      </c>
      <c r="AL23" s="17" t="str">
        <f>IF(RANK(HS_DB[[#This Row],[HS Code Risk Score]],HS_DB[HS Code Risk Score])&lt;=10,"Yes","No")</f>
        <v>No</v>
      </c>
      <c r="AM23" s="8">
        <f>SUMIFS(HS_DB[Net Weight -KG],HS_DB[HS Code],HS_DB[[#This Row],[HS Code]])</f>
        <v>2298360.2000000002</v>
      </c>
      <c r="AN23" s="8">
        <f>SUMIFS(HS_DB[Trade Value - USD],HS_DB[HS Code],HS_DB[[#This Row],[HS Code]])</f>
        <v>11556158</v>
      </c>
      <c r="AO23" s="6">
        <f>_xlfn.MAXIFS(HS_DB[Origin Share%],HS_DB[HS Code],HS_DB[[#This Row],[HS Code]])</f>
        <v>0.25769345655074266</v>
      </c>
      <c r="AP23" s="8" cm="1">
        <f t="array" ref="AP23">_xlfn.LET(
_xlpm.hs,HS_DB[[#This Row],[HS Code]],
COUNTA(_xlfn.UNIQUE(_xlfn._xlws.FILTER(HS_DB[Reporter],HS_DB[HS Code]=_xlpm.hs)))
)</f>
        <v>19</v>
      </c>
      <c r="AQ23" s="17" t="str">
        <f>IF(HS_DB[[#This Row],[Origin Count]]=1,"Single Source","Multiple Sources")</f>
        <v>Multiple Sources</v>
      </c>
      <c r="AR23" s="8">
        <f>HS_DB[[#This Row],[Annual Spend - USD]]*(HS_DB[[#This Row],[HS Code Risk Score]]/100)</f>
        <v>3929093.72</v>
      </c>
      <c r="AS23" s="8">
        <f>RANK(HS_DB[[#This Row],[Risk Exposure - USD]],HS_DB[Risk Exposure - USD],0)</f>
        <v>261</v>
      </c>
      <c r="AT23" s="8" t="str">
        <f>IF(HS_DB[[#This Row],[Risk Exposure Rank]]&lt;=10,"High",
 IF(HS_DB[[#This Row],[Risk Exposure Rank]]&lt;=30,"Medium",
 "Low"))</f>
        <v>Low</v>
      </c>
      <c r="AU23" s="8" t="str">
        <f>IF(HS_DB[[#This Row],[Risk Exposure Rank]]&lt;=5,"Immediate Action",
 IF(HS_DB[[#This Row],[Risk Exposure Rank]]&lt;=15,"Monitor Closely",
 "Routine Control"))</f>
        <v>Routine Control</v>
      </c>
      <c r="AV23" s="8">
        <f>SUMIFS(HS_DB[Trade Value - USD],HS_DB[HS Code],HS_DB[[#This Row],[HS Code]])</f>
        <v>11556158</v>
      </c>
      <c r="AW23" s="6">
        <f>HS_DB[[#This Row],[Annual Spend - USD]]/HS_DB[[#This Row],[Total Market Size - USD]]</f>
        <v>1</v>
      </c>
      <c r="AX23" s="6" cm="1">
        <f t="array" ref="AX23">COUNTA(_xlfn.UNIQUE(_xlfn._xlws.FILTER(HS_DB[Partner],HS_DB[HS Code]=HS_DB[[#This Row],[HS Code]])))</f>
        <v>1</v>
      </c>
      <c r="AY23" s="8" t="str">
        <f>IF(HS_DB[[#This Row],[Competition Intensity]]&lt;=2,"Highly Concentrated",
 IF(HS_DB[[#This Row],[Competition Intensity]]&lt;=5,"Moderate",
 "Highly Competitive"))</f>
        <v>Highly Concentrated</v>
      </c>
      <c r="AZ23" s="8">
        <f>HS_DB[[#This Row],[Total Market Size - USD]]
*
(1+IFERROR(#REF!,0))
/
HS_DB[[#This Row],[Competition Intensity]]</f>
        <v>11556158</v>
      </c>
      <c r="BA23" s="8" t="str">
        <f>IF(HS_DB[[#This Row],[Commercial Opportunity Score]]&gt;=PERCENTILE(HS_DB[Commercial Opportunity Score],0.9),"High Opportunity",
 IF(HS_DB[[#This Row],[Commercial Opportunity Score]]&gt;=PERCENTILE(HS_DB[Commercial Opportunity Score],0.6),"Medium Opportunity",
 "Routine Market"))</f>
        <v>Routine Market</v>
      </c>
      <c r="BB23" s="3" t="str">
        <f>IF(AND(HS_DB[[#This Row],[Product Rank]]&gt;0,HS_DB[[#This Row],[Product Rank]]&lt;=10),"Yes","No")</f>
        <v>No</v>
      </c>
      <c r="BC23" s="3" t="str">
        <f>IF(AND(HS_DB[[#This Row],[Origin Rank]]&gt;0,HS_DB[[#This Row],[Origin Rank]]&lt;=10),"Yes","No")</f>
        <v>No</v>
      </c>
    </row>
    <row r="24" spans="2:55" x14ac:dyDescent="0.3">
      <c r="B24" s="2">
        <f>HS_DB[[#This Row],[Commodity Code]]</f>
        <v>391390</v>
      </c>
      <c r="C24" s="2">
        <f>IFERROR(INDEX(HS_MD!C:C,MATCH(B24,HS_MD!B:B,0),1),"")</f>
        <v>1</v>
      </c>
      <c r="D24" s="17" t="str">
        <f>IFERROR(INDEX(HS_MD!D:D,MATCH(B24,HS_MD!B:B,0),1),"")</f>
        <v>Other polymers of natural origin</v>
      </c>
      <c r="E24" s="17" t="str">
        <f>IFERROR(INDEX(HS_MD!E:E,MATCH(B24,HS_MD!B:B,0),1),"")</f>
        <v>Xanthan Gum</v>
      </c>
      <c r="F24" s="17" t="str">
        <f>IFERROR(INDEX(HS_MD!F:F,MATCH(B24,HS_MD!B:B,0),1),"")</f>
        <v>FUNCTIONAL INGREDIENTS</v>
      </c>
      <c r="G24" s="17" t="str">
        <f>IFERROR(INDEX(HS_MD!G:G,MATCH(B24,HS_MD!B:B,0),1),"")</f>
        <v>Hydrocolloids</v>
      </c>
      <c r="H24" s="17" t="str">
        <f>IFERROR(INDEX(HS_MD!H:H,MATCH(B24,HS_MD!B:B,0),1),"")</f>
        <v>Xanthan Gum</v>
      </c>
      <c r="I24" s="17" t="str">
        <f>IFERROR(INDEX(HS_MD!I:I,MATCH(B24,HS_MD!B:B,0),1),"")</f>
        <v>Sauces / Dairy / Beverages</v>
      </c>
      <c r="J24" s="17">
        <f>IFERROR(INDEX(Heat_Map[Index],MATCH(HS_DB[[#This Row],[Reporter]],Heat_Map[Global],0),1),"")</f>
        <v>182</v>
      </c>
      <c r="K24" s="17" t="str">
        <f>IF(AND(HS_DB[[#This Row],[Origin Rank]]&gt;1,HS_DB[[#This Row],[Origin Rank]]&lt;=10),"Yes","No")</f>
        <v>No</v>
      </c>
      <c r="L24" s="2">
        <v>2024</v>
      </c>
      <c r="M24" s="2" t="s">
        <v>57</v>
      </c>
      <c r="N24" s="2" t="s">
        <v>56</v>
      </c>
      <c r="O24" s="2" t="s">
        <v>22</v>
      </c>
      <c r="P24" s="2" t="s">
        <v>23</v>
      </c>
      <c r="Q24" s="2" t="s">
        <v>24</v>
      </c>
      <c r="R24" s="2" t="s">
        <v>25</v>
      </c>
      <c r="S24" s="2">
        <v>391390</v>
      </c>
      <c r="T24" s="3">
        <v>67713</v>
      </c>
      <c r="U24" s="3">
        <v>800</v>
      </c>
      <c r="V24" s="3">
        <v>0</v>
      </c>
      <c r="W24" s="3">
        <v>800</v>
      </c>
      <c r="X24" s="3" t="s">
        <v>58</v>
      </c>
      <c r="Y24" s="3">
        <v>800</v>
      </c>
      <c r="Z24" s="2" t="s">
        <v>58</v>
      </c>
      <c r="AA24" s="6">
        <f>SUMIFS(HS_DB[Trade Value - USD],HS_DB[Reporter],HS_DB[[#This Row],[Reporter]])/SUM(HS_DB[Trade Value - USD])</f>
        <v>9.425427433633813E-3</v>
      </c>
      <c r="AB24" s="8" cm="1">
        <f t="array" ref="AB24">SUMPRODUCT(
(HS_DB[Reporter]=HS_DB[[#This Row],[Reporter]])*
(HS_DB[Trade Value - USD]&gt;HS_DB[[#This Row],[Trade Value - USD]])
)+1</f>
        <v>15</v>
      </c>
      <c r="AC24" s="8" t="str">
        <f>IFERROR(IF(INDEX(Heat_Map[Crisis Impact %],MATCH(HS_DB[[#This Row],[Reporter]],Heat_Map[Global],0),1)&gt;0,"Yes","No"),"No")</f>
        <v>Yes</v>
      </c>
      <c r="AD24" s="6">
        <f>IFERROR(INDEX(Heat_Map[Crisis Impact %],MATCH(HS_DB[[#This Row],[Reporter]],Heat_Map[Global],0),1),0)</f>
        <v>4.0000000000000008E-2</v>
      </c>
      <c r="AE24" s="8">
        <f>HS_DB[[#This Row],[Crisis Impact%]]*HS_DB[[#This Row],[Trade Value - USD]]</f>
        <v>2708.5200000000004</v>
      </c>
      <c r="AF24" s="8">
        <f>HS_DB[[#This Row],[Crisis Impact%]]*HS_DB[[#This Row],[Net Weight -KG]]</f>
        <v>32.000000000000007</v>
      </c>
      <c r="AG24" s="6">
        <f>SUMIFS(HS_DB[Trade Value - USD],HS_DB[Products],HS_DB[[#This Row],[Products]])/SUM(HS_DB[Trade Value - USD])</f>
        <v>6.1305607849135918E-3</v>
      </c>
      <c r="AH24" s="8">
        <f>_xlfn.RANK.EQ(HS_DB[[#This Row],[Trade Value - USD]], HS_DB[Trade Value - USD], 0)
 + COUNTIFS(HS_DB[Trade Value - USD],HS_DB[[#This Row],[Trade Value - USD]],
            HS_DB[HS Code],"&lt;"&amp;HS_DB[[#This Row],[HS Code]])</f>
        <v>306</v>
      </c>
      <c r="AI24" s="9">
        <f>IFERROR(HS_DB[[#This Row],[Trade Value - USD]]/HS_DB[[#This Row],[Net Weight -KG]],0)</f>
        <v>84.641249999999999</v>
      </c>
      <c r="AJ24" s="17" cm="1">
        <f t="array" ref="AJ24">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4" s="17" t="str">
        <f>IF(HS_DB[[#This Row],[HS Code Risk Score]]&gt;=40,"High",
 IF(HS_DB[[#This Row],[HS Code Risk Score]]&gt;=25,"Medium","Low"))</f>
        <v>Medium</v>
      </c>
      <c r="AL24" s="17" t="str">
        <f>IF(RANK(HS_DB[[#This Row],[HS Code Risk Score]],HS_DB[HS Code Risk Score])&lt;=10,"Yes","No")</f>
        <v>No</v>
      </c>
      <c r="AM24" s="8">
        <f>SUMIFS(HS_DB[Net Weight -KG],HS_DB[HS Code],HS_DB[[#This Row],[HS Code]])</f>
        <v>2298360.2000000002</v>
      </c>
      <c r="AN24" s="8">
        <f>SUMIFS(HS_DB[Trade Value - USD],HS_DB[HS Code],HS_DB[[#This Row],[HS Code]])</f>
        <v>11556158</v>
      </c>
      <c r="AO24" s="6">
        <f>_xlfn.MAXIFS(HS_DB[Origin Share%],HS_DB[HS Code],HS_DB[[#This Row],[HS Code]])</f>
        <v>0.25769345655074266</v>
      </c>
      <c r="AP24" s="8" cm="1">
        <f t="array" ref="AP24">_xlfn.LET(
_xlpm.hs,HS_DB[[#This Row],[HS Code]],
COUNTA(_xlfn.UNIQUE(_xlfn._xlws.FILTER(HS_DB[Reporter],HS_DB[HS Code]=_xlpm.hs)))
)</f>
        <v>19</v>
      </c>
      <c r="AQ24" s="17" t="str">
        <f>IF(HS_DB[[#This Row],[Origin Count]]=1,"Single Source","Multiple Sources")</f>
        <v>Multiple Sources</v>
      </c>
      <c r="AR24" s="8">
        <f>HS_DB[[#This Row],[Annual Spend - USD]]*(HS_DB[[#This Row],[HS Code Risk Score]]/100)</f>
        <v>3929093.72</v>
      </c>
      <c r="AS24" s="8">
        <f>RANK(HS_DB[[#This Row],[Risk Exposure - USD]],HS_DB[Risk Exposure - USD],0)</f>
        <v>261</v>
      </c>
      <c r="AT24" s="8" t="str">
        <f>IF(HS_DB[[#This Row],[Risk Exposure Rank]]&lt;=10,"High",
 IF(HS_DB[[#This Row],[Risk Exposure Rank]]&lt;=30,"Medium",
 "Low"))</f>
        <v>Low</v>
      </c>
      <c r="AU24" s="8" t="str">
        <f>IF(HS_DB[[#This Row],[Risk Exposure Rank]]&lt;=5,"Immediate Action",
 IF(HS_DB[[#This Row],[Risk Exposure Rank]]&lt;=15,"Monitor Closely",
 "Routine Control"))</f>
        <v>Routine Control</v>
      </c>
      <c r="AV24" s="8">
        <f>SUMIFS(HS_DB[Trade Value - USD],HS_DB[HS Code],HS_DB[[#This Row],[HS Code]])</f>
        <v>11556158</v>
      </c>
      <c r="AW24" s="6">
        <f>HS_DB[[#This Row],[Annual Spend - USD]]/HS_DB[[#This Row],[Total Market Size - USD]]</f>
        <v>1</v>
      </c>
      <c r="AX24" s="6" cm="1">
        <f t="array" ref="AX24">COUNTA(_xlfn.UNIQUE(_xlfn._xlws.FILTER(HS_DB[Partner],HS_DB[HS Code]=HS_DB[[#This Row],[HS Code]])))</f>
        <v>1</v>
      </c>
      <c r="AY24" s="8" t="str">
        <f>IF(HS_DB[[#This Row],[Competition Intensity]]&lt;=2,"Highly Concentrated",
 IF(HS_DB[[#This Row],[Competition Intensity]]&lt;=5,"Moderate",
 "Highly Competitive"))</f>
        <v>Highly Concentrated</v>
      </c>
      <c r="AZ24" s="8">
        <f>HS_DB[[#This Row],[Total Market Size - USD]]
*
(1+IFERROR(#REF!,0))
/
HS_DB[[#This Row],[Competition Intensity]]</f>
        <v>11556158</v>
      </c>
      <c r="BA24" s="8" t="str">
        <f>IF(HS_DB[[#This Row],[Commercial Opportunity Score]]&gt;=PERCENTILE(HS_DB[Commercial Opportunity Score],0.9),"High Opportunity",
 IF(HS_DB[[#This Row],[Commercial Opportunity Score]]&gt;=PERCENTILE(HS_DB[Commercial Opportunity Score],0.6),"Medium Opportunity",
 "Routine Market"))</f>
        <v>Routine Market</v>
      </c>
      <c r="BB24" s="3" t="str">
        <f>IF(AND(HS_DB[[#This Row],[Product Rank]]&gt;0,HS_DB[[#This Row],[Product Rank]]&lt;=10),"Yes","No")</f>
        <v>No</v>
      </c>
      <c r="BC24" s="3" t="str">
        <f>IF(AND(HS_DB[[#This Row],[Origin Rank]]&gt;0,HS_DB[[#This Row],[Origin Rank]]&lt;=10),"Yes","No")</f>
        <v>No</v>
      </c>
    </row>
    <row r="25" spans="2:55" x14ac:dyDescent="0.3">
      <c r="B25" s="2">
        <f>HS_DB[[#This Row],[Commodity Code]]</f>
        <v>291814</v>
      </c>
      <c r="C25" s="2">
        <f>IFERROR(INDEX(HS_MD!C:C,MATCH(B25,HS_MD!B:B,0),1),"")</f>
        <v>6</v>
      </c>
      <c r="D25" s="17" t="str">
        <f>IFERROR(INDEX(HS_MD!D:D,MATCH(B25,HS_MD!B:B,0),1),"")</f>
        <v>Citric acid and salts</v>
      </c>
      <c r="E25" s="17" t="str">
        <f>IFERROR(INDEX(HS_MD!E:E,MATCH(B25,HS_MD!B:B,0),1),"")</f>
        <v>Citric Acid</v>
      </c>
      <c r="F25" s="17" t="str">
        <f>IFERROR(INDEX(HS_MD!F:F,MATCH(B25,HS_MD!B:B,0),1),"")</f>
        <v>ACIDULANTS &amp; REGULATORS</v>
      </c>
      <c r="G25" s="17" t="str">
        <f>IFERROR(INDEX(HS_MD!G:G,MATCH(B25,HS_MD!B:B,0),1),"")</f>
        <v>Organic Acids</v>
      </c>
      <c r="H25" s="17" t="str">
        <f>IFERROR(INDEX(HS_MD!H:H,MATCH(B25,HS_MD!B:B,0),1),"")</f>
        <v>Citric Acid</v>
      </c>
      <c r="I25" s="17" t="str">
        <f>IFERROR(INDEX(HS_MD!I:I,MATCH(B25,HS_MD!B:B,0),1),"")</f>
        <v>Beverages / Confectionery / Sauces</v>
      </c>
      <c r="J25" s="17">
        <f>IFERROR(INDEX(Heat_Map[Index],MATCH(HS_DB[[#This Row],[Reporter]],Heat_Map[Global],0),1),"")</f>
        <v>17</v>
      </c>
      <c r="K25" s="17" t="str">
        <f>IF(AND(HS_DB[[#This Row],[Origin Rank]]&gt;1,HS_DB[[#This Row],[Origin Rank]]&lt;=10),"Yes","No")</f>
        <v>No</v>
      </c>
      <c r="L25" s="2">
        <v>2024</v>
      </c>
      <c r="M25" s="2" t="s">
        <v>57</v>
      </c>
      <c r="N25" s="2" t="s">
        <v>5</v>
      </c>
      <c r="O25" s="2" t="s">
        <v>22</v>
      </c>
      <c r="P25" s="2" t="s">
        <v>23</v>
      </c>
      <c r="Q25" s="2" t="s">
        <v>24</v>
      </c>
      <c r="R25" s="2" t="s">
        <v>25</v>
      </c>
      <c r="S25" s="2">
        <v>291814</v>
      </c>
      <c r="T25" s="3">
        <v>49716</v>
      </c>
      <c r="U25" s="3">
        <v>22125</v>
      </c>
      <c r="V25" s="3">
        <v>0</v>
      </c>
      <c r="W25" s="3">
        <v>22125</v>
      </c>
      <c r="X25" s="3" t="s">
        <v>58</v>
      </c>
      <c r="Y25" s="3">
        <v>22125</v>
      </c>
      <c r="Z25" s="2" t="s">
        <v>58</v>
      </c>
      <c r="AA25" s="6">
        <f>SUMIFS(HS_DB[Trade Value - USD],HS_DB[Reporter],HS_DB[[#This Row],[Reporter]])/SUM(HS_DB[Trade Value - USD])</f>
        <v>5.3992075088500962E-3</v>
      </c>
      <c r="AB25" s="8" cm="1">
        <f t="array" ref="AB25">SUMPRODUCT(
(HS_DB[Reporter]=HS_DB[[#This Row],[Reporter]])*
(HS_DB[Trade Value - USD]&gt;HS_DB[[#This Row],[Trade Value - USD]])
)+1</f>
        <v>14</v>
      </c>
      <c r="AC25" s="8" t="str">
        <f>IFERROR(IF(INDEX(Heat_Map[Crisis Impact %],MATCH(HS_DB[[#This Row],[Reporter]],Heat_Map[Global],0),1)&gt;0,"Yes","No"),"No")</f>
        <v>No</v>
      </c>
      <c r="AD25" s="6">
        <f>IFERROR(INDEX(Heat_Map[Crisis Impact %],MATCH(HS_DB[[#This Row],[Reporter]],Heat_Map[Global],0),1),0)</f>
        <v>0</v>
      </c>
      <c r="AE25" s="8">
        <f>HS_DB[[#This Row],[Crisis Impact%]]*HS_DB[[#This Row],[Trade Value - USD]]</f>
        <v>0</v>
      </c>
      <c r="AF25" s="8">
        <f>HS_DB[[#This Row],[Crisis Impact%]]*HS_DB[[#This Row],[Net Weight -KG]]</f>
        <v>0</v>
      </c>
      <c r="AG25" s="6">
        <f>SUMIFS(HS_DB[Trade Value - USD],HS_DB[Products],HS_DB[[#This Row],[Products]])/SUM(HS_DB[Trade Value - USD])</f>
        <v>9.2816848309420653E-3</v>
      </c>
      <c r="AH25" s="8">
        <f>_xlfn.RANK.EQ(HS_DB[[#This Row],[Trade Value - USD]], HS_DB[Trade Value - USD], 0)
 + COUNTIFS(HS_DB[Trade Value - USD],HS_DB[[#This Row],[Trade Value - USD]],
            HS_DB[HS Code],"&lt;"&amp;HS_DB[[#This Row],[HS Code]])</f>
        <v>325</v>
      </c>
      <c r="AI25" s="9">
        <f>IFERROR(HS_DB[[#This Row],[Trade Value - USD]]/HS_DB[[#This Row],[Net Weight -KG]],0)</f>
        <v>2.247050847457627</v>
      </c>
      <c r="AJ25" s="17" cm="1">
        <f t="array" ref="AJ25">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5" s="17" t="str">
        <f>IF(HS_DB[[#This Row],[HS Code Risk Score]]&gt;=40,"High",
 IF(HS_DB[[#This Row],[HS Code Risk Score]]&gt;=25,"Medium","Low"))</f>
        <v>Medium</v>
      </c>
      <c r="AL25" s="17" t="str">
        <f>IF(RANK(HS_DB[[#This Row],[HS Code Risk Score]],HS_DB[HS Code Risk Score])&lt;=10,"Yes","No")</f>
        <v>No</v>
      </c>
      <c r="AM25" s="8">
        <f>SUMIFS(HS_DB[Net Weight -KG],HS_DB[HS Code],HS_DB[[#This Row],[HS Code]])</f>
        <v>22769049.100000001</v>
      </c>
      <c r="AN25" s="8">
        <f>SUMIFS(HS_DB[Trade Value - USD],HS_DB[HS Code],HS_DB[[#This Row],[HS Code]])</f>
        <v>17496053</v>
      </c>
      <c r="AO25" s="6">
        <f>_xlfn.MAXIFS(HS_DB[Origin Share%],HS_DB[HS Code],HS_DB[[#This Row],[HS Code]])</f>
        <v>0.25769345655074266</v>
      </c>
      <c r="AP25" s="8" cm="1">
        <f t="array" ref="AP25">_xlfn.LET(
_xlpm.hs,HS_DB[[#This Row],[HS Code]],
COUNTA(_xlfn.UNIQUE(_xlfn._xlws.FILTER(HS_DB[Reporter],HS_DB[HS Code]=_xlpm.hs)))
)</f>
        <v>14</v>
      </c>
      <c r="AQ25" s="17" t="str">
        <f>IF(HS_DB[[#This Row],[Origin Count]]=1,"Single Source","Multiple Sources")</f>
        <v>Multiple Sources</v>
      </c>
      <c r="AR25" s="8">
        <f>HS_DB[[#This Row],[Annual Spend - USD]]*(HS_DB[[#This Row],[HS Code Risk Score]]/100)</f>
        <v>5948658.0200000005</v>
      </c>
      <c r="AS25" s="8">
        <f>RANK(HS_DB[[#This Row],[Risk Exposure - USD]],HS_DB[Risk Exposure - USD],0)</f>
        <v>118</v>
      </c>
      <c r="AT25" s="8" t="str">
        <f>IF(HS_DB[[#This Row],[Risk Exposure Rank]]&lt;=10,"High",
 IF(HS_DB[[#This Row],[Risk Exposure Rank]]&lt;=30,"Medium",
 "Low"))</f>
        <v>Low</v>
      </c>
      <c r="AU25" s="8" t="str">
        <f>IF(HS_DB[[#This Row],[Risk Exposure Rank]]&lt;=5,"Immediate Action",
 IF(HS_DB[[#This Row],[Risk Exposure Rank]]&lt;=15,"Monitor Closely",
 "Routine Control"))</f>
        <v>Routine Control</v>
      </c>
      <c r="AV25" s="8">
        <f>SUMIFS(HS_DB[Trade Value - USD],HS_DB[HS Code],HS_DB[[#This Row],[HS Code]])</f>
        <v>17496053</v>
      </c>
      <c r="AW25" s="6">
        <f>HS_DB[[#This Row],[Annual Spend - USD]]/HS_DB[[#This Row],[Total Market Size - USD]]</f>
        <v>1</v>
      </c>
      <c r="AX25" s="6" cm="1">
        <f t="array" ref="AX25">COUNTA(_xlfn.UNIQUE(_xlfn._xlws.FILTER(HS_DB[Partner],HS_DB[HS Code]=HS_DB[[#This Row],[HS Code]])))</f>
        <v>1</v>
      </c>
      <c r="AY25" s="8" t="str">
        <f>IF(HS_DB[[#This Row],[Competition Intensity]]&lt;=2,"Highly Concentrated",
 IF(HS_DB[[#This Row],[Competition Intensity]]&lt;=5,"Moderate",
 "Highly Competitive"))</f>
        <v>Highly Concentrated</v>
      </c>
      <c r="AZ25" s="8">
        <f>HS_DB[[#This Row],[Total Market Size - USD]]
*
(1+IFERROR(#REF!,0))
/
HS_DB[[#This Row],[Competition Intensity]]</f>
        <v>17496053</v>
      </c>
      <c r="BA25" s="8" t="str">
        <f>IF(HS_DB[[#This Row],[Commercial Opportunity Score]]&gt;=PERCENTILE(HS_DB[Commercial Opportunity Score],0.9),"High Opportunity",
 IF(HS_DB[[#This Row],[Commercial Opportunity Score]]&gt;=PERCENTILE(HS_DB[Commercial Opportunity Score],0.6),"Medium Opportunity",
 "Routine Market"))</f>
        <v>Medium Opportunity</v>
      </c>
      <c r="BB25" s="3" t="str">
        <f>IF(AND(HS_DB[[#This Row],[Product Rank]]&gt;0,HS_DB[[#This Row],[Product Rank]]&lt;=10),"Yes","No")</f>
        <v>No</v>
      </c>
      <c r="BC25" s="3" t="str">
        <f>IF(AND(HS_DB[[#This Row],[Origin Rank]]&gt;0,HS_DB[[#This Row],[Origin Rank]]&lt;=10),"Yes","No")</f>
        <v>No</v>
      </c>
    </row>
    <row r="26" spans="2:55" x14ac:dyDescent="0.3">
      <c r="B26" s="2">
        <f>HS_DB[[#This Row],[Commodity Code]]</f>
        <v>291814</v>
      </c>
      <c r="C26" s="2">
        <f>IFERROR(INDEX(HS_MD!C:C,MATCH(B26,HS_MD!B:B,0),1),"")</f>
        <v>6</v>
      </c>
      <c r="D26" s="17" t="str">
        <f>IFERROR(INDEX(HS_MD!D:D,MATCH(B26,HS_MD!B:B,0),1),"")</f>
        <v>Citric acid and salts</v>
      </c>
      <c r="E26" s="17" t="str">
        <f>IFERROR(INDEX(HS_MD!E:E,MATCH(B26,HS_MD!B:B,0),1),"")</f>
        <v>Citric Acid</v>
      </c>
      <c r="F26" s="17" t="str">
        <f>IFERROR(INDEX(HS_MD!F:F,MATCH(B26,HS_MD!B:B,0),1),"")</f>
        <v>ACIDULANTS &amp; REGULATORS</v>
      </c>
      <c r="G26" s="17" t="str">
        <f>IFERROR(INDEX(HS_MD!G:G,MATCH(B26,HS_MD!B:B,0),1),"")</f>
        <v>Organic Acids</v>
      </c>
      <c r="H26" s="17" t="str">
        <f>IFERROR(INDEX(HS_MD!H:H,MATCH(B26,HS_MD!B:B,0),1),"")</f>
        <v>Citric Acid</v>
      </c>
      <c r="I26" s="17" t="str">
        <f>IFERROR(INDEX(HS_MD!I:I,MATCH(B26,HS_MD!B:B,0),1),"")</f>
        <v>Beverages / Confectionery / Sauces</v>
      </c>
      <c r="J26" s="17">
        <f>IFERROR(INDEX(Heat_Map[Index],MATCH(HS_DB[[#This Row],[Reporter]],Heat_Map[Global],0),1),"")</f>
        <v>36</v>
      </c>
      <c r="K26" s="17" t="str">
        <f>IF(AND(HS_DB[[#This Row],[Origin Rank]]&gt;1,HS_DB[[#This Row],[Origin Rank]]&lt;=10),"Yes","No")</f>
        <v>Yes</v>
      </c>
      <c r="L26" s="2">
        <v>2024</v>
      </c>
      <c r="M26" s="2" t="s">
        <v>57</v>
      </c>
      <c r="N26" s="2" t="s">
        <v>1</v>
      </c>
      <c r="O26" s="2" t="s">
        <v>22</v>
      </c>
      <c r="P26" s="2" t="s">
        <v>23</v>
      </c>
      <c r="Q26" s="2" t="s">
        <v>24</v>
      </c>
      <c r="R26" s="2" t="s">
        <v>25</v>
      </c>
      <c r="S26" s="2">
        <v>291814</v>
      </c>
      <c r="T26" s="3">
        <v>13659865</v>
      </c>
      <c r="U26" s="3">
        <v>20667580</v>
      </c>
      <c r="V26" s="3">
        <v>0</v>
      </c>
      <c r="W26" s="3">
        <v>20667580</v>
      </c>
      <c r="X26" s="3" t="s">
        <v>58</v>
      </c>
      <c r="Y26" s="3">
        <v>20667580</v>
      </c>
      <c r="Z26" s="2" t="s">
        <v>58</v>
      </c>
      <c r="AA26" s="6">
        <f>SUMIFS(HS_DB[Trade Value - USD],HS_DB[Reporter],HS_DB[[#This Row],[Reporter]])/SUM(HS_DB[Trade Value - USD])</f>
        <v>6.321329281187793E-2</v>
      </c>
      <c r="AB26" s="8" cm="1">
        <f t="array" ref="AB26">SUMPRODUCT(
(HS_DB[Reporter]=HS_DB[[#This Row],[Reporter]])*
(HS_DB[Trade Value - USD]&gt;HS_DB[[#This Row],[Trade Value - USD]])
)+1</f>
        <v>3</v>
      </c>
      <c r="AC26" s="8" t="str">
        <f>IFERROR(IF(INDEX(Heat_Map[Crisis Impact %],MATCH(HS_DB[[#This Row],[Reporter]],Heat_Map[Global],0),1)&gt;0,"Yes","No"),"No")</f>
        <v>Yes</v>
      </c>
      <c r="AD26" s="6">
        <f>IFERROR(INDEX(Heat_Map[Crisis Impact %],MATCH(HS_DB[[#This Row],[Reporter]],Heat_Map[Global],0),1),0)</f>
        <v>0.14000000000000001</v>
      </c>
      <c r="AE26" s="8">
        <f>HS_DB[[#This Row],[Crisis Impact%]]*HS_DB[[#This Row],[Trade Value - USD]]</f>
        <v>1912381.1</v>
      </c>
      <c r="AF26" s="8">
        <f>HS_DB[[#This Row],[Crisis Impact%]]*HS_DB[[#This Row],[Net Weight -KG]]</f>
        <v>2893461.2</v>
      </c>
      <c r="AG26" s="6">
        <f>SUMIFS(HS_DB[Trade Value - USD],HS_DB[Products],HS_DB[[#This Row],[Products]])/SUM(HS_DB[Trade Value - USD])</f>
        <v>9.2816848309420653E-3</v>
      </c>
      <c r="AH26" s="8">
        <f>_xlfn.RANK.EQ(HS_DB[[#This Row],[Trade Value - USD]], HS_DB[Trade Value - USD], 0)
 + COUNTIFS(HS_DB[Trade Value - USD],HS_DB[[#This Row],[Trade Value - USD]],
            HS_DB[HS Code],"&lt;"&amp;HS_DB[[#This Row],[HS Code]])</f>
        <v>11</v>
      </c>
      <c r="AI26" s="9">
        <f>IFERROR(HS_DB[[#This Row],[Trade Value - USD]]/HS_DB[[#This Row],[Net Weight -KG]],0)</f>
        <v>0.66093200074706371</v>
      </c>
      <c r="AJ26" s="17" cm="1">
        <f t="array" ref="AJ26">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6" s="17" t="str">
        <f>IF(HS_DB[[#This Row],[HS Code Risk Score]]&gt;=40,"High",
 IF(HS_DB[[#This Row],[HS Code Risk Score]]&gt;=25,"Medium","Low"))</f>
        <v>Medium</v>
      </c>
      <c r="AL26" s="17" t="str">
        <f>IF(RANK(HS_DB[[#This Row],[HS Code Risk Score]],HS_DB[HS Code Risk Score])&lt;=10,"Yes","No")</f>
        <v>No</v>
      </c>
      <c r="AM26" s="8">
        <f>SUMIFS(HS_DB[Net Weight -KG],HS_DB[HS Code],HS_DB[[#This Row],[HS Code]])</f>
        <v>22769049.100000001</v>
      </c>
      <c r="AN26" s="8">
        <f>SUMIFS(HS_DB[Trade Value - USD],HS_DB[HS Code],HS_DB[[#This Row],[HS Code]])</f>
        <v>17496053</v>
      </c>
      <c r="AO26" s="6">
        <f>_xlfn.MAXIFS(HS_DB[Origin Share%],HS_DB[HS Code],HS_DB[[#This Row],[HS Code]])</f>
        <v>0.25769345655074266</v>
      </c>
      <c r="AP26" s="8" cm="1">
        <f t="array" ref="AP26">_xlfn.LET(
_xlpm.hs,HS_DB[[#This Row],[HS Code]],
COUNTA(_xlfn.UNIQUE(_xlfn._xlws.FILTER(HS_DB[Reporter],HS_DB[HS Code]=_xlpm.hs)))
)</f>
        <v>14</v>
      </c>
      <c r="AQ26" s="17" t="str">
        <f>IF(HS_DB[[#This Row],[Origin Count]]=1,"Single Source","Multiple Sources")</f>
        <v>Multiple Sources</v>
      </c>
      <c r="AR26" s="8">
        <f>HS_DB[[#This Row],[Annual Spend - USD]]*(HS_DB[[#This Row],[HS Code Risk Score]]/100)</f>
        <v>5948658.0200000005</v>
      </c>
      <c r="AS26" s="8">
        <f>RANK(HS_DB[[#This Row],[Risk Exposure - USD]],HS_DB[Risk Exposure - USD],0)</f>
        <v>118</v>
      </c>
      <c r="AT26" s="8" t="str">
        <f>IF(HS_DB[[#This Row],[Risk Exposure Rank]]&lt;=10,"High",
 IF(HS_DB[[#This Row],[Risk Exposure Rank]]&lt;=30,"Medium",
 "Low"))</f>
        <v>Low</v>
      </c>
      <c r="AU26" s="8" t="str">
        <f>IF(HS_DB[[#This Row],[Risk Exposure Rank]]&lt;=5,"Immediate Action",
 IF(HS_DB[[#This Row],[Risk Exposure Rank]]&lt;=15,"Monitor Closely",
 "Routine Control"))</f>
        <v>Routine Control</v>
      </c>
      <c r="AV26" s="8">
        <f>SUMIFS(HS_DB[Trade Value - USD],HS_DB[HS Code],HS_DB[[#This Row],[HS Code]])</f>
        <v>17496053</v>
      </c>
      <c r="AW26" s="6">
        <f>HS_DB[[#This Row],[Annual Spend - USD]]/HS_DB[[#This Row],[Total Market Size - USD]]</f>
        <v>1</v>
      </c>
      <c r="AX26" s="6" cm="1">
        <f t="array" ref="AX26">COUNTA(_xlfn.UNIQUE(_xlfn._xlws.FILTER(HS_DB[Partner],HS_DB[HS Code]=HS_DB[[#This Row],[HS Code]])))</f>
        <v>1</v>
      </c>
      <c r="AY26" s="8" t="str">
        <f>IF(HS_DB[[#This Row],[Competition Intensity]]&lt;=2,"Highly Concentrated",
 IF(HS_DB[[#This Row],[Competition Intensity]]&lt;=5,"Moderate",
 "Highly Competitive"))</f>
        <v>Highly Concentrated</v>
      </c>
      <c r="AZ26" s="8">
        <f>HS_DB[[#This Row],[Total Market Size - USD]]
*
(1+IFERROR(#REF!,0))
/
HS_DB[[#This Row],[Competition Intensity]]</f>
        <v>17496053</v>
      </c>
      <c r="BA26" s="8" t="str">
        <f>IF(HS_DB[[#This Row],[Commercial Opportunity Score]]&gt;=PERCENTILE(HS_DB[Commercial Opportunity Score],0.9),"High Opportunity",
 IF(HS_DB[[#This Row],[Commercial Opportunity Score]]&gt;=PERCENTILE(HS_DB[Commercial Opportunity Score],0.6),"Medium Opportunity",
 "Routine Market"))</f>
        <v>Medium Opportunity</v>
      </c>
      <c r="BB26" s="3" t="str">
        <f>IF(AND(HS_DB[[#This Row],[Product Rank]]&gt;0,HS_DB[[#This Row],[Product Rank]]&lt;=10),"Yes","No")</f>
        <v>No</v>
      </c>
      <c r="BC26" s="3" t="str">
        <f>IF(AND(HS_DB[[#This Row],[Origin Rank]]&gt;0,HS_DB[[#This Row],[Origin Rank]]&lt;=10),"Yes","No")</f>
        <v>Yes</v>
      </c>
    </row>
    <row r="27" spans="2:55" x14ac:dyDescent="0.3">
      <c r="B27" s="2">
        <f>HS_DB[[#This Row],[Commodity Code]]</f>
        <v>291814</v>
      </c>
      <c r="C27" s="2">
        <f>IFERROR(INDEX(HS_MD!C:C,MATCH(B27,HS_MD!B:B,0),1),"")</f>
        <v>6</v>
      </c>
      <c r="D27" s="17" t="str">
        <f>IFERROR(INDEX(HS_MD!D:D,MATCH(B27,HS_MD!B:B,0),1),"")</f>
        <v>Citric acid and salts</v>
      </c>
      <c r="E27" s="17" t="str">
        <f>IFERROR(INDEX(HS_MD!E:E,MATCH(B27,HS_MD!B:B,0),1),"")</f>
        <v>Citric Acid</v>
      </c>
      <c r="F27" s="17" t="str">
        <f>IFERROR(INDEX(HS_MD!F:F,MATCH(B27,HS_MD!B:B,0),1),"")</f>
        <v>ACIDULANTS &amp; REGULATORS</v>
      </c>
      <c r="G27" s="17" t="str">
        <f>IFERROR(INDEX(HS_MD!G:G,MATCH(B27,HS_MD!B:B,0),1),"")</f>
        <v>Organic Acids</v>
      </c>
      <c r="H27" s="17" t="str">
        <f>IFERROR(INDEX(HS_MD!H:H,MATCH(B27,HS_MD!B:B,0),1),"")</f>
        <v>Citric Acid</v>
      </c>
      <c r="I27" s="17" t="str">
        <f>IFERROR(INDEX(HS_MD!I:I,MATCH(B27,HS_MD!B:B,0),1),"")</f>
        <v>Beverages / Confectionery / Sauces</v>
      </c>
      <c r="J27" s="17">
        <f>IFERROR(INDEX(Heat_Map[Index],MATCH(HS_DB[[#This Row],[Reporter]],Heat_Map[Global],0),1),"")</f>
        <v>45</v>
      </c>
      <c r="K27" s="17" t="str">
        <f>IF(AND(HS_DB[[#This Row],[Origin Rank]]&gt;1,HS_DB[[#This Row],[Origin Rank]]&lt;=10),"Yes","No")</f>
        <v>Yes</v>
      </c>
      <c r="L27" s="2">
        <v>2024</v>
      </c>
      <c r="M27" s="2" t="s">
        <v>57</v>
      </c>
      <c r="N27" s="2" t="s">
        <v>42</v>
      </c>
      <c r="O27" s="2" t="s">
        <v>22</v>
      </c>
      <c r="P27" s="2" t="s">
        <v>23</v>
      </c>
      <c r="Q27" s="2" t="s">
        <v>24</v>
      </c>
      <c r="R27" s="2" t="s">
        <v>25</v>
      </c>
      <c r="S27" s="2">
        <v>291814</v>
      </c>
      <c r="T27" s="3">
        <v>11984</v>
      </c>
      <c r="U27" s="3">
        <v>9900</v>
      </c>
      <c r="V27" s="3">
        <v>0</v>
      </c>
      <c r="W27" s="3">
        <v>9900</v>
      </c>
      <c r="X27" s="3" t="s">
        <v>58</v>
      </c>
      <c r="Y27" s="3">
        <v>9900</v>
      </c>
      <c r="Z27" s="2" t="s">
        <v>58</v>
      </c>
      <c r="AA27" s="6">
        <f>SUMIFS(HS_DB[Trade Value - USD],HS_DB[Reporter],HS_DB[[#This Row],[Reporter]])/SUM(HS_DB[Trade Value - USD])</f>
        <v>4.8573207719329804E-4</v>
      </c>
      <c r="AB27" s="8" cm="1">
        <f t="array" ref="AB27">SUMPRODUCT(
(HS_DB[Reporter]=HS_DB[[#This Row],[Reporter]])*
(HS_DB[Trade Value - USD]&gt;HS_DB[[#This Row],[Trade Value - USD]])
)+1</f>
        <v>6</v>
      </c>
      <c r="AC27" s="8" t="str">
        <f>IFERROR(IF(INDEX(Heat_Map[Crisis Impact %],MATCH(HS_DB[[#This Row],[Reporter]],Heat_Map[Global],0),1)&gt;0,"Yes","No"),"No")</f>
        <v>No</v>
      </c>
      <c r="AD27" s="6">
        <f>IFERROR(INDEX(Heat_Map[Crisis Impact %],MATCH(HS_DB[[#This Row],[Reporter]],Heat_Map[Global],0),1),0)</f>
        <v>0</v>
      </c>
      <c r="AE27" s="8">
        <f>HS_DB[[#This Row],[Crisis Impact%]]*HS_DB[[#This Row],[Trade Value - USD]]</f>
        <v>0</v>
      </c>
      <c r="AF27" s="8">
        <f>HS_DB[[#This Row],[Crisis Impact%]]*HS_DB[[#This Row],[Net Weight -KG]]</f>
        <v>0</v>
      </c>
      <c r="AG27" s="6">
        <f>SUMIFS(HS_DB[Trade Value - USD],HS_DB[Products],HS_DB[[#This Row],[Products]])/SUM(HS_DB[Trade Value - USD])</f>
        <v>9.2816848309420653E-3</v>
      </c>
      <c r="AH27" s="8">
        <f>_xlfn.RANK.EQ(HS_DB[[#This Row],[Trade Value - USD]], HS_DB[Trade Value - USD], 0)
 + COUNTIFS(HS_DB[Trade Value - USD],HS_DB[[#This Row],[Trade Value - USD]],
            HS_DB[HS Code],"&lt;"&amp;HS_DB[[#This Row],[HS Code]])</f>
        <v>402</v>
      </c>
      <c r="AI27" s="9">
        <f>IFERROR(HS_DB[[#This Row],[Trade Value - USD]]/HS_DB[[#This Row],[Net Weight -KG]],0)</f>
        <v>1.2105050505050505</v>
      </c>
      <c r="AJ27" s="17" cm="1">
        <f t="array" ref="AJ27">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7" s="17" t="str">
        <f>IF(HS_DB[[#This Row],[HS Code Risk Score]]&gt;=40,"High",
 IF(HS_DB[[#This Row],[HS Code Risk Score]]&gt;=25,"Medium","Low"))</f>
        <v>Medium</v>
      </c>
      <c r="AL27" s="17" t="str">
        <f>IF(RANK(HS_DB[[#This Row],[HS Code Risk Score]],HS_DB[HS Code Risk Score])&lt;=10,"Yes","No")</f>
        <v>No</v>
      </c>
      <c r="AM27" s="8">
        <f>SUMIFS(HS_DB[Net Weight -KG],HS_DB[HS Code],HS_DB[[#This Row],[HS Code]])</f>
        <v>22769049.100000001</v>
      </c>
      <c r="AN27" s="8">
        <f>SUMIFS(HS_DB[Trade Value - USD],HS_DB[HS Code],HS_DB[[#This Row],[HS Code]])</f>
        <v>17496053</v>
      </c>
      <c r="AO27" s="6">
        <f>_xlfn.MAXIFS(HS_DB[Origin Share%],HS_DB[HS Code],HS_DB[[#This Row],[HS Code]])</f>
        <v>0.25769345655074266</v>
      </c>
      <c r="AP27" s="8" cm="1">
        <f t="array" ref="AP27">_xlfn.LET(
_xlpm.hs,HS_DB[[#This Row],[HS Code]],
COUNTA(_xlfn.UNIQUE(_xlfn._xlws.FILTER(HS_DB[Reporter],HS_DB[HS Code]=_xlpm.hs)))
)</f>
        <v>14</v>
      </c>
      <c r="AQ27" s="17" t="str">
        <f>IF(HS_DB[[#This Row],[Origin Count]]=1,"Single Source","Multiple Sources")</f>
        <v>Multiple Sources</v>
      </c>
      <c r="AR27" s="8">
        <f>HS_DB[[#This Row],[Annual Spend - USD]]*(HS_DB[[#This Row],[HS Code Risk Score]]/100)</f>
        <v>5948658.0200000005</v>
      </c>
      <c r="AS27" s="8">
        <f>RANK(HS_DB[[#This Row],[Risk Exposure - USD]],HS_DB[Risk Exposure - USD],0)</f>
        <v>118</v>
      </c>
      <c r="AT27" s="8" t="str">
        <f>IF(HS_DB[[#This Row],[Risk Exposure Rank]]&lt;=10,"High",
 IF(HS_DB[[#This Row],[Risk Exposure Rank]]&lt;=30,"Medium",
 "Low"))</f>
        <v>Low</v>
      </c>
      <c r="AU27" s="8" t="str">
        <f>IF(HS_DB[[#This Row],[Risk Exposure Rank]]&lt;=5,"Immediate Action",
 IF(HS_DB[[#This Row],[Risk Exposure Rank]]&lt;=15,"Monitor Closely",
 "Routine Control"))</f>
        <v>Routine Control</v>
      </c>
      <c r="AV27" s="8">
        <f>SUMIFS(HS_DB[Trade Value - USD],HS_DB[HS Code],HS_DB[[#This Row],[HS Code]])</f>
        <v>17496053</v>
      </c>
      <c r="AW27" s="6">
        <f>HS_DB[[#This Row],[Annual Spend - USD]]/HS_DB[[#This Row],[Total Market Size - USD]]</f>
        <v>1</v>
      </c>
      <c r="AX27" s="6" cm="1">
        <f t="array" ref="AX27">COUNTA(_xlfn.UNIQUE(_xlfn._xlws.FILTER(HS_DB[Partner],HS_DB[HS Code]=HS_DB[[#This Row],[HS Code]])))</f>
        <v>1</v>
      </c>
      <c r="AY27" s="8" t="str">
        <f>IF(HS_DB[[#This Row],[Competition Intensity]]&lt;=2,"Highly Concentrated",
 IF(HS_DB[[#This Row],[Competition Intensity]]&lt;=5,"Moderate",
 "Highly Competitive"))</f>
        <v>Highly Concentrated</v>
      </c>
      <c r="AZ27" s="8">
        <f>HS_DB[[#This Row],[Total Market Size - USD]]
*
(1+IFERROR(#REF!,0))
/
HS_DB[[#This Row],[Competition Intensity]]</f>
        <v>17496053</v>
      </c>
      <c r="BA27" s="8" t="str">
        <f>IF(HS_DB[[#This Row],[Commercial Opportunity Score]]&gt;=PERCENTILE(HS_DB[Commercial Opportunity Score],0.9),"High Opportunity",
 IF(HS_DB[[#This Row],[Commercial Opportunity Score]]&gt;=PERCENTILE(HS_DB[Commercial Opportunity Score],0.6),"Medium Opportunity",
 "Routine Market"))</f>
        <v>Medium Opportunity</v>
      </c>
      <c r="BB27" s="3" t="str">
        <f>IF(AND(HS_DB[[#This Row],[Product Rank]]&gt;0,HS_DB[[#This Row],[Product Rank]]&lt;=10),"Yes","No")</f>
        <v>No</v>
      </c>
      <c r="BC27" s="3" t="str">
        <f>IF(AND(HS_DB[[#This Row],[Origin Rank]]&gt;0,HS_DB[[#This Row],[Origin Rank]]&lt;=10),"Yes","No")</f>
        <v>Yes</v>
      </c>
    </row>
    <row r="28" spans="2:55" x14ac:dyDescent="0.3">
      <c r="B28" s="2">
        <f>HS_DB[[#This Row],[Commodity Code]]</f>
        <v>291814</v>
      </c>
      <c r="C28" s="2">
        <f>IFERROR(INDEX(HS_MD!C:C,MATCH(B28,HS_MD!B:B,0),1),"")</f>
        <v>6</v>
      </c>
      <c r="D28" s="17" t="str">
        <f>IFERROR(INDEX(HS_MD!D:D,MATCH(B28,HS_MD!B:B,0),1),"")</f>
        <v>Citric acid and salts</v>
      </c>
      <c r="E28" s="17" t="str">
        <f>IFERROR(INDEX(HS_MD!E:E,MATCH(B28,HS_MD!B:B,0),1),"")</f>
        <v>Citric Acid</v>
      </c>
      <c r="F28" s="17" t="str">
        <f>IFERROR(INDEX(HS_MD!F:F,MATCH(B28,HS_MD!B:B,0),1),"")</f>
        <v>ACIDULANTS &amp; REGULATORS</v>
      </c>
      <c r="G28" s="17" t="str">
        <f>IFERROR(INDEX(HS_MD!G:G,MATCH(B28,HS_MD!B:B,0),1),"")</f>
        <v>Organic Acids</v>
      </c>
      <c r="H28" s="17" t="str">
        <f>IFERROR(INDEX(HS_MD!H:H,MATCH(B28,HS_MD!B:B,0),1),"")</f>
        <v>Citric Acid</v>
      </c>
      <c r="I28" s="17" t="str">
        <f>IFERROR(INDEX(HS_MD!I:I,MATCH(B28,HS_MD!B:B,0),1),"")</f>
        <v>Beverages / Confectionery / Sauces</v>
      </c>
      <c r="J28" s="17">
        <f>IFERROR(INDEX(Heat_Map[Index],MATCH(HS_DB[[#This Row],[Reporter]],Heat_Map[Global],0),1),"")</f>
        <v>63</v>
      </c>
      <c r="K28" s="17" t="str">
        <f>IF(AND(HS_DB[[#This Row],[Origin Rank]]&gt;1,HS_DB[[#This Row],[Origin Rank]]&lt;=10),"Yes","No")</f>
        <v>No</v>
      </c>
      <c r="L28" s="2">
        <v>2024</v>
      </c>
      <c r="M28" s="2" t="s">
        <v>57</v>
      </c>
      <c r="N28" s="2" t="s">
        <v>2</v>
      </c>
      <c r="O28" s="2" t="s">
        <v>22</v>
      </c>
      <c r="P28" s="2" t="s">
        <v>23</v>
      </c>
      <c r="Q28" s="2" t="s">
        <v>24</v>
      </c>
      <c r="R28" s="2" t="s">
        <v>25</v>
      </c>
      <c r="S28" s="2">
        <v>291814</v>
      </c>
      <c r="T28" s="3">
        <v>514290</v>
      </c>
      <c r="U28" s="3">
        <v>142830.1</v>
      </c>
      <c r="V28" s="3">
        <v>0</v>
      </c>
      <c r="W28" s="3">
        <v>142830</v>
      </c>
      <c r="X28" s="3" t="s">
        <v>58</v>
      </c>
      <c r="Y28" s="3">
        <v>0</v>
      </c>
      <c r="Z28" s="2" t="s">
        <v>26</v>
      </c>
      <c r="AA28" s="6">
        <f>SUMIFS(HS_DB[Trade Value - USD],HS_DB[Reporter],HS_DB[[#This Row],[Reporter]])/SUM(HS_DB[Trade Value - USD])</f>
        <v>1.1674623358397021E-2</v>
      </c>
      <c r="AB28" s="8" cm="1">
        <f t="array" ref="AB28">SUMPRODUCT(
(HS_DB[Reporter]=HS_DB[[#This Row],[Reporter]])*
(HS_DB[Trade Value - USD]&gt;HS_DB[[#This Row],[Trade Value - USD]])
)+1</f>
        <v>12</v>
      </c>
      <c r="AC28" s="8" t="str">
        <f>IFERROR(IF(INDEX(Heat_Map[Crisis Impact %],MATCH(HS_DB[[#This Row],[Reporter]],Heat_Map[Global],0),1)&gt;0,"Yes","No"),"No")</f>
        <v>No</v>
      </c>
      <c r="AD28" s="6">
        <f>IFERROR(INDEX(Heat_Map[Crisis Impact %],MATCH(HS_DB[[#This Row],[Reporter]],Heat_Map[Global],0),1),0)</f>
        <v>0</v>
      </c>
      <c r="AE28" s="8">
        <f>HS_DB[[#This Row],[Crisis Impact%]]*HS_DB[[#This Row],[Trade Value - USD]]</f>
        <v>0</v>
      </c>
      <c r="AF28" s="8">
        <f>HS_DB[[#This Row],[Crisis Impact%]]*HS_DB[[#This Row],[Net Weight -KG]]</f>
        <v>0</v>
      </c>
      <c r="AG28" s="6">
        <f>SUMIFS(HS_DB[Trade Value - USD],HS_DB[Products],HS_DB[[#This Row],[Products]])/SUM(HS_DB[Trade Value - USD])</f>
        <v>9.2816848309420653E-3</v>
      </c>
      <c r="AH28" s="8">
        <f>_xlfn.RANK.EQ(HS_DB[[#This Row],[Trade Value - USD]], HS_DB[Trade Value - USD], 0)
 + COUNTIFS(HS_DB[Trade Value - USD],HS_DB[[#This Row],[Trade Value - USD]],
            HS_DB[HS Code],"&lt;"&amp;HS_DB[[#This Row],[HS Code]])</f>
        <v>146</v>
      </c>
      <c r="AI28" s="9">
        <f>IFERROR(HS_DB[[#This Row],[Trade Value - USD]]/HS_DB[[#This Row],[Net Weight -KG]],0)</f>
        <v>3.6007116147086644</v>
      </c>
      <c r="AJ28" s="17" cm="1">
        <f t="array" ref="AJ28">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8" s="17" t="str">
        <f>IF(HS_DB[[#This Row],[HS Code Risk Score]]&gt;=40,"High",
 IF(HS_DB[[#This Row],[HS Code Risk Score]]&gt;=25,"Medium","Low"))</f>
        <v>Medium</v>
      </c>
      <c r="AL28" s="17" t="str">
        <f>IF(RANK(HS_DB[[#This Row],[HS Code Risk Score]],HS_DB[HS Code Risk Score])&lt;=10,"Yes","No")</f>
        <v>No</v>
      </c>
      <c r="AM28" s="8">
        <f>SUMIFS(HS_DB[Net Weight -KG],HS_DB[HS Code],HS_DB[[#This Row],[HS Code]])</f>
        <v>22769049.100000001</v>
      </c>
      <c r="AN28" s="8">
        <f>SUMIFS(HS_DB[Trade Value - USD],HS_DB[HS Code],HS_DB[[#This Row],[HS Code]])</f>
        <v>17496053</v>
      </c>
      <c r="AO28" s="6">
        <f>_xlfn.MAXIFS(HS_DB[Origin Share%],HS_DB[HS Code],HS_DB[[#This Row],[HS Code]])</f>
        <v>0.25769345655074266</v>
      </c>
      <c r="AP28" s="8" cm="1">
        <f t="array" ref="AP28">_xlfn.LET(
_xlpm.hs,HS_DB[[#This Row],[HS Code]],
COUNTA(_xlfn.UNIQUE(_xlfn._xlws.FILTER(HS_DB[Reporter],HS_DB[HS Code]=_xlpm.hs)))
)</f>
        <v>14</v>
      </c>
      <c r="AQ28" s="17" t="str">
        <f>IF(HS_DB[[#This Row],[Origin Count]]=1,"Single Source","Multiple Sources")</f>
        <v>Multiple Sources</v>
      </c>
      <c r="AR28" s="8">
        <f>HS_DB[[#This Row],[Annual Spend - USD]]*(HS_DB[[#This Row],[HS Code Risk Score]]/100)</f>
        <v>5948658.0200000005</v>
      </c>
      <c r="AS28" s="8">
        <f>RANK(HS_DB[[#This Row],[Risk Exposure - USD]],HS_DB[Risk Exposure - USD],0)</f>
        <v>118</v>
      </c>
      <c r="AT28" s="8" t="str">
        <f>IF(HS_DB[[#This Row],[Risk Exposure Rank]]&lt;=10,"High",
 IF(HS_DB[[#This Row],[Risk Exposure Rank]]&lt;=30,"Medium",
 "Low"))</f>
        <v>Low</v>
      </c>
      <c r="AU28" s="8" t="str">
        <f>IF(HS_DB[[#This Row],[Risk Exposure Rank]]&lt;=5,"Immediate Action",
 IF(HS_DB[[#This Row],[Risk Exposure Rank]]&lt;=15,"Monitor Closely",
 "Routine Control"))</f>
        <v>Routine Control</v>
      </c>
      <c r="AV28" s="8">
        <f>SUMIFS(HS_DB[Trade Value - USD],HS_DB[HS Code],HS_DB[[#This Row],[HS Code]])</f>
        <v>17496053</v>
      </c>
      <c r="AW28" s="6">
        <f>HS_DB[[#This Row],[Annual Spend - USD]]/HS_DB[[#This Row],[Total Market Size - USD]]</f>
        <v>1</v>
      </c>
      <c r="AX28" s="6" cm="1">
        <f t="array" ref="AX28">COUNTA(_xlfn.UNIQUE(_xlfn._xlws.FILTER(HS_DB[Partner],HS_DB[HS Code]=HS_DB[[#This Row],[HS Code]])))</f>
        <v>1</v>
      </c>
      <c r="AY28" s="8" t="str">
        <f>IF(HS_DB[[#This Row],[Competition Intensity]]&lt;=2,"Highly Concentrated",
 IF(HS_DB[[#This Row],[Competition Intensity]]&lt;=5,"Moderate",
 "Highly Competitive"))</f>
        <v>Highly Concentrated</v>
      </c>
      <c r="AZ28" s="8">
        <f>HS_DB[[#This Row],[Total Market Size - USD]]
*
(1+IFERROR(#REF!,0))
/
HS_DB[[#This Row],[Competition Intensity]]</f>
        <v>17496053</v>
      </c>
      <c r="BA28" s="8" t="str">
        <f>IF(HS_DB[[#This Row],[Commercial Opportunity Score]]&gt;=PERCENTILE(HS_DB[Commercial Opportunity Score],0.9),"High Opportunity",
 IF(HS_DB[[#This Row],[Commercial Opportunity Score]]&gt;=PERCENTILE(HS_DB[Commercial Opportunity Score],0.6),"Medium Opportunity",
 "Routine Market"))</f>
        <v>Medium Opportunity</v>
      </c>
      <c r="BB28" s="3" t="str">
        <f>IF(AND(HS_DB[[#This Row],[Product Rank]]&gt;0,HS_DB[[#This Row],[Product Rank]]&lt;=10),"Yes","No")</f>
        <v>No</v>
      </c>
      <c r="BC28" s="3" t="str">
        <f>IF(AND(HS_DB[[#This Row],[Origin Rank]]&gt;0,HS_DB[[#This Row],[Origin Rank]]&lt;=10),"Yes","No")</f>
        <v>No</v>
      </c>
    </row>
    <row r="29" spans="2:55" x14ac:dyDescent="0.3">
      <c r="B29" s="2">
        <f>HS_DB[[#This Row],[Commodity Code]]</f>
        <v>291814</v>
      </c>
      <c r="C29" s="2">
        <f>IFERROR(INDEX(HS_MD!C:C,MATCH(B29,HS_MD!B:B,0),1),"")</f>
        <v>6</v>
      </c>
      <c r="D29" s="17" t="str">
        <f>IFERROR(INDEX(HS_MD!D:D,MATCH(B29,HS_MD!B:B,0),1),"")</f>
        <v>Citric acid and salts</v>
      </c>
      <c r="E29" s="17" t="str">
        <f>IFERROR(INDEX(HS_MD!E:E,MATCH(B29,HS_MD!B:B,0),1),"")</f>
        <v>Citric Acid</v>
      </c>
      <c r="F29" s="17" t="str">
        <f>IFERROR(INDEX(HS_MD!F:F,MATCH(B29,HS_MD!B:B,0),1),"")</f>
        <v>ACIDULANTS &amp; REGULATORS</v>
      </c>
      <c r="G29" s="17" t="str">
        <f>IFERROR(INDEX(HS_MD!G:G,MATCH(B29,HS_MD!B:B,0),1),"")</f>
        <v>Organic Acids</v>
      </c>
      <c r="H29" s="17" t="str">
        <f>IFERROR(INDEX(HS_MD!H:H,MATCH(B29,HS_MD!B:B,0),1),"")</f>
        <v>Citric Acid</v>
      </c>
      <c r="I29" s="17" t="str">
        <f>IFERROR(INDEX(HS_MD!I:I,MATCH(B29,HS_MD!B:B,0),1),"")</f>
        <v>Beverages / Confectionery / Sauces</v>
      </c>
      <c r="J29" s="17">
        <f>IFERROR(INDEX(Heat_Map[Index],MATCH(HS_DB[[#This Row],[Reporter]],Heat_Map[Global],0),1),"")</f>
        <v>79</v>
      </c>
      <c r="K29" s="17" t="str">
        <f>IF(AND(HS_DB[[#This Row],[Origin Rank]]&gt;1,HS_DB[[#This Row],[Origin Rank]]&lt;=10),"Yes","No")</f>
        <v>No</v>
      </c>
      <c r="L29" s="2">
        <v>2024</v>
      </c>
      <c r="M29" s="2" t="s">
        <v>57</v>
      </c>
      <c r="N29" s="2" t="s">
        <v>48</v>
      </c>
      <c r="O29" s="2" t="s">
        <v>22</v>
      </c>
      <c r="P29" s="2" t="s">
        <v>23</v>
      </c>
      <c r="Q29" s="2" t="s">
        <v>24</v>
      </c>
      <c r="R29" s="2" t="s">
        <v>25</v>
      </c>
      <c r="S29" s="2">
        <v>291814</v>
      </c>
      <c r="T29" s="3">
        <v>2548038</v>
      </c>
      <c r="U29" s="3">
        <v>1534060</v>
      </c>
      <c r="V29" s="3">
        <v>0</v>
      </c>
      <c r="W29" s="3">
        <v>1534060</v>
      </c>
      <c r="X29" s="3" t="s">
        <v>58</v>
      </c>
      <c r="Y29" s="3">
        <v>1534060</v>
      </c>
      <c r="Z29" s="2" t="s">
        <v>58</v>
      </c>
      <c r="AA29" s="6">
        <f>SUMIFS(HS_DB[Trade Value - USD],HS_DB[Reporter],HS_DB[[#This Row],[Reporter]])/SUM(HS_DB[Trade Value - USD])</f>
        <v>4.9588465845200368E-3</v>
      </c>
      <c r="AB29" s="8" cm="1">
        <f t="array" ref="AB29">SUMPRODUCT(
(HS_DB[Reporter]=HS_DB[[#This Row],[Reporter]])*
(HS_DB[Trade Value - USD]&gt;HS_DB[[#This Row],[Trade Value - USD]])
)+1</f>
        <v>1</v>
      </c>
      <c r="AC29" s="8" t="str">
        <f>IFERROR(IF(INDEX(Heat_Map[Crisis Impact %],MATCH(HS_DB[[#This Row],[Reporter]],Heat_Map[Global],0),1)&gt;0,"Yes","No"),"No")</f>
        <v>No</v>
      </c>
      <c r="AD29" s="6">
        <f>IFERROR(INDEX(Heat_Map[Crisis Impact %],MATCH(HS_DB[[#This Row],[Reporter]],Heat_Map[Global],0),1),0)</f>
        <v>0</v>
      </c>
      <c r="AE29" s="8">
        <f>HS_DB[[#This Row],[Crisis Impact%]]*HS_DB[[#This Row],[Trade Value - USD]]</f>
        <v>0</v>
      </c>
      <c r="AF29" s="8">
        <f>HS_DB[[#This Row],[Crisis Impact%]]*HS_DB[[#This Row],[Net Weight -KG]]</f>
        <v>0</v>
      </c>
      <c r="AG29" s="6">
        <f>SUMIFS(HS_DB[Trade Value - USD],HS_DB[Products],HS_DB[[#This Row],[Products]])/SUM(HS_DB[Trade Value - USD])</f>
        <v>9.2816848309420653E-3</v>
      </c>
      <c r="AH29" s="8">
        <f>_xlfn.RANK.EQ(HS_DB[[#This Row],[Trade Value - USD]], HS_DB[Trade Value - USD], 0)
 + COUNTIFS(HS_DB[Trade Value - USD],HS_DB[[#This Row],[Trade Value - USD]],
            HS_DB[HS Code],"&lt;"&amp;HS_DB[[#This Row],[HS Code]])</f>
        <v>53</v>
      </c>
      <c r="AI29" s="9">
        <f>IFERROR(HS_DB[[#This Row],[Trade Value - USD]]/HS_DB[[#This Row],[Net Weight -KG]],0)</f>
        <v>1.660976754494609</v>
      </c>
      <c r="AJ29" s="17" cm="1">
        <f t="array" ref="AJ29">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9" s="17" t="str">
        <f>IF(HS_DB[[#This Row],[HS Code Risk Score]]&gt;=40,"High",
 IF(HS_DB[[#This Row],[HS Code Risk Score]]&gt;=25,"Medium","Low"))</f>
        <v>Medium</v>
      </c>
      <c r="AL29" s="17" t="str">
        <f>IF(RANK(HS_DB[[#This Row],[HS Code Risk Score]],HS_DB[HS Code Risk Score])&lt;=10,"Yes","No")</f>
        <v>No</v>
      </c>
      <c r="AM29" s="8">
        <f>SUMIFS(HS_DB[Net Weight -KG],HS_DB[HS Code],HS_DB[[#This Row],[HS Code]])</f>
        <v>22769049.100000001</v>
      </c>
      <c r="AN29" s="8">
        <f>SUMIFS(HS_DB[Trade Value - USD],HS_DB[HS Code],HS_DB[[#This Row],[HS Code]])</f>
        <v>17496053</v>
      </c>
      <c r="AO29" s="6">
        <f>_xlfn.MAXIFS(HS_DB[Origin Share%],HS_DB[HS Code],HS_DB[[#This Row],[HS Code]])</f>
        <v>0.25769345655074266</v>
      </c>
      <c r="AP29" s="8" cm="1">
        <f t="array" ref="AP29">_xlfn.LET(
_xlpm.hs,HS_DB[[#This Row],[HS Code]],
COUNTA(_xlfn.UNIQUE(_xlfn._xlws.FILTER(HS_DB[Reporter],HS_DB[HS Code]=_xlpm.hs)))
)</f>
        <v>14</v>
      </c>
      <c r="AQ29" s="17" t="str">
        <f>IF(HS_DB[[#This Row],[Origin Count]]=1,"Single Source","Multiple Sources")</f>
        <v>Multiple Sources</v>
      </c>
      <c r="AR29" s="8">
        <f>HS_DB[[#This Row],[Annual Spend - USD]]*(HS_DB[[#This Row],[HS Code Risk Score]]/100)</f>
        <v>5948658.0200000005</v>
      </c>
      <c r="AS29" s="8">
        <f>RANK(HS_DB[[#This Row],[Risk Exposure - USD]],HS_DB[Risk Exposure - USD],0)</f>
        <v>118</v>
      </c>
      <c r="AT29" s="8" t="str">
        <f>IF(HS_DB[[#This Row],[Risk Exposure Rank]]&lt;=10,"High",
 IF(HS_DB[[#This Row],[Risk Exposure Rank]]&lt;=30,"Medium",
 "Low"))</f>
        <v>Low</v>
      </c>
      <c r="AU29" s="8" t="str">
        <f>IF(HS_DB[[#This Row],[Risk Exposure Rank]]&lt;=5,"Immediate Action",
 IF(HS_DB[[#This Row],[Risk Exposure Rank]]&lt;=15,"Monitor Closely",
 "Routine Control"))</f>
        <v>Routine Control</v>
      </c>
      <c r="AV29" s="8">
        <f>SUMIFS(HS_DB[Trade Value - USD],HS_DB[HS Code],HS_DB[[#This Row],[HS Code]])</f>
        <v>17496053</v>
      </c>
      <c r="AW29" s="6">
        <f>HS_DB[[#This Row],[Annual Spend - USD]]/HS_DB[[#This Row],[Total Market Size - USD]]</f>
        <v>1</v>
      </c>
      <c r="AX29" s="6" cm="1">
        <f t="array" ref="AX29">COUNTA(_xlfn.UNIQUE(_xlfn._xlws.FILTER(HS_DB[Partner],HS_DB[HS Code]=HS_DB[[#This Row],[HS Code]])))</f>
        <v>1</v>
      </c>
      <c r="AY29" s="8" t="str">
        <f>IF(HS_DB[[#This Row],[Competition Intensity]]&lt;=2,"Highly Concentrated",
 IF(HS_DB[[#This Row],[Competition Intensity]]&lt;=5,"Moderate",
 "Highly Competitive"))</f>
        <v>Highly Concentrated</v>
      </c>
      <c r="AZ29" s="8">
        <f>HS_DB[[#This Row],[Total Market Size - USD]]
*
(1+IFERROR(#REF!,0))
/
HS_DB[[#This Row],[Competition Intensity]]</f>
        <v>17496053</v>
      </c>
      <c r="BA29" s="8" t="str">
        <f>IF(HS_DB[[#This Row],[Commercial Opportunity Score]]&gt;=PERCENTILE(HS_DB[Commercial Opportunity Score],0.9),"High Opportunity",
 IF(HS_DB[[#This Row],[Commercial Opportunity Score]]&gt;=PERCENTILE(HS_DB[Commercial Opportunity Score],0.6),"Medium Opportunity",
 "Routine Market"))</f>
        <v>Medium Opportunity</v>
      </c>
      <c r="BB29" s="3" t="str">
        <f>IF(AND(HS_DB[[#This Row],[Product Rank]]&gt;0,HS_DB[[#This Row],[Product Rank]]&lt;=10),"Yes","No")</f>
        <v>No</v>
      </c>
      <c r="BC29" s="3" t="str">
        <f>IF(AND(HS_DB[[#This Row],[Origin Rank]]&gt;0,HS_DB[[#This Row],[Origin Rank]]&lt;=10),"Yes","No")</f>
        <v>Yes</v>
      </c>
    </row>
    <row r="30" spans="2:55" x14ac:dyDescent="0.3">
      <c r="B30" s="2">
        <f>HS_DB[[#This Row],[Commodity Code]]</f>
        <v>291814</v>
      </c>
      <c r="C30" s="2">
        <f>IFERROR(INDEX(HS_MD!C:C,MATCH(B30,HS_MD!B:B,0),1),"")</f>
        <v>6</v>
      </c>
      <c r="D30" s="17" t="str">
        <f>IFERROR(INDEX(HS_MD!D:D,MATCH(B30,HS_MD!B:B,0),1),"")</f>
        <v>Citric acid and salts</v>
      </c>
      <c r="E30" s="17" t="str">
        <f>IFERROR(INDEX(HS_MD!E:E,MATCH(B30,HS_MD!B:B,0),1),"")</f>
        <v>Citric Acid</v>
      </c>
      <c r="F30" s="17" t="str">
        <f>IFERROR(INDEX(HS_MD!F:F,MATCH(B30,HS_MD!B:B,0),1),"")</f>
        <v>ACIDULANTS &amp; REGULATORS</v>
      </c>
      <c r="G30" s="17" t="str">
        <f>IFERROR(INDEX(HS_MD!G:G,MATCH(B30,HS_MD!B:B,0),1),"")</f>
        <v>Organic Acids</v>
      </c>
      <c r="H30" s="17" t="str">
        <f>IFERROR(INDEX(HS_MD!H:H,MATCH(B30,HS_MD!B:B,0),1),"")</f>
        <v>Citric Acid</v>
      </c>
      <c r="I30" s="17" t="str">
        <f>IFERROR(INDEX(HS_MD!I:I,MATCH(B30,HS_MD!B:B,0),1),"")</f>
        <v>Beverages / Confectionery / Sauces</v>
      </c>
      <c r="J30" s="17">
        <f>IFERROR(INDEX(Heat_Map[Index],MATCH(HS_DB[[#This Row],[Reporter]],Heat_Map[Global],0),1),"")</f>
        <v>81</v>
      </c>
      <c r="K30" s="17" t="str">
        <f>IF(AND(HS_DB[[#This Row],[Origin Rank]]&gt;1,HS_DB[[#This Row],[Origin Rank]]&lt;=10),"Yes","No")</f>
        <v>No</v>
      </c>
      <c r="L30" s="2">
        <v>2024</v>
      </c>
      <c r="M30" s="2" t="s">
        <v>57</v>
      </c>
      <c r="N30" s="2" t="s">
        <v>49</v>
      </c>
      <c r="O30" s="2" t="s">
        <v>22</v>
      </c>
      <c r="P30" s="2" t="s">
        <v>23</v>
      </c>
      <c r="Q30" s="2" t="s">
        <v>24</v>
      </c>
      <c r="R30" s="2" t="s">
        <v>25</v>
      </c>
      <c r="S30" s="2">
        <v>291814</v>
      </c>
      <c r="T30" s="3">
        <v>35996</v>
      </c>
      <c r="U30" s="3">
        <v>2756</v>
      </c>
      <c r="V30" s="3">
        <v>0</v>
      </c>
      <c r="W30" s="3">
        <v>2756</v>
      </c>
      <c r="X30" s="3" t="s">
        <v>58</v>
      </c>
      <c r="Y30" s="3">
        <v>2756</v>
      </c>
      <c r="Z30" s="2" t="s">
        <v>58</v>
      </c>
      <c r="AA30" s="6">
        <f>SUMIFS(HS_DB[Trade Value - USD],HS_DB[Reporter],HS_DB[[#This Row],[Reporter]])/SUM(HS_DB[Trade Value - USD])</f>
        <v>1.1178535358665947E-2</v>
      </c>
      <c r="AB30" s="8" cm="1">
        <f t="array" ref="AB30">SUMPRODUCT(
(HS_DB[Reporter]=HS_DB[[#This Row],[Reporter]])*
(HS_DB[Trade Value - USD]&gt;HS_DB[[#This Row],[Trade Value - USD]])
)+1</f>
        <v>18</v>
      </c>
      <c r="AC30" s="8" t="str">
        <f>IFERROR(IF(INDEX(Heat_Map[Crisis Impact %],MATCH(HS_DB[[#This Row],[Reporter]],Heat_Map[Global],0),1)&gt;0,"Yes","No"),"No")</f>
        <v>No</v>
      </c>
      <c r="AD30" s="6">
        <f>IFERROR(INDEX(Heat_Map[Crisis Impact %],MATCH(HS_DB[[#This Row],[Reporter]],Heat_Map[Global],0),1),0)</f>
        <v>0</v>
      </c>
      <c r="AE30" s="8">
        <f>HS_DB[[#This Row],[Crisis Impact%]]*HS_DB[[#This Row],[Trade Value - USD]]</f>
        <v>0</v>
      </c>
      <c r="AF30" s="8">
        <f>HS_DB[[#This Row],[Crisis Impact%]]*HS_DB[[#This Row],[Net Weight -KG]]</f>
        <v>0</v>
      </c>
      <c r="AG30" s="6">
        <f>SUMIFS(HS_DB[Trade Value - USD],HS_DB[Products],HS_DB[[#This Row],[Products]])/SUM(HS_DB[Trade Value - USD])</f>
        <v>9.2816848309420653E-3</v>
      </c>
      <c r="AH30" s="8">
        <f>_xlfn.RANK.EQ(HS_DB[[#This Row],[Trade Value - USD]], HS_DB[Trade Value - USD], 0)
 + COUNTIFS(HS_DB[Trade Value - USD],HS_DB[[#This Row],[Trade Value - USD]],
            HS_DB[HS Code],"&lt;"&amp;HS_DB[[#This Row],[HS Code]])</f>
        <v>341</v>
      </c>
      <c r="AI30" s="9">
        <f>IFERROR(HS_DB[[#This Row],[Trade Value - USD]]/HS_DB[[#This Row],[Net Weight -KG]],0)</f>
        <v>13.060957910014514</v>
      </c>
      <c r="AJ30" s="17" cm="1">
        <f t="array" ref="AJ30">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0" s="17" t="str">
        <f>IF(HS_DB[[#This Row],[HS Code Risk Score]]&gt;=40,"High",
 IF(HS_DB[[#This Row],[HS Code Risk Score]]&gt;=25,"Medium","Low"))</f>
        <v>Medium</v>
      </c>
      <c r="AL30" s="17" t="str">
        <f>IF(RANK(HS_DB[[#This Row],[HS Code Risk Score]],HS_DB[HS Code Risk Score])&lt;=10,"Yes","No")</f>
        <v>No</v>
      </c>
      <c r="AM30" s="8">
        <f>SUMIFS(HS_DB[Net Weight -KG],HS_DB[HS Code],HS_DB[[#This Row],[HS Code]])</f>
        <v>22769049.100000001</v>
      </c>
      <c r="AN30" s="8">
        <f>SUMIFS(HS_DB[Trade Value - USD],HS_DB[HS Code],HS_DB[[#This Row],[HS Code]])</f>
        <v>17496053</v>
      </c>
      <c r="AO30" s="6">
        <f>_xlfn.MAXIFS(HS_DB[Origin Share%],HS_DB[HS Code],HS_DB[[#This Row],[HS Code]])</f>
        <v>0.25769345655074266</v>
      </c>
      <c r="AP30" s="8" cm="1">
        <f t="array" ref="AP30">_xlfn.LET(
_xlpm.hs,HS_DB[[#This Row],[HS Code]],
COUNTA(_xlfn.UNIQUE(_xlfn._xlws.FILTER(HS_DB[Reporter],HS_DB[HS Code]=_xlpm.hs)))
)</f>
        <v>14</v>
      </c>
      <c r="AQ30" s="17" t="str">
        <f>IF(HS_DB[[#This Row],[Origin Count]]=1,"Single Source","Multiple Sources")</f>
        <v>Multiple Sources</v>
      </c>
      <c r="AR30" s="8">
        <f>HS_DB[[#This Row],[Annual Spend - USD]]*(HS_DB[[#This Row],[HS Code Risk Score]]/100)</f>
        <v>5948658.0200000005</v>
      </c>
      <c r="AS30" s="8">
        <f>RANK(HS_DB[[#This Row],[Risk Exposure - USD]],HS_DB[Risk Exposure - USD],0)</f>
        <v>118</v>
      </c>
      <c r="AT30" s="8" t="str">
        <f>IF(HS_DB[[#This Row],[Risk Exposure Rank]]&lt;=10,"High",
 IF(HS_DB[[#This Row],[Risk Exposure Rank]]&lt;=30,"Medium",
 "Low"))</f>
        <v>Low</v>
      </c>
      <c r="AU30" s="8" t="str">
        <f>IF(HS_DB[[#This Row],[Risk Exposure Rank]]&lt;=5,"Immediate Action",
 IF(HS_DB[[#This Row],[Risk Exposure Rank]]&lt;=15,"Monitor Closely",
 "Routine Control"))</f>
        <v>Routine Control</v>
      </c>
      <c r="AV30" s="8">
        <f>SUMIFS(HS_DB[Trade Value - USD],HS_DB[HS Code],HS_DB[[#This Row],[HS Code]])</f>
        <v>17496053</v>
      </c>
      <c r="AW30" s="6">
        <f>HS_DB[[#This Row],[Annual Spend - USD]]/HS_DB[[#This Row],[Total Market Size - USD]]</f>
        <v>1</v>
      </c>
      <c r="AX30" s="6" cm="1">
        <f t="array" ref="AX30">COUNTA(_xlfn.UNIQUE(_xlfn._xlws.FILTER(HS_DB[Partner],HS_DB[HS Code]=HS_DB[[#This Row],[HS Code]])))</f>
        <v>1</v>
      </c>
      <c r="AY30" s="8" t="str">
        <f>IF(HS_DB[[#This Row],[Competition Intensity]]&lt;=2,"Highly Concentrated",
 IF(HS_DB[[#This Row],[Competition Intensity]]&lt;=5,"Moderate",
 "Highly Competitive"))</f>
        <v>Highly Concentrated</v>
      </c>
      <c r="AZ30" s="8">
        <f>HS_DB[[#This Row],[Total Market Size - USD]]
*
(1+IFERROR(#REF!,0))
/
HS_DB[[#This Row],[Competition Intensity]]</f>
        <v>17496053</v>
      </c>
      <c r="BA30" s="8" t="str">
        <f>IF(HS_DB[[#This Row],[Commercial Opportunity Score]]&gt;=PERCENTILE(HS_DB[Commercial Opportunity Score],0.9),"High Opportunity",
 IF(HS_DB[[#This Row],[Commercial Opportunity Score]]&gt;=PERCENTILE(HS_DB[Commercial Opportunity Score],0.6),"Medium Opportunity",
 "Routine Market"))</f>
        <v>Medium Opportunity</v>
      </c>
      <c r="BB30" s="3" t="str">
        <f>IF(AND(HS_DB[[#This Row],[Product Rank]]&gt;0,HS_DB[[#This Row],[Product Rank]]&lt;=10),"Yes","No")</f>
        <v>No</v>
      </c>
      <c r="BC30" s="3" t="str">
        <f>IF(AND(HS_DB[[#This Row],[Origin Rank]]&gt;0,HS_DB[[#This Row],[Origin Rank]]&lt;=10),"Yes","No")</f>
        <v>No</v>
      </c>
    </row>
    <row r="31" spans="2:55" x14ac:dyDescent="0.3">
      <c r="B31" s="2">
        <f>HS_DB[[#This Row],[Commodity Code]]</f>
        <v>291814</v>
      </c>
      <c r="C31" s="2">
        <f>IFERROR(INDEX(HS_MD!C:C,MATCH(B31,HS_MD!B:B,0),1),"")</f>
        <v>6</v>
      </c>
      <c r="D31" s="17" t="str">
        <f>IFERROR(INDEX(HS_MD!D:D,MATCH(B31,HS_MD!B:B,0),1),"")</f>
        <v>Citric acid and salts</v>
      </c>
      <c r="E31" s="17" t="str">
        <f>IFERROR(INDEX(HS_MD!E:E,MATCH(B31,HS_MD!B:B,0),1),"")</f>
        <v>Citric Acid</v>
      </c>
      <c r="F31" s="17" t="str">
        <f>IFERROR(INDEX(HS_MD!F:F,MATCH(B31,HS_MD!B:B,0),1),"")</f>
        <v>ACIDULANTS &amp; REGULATORS</v>
      </c>
      <c r="G31" s="17" t="str">
        <f>IFERROR(INDEX(HS_MD!G:G,MATCH(B31,HS_MD!B:B,0),1),"")</f>
        <v>Organic Acids</v>
      </c>
      <c r="H31" s="17" t="str">
        <f>IFERROR(INDEX(HS_MD!H:H,MATCH(B31,HS_MD!B:B,0),1),"")</f>
        <v>Citric Acid</v>
      </c>
      <c r="I31" s="17" t="str">
        <f>IFERROR(INDEX(HS_MD!I:I,MATCH(B31,HS_MD!B:B,0),1),"")</f>
        <v>Beverages / Confectionery / Sauces</v>
      </c>
      <c r="J31" s="17">
        <f>IFERROR(INDEX(Heat_Map[Index],MATCH(HS_DB[[#This Row],[Reporter]],Heat_Map[Global],0),1),"")</f>
        <v>100</v>
      </c>
      <c r="K31" s="17" t="str">
        <f>IF(AND(HS_DB[[#This Row],[Origin Rank]]&gt;1,HS_DB[[#This Row],[Origin Rank]]&lt;=10),"Yes","No")</f>
        <v>Yes</v>
      </c>
      <c r="L31" s="2">
        <v>2024</v>
      </c>
      <c r="M31" s="2" t="s">
        <v>57</v>
      </c>
      <c r="N31" s="2" t="s">
        <v>51</v>
      </c>
      <c r="O31" s="2" t="s">
        <v>22</v>
      </c>
      <c r="P31" s="2" t="s">
        <v>23</v>
      </c>
      <c r="Q31" s="2" t="s">
        <v>24</v>
      </c>
      <c r="R31" s="2" t="s">
        <v>25</v>
      </c>
      <c r="S31" s="2">
        <v>291814</v>
      </c>
      <c r="T31" s="3">
        <v>26</v>
      </c>
      <c r="U31" s="3">
        <v>2</v>
      </c>
      <c r="V31" s="3">
        <v>0</v>
      </c>
      <c r="W31" s="3">
        <v>2</v>
      </c>
      <c r="X31" s="3" t="s">
        <v>58</v>
      </c>
      <c r="Y31" s="3">
        <v>2</v>
      </c>
      <c r="Z31" s="2" t="s">
        <v>58</v>
      </c>
      <c r="AA31" s="6">
        <f>SUMIFS(HS_DB[Trade Value - USD],HS_DB[Reporter],HS_DB[[#This Row],[Reporter]])/SUM(HS_DB[Trade Value - USD])</f>
        <v>0.25769345655074266</v>
      </c>
      <c r="AB31" s="8" cm="1">
        <f t="array" ref="AB31">SUMPRODUCT(
(HS_DB[Reporter]=HS_DB[[#This Row],[Reporter]])*
(HS_DB[Trade Value - USD]&gt;HS_DB[[#This Row],[Trade Value - USD]])
)+1</f>
        <v>6</v>
      </c>
      <c r="AC31" s="8" t="str">
        <f>IFERROR(IF(INDEX(Heat_Map[Crisis Impact %],MATCH(HS_DB[[#This Row],[Reporter]],Heat_Map[Global],0),1)&gt;0,"Yes","No"),"No")</f>
        <v>No</v>
      </c>
      <c r="AD31" s="6">
        <f>IFERROR(INDEX(Heat_Map[Crisis Impact %],MATCH(HS_DB[[#This Row],[Reporter]],Heat_Map[Global],0),1),0)</f>
        <v>0</v>
      </c>
      <c r="AE31" s="8">
        <f>HS_DB[[#This Row],[Crisis Impact%]]*HS_DB[[#This Row],[Trade Value - USD]]</f>
        <v>0</v>
      </c>
      <c r="AF31" s="8">
        <f>HS_DB[[#This Row],[Crisis Impact%]]*HS_DB[[#This Row],[Net Weight -KG]]</f>
        <v>0</v>
      </c>
      <c r="AG31" s="6">
        <f>SUMIFS(HS_DB[Trade Value - USD],HS_DB[Products],HS_DB[[#This Row],[Products]])/SUM(HS_DB[Trade Value - USD])</f>
        <v>9.2816848309420653E-3</v>
      </c>
      <c r="AH31" s="8">
        <f>_xlfn.RANK.EQ(HS_DB[[#This Row],[Trade Value - USD]], HS_DB[Trade Value - USD], 0)
 + COUNTIFS(HS_DB[Trade Value - USD],HS_DB[[#This Row],[Trade Value - USD]],
            HS_DB[HS Code],"&lt;"&amp;HS_DB[[#This Row],[HS Code]])</f>
        <v>529</v>
      </c>
      <c r="AI31" s="9">
        <f>IFERROR(HS_DB[[#This Row],[Trade Value - USD]]/HS_DB[[#This Row],[Net Weight -KG]],0)</f>
        <v>13</v>
      </c>
      <c r="AJ31" s="17" cm="1">
        <f t="array" ref="AJ31">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1" s="17" t="str">
        <f>IF(HS_DB[[#This Row],[HS Code Risk Score]]&gt;=40,"High",
 IF(HS_DB[[#This Row],[HS Code Risk Score]]&gt;=25,"Medium","Low"))</f>
        <v>Medium</v>
      </c>
      <c r="AL31" s="17" t="str">
        <f>IF(RANK(HS_DB[[#This Row],[HS Code Risk Score]],HS_DB[HS Code Risk Score])&lt;=10,"Yes","No")</f>
        <v>No</v>
      </c>
      <c r="AM31" s="8">
        <f>SUMIFS(HS_DB[Net Weight -KG],HS_DB[HS Code],HS_DB[[#This Row],[HS Code]])</f>
        <v>22769049.100000001</v>
      </c>
      <c r="AN31" s="8">
        <f>SUMIFS(HS_DB[Trade Value - USD],HS_DB[HS Code],HS_DB[[#This Row],[HS Code]])</f>
        <v>17496053</v>
      </c>
      <c r="AO31" s="6">
        <f>_xlfn.MAXIFS(HS_DB[Origin Share%],HS_DB[HS Code],HS_DB[[#This Row],[HS Code]])</f>
        <v>0.25769345655074266</v>
      </c>
      <c r="AP31" s="8" cm="1">
        <f t="array" ref="AP31">_xlfn.LET(
_xlpm.hs,HS_DB[[#This Row],[HS Code]],
COUNTA(_xlfn.UNIQUE(_xlfn._xlws.FILTER(HS_DB[Reporter],HS_DB[HS Code]=_xlpm.hs)))
)</f>
        <v>14</v>
      </c>
      <c r="AQ31" s="17" t="str">
        <f>IF(HS_DB[[#This Row],[Origin Count]]=1,"Single Source","Multiple Sources")</f>
        <v>Multiple Sources</v>
      </c>
      <c r="AR31" s="8">
        <f>HS_DB[[#This Row],[Annual Spend - USD]]*(HS_DB[[#This Row],[HS Code Risk Score]]/100)</f>
        <v>5948658.0200000005</v>
      </c>
      <c r="AS31" s="8">
        <f>RANK(HS_DB[[#This Row],[Risk Exposure - USD]],HS_DB[Risk Exposure - USD],0)</f>
        <v>118</v>
      </c>
      <c r="AT31" s="8" t="str">
        <f>IF(HS_DB[[#This Row],[Risk Exposure Rank]]&lt;=10,"High",
 IF(HS_DB[[#This Row],[Risk Exposure Rank]]&lt;=30,"Medium",
 "Low"))</f>
        <v>Low</v>
      </c>
      <c r="AU31" s="8" t="str">
        <f>IF(HS_DB[[#This Row],[Risk Exposure Rank]]&lt;=5,"Immediate Action",
 IF(HS_DB[[#This Row],[Risk Exposure Rank]]&lt;=15,"Monitor Closely",
 "Routine Control"))</f>
        <v>Routine Control</v>
      </c>
      <c r="AV31" s="8">
        <f>SUMIFS(HS_DB[Trade Value - USD],HS_DB[HS Code],HS_DB[[#This Row],[HS Code]])</f>
        <v>17496053</v>
      </c>
      <c r="AW31" s="6">
        <f>HS_DB[[#This Row],[Annual Spend - USD]]/HS_DB[[#This Row],[Total Market Size - USD]]</f>
        <v>1</v>
      </c>
      <c r="AX31" s="6" cm="1">
        <f t="array" ref="AX31">COUNTA(_xlfn.UNIQUE(_xlfn._xlws.FILTER(HS_DB[Partner],HS_DB[HS Code]=HS_DB[[#This Row],[HS Code]])))</f>
        <v>1</v>
      </c>
      <c r="AY31" s="8" t="str">
        <f>IF(HS_DB[[#This Row],[Competition Intensity]]&lt;=2,"Highly Concentrated",
 IF(HS_DB[[#This Row],[Competition Intensity]]&lt;=5,"Moderate",
 "Highly Competitive"))</f>
        <v>Highly Concentrated</v>
      </c>
      <c r="AZ31" s="8">
        <f>HS_DB[[#This Row],[Total Market Size - USD]]
*
(1+IFERROR(#REF!,0))
/
HS_DB[[#This Row],[Competition Intensity]]</f>
        <v>17496053</v>
      </c>
      <c r="BA31" s="8" t="str">
        <f>IF(HS_DB[[#This Row],[Commercial Opportunity Score]]&gt;=PERCENTILE(HS_DB[Commercial Opportunity Score],0.9),"High Opportunity",
 IF(HS_DB[[#This Row],[Commercial Opportunity Score]]&gt;=PERCENTILE(HS_DB[Commercial Opportunity Score],0.6),"Medium Opportunity",
 "Routine Market"))</f>
        <v>Medium Opportunity</v>
      </c>
      <c r="BB31" s="3" t="str">
        <f>IF(AND(HS_DB[[#This Row],[Product Rank]]&gt;0,HS_DB[[#This Row],[Product Rank]]&lt;=10),"Yes","No")</f>
        <v>No</v>
      </c>
      <c r="BC31" s="3" t="str">
        <f>IF(AND(HS_DB[[#This Row],[Origin Rank]]&gt;0,HS_DB[[#This Row],[Origin Rank]]&lt;=10),"Yes","No")</f>
        <v>Yes</v>
      </c>
    </row>
    <row r="32" spans="2:55" x14ac:dyDescent="0.3">
      <c r="B32" s="2">
        <f>HS_DB[[#This Row],[Commodity Code]]</f>
        <v>291814</v>
      </c>
      <c r="C32" s="2">
        <f>IFERROR(INDEX(HS_MD!C:C,MATCH(B32,HS_MD!B:B,0),1),"")</f>
        <v>6</v>
      </c>
      <c r="D32" s="17" t="str">
        <f>IFERROR(INDEX(HS_MD!D:D,MATCH(B32,HS_MD!B:B,0),1),"")</f>
        <v>Citric acid and salts</v>
      </c>
      <c r="E32" s="17" t="str">
        <f>IFERROR(INDEX(HS_MD!E:E,MATCH(B32,HS_MD!B:B,0),1),"")</f>
        <v>Citric Acid</v>
      </c>
      <c r="F32" s="17" t="str">
        <f>IFERROR(INDEX(HS_MD!F:F,MATCH(B32,HS_MD!B:B,0),1),"")</f>
        <v>ACIDULANTS &amp; REGULATORS</v>
      </c>
      <c r="G32" s="17" t="str">
        <f>IFERROR(INDEX(HS_MD!G:G,MATCH(B32,HS_MD!B:B,0),1),"")</f>
        <v>Organic Acids</v>
      </c>
      <c r="H32" s="17" t="str">
        <f>IFERROR(INDEX(HS_MD!H:H,MATCH(B32,HS_MD!B:B,0),1),"")</f>
        <v>Citric Acid</v>
      </c>
      <c r="I32" s="17" t="str">
        <f>IFERROR(INDEX(HS_MD!I:I,MATCH(B32,HS_MD!B:B,0),1),"")</f>
        <v>Beverages / Confectionery / Sauces</v>
      </c>
      <c r="J32" s="17">
        <f>IFERROR(INDEX(Heat_Map[Index],MATCH(HS_DB[[#This Row],[Reporter]],Heat_Map[Global],0),1),"")</f>
        <v>112</v>
      </c>
      <c r="K32" s="17" t="str">
        <f>IF(AND(HS_DB[[#This Row],[Origin Rank]]&gt;1,HS_DB[[#This Row],[Origin Rank]]&lt;=10),"Yes","No")</f>
        <v>Yes</v>
      </c>
      <c r="L32" s="2">
        <v>2024</v>
      </c>
      <c r="M32" s="2" t="s">
        <v>57</v>
      </c>
      <c r="N32" s="2" t="s">
        <v>52</v>
      </c>
      <c r="O32" s="2" t="s">
        <v>22</v>
      </c>
      <c r="P32" s="2" t="s">
        <v>23</v>
      </c>
      <c r="Q32" s="2" t="s">
        <v>24</v>
      </c>
      <c r="R32" s="2" t="s">
        <v>25</v>
      </c>
      <c r="S32" s="2">
        <v>291814</v>
      </c>
      <c r="T32" s="3">
        <v>230</v>
      </c>
      <c r="U32" s="3">
        <v>25</v>
      </c>
      <c r="V32" s="3">
        <v>0</v>
      </c>
      <c r="W32" s="3">
        <v>25</v>
      </c>
      <c r="X32" s="3" t="s">
        <v>58</v>
      </c>
      <c r="Y32" s="3">
        <v>25</v>
      </c>
      <c r="Z32" s="2" t="s">
        <v>58</v>
      </c>
      <c r="AA32" s="6">
        <f>SUMIFS(HS_DB[Trade Value - USD],HS_DB[Reporter],HS_DB[[#This Row],[Reporter]])/SUM(HS_DB[Trade Value - USD])</f>
        <v>1.4429559760252854E-3</v>
      </c>
      <c r="AB32" s="8" cm="1">
        <f t="array" ref="AB32">SUMPRODUCT(
(HS_DB[Reporter]=HS_DB[[#This Row],[Reporter]])*
(HS_DB[Trade Value - USD]&gt;HS_DB[[#This Row],[Trade Value - USD]])
)+1</f>
        <v>6</v>
      </c>
      <c r="AC32" s="8" t="str">
        <f>IFERROR(IF(INDEX(Heat_Map[Crisis Impact %],MATCH(HS_DB[[#This Row],[Reporter]],Heat_Map[Global],0),1)&gt;0,"Yes","No"),"No")</f>
        <v>No</v>
      </c>
      <c r="AD32" s="6">
        <f>IFERROR(INDEX(Heat_Map[Crisis Impact %],MATCH(HS_DB[[#This Row],[Reporter]],Heat_Map[Global],0),1),0)</f>
        <v>0</v>
      </c>
      <c r="AE32" s="8">
        <f>HS_DB[[#This Row],[Crisis Impact%]]*HS_DB[[#This Row],[Trade Value - USD]]</f>
        <v>0</v>
      </c>
      <c r="AF32" s="8">
        <f>HS_DB[[#This Row],[Crisis Impact%]]*HS_DB[[#This Row],[Net Weight -KG]]</f>
        <v>0</v>
      </c>
      <c r="AG32" s="6">
        <f>SUMIFS(HS_DB[Trade Value - USD],HS_DB[Products],HS_DB[[#This Row],[Products]])/SUM(HS_DB[Trade Value - USD])</f>
        <v>9.2816848309420653E-3</v>
      </c>
      <c r="AH32" s="8">
        <f>_xlfn.RANK.EQ(HS_DB[[#This Row],[Trade Value - USD]], HS_DB[Trade Value - USD], 0)
 + COUNTIFS(HS_DB[Trade Value - USD],HS_DB[[#This Row],[Trade Value - USD]],
            HS_DB[HS Code],"&lt;"&amp;HS_DB[[#This Row],[HS Code]])</f>
        <v>507</v>
      </c>
      <c r="AI32" s="9">
        <f>IFERROR(HS_DB[[#This Row],[Trade Value - USD]]/HS_DB[[#This Row],[Net Weight -KG]],0)</f>
        <v>9.1999999999999993</v>
      </c>
      <c r="AJ32" s="17" cm="1">
        <f t="array" ref="AJ32">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2" s="17" t="str">
        <f>IF(HS_DB[[#This Row],[HS Code Risk Score]]&gt;=40,"High",
 IF(HS_DB[[#This Row],[HS Code Risk Score]]&gt;=25,"Medium","Low"))</f>
        <v>Medium</v>
      </c>
      <c r="AL32" s="17" t="str">
        <f>IF(RANK(HS_DB[[#This Row],[HS Code Risk Score]],HS_DB[HS Code Risk Score])&lt;=10,"Yes","No")</f>
        <v>No</v>
      </c>
      <c r="AM32" s="8">
        <f>SUMIFS(HS_DB[Net Weight -KG],HS_DB[HS Code],HS_DB[[#This Row],[HS Code]])</f>
        <v>22769049.100000001</v>
      </c>
      <c r="AN32" s="8">
        <f>SUMIFS(HS_DB[Trade Value - USD],HS_DB[HS Code],HS_DB[[#This Row],[HS Code]])</f>
        <v>17496053</v>
      </c>
      <c r="AO32" s="6">
        <f>_xlfn.MAXIFS(HS_DB[Origin Share%],HS_DB[HS Code],HS_DB[[#This Row],[HS Code]])</f>
        <v>0.25769345655074266</v>
      </c>
      <c r="AP32" s="8" cm="1">
        <f t="array" ref="AP32">_xlfn.LET(
_xlpm.hs,HS_DB[[#This Row],[HS Code]],
COUNTA(_xlfn.UNIQUE(_xlfn._xlws.FILTER(HS_DB[Reporter],HS_DB[HS Code]=_xlpm.hs)))
)</f>
        <v>14</v>
      </c>
      <c r="AQ32" s="17" t="str">
        <f>IF(HS_DB[[#This Row],[Origin Count]]=1,"Single Source","Multiple Sources")</f>
        <v>Multiple Sources</v>
      </c>
      <c r="AR32" s="8">
        <f>HS_DB[[#This Row],[Annual Spend - USD]]*(HS_DB[[#This Row],[HS Code Risk Score]]/100)</f>
        <v>5948658.0200000005</v>
      </c>
      <c r="AS32" s="8">
        <f>RANK(HS_DB[[#This Row],[Risk Exposure - USD]],HS_DB[Risk Exposure - USD],0)</f>
        <v>118</v>
      </c>
      <c r="AT32" s="8" t="str">
        <f>IF(HS_DB[[#This Row],[Risk Exposure Rank]]&lt;=10,"High",
 IF(HS_DB[[#This Row],[Risk Exposure Rank]]&lt;=30,"Medium",
 "Low"))</f>
        <v>Low</v>
      </c>
      <c r="AU32" s="8" t="str">
        <f>IF(HS_DB[[#This Row],[Risk Exposure Rank]]&lt;=5,"Immediate Action",
 IF(HS_DB[[#This Row],[Risk Exposure Rank]]&lt;=15,"Monitor Closely",
 "Routine Control"))</f>
        <v>Routine Control</v>
      </c>
      <c r="AV32" s="8">
        <f>SUMIFS(HS_DB[Trade Value - USD],HS_DB[HS Code],HS_DB[[#This Row],[HS Code]])</f>
        <v>17496053</v>
      </c>
      <c r="AW32" s="6">
        <f>HS_DB[[#This Row],[Annual Spend - USD]]/HS_DB[[#This Row],[Total Market Size - USD]]</f>
        <v>1</v>
      </c>
      <c r="AX32" s="6" cm="1">
        <f t="array" ref="AX32">COUNTA(_xlfn.UNIQUE(_xlfn._xlws.FILTER(HS_DB[Partner],HS_DB[HS Code]=HS_DB[[#This Row],[HS Code]])))</f>
        <v>1</v>
      </c>
      <c r="AY32" s="8" t="str">
        <f>IF(HS_DB[[#This Row],[Competition Intensity]]&lt;=2,"Highly Concentrated",
 IF(HS_DB[[#This Row],[Competition Intensity]]&lt;=5,"Moderate",
 "Highly Competitive"))</f>
        <v>Highly Concentrated</v>
      </c>
      <c r="AZ32" s="8">
        <f>HS_DB[[#This Row],[Total Market Size - USD]]
*
(1+IFERROR(#REF!,0))
/
HS_DB[[#This Row],[Competition Intensity]]</f>
        <v>17496053</v>
      </c>
      <c r="BA32" s="8" t="str">
        <f>IF(HS_DB[[#This Row],[Commercial Opportunity Score]]&gt;=PERCENTILE(HS_DB[Commercial Opportunity Score],0.9),"High Opportunity",
 IF(HS_DB[[#This Row],[Commercial Opportunity Score]]&gt;=PERCENTILE(HS_DB[Commercial Opportunity Score],0.6),"Medium Opportunity",
 "Routine Market"))</f>
        <v>Medium Opportunity</v>
      </c>
      <c r="BB32" s="3" t="str">
        <f>IF(AND(HS_DB[[#This Row],[Product Rank]]&gt;0,HS_DB[[#This Row],[Product Rank]]&lt;=10),"Yes","No")</f>
        <v>No</v>
      </c>
      <c r="BC32" s="3" t="str">
        <f>IF(AND(HS_DB[[#This Row],[Origin Rank]]&gt;0,HS_DB[[#This Row],[Origin Rank]]&lt;=10),"Yes","No")</f>
        <v>Yes</v>
      </c>
    </row>
    <row r="33" spans="2:55" x14ac:dyDescent="0.3">
      <c r="B33" s="2">
        <f>HS_DB[[#This Row],[Commodity Code]]</f>
        <v>291814</v>
      </c>
      <c r="C33" s="2">
        <f>IFERROR(INDEX(HS_MD!C:C,MATCH(B33,HS_MD!B:B,0),1),"")</f>
        <v>6</v>
      </c>
      <c r="D33" s="17" t="str">
        <f>IFERROR(INDEX(HS_MD!D:D,MATCH(B33,HS_MD!B:B,0),1),"")</f>
        <v>Citric acid and salts</v>
      </c>
      <c r="E33" s="17" t="str">
        <f>IFERROR(INDEX(HS_MD!E:E,MATCH(B33,HS_MD!B:B,0),1),"")</f>
        <v>Citric Acid</v>
      </c>
      <c r="F33" s="17" t="str">
        <f>IFERROR(INDEX(HS_MD!F:F,MATCH(B33,HS_MD!B:B,0),1),"")</f>
        <v>ACIDULANTS &amp; REGULATORS</v>
      </c>
      <c r="G33" s="17" t="str">
        <f>IFERROR(INDEX(HS_MD!G:G,MATCH(B33,HS_MD!B:B,0),1),"")</f>
        <v>Organic Acids</v>
      </c>
      <c r="H33" s="17" t="str">
        <f>IFERROR(INDEX(HS_MD!H:H,MATCH(B33,HS_MD!B:B,0),1),"")</f>
        <v>Citric Acid</v>
      </c>
      <c r="I33" s="17" t="str">
        <f>IFERROR(INDEX(HS_MD!I:I,MATCH(B33,HS_MD!B:B,0),1),"")</f>
        <v>Beverages / Confectionery / Sauces</v>
      </c>
      <c r="J33" s="17">
        <f>IFERROR(INDEX(Heat_Map[Index],MATCH(HS_DB[[#This Row],[Reporter]],Heat_Map[Global],0),1),"")</f>
        <v>118</v>
      </c>
      <c r="K33" s="17" t="str">
        <f>IF(AND(HS_DB[[#This Row],[Origin Rank]]&gt;1,HS_DB[[#This Row],[Origin Rank]]&lt;=10),"Yes","No")</f>
        <v>No</v>
      </c>
      <c r="L33" s="2">
        <v>2024</v>
      </c>
      <c r="M33" s="2" t="s">
        <v>57</v>
      </c>
      <c r="N33" s="2" t="s">
        <v>53</v>
      </c>
      <c r="O33" s="2" t="s">
        <v>22</v>
      </c>
      <c r="P33" s="2" t="s">
        <v>23</v>
      </c>
      <c r="Q33" s="2" t="s">
        <v>24</v>
      </c>
      <c r="R33" s="2" t="s">
        <v>25</v>
      </c>
      <c r="S33" s="2">
        <v>291814</v>
      </c>
      <c r="T33" s="3">
        <v>25497</v>
      </c>
      <c r="U33" s="3">
        <v>15843</v>
      </c>
      <c r="V33" s="3">
        <v>0</v>
      </c>
      <c r="W33" s="3">
        <v>15843</v>
      </c>
      <c r="X33" s="3" t="s">
        <v>58</v>
      </c>
      <c r="Y33" s="3">
        <v>15843</v>
      </c>
      <c r="Z33" s="2" t="s">
        <v>58</v>
      </c>
      <c r="AA33" s="6">
        <f>SUMIFS(HS_DB[Trade Value - USD],HS_DB[Reporter],HS_DB[[#This Row],[Reporter]])/SUM(HS_DB[Trade Value - USD])</f>
        <v>1.4561232389604124E-2</v>
      </c>
      <c r="AB33" s="8" cm="1">
        <f t="array" ref="AB33">SUMPRODUCT(
(HS_DB[Reporter]=HS_DB[[#This Row],[Reporter]])*
(HS_DB[Trade Value - USD]&gt;HS_DB[[#This Row],[Trade Value - USD]])
)+1</f>
        <v>25</v>
      </c>
      <c r="AC33" s="8" t="str">
        <f>IFERROR(IF(INDEX(Heat_Map[Crisis Impact %],MATCH(HS_DB[[#This Row],[Reporter]],Heat_Map[Global],0),1)&gt;0,"Yes","No"),"No")</f>
        <v>No</v>
      </c>
      <c r="AD33" s="6">
        <f>IFERROR(INDEX(Heat_Map[Crisis Impact %],MATCH(HS_DB[[#This Row],[Reporter]],Heat_Map[Global],0),1),0)</f>
        <v>0</v>
      </c>
      <c r="AE33" s="8">
        <f>HS_DB[[#This Row],[Crisis Impact%]]*HS_DB[[#This Row],[Trade Value - USD]]</f>
        <v>0</v>
      </c>
      <c r="AF33" s="8">
        <f>HS_DB[[#This Row],[Crisis Impact%]]*HS_DB[[#This Row],[Net Weight -KG]]</f>
        <v>0</v>
      </c>
      <c r="AG33" s="6">
        <f>SUMIFS(HS_DB[Trade Value - USD],HS_DB[Products],HS_DB[[#This Row],[Products]])/SUM(HS_DB[Trade Value - USD])</f>
        <v>9.2816848309420653E-3</v>
      </c>
      <c r="AH33" s="8">
        <f>_xlfn.RANK.EQ(HS_DB[[#This Row],[Trade Value - USD]], HS_DB[Trade Value - USD], 0)
 + COUNTIFS(HS_DB[Trade Value - USD],HS_DB[[#This Row],[Trade Value - USD]],
            HS_DB[HS Code],"&lt;"&amp;HS_DB[[#This Row],[HS Code]])</f>
        <v>367</v>
      </c>
      <c r="AI33" s="9">
        <f>IFERROR(HS_DB[[#This Row],[Trade Value - USD]]/HS_DB[[#This Row],[Net Weight -KG]],0)</f>
        <v>1.6093542889604242</v>
      </c>
      <c r="AJ33" s="17" cm="1">
        <f t="array" ref="AJ33">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3" s="17" t="str">
        <f>IF(HS_DB[[#This Row],[HS Code Risk Score]]&gt;=40,"High",
 IF(HS_DB[[#This Row],[HS Code Risk Score]]&gt;=25,"Medium","Low"))</f>
        <v>Medium</v>
      </c>
      <c r="AL33" s="17" t="str">
        <f>IF(RANK(HS_DB[[#This Row],[HS Code Risk Score]],HS_DB[HS Code Risk Score])&lt;=10,"Yes","No")</f>
        <v>No</v>
      </c>
      <c r="AM33" s="8">
        <f>SUMIFS(HS_DB[Net Weight -KG],HS_DB[HS Code],HS_DB[[#This Row],[HS Code]])</f>
        <v>22769049.100000001</v>
      </c>
      <c r="AN33" s="8">
        <f>SUMIFS(HS_DB[Trade Value - USD],HS_DB[HS Code],HS_DB[[#This Row],[HS Code]])</f>
        <v>17496053</v>
      </c>
      <c r="AO33" s="6">
        <f>_xlfn.MAXIFS(HS_DB[Origin Share%],HS_DB[HS Code],HS_DB[[#This Row],[HS Code]])</f>
        <v>0.25769345655074266</v>
      </c>
      <c r="AP33" s="8" cm="1">
        <f t="array" ref="AP33">_xlfn.LET(
_xlpm.hs,HS_DB[[#This Row],[HS Code]],
COUNTA(_xlfn.UNIQUE(_xlfn._xlws.FILTER(HS_DB[Reporter],HS_DB[HS Code]=_xlpm.hs)))
)</f>
        <v>14</v>
      </c>
      <c r="AQ33" s="17" t="str">
        <f>IF(HS_DB[[#This Row],[Origin Count]]=1,"Single Source","Multiple Sources")</f>
        <v>Multiple Sources</v>
      </c>
      <c r="AR33" s="8">
        <f>HS_DB[[#This Row],[Annual Spend - USD]]*(HS_DB[[#This Row],[HS Code Risk Score]]/100)</f>
        <v>5948658.0200000005</v>
      </c>
      <c r="AS33" s="8">
        <f>RANK(HS_DB[[#This Row],[Risk Exposure - USD]],HS_DB[Risk Exposure - USD],0)</f>
        <v>118</v>
      </c>
      <c r="AT33" s="8" t="str">
        <f>IF(HS_DB[[#This Row],[Risk Exposure Rank]]&lt;=10,"High",
 IF(HS_DB[[#This Row],[Risk Exposure Rank]]&lt;=30,"Medium",
 "Low"))</f>
        <v>Low</v>
      </c>
      <c r="AU33" s="8" t="str">
        <f>IF(HS_DB[[#This Row],[Risk Exposure Rank]]&lt;=5,"Immediate Action",
 IF(HS_DB[[#This Row],[Risk Exposure Rank]]&lt;=15,"Monitor Closely",
 "Routine Control"))</f>
        <v>Routine Control</v>
      </c>
      <c r="AV33" s="8">
        <f>SUMIFS(HS_DB[Trade Value - USD],HS_DB[HS Code],HS_DB[[#This Row],[HS Code]])</f>
        <v>17496053</v>
      </c>
      <c r="AW33" s="6">
        <f>HS_DB[[#This Row],[Annual Spend - USD]]/HS_DB[[#This Row],[Total Market Size - USD]]</f>
        <v>1</v>
      </c>
      <c r="AX33" s="6" cm="1">
        <f t="array" ref="AX33">COUNTA(_xlfn.UNIQUE(_xlfn._xlws.FILTER(HS_DB[Partner],HS_DB[HS Code]=HS_DB[[#This Row],[HS Code]])))</f>
        <v>1</v>
      </c>
      <c r="AY33" s="8" t="str">
        <f>IF(HS_DB[[#This Row],[Competition Intensity]]&lt;=2,"Highly Concentrated",
 IF(HS_DB[[#This Row],[Competition Intensity]]&lt;=5,"Moderate",
 "Highly Competitive"))</f>
        <v>Highly Concentrated</v>
      </c>
      <c r="AZ33" s="8">
        <f>HS_DB[[#This Row],[Total Market Size - USD]]
*
(1+IFERROR(#REF!,0))
/
HS_DB[[#This Row],[Competition Intensity]]</f>
        <v>17496053</v>
      </c>
      <c r="BA33" s="8" t="str">
        <f>IF(HS_DB[[#This Row],[Commercial Opportunity Score]]&gt;=PERCENTILE(HS_DB[Commercial Opportunity Score],0.9),"High Opportunity",
 IF(HS_DB[[#This Row],[Commercial Opportunity Score]]&gt;=PERCENTILE(HS_DB[Commercial Opportunity Score],0.6),"Medium Opportunity",
 "Routine Market"))</f>
        <v>Medium Opportunity</v>
      </c>
      <c r="BB33" s="3" t="str">
        <f>IF(AND(HS_DB[[#This Row],[Product Rank]]&gt;0,HS_DB[[#This Row],[Product Rank]]&lt;=10),"Yes","No")</f>
        <v>No</v>
      </c>
      <c r="BC33" s="3" t="str">
        <f>IF(AND(HS_DB[[#This Row],[Origin Rank]]&gt;0,HS_DB[[#This Row],[Origin Rank]]&lt;=10),"Yes","No")</f>
        <v>No</v>
      </c>
    </row>
    <row r="34" spans="2:55" x14ac:dyDescent="0.3">
      <c r="B34" s="2">
        <f>HS_DB[[#This Row],[Commodity Code]]</f>
        <v>291814</v>
      </c>
      <c r="C34" s="2">
        <f>IFERROR(INDEX(HS_MD!C:C,MATCH(B34,HS_MD!B:B,0),1),"")</f>
        <v>6</v>
      </c>
      <c r="D34" s="17" t="str">
        <f>IFERROR(INDEX(HS_MD!D:D,MATCH(B34,HS_MD!B:B,0),1),"")</f>
        <v>Citric acid and salts</v>
      </c>
      <c r="E34" s="17" t="str">
        <f>IFERROR(INDEX(HS_MD!E:E,MATCH(B34,HS_MD!B:B,0),1),"")</f>
        <v>Citric Acid</v>
      </c>
      <c r="F34" s="17" t="str">
        <f>IFERROR(INDEX(HS_MD!F:F,MATCH(B34,HS_MD!B:B,0),1),"")</f>
        <v>ACIDULANTS &amp; REGULATORS</v>
      </c>
      <c r="G34" s="17" t="str">
        <f>IFERROR(INDEX(HS_MD!G:G,MATCH(B34,HS_MD!B:B,0),1),"")</f>
        <v>Organic Acids</v>
      </c>
      <c r="H34" s="17" t="str">
        <f>IFERROR(INDEX(HS_MD!H:H,MATCH(B34,HS_MD!B:B,0),1),"")</f>
        <v>Citric Acid</v>
      </c>
      <c r="I34" s="17" t="str">
        <f>IFERROR(INDEX(HS_MD!I:I,MATCH(B34,HS_MD!B:B,0),1),"")</f>
        <v>Beverages / Confectionery / Sauces</v>
      </c>
      <c r="J34" s="17">
        <f>IFERROR(INDEX(Heat_Map[Index],MATCH(HS_DB[[#This Row],[Reporter]],Heat_Map[Global],0),1),"")</f>
        <v>75</v>
      </c>
      <c r="K34" s="17" t="str">
        <f>IF(AND(HS_DB[[#This Row],[Origin Rank]]&gt;1,HS_DB[[#This Row],[Origin Rank]]&lt;=10),"Yes","No")</f>
        <v>No</v>
      </c>
      <c r="L34" s="2">
        <v>2024</v>
      </c>
      <c r="M34" s="2" t="s">
        <v>57</v>
      </c>
      <c r="N34" s="2" t="s">
        <v>8</v>
      </c>
      <c r="O34" s="2" t="s">
        <v>22</v>
      </c>
      <c r="P34" s="2" t="s">
        <v>23</v>
      </c>
      <c r="Q34" s="2" t="s">
        <v>24</v>
      </c>
      <c r="R34" s="2" t="s">
        <v>25</v>
      </c>
      <c r="S34" s="2">
        <v>291814</v>
      </c>
      <c r="T34" s="3">
        <v>3595</v>
      </c>
      <c r="U34" s="3">
        <v>1083</v>
      </c>
      <c r="V34" s="3">
        <v>0</v>
      </c>
      <c r="W34" s="3">
        <v>1083</v>
      </c>
      <c r="X34" s="3" t="s">
        <v>58</v>
      </c>
      <c r="Y34" s="3">
        <v>1083</v>
      </c>
      <c r="Z34" s="2" t="s">
        <v>58</v>
      </c>
      <c r="AA34" s="6">
        <f>SUMIFS(HS_DB[Trade Value - USD],HS_DB[Reporter],HS_DB[[#This Row],[Reporter]])/SUM(HS_DB[Trade Value - USD])</f>
        <v>2.2441761060335613E-2</v>
      </c>
      <c r="AB34" s="8" cm="1">
        <f t="array" ref="AB34">SUMPRODUCT(
(HS_DB[Reporter]=HS_DB[[#This Row],[Reporter]])*
(HS_DB[Trade Value - USD]&gt;HS_DB[[#This Row],[Trade Value - USD]])
)+1</f>
        <v>35</v>
      </c>
      <c r="AC34" s="8" t="str">
        <f>IFERROR(IF(INDEX(Heat_Map[Crisis Impact %],MATCH(HS_DB[[#This Row],[Reporter]],Heat_Map[Global],0),1)&gt;0,"Yes","No"),"No")</f>
        <v>No</v>
      </c>
      <c r="AD34" s="6">
        <f>IFERROR(INDEX(Heat_Map[Crisis Impact %],MATCH(HS_DB[[#This Row],[Reporter]],Heat_Map[Global],0),1),0)</f>
        <v>0</v>
      </c>
      <c r="AE34" s="8">
        <f>HS_DB[[#This Row],[Crisis Impact%]]*HS_DB[[#This Row],[Trade Value - USD]]</f>
        <v>0</v>
      </c>
      <c r="AF34" s="8">
        <f>HS_DB[[#This Row],[Crisis Impact%]]*HS_DB[[#This Row],[Net Weight -KG]]</f>
        <v>0</v>
      </c>
      <c r="AG34" s="6">
        <f>SUMIFS(HS_DB[Trade Value - USD],HS_DB[Products],HS_DB[[#This Row],[Products]])/SUM(HS_DB[Trade Value - USD])</f>
        <v>9.2816848309420653E-3</v>
      </c>
      <c r="AH34" s="8">
        <f>_xlfn.RANK.EQ(HS_DB[[#This Row],[Trade Value - USD]], HS_DB[Trade Value - USD], 0)
 + COUNTIFS(HS_DB[Trade Value - USD],HS_DB[[#This Row],[Trade Value - USD]],
            HS_DB[HS Code],"&lt;"&amp;HS_DB[[#This Row],[HS Code]])</f>
        <v>452</v>
      </c>
      <c r="AI34" s="9">
        <f>IFERROR(HS_DB[[#This Row],[Trade Value - USD]]/HS_DB[[#This Row],[Net Weight -KG]],0)</f>
        <v>3.319482917820868</v>
      </c>
      <c r="AJ34" s="17" cm="1">
        <f t="array" ref="AJ34">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4" s="17" t="str">
        <f>IF(HS_DB[[#This Row],[HS Code Risk Score]]&gt;=40,"High",
 IF(HS_DB[[#This Row],[HS Code Risk Score]]&gt;=25,"Medium","Low"))</f>
        <v>Medium</v>
      </c>
      <c r="AL34" s="17" t="str">
        <f>IF(RANK(HS_DB[[#This Row],[HS Code Risk Score]],HS_DB[HS Code Risk Score])&lt;=10,"Yes","No")</f>
        <v>No</v>
      </c>
      <c r="AM34" s="8">
        <f>SUMIFS(HS_DB[Net Weight -KG],HS_DB[HS Code],HS_DB[[#This Row],[HS Code]])</f>
        <v>22769049.100000001</v>
      </c>
      <c r="AN34" s="8">
        <f>SUMIFS(HS_DB[Trade Value - USD],HS_DB[HS Code],HS_DB[[#This Row],[HS Code]])</f>
        <v>17496053</v>
      </c>
      <c r="AO34" s="6">
        <f>_xlfn.MAXIFS(HS_DB[Origin Share%],HS_DB[HS Code],HS_DB[[#This Row],[HS Code]])</f>
        <v>0.25769345655074266</v>
      </c>
      <c r="AP34" s="8" cm="1">
        <f t="array" ref="AP34">_xlfn.LET(
_xlpm.hs,HS_DB[[#This Row],[HS Code]],
COUNTA(_xlfn.UNIQUE(_xlfn._xlws.FILTER(HS_DB[Reporter],HS_DB[HS Code]=_xlpm.hs)))
)</f>
        <v>14</v>
      </c>
      <c r="AQ34" s="17" t="str">
        <f>IF(HS_DB[[#This Row],[Origin Count]]=1,"Single Source","Multiple Sources")</f>
        <v>Multiple Sources</v>
      </c>
      <c r="AR34" s="8">
        <f>HS_DB[[#This Row],[Annual Spend - USD]]*(HS_DB[[#This Row],[HS Code Risk Score]]/100)</f>
        <v>5948658.0200000005</v>
      </c>
      <c r="AS34" s="8">
        <f>RANK(HS_DB[[#This Row],[Risk Exposure - USD]],HS_DB[Risk Exposure - USD],0)</f>
        <v>118</v>
      </c>
      <c r="AT34" s="8" t="str">
        <f>IF(HS_DB[[#This Row],[Risk Exposure Rank]]&lt;=10,"High",
 IF(HS_DB[[#This Row],[Risk Exposure Rank]]&lt;=30,"Medium",
 "Low"))</f>
        <v>Low</v>
      </c>
      <c r="AU34" s="8" t="str">
        <f>IF(HS_DB[[#This Row],[Risk Exposure Rank]]&lt;=5,"Immediate Action",
 IF(HS_DB[[#This Row],[Risk Exposure Rank]]&lt;=15,"Monitor Closely",
 "Routine Control"))</f>
        <v>Routine Control</v>
      </c>
      <c r="AV34" s="8">
        <f>SUMIFS(HS_DB[Trade Value - USD],HS_DB[HS Code],HS_DB[[#This Row],[HS Code]])</f>
        <v>17496053</v>
      </c>
      <c r="AW34" s="6">
        <f>HS_DB[[#This Row],[Annual Spend - USD]]/HS_DB[[#This Row],[Total Market Size - USD]]</f>
        <v>1</v>
      </c>
      <c r="AX34" s="6" cm="1">
        <f t="array" ref="AX34">COUNTA(_xlfn.UNIQUE(_xlfn._xlws.FILTER(HS_DB[Partner],HS_DB[HS Code]=HS_DB[[#This Row],[HS Code]])))</f>
        <v>1</v>
      </c>
      <c r="AY34" s="8" t="str">
        <f>IF(HS_DB[[#This Row],[Competition Intensity]]&lt;=2,"Highly Concentrated",
 IF(HS_DB[[#This Row],[Competition Intensity]]&lt;=5,"Moderate",
 "Highly Competitive"))</f>
        <v>Highly Concentrated</v>
      </c>
      <c r="AZ34" s="8">
        <f>HS_DB[[#This Row],[Total Market Size - USD]]
*
(1+IFERROR(#REF!,0))
/
HS_DB[[#This Row],[Competition Intensity]]</f>
        <v>17496053</v>
      </c>
      <c r="BA34" s="8" t="str">
        <f>IF(HS_DB[[#This Row],[Commercial Opportunity Score]]&gt;=PERCENTILE(HS_DB[Commercial Opportunity Score],0.9),"High Opportunity",
 IF(HS_DB[[#This Row],[Commercial Opportunity Score]]&gt;=PERCENTILE(HS_DB[Commercial Opportunity Score],0.6),"Medium Opportunity",
 "Routine Market"))</f>
        <v>Medium Opportunity</v>
      </c>
      <c r="BB34" s="3" t="str">
        <f>IF(AND(HS_DB[[#This Row],[Product Rank]]&gt;0,HS_DB[[#This Row],[Product Rank]]&lt;=10),"Yes","No")</f>
        <v>No</v>
      </c>
      <c r="BC34" s="3" t="str">
        <f>IF(AND(HS_DB[[#This Row],[Origin Rank]]&gt;0,HS_DB[[#This Row],[Origin Rank]]&lt;=10),"Yes","No")</f>
        <v>No</v>
      </c>
    </row>
    <row r="35" spans="2:55" x14ac:dyDescent="0.3">
      <c r="B35" s="2">
        <f>HS_DB[[#This Row],[Commodity Code]]</f>
        <v>291814</v>
      </c>
      <c r="C35" s="2">
        <f>IFERROR(INDEX(HS_MD!C:C,MATCH(B35,HS_MD!B:B,0),1),"")</f>
        <v>6</v>
      </c>
      <c r="D35" s="17" t="str">
        <f>IFERROR(INDEX(HS_MD!D:D,MATCH(B35,HS_MD!B:B,0),1),"")</f>
        <v>Citric acid and salts</v>
      </c>
      <c r="E35" s="17" t="str">
        <f>IFERROR(INDEX(HS_MD!E:E,MATCH(B35,HS_MD!B:B,0),1),"")</f>
        <v>Citric Acid</v>
      </c>
      <c r="F35" s="17" t="str">
        <f>IFERROR(INDEX(HS_MD!F:F,MATCH(B35,HS_MD!B:B,0),1),"")</f>
        <v>ACIDULANTS &amp; REGULATORS</v>
      </c>
      <c r="G35" s="17" t="str">
        <f>IFERROR(INDEX(HS_MD!G:G,MATCH(B35,HS_MD!B:B,0),1),"")</f>
        <v>Organic Acids</v>
      </c>
      <c r="H35" s="17" t="str">
        <f>IFERROR(INDEX(HS_MD!H:H,MATCH(B35,HS_MD!B:B,0),1),"")</f>
        <v>Citric Acid</v>
      </c>
      <c r="I35" s="17" t="str">
        <f>IFERROR(INDEX(HS_MD!I:I,MATCH(B35,HS_MD!B:B,0),1),"")</f>
        <v>Beverages / Confectionery / Sauces</v>
      </c>
      <c r="J35" s="17">
        <f>IFERROR(INDEX(Heat_Map[Index],MATCH(HS_DB[[#This Row],[Reporter]],Heat_Map[Global],0),1),"")</f>
        <v>159</v>
      </c>
      <c r="K35" s="17" t="str">
        <f>IF(AND(HS_DB[[#This Row],[Origin Rank]]&gt;1,HS_DB[[#This Row],[Origin Rank]]&lt;=10),"Yes","No")</f>
        <v>No</v>
      </c>
      <c r="L35" s="2">
        <v>2024</v>
      </c>
      <c r="M35" s="2" t="s">
        <v>57</v>
      </c>
      <c r="N35" s="2" t="s">
        <v>30</v>
      </c>
      <c r="O35" s="2" t="s">
        <v>22</v>
      </c>
      <c r="P35" s="2" t="s">
        <v>23</v>
      </c>
      <c r="Q35" s="2" t="s">
        <v>24</v>
      </c>
      <c r="R35" s="2" t="s">
        <v>25</v>
      </c>
      <c r="S35" s="2">
        <v>291814</v>
      </c>
      <c r="T35" s="3">
        <v>20708</v>
      </c>
      <c r="U35" s="3">
        <v>7650</v>
      </c>
      <c r="V35" s="3">
        <v>0</v>
      </c>
      <c r="W35" s="3">
        <v>7650</v>
      </c>
      <c r="X35" s="3" t="s">
        <v>58</v>
      </c>
      <c r="Y35" s="3">
        <v>7650</v>
      </c>
      <c r="Z35" s="2" t="s">
        <v>58</v>
      </c>
      <c r="AA35" s="6">
        <f>SUMIFS(HS_DB[Trade Value - USD],HS_DB[Reporter],HS_DB[[#This Row],[Reporter]])/SUM(HS_DB[Trade Value - USD])</f>
        <v>6.110186869383482E-3</v>
      </c>
      <c r="AB35" s="8" cm="1">
        <f t="array" ref="AB35">SUMPRODUCT(
(HS_DB[Reporter]=HS_DB[[#This Row],[Reporter]])*
(HS_DB[Trade Value - USD]&gt;HS_DB[[#This Row],[Trade Value - USD]])
)+1</f>
        <v>17</v>
      </c>
      <c r="AC35" s="8" t="str">
        <f>IFERROR(IF(INDEX(Heat_Map[Crisis Impact %],MATCH(HS_DB[[#This Row],[Reporter]],Heat_Map[Global],0),1)&gt;0,"Yes","No"),"No")</f>
        <v>No</v>
      </c>
      <c r="AD35" s="6">
        <f>IFERROR(INDEX(Heat_Map[Crisis Impact %],MATCH(HS_DB[[#This Row],[Reporter]],Heat_Map[Global],0),1),0)</f>
        <v>0</v>
      </c>
      <c r="AE35" s="8">
        <f>HS_DB[[#This Row],[Crisis Impact%]]*HS_DB[[#This Row],[Trade Value - USD]]</f>
        <v>0</v>
      </c>
      <c r="AF35" s="8">
        <f>HS_DB[[#This Row],[Crisis Impact%]]*HS_DB[[#This Row],[Net Weight -KG]]</f>
        <v>0</v>
      </c>
      <c r="AG35" s="6">
        <f>SUMIFS(HS_DB[Trade Value - USD],HS_DB[Products],HS_DB[[#This Row],[Products]])/SUM(HS_DB[Trade Value - USD])</f>
        <v>9.2816848309420653E-3</v>
      </c>
      <c r="AH35" s="8">
        <f>_xlfn.RANK.EQ(HS_DB[[#This Row],[Trade Value - USD]], HS_DB[Trade Value - USD], 0)
 + COUNTIFS(HS_DB[Trade Value - USD],HS_DB[[#This Row],[Trade Value - USD]],
            HS_DB[HS Code],"&lt;"&amp;HS_DB[[#This Row],[HS Code]])</f>
        <v>377</v>
      </c>
      <c r="AI35" s="9">
        <f>IFERROR(HS_DB[[#This Row],[Trade Value - USD]]/HS_DB[[#This Row],[Net Weight -KG]],0)</f>
        <v>2.7069281045751632</v>
      </c>
      <c r="AJ35" s="17" cm="1">
        <f t="array" ref="AJ35">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5" s="17" t="str">
        <f>IF(HS_DB[[#This Row],[HS Code Risk Score]]&gt;=40,"High",
 IF(HS_DB[[#This Row],[HS Code Risk Score]]&gt;=25,"Medium","Low"))</f>
        <v>Medium</v>
      </c>
      <c r="AL35" s="17" t="str">
        <f>IF(RANK(HS_DB[[#This Row],[HS Code Risk Score]],HS_DB[HS Code Risk Score])&lt;=10,"Yes","No")</f>
        <v>No</v>
      </c>
      <c r="AM35" s="8">
        <f>SUMIFS(HS_DB[Net Weight -KG],HS_DB[HS Code],HS_DB[[#This Row],[HS Code]])</f>
        <v>22769049.100000001</v>
      </c>
      <c r="AN35" s="8">
        <f>SUMIFS(HS_DB[Trade Value - USD],HS_DB[HS Code],HS_DB[[#This Row],[HS Code]])</f>
        <v>17496053</v>
      </c>
      <c r="AO35" s="6">
        <f>_xlfn.MAXIFS(HS_DB[Origin Share%],HS_DB[HS Code],HS_DB[[#This Row],[HS Code]])</f>
        <v>0.25769345655074266</v>
      </c>
      <c r="AP35" s="8" cm="1">
        <f t="array" ref="AP35">_xlfn.LET(
_xlpm.hs,HS_DB[[#This Row],[HS Code]],
COUNTA(_xlfn.UNIQUE(_xlfn._xlws.FILTER(HS_DB[Reporter],HS_DB[HS Code]=_xlpm.hs)))
)</f>
        <v>14</v>
      </c>
      <c r="AQ35" s="17" t="str">
        <f>IF(HS_DB[[#This Row],[Origin Count]]=1,"Single Source","Multiple Sources")</f>
        <v>Multiple Sources</v>
      </c>
      <c r="AR35" s="8">
        <f>HS_DB[[#This Row],[Annual Spend - USD]]*(HS_DB[[#This Row],[HS Code Risk Score]]/100)</f>
        <v>5948658.0200000005</v>
      </c>
      <c r="AS35" s="8">
        <f>RANK(HS_DB[[#This Row],[Risk Exposure - USD]],HS_DB[Risk Exposure - USD],0)</f>
        <v>118</v>
      </c>
      <c r="AT35" s="8" t="str">
        <f>IF(HS_DB[[#This Row],[Risk Exposure Rank]]&lt;=10,"High",
 IF(HS_DB[[#This Row],[Risk Exposure Rank]]&lt;=30,"Medium",
 "Low"))</f>
        <v>Low</v>
      </c>
      <c r="AU35" s="8" t="str">
        <f>IF(HS_DB[[#This Row],[Risk Exposure Rank]]&lt;=5,"Immediate Action",
 IF(HS_DB[[#This Row],[Risk Exposure Rank]]&lt;=15,"Monitor Closely",
 "Routine Control"))</f>
        <v>Routine Control</v>
      </c>
      <c r="AV35" s="8">
        <f>SUMIFS(HS_DB[Trade Value - USD],HS_DB[HS Code],HS_DB[[#This Row],[HS Code]])</f>
        <v>17496053</v>
      </c>
      <c r="AW35" s="6">
        <f>HS_DB[[#This Row],[Annual Spend - USD]]/HS_DB[[#This Row],[Total Market Size - USD]]</f>
        <v>1</v>
      </c>
      <c r="AX35" s="6" cm="1">
        <f t="array" ref="AX35">COUNTA(_xlfn.UNIQUE(_xlfn._xlws.FILTER(HS_DB[Partner],HS_DB[HS Code]=HS_DB[[#This Row],[HS Code]])))</f>
        <v>1</v>
      </c>
      <c r="AY35" s="8" t="str">
        <f>IF(HS_DB[[#This Row],[Competition Intensity]]&lt;=2,"Highly Concentrated",
 IF(HS_DB[[#This Row],[Competition Intensity]]&lt;=5,"Moderate",
 "Highly Competitive"))</f>
        <v>Highly Concentrated</v>
      </c>
      <c r="AZ35" s="8">
        <f>HS_DB[[#This Row],[Total Market Size - USD]]
*
(1+IFERROR(#REF!,0))
/
HS_DB[[#This Row],[Competition Intensity]]</f>
        <v>17496053</v>
      </c>
      <c r="BA35" s="8" t="str">
        <f>IF(HS_DB[[#This Row],[Commercial Opportunity Score]]&gt;=PERCENTILE(HS_DB[Commercial Opportunity Score],0.9),"High Opportunity",
 IF(HS_DB[[#This Row],[Commercial Opportunity Score]]&gt;=PERCENTILE(HS_DB[Commercial Opportunity Score],0.6),"Medium Opportunity",
 "Routine Market"))</f>
        <v>Medium Opportunity</v>
      </c>
      <c r="BB35" s="3" t="str">
        <f>IF(AND(HS_DB[[#This Row],[Product Rank]]&gt;0,HS_DB[[#This Row],[Product Rank]]&lt;=10),"Yes","No")</f>
        <v>No</v>
      </c>
      <c r="BC35" s="3" t="str">
        <f>IF(AND(HS_DB[[#This Row],[Origin Rank]]&gt;0,HS_DB[[#This Row],[Origin Rank]]&lt;=10),"Yes","No")</f>
        <v>No</v>
      </c>
    </row>
    <row r="36" spans="2:55" x14ac:dyDescent="0.3">
      <c r="B36" s="2">
        <f>HS_DB[[#This Row],[Commodity Code]]</f>
        <v>291814</v>
      </c>
      <c r="C36" s="2">
        <f>IFERROR(INDEX(HS_MD!C:C,MATCH(B36,HS_MD!B:B,0),1),"")</f>
        <v>6</v>
      </c>
      <c r="D36" s="17" t="str">
        <f>IFERROR(INDEX(HS_MD!D:D,MATCH(B36,HS_MD!B:B,0),1),"")</f>
        <v>Citric acid and salts</v>
      </c>
      <c r="E36" s="17" t="str">
        <f>IFERROR(INDEX(HS_MD!E:E,MATCH(B36,HS_MD!B:B,0),1),"")</f>
        <v>Citric Acid</v>
      </c>
      <c r="F36" s="17" t="str">
        <f>IFERROR(INDEX(HS_MD!F:F,MATCH(B36,HS_MD!B:B,0),1),"")</f>
        <v>ACIDULANTS &amp; REGULATORS</v>
      </c>
      <c r="G36" s="17" t="str">
        <f>IFERROR(INDEX(HS_MD!G:G,MATCH(B36,HS_MD!B:B,0),1),"")</f>
        <v>Organic Acids</v>
      </c>
      <c r="H36" s="17" t="str">
        <f>IFERROR(INDEX(HS_MD!H:H,MATCH(B36,HS_MD!B:B,0),1),"")</f>
        <v>Citric Acid</v>
      </c>
      <c r="I36" s="17" t="str">
        <f>IFERROR(INDEX(HS_MD!I:I,MATCH(B36,HS_MD!B:B,0),1),"")</f>
        <v>Beverages / Confectionery / Sauces</v>
      </c>
      <c r="J36" s="17">
        <f>IFERROR(INDEX(Heat_Map[Index],MATCH(HS_DB[[#This Row],[Reporter]],Heat_Map[Global],0),1),"")</f>
        <v>175</v>
      </c>
      <c r="K36" s="17" t="str">
        <f>IF(AND(HS_DB[[#This Row],[Origin Rank]]&gt;1,HS_DB[[#This Row],[Origin Rank]]&lt;=10),"Yes","No")</f>
        <v>No</v>
      </c>
      <c r="L36" s="2">
        <v>2024</v>
      </c>
      <c r="M36" s="2" t="s">
        <v>57</v>
      </c>
      <c r="N36" s="2" t="s">
        <v>34</v>
      </c>
      <c r="O36" s="2" t="s">
        <v>22</v>
      </c>
      <c r="P36" s="2" t="s">
        <v>23</v>
      </c>
      <c r="Q36" s="2" t="s">
        <v>24</v>
      </c>
      <c r="R36" s="2" t="s">
        <v>25</v>
      </c>
      <c r="S36" s="2">
        <v>291814</v>
      </c>
      <c r="T36" s="3">
        <v>456496</v>
      </c>
      <c r="U36" s="3">
        <v>313920</v>
      </c>
      <c r="V36" s="3">
        <v>0</v>
      </c>
      <c r="W36" s="3">
        <v>313920</v>
      </c>
      <c r="X36" s="3" t="s">
        <v>58</v>
      </c>
      <c r="Y36" s="3">
        <v>313920</v>
      </c>
      <c r="Z36" s="2" t="s">
        <v>58</v>
      </c>
      <c r="AA36" s="6">
        <f>SUMIFS(HS_DB[Trade Value - USD],HS_DB[Reporter],HS_DB[[#This Row],[Reporter]])/SUM(HS_DB[Trade Value - USD])</f>
        <v>4.7522902002533667E-2</v>
      </c>
      <c r="AB36" s="8" cm="1">
        <f t="array" ref="AB36">SUMPRODUCT(
(HS_DB[Reporter]=HS_DB[[#This Row],[Reporter]])*
(HS_DB[Trade Value - USD]&gt;HS_DB[[#This Row],[Trade Value - USD]])
)+1</f>
        <v>17</v>
      </c>
      <c r="AC36" s="8" t="str">
        <f>IFERROR(IF(INDEX(Heat_Map[Crisis Impact %],MATCH(HS_DB[[#This Row],[Reporter]],Heat_Map[Global],0),1)&gt;0,"Yes","No"),"No")</f>
        <v>Yes</v>
      </c>
      <c r="AD36" s="6">
        <f>IFERROR(INDEX(Heat_Map[Crisis Impact %],MATCH(HS_DB[[#This Row],[Reporter]],Heat_Map[Global],0),1),0)</f>
        <v>0.1</v>
      </c>
      <c r="AE36" s="8">
        <f>HS_DB[[#This Row],[Crisis Impact%]]*HS_DB[[#This Row],[Trade Value - USD]]</f>
        <v>45649.600000000006</v>
      </c>
      <c r="AF36" s="8">
        <f>HS_DB[[#This Row],[Crisis Impact%]]*HS_DB[[#This Row],[Net Weight -KG]]</f>
        <v>31392</v>
      </c>
      <c r="AG36" s="6">
        <f>SUMIFS(HS_DB[Trade Value - USD],HS_DB[Products],HS_DB[[#This Row],[Products]])/SUM(HS_DB[Trade Value - USD])</f>
        <v>9.2816848309420653E-3</v>
      </c>
      <c r="AH36" s="8">
        <f>_xlfn.RANK.EQ(HS_DB[[#This Row],[Trade Value - USD]], HS_DB[Trade Value - USD], 0)
 + COUNTIFS(HS_DB[Trade Value - USD],HS_DB[[#This Row],[Trade Value - USD]],
            HS_DB[HS Code],"&lt;"&amp;HS_DB[[#This Row],[HS Code]])</f>
        <v>153</v>
      </c>
      <c r="AI36" s="9">
        <f>IFERROR(HS_DB[[#This Row],[Trade Value - USD]]/HS_DB[[#This Row],[Net Weight -KG]],0)</f>
        <v>1.4541794087665647</v>
      </c>
      <c r="AJ36" s="17" cm="1">
        <f t="array" ref="AJ36">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6" s="17" t="str">
        <f>IF(HS_DB[[#This Row],[HS Code Risk Score]]&gt;=40,"High",
 IF(HS_DB[[#This Row],[HS Code Risk Score]]&gt;=25,"Medium","Low"))</f>
        <v>Medium</v>
      </c>
      <c r="AL36" s="17" t="str">
        <f>IF(RANK(HS_DB[[#This Row],[HS Code Risk Score]],HS_DB[HS Code Risk Score])&lt;=10,"Yes","No")</f>
        <v>No</v>
      </c>
      <c r="AM36" s="8">
        <f>SUMIFS(HS_DB[Net Weight -KG],HS_DB[HS Code],HS_DB[[#This Row],[HS Code]])</f>
        <v>22769049.100000001</v>
      </c>
      <c r="AN36" s="8">
        <f>SUMIFS(HS_DB[Trade Value - USD],HS_DB[HS Code],HS_DB[[#This Row],[HS Code]])</f>
        <v>17496053</v>
      </c>
      <c r="AO36" s="6">
        <f>_xlfn.MAXIFS(HS_DB[Origin Share%],HS_DB[HS Code],HS_DB[[#This Row],[HS Code]])</f>
        <v>0.25769345655074266</v>
      </c>
      <c r="AP36" s="8" cm="1">
        <f t="array" ref="AP36">_xlfn.LET(
_xlpm.hs,HS_DB[[#This Row],[HS Code]],
COUNTA(_xlfn.UNIQUE(_xlfn._xlws.FILTER(HS_DB[Reporter],HS_DB[HS Code]=_xlpm.hs)))
)</f>
        <v>14</v>
      </c>
      <c r="AQ36" s="17" t="str">
        <f>IF(HS_DB[[#This Row],[Origin Count]]=1,"Single Source","Multiple Sources")</f>
        <v>Multiple Sources</v>
      </c>
      <c r="AR36" s="8">
        <f>HS_DB[[#This Row],[Annual Spend - USD]]*(HS_DB[[#This Row],[HS Code Risk Score]]/100)</f>
        <v>5948658.0200000005</v>
      </c>
      <c r="AS36" s="8">
        <f>RANK(HS_DB[[#This Row],[Risk Exposure - USD]],HS_DB[Risk Exposure - USD],0)</f>
        <v>118</v>
      </c>
      <c r="AT36" s="8" t="str">
        <f>IF(HS_DB[[#This Row],[Risk Exposure Rank]]&lt;=10,"High",
 IF(HS_DB[[#This Row],[Risk Exposure Rank]]&lt;=30,"Medium",
 "Low"))</f>
        <v>Low</v>
      </c>
      <c r="AU36" s="8" t="str">
        <f>IF(HS_DB[[#This Row],[Risk Exposure Rank]]&lt;=5,"Immediate Action",
 IF(HS_DB[[#This Row],[Risk Exposure Rank]]&lt;=15,"Monitor Closely",
 "Routine Control"))</f>
        <v>Routine Control</v>
      </c>
      <c r="AV36" s="8">
        <f>SUMIFS(HS_DB[Trade Value - USD],HS_DB[HS Code],HS_DB[[#This Row],[HS Code]])</f>
        <v>17496053</v>
      </c>
      <c r="AW36" s="6">
        <f>HS_DB[[#This Row],[Annual Spend - USD]]/HS_DB[[#This Row],[Total Market Size - USD]]</f>
        <v>1</v>
      </c>
      <c r="AX36" s="6" cm="1">
        <f t="array" ref="AX36">COUNTA(_xlfn.UNIQUE(_xlfn._xlws.FILTER(HS_DB[Partner],HS_DB[HS Code]=HS_DB[[#This Row],[HS Code]])))</f>
        <v>1</v>
      </c>
      <c r="AY36" s="8" t="str">
        <f>IF(HS_DB[[#This Row],[Competition Intensity]]&lt;=2,"Highly Concentrated",
 IF(HS_DB[[#This Row],[Competition Intensity]]&lt;=5,"Moderate",
 "Highly Competitive"))</f>
        <v>Highly Concentrated</v>
      </c>
      <c r="AZ36" s="8">
        <f>HS_DB[[#This Row],[Total Market Size - USD]]
*
(1+IFERROR(#REF!,0))
/
HS_DB[[#This Row],[Competition Intensity]]</f>
        <v>17496053</v>
      </c>
      <c r="BA36" s="8" t="str">
        <f>IF(HS_DB[[#This Row],[Commercial Opportunity Score]]&gt;=PERCENTILE(HS_DB[Commercial Opportunity Score],0.9),"High Opportunity",
 IF(HS_DB[[#This Row],[Commercial Opportunity Score]]&gt;=PERCENTILE(HS_DB[Commercial Opportunity Score],0.6),"Medium Opportunity",
 "Routine Market"))</f>
        <v>Medium Opportunity</v>
      </c>
      <c r="BB36" s="3" t="str">
        <f>IF(AND(HS_DB[[#This Row],[Product Rank]]&gt;0,HS_DB[[#This Row],[Product Rank]]&lt;=10),"Yes","No")</f>
        <v>No</v>
      </c>
      <c r="BC36" s="3" t="str">
        <f>IF(AND(HS_DB[[#This Row],[Origin Rank]]&gt;0,HS_DB[[#This Row],[Origin Rank]]&lt;=10),"Yes","No")</f>
        <v>No</v>
      </c>
    </row>
    <row r="37" spans="2:55" x14ac:dyDescent="0.3">
      <c r="B37" s="2">
        <f>HS_DB[[#This Row],[Commodity Code]]</f>
        <v>291814</v>
      </c>
      <c r="C37" s="2">
        <f>IFERROR(INDEX(HS_MD!C:C,MATCH(B37,HS_MD!B:B,0),1),"")</f>
        <v>6</v>
      </c>
      <c r="D37" s="17" t="str">
        <f>IFERROR(INDEX(HS_MD!D:D,MATCH(B37,HS_MD!B:B,0),1),"")</f>
        <v>Citric acid and salts</v>
      </c>
      <c r="E37" s="17" t="str">
        <f>IFERROR(INDEX(HS_MD!E:E,MATCH(B37,HS_MD!B:B,0),1),"")</f>
        <v>Citric Acid</v>
      </c>
      <c r="F37" s="17" t="str">
        <f>IFERROR(INDEX(HS_MD!F:F,MATCH(B37,HS_MD!B:B,0),1),"")</f>
        <v>ACIDULANTS &amp; REGULATORS</v>
      </c>
      <c r="G37" s="17" t="str">
        <f>IFERROR(INDEX(HS_MD!G:G,MATCH(B37,HS_MD!B:B,0),1),"")</f>
        <v>Organic Acids</v>
      </c>
      <c r="H37" s="17" t="str">
        <f>IFERROR(INDEX(HS_MD!H:H,MATCH(B37,HS_MD!B:B,0),1),"")</f>
        <v>Citric Acid</v>
      </c>
      <c r="I37" s="17" t="str">
        <f>IFERROR(INDEX(HS_MD!I:I,MATCH(B37,HS_MD!B:B,0),1),"")</f>
        <v>Beverages / Confectionery / Sauces</v>
      </c>
      <c r="J37" s="17">
        <f>IFERROR(INDEX(Heat_Map[Index],MATCH(HS_DB[[#This Row],[Reporter]],Heat_Map[Global],0),1),"")</f>
        <v>181</v>
      </c>
      <c r="K37" s="17" t="str">
        <f>IF(AND(HS_DB[[#This Row],[Origin Rank]]&gt;1,HS_DB[[#This Row],[Origin Rank]]&lt;=10),"Yes","No")</f>
        <v>No</v>
      </c>
      <c r="L37" s="2">
        <v>2024</v>
      </c>
      <c r="M37" s="2" t="s">
        <v>57</v>
      </c>
      <c r="N37" s="2" t="s">
        <v>36</v>
      </c>
      <c r="O37" s="2" t="s">
        <v>22</v>
      </c>
      <c r="P37" s="2" t="s">
        <v>23</v>
      </c>
      <c r="Q37" s="2" t="s">
        <v>24</v>
      </c>
      <c r="R37" s="2" t="s">
        <v>25</v>
      </c>
      <c r="S37" s="2">
        <v>291814</v>
      </c>
      <c r="T37" s="3">
        <v>1407</v>
      </c>
      <c r="U37" s="3">
        <v>390</v>
      </c>
      <c r="V37" s="3">
        <v>0</v>
      </c>
      <c r="W37" s="3">
        <v>390</v>
      </c>
      <c r="X37" s="3" t="s">
        <v>58</v>
      </c>
      <c r="Y37" s="3">
        <v>390</v>
      </c>
      <c r="Z37" s="2" t="s">
        <v>58</v>
      </c>
      <c r="AA37" s="6">
        <f>SUMIFS(HS_DB[Trade Value - USD],HS_DB[Reporter],HS_DB[[#This Row],[Reporter]])/SUM(HS_DB[Trade Value - USD])</f>
        <v>1.3104801671892474E-3</v>
      </c>
      <c r="AB37" s="8" cm="1">
        <f t="array" ref="AB37">SUMPRODUCT(
(HS_DB[Reporter]=HS_DB[[#This Row],[Reporter]])*
(HS_DB[Trade Value - USD]&gt;HS_DB[[#This Row],[Trade Value - USD]])
)+1</f>
        <v>20</v>
      </c>
      <c r="AC37" s="8" t="str">
        <f>IFERROR(IF(INDEX(Heat_Map[Crisis Impact %],MATCH(HS_DB[[#This Row],[Reporter]],Heat_Map[Global],0),1)&gt;0,"Yes","No"),"No")</f>
        <v>No</v>
      </c>
      <c r="AD37" s="6">
        <f>IFERROR(INDEX(Heat_Map[Crisis Impact %],MATCH(HS_DB[[#This Row],[Reporter]],Heat_Map[Global],0),1),0)</f>
        <v>0</v>
      </c>
      <c r="AE37" s="8">
        <f>HS_DB[[#This Row],[Crisis Impact%]]*HS_DB[[#This Row],[Trade Value - USD]]</f>
        <v>0</v>
      </c>
      <c r="AF37" s="8">
        <f>HS_DB[[#This Row],[Crisis Impact%]]*HS_DB[[#This Row],[Net Weight -KG]]</f>
        <v>0</v>
      </c>
      <c r="AG37" s="6">
        <f>SUMIFS(HS_DB[Trade Value - USD],HS_DB[Products],HS_DB[[#This Row],[Products]])/SUM(HS_DB[Trade Value - USD])</f>
        <v>9.2816848309420653E-3</v>
      </c>
      <c r="AH37" s="8">
        <f>_xlfn.RANK.EQ(HS_DB[[#This Row],[Trade Value - USD]], HS_DB[Trade Value - USD], 0)
 + COUNTIFS(HS_DB[Trade Value - USD],HS_DB[[#This Row],[Trade Value - USD]],
            HS_DB[HS Code],"&lt;"&amp;HS_DB[[#This Row],[HS Code]])</f>
        <v>477</v>
      </c>
      <c r="AI37" s="9">
        <f>IFERROR(HS_DB[[#This Row],[Trade Value - USD]]/HS_DB[[#This Row],[Net Weight -KG]],0)</f>
        <v>3.6076923076923078</v>
      </c>
      <c r="AJ37" s="17" cm="1">
        <f t="array" ref="AJ37">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7" s="17" t="str">
        <f>IF(HS_DB[[#This Row],[HS Code Risk Score]]&gt;=40,"High",
 IF(HS_DB[[#This Row],[HS Code Risk Score]]&gt;=25,"Medium","Low"))</f>
        <v>Medium</v>
      </c>
      <c r="AL37" s="17" t="str">
        <f>IF(RANK(HS_DB[[#This Row],[HS Code Risk Score]],HS_DB[HS Code Risk Score])&lt;=10,"Yes","No")</f>
        <v>No</v>
      </c>
      <c r="AM37" s="8">
        <f>SUMIFS(HS_DB[Net Weight -KG],HS_DB[HS Code],HS_DB[[#This Row],[HS Code]])</f>
        <v>22769049.100000001</v>
      </c>
      <c r="AN37" s="8">
        <f>SUMIFS(HS_DB[Trade Value - USD],HS_DB[HS Code],HS_DB[[#This Row],[HS Code]])</f>
        <v>17496053</v>
      </c>
      <c r="AO37" s="6">
        <f>_xlfn.MAXIFS(HS_DB[Origin Share%],HS_DB[HS Code],HS_DB[[#This Row],[HS Code]])</f>
        <v>0.25769345655074266</v>
      </c>
      <c r="AP37" s="8" cm="1">
        <f t="array" ref="AP37">_xlfn.LET(
_xlpm.hs,HS_DB[[#This Row],[HS Code]],
COUNTA(_xlfn.UNIQUE(_xlfn._xlws.FILTER(HS_DB[Reporter],HS_DB[HS Code]=_xlpm.hs)))
)</f>
        <v>14</v>
      </c>
      <c r="AQ37" s="17" t="str">
        <f>IF(HS_DB[[#This Row],[Origin Count]]=1,"Single Source","Multiple Sources")</f>
        <v>Multiple Sources</v>
      </c>
      <c r="AR37" s="8">
        <f>HS_DB[[#This Row],[Annual Spend - USD]]*(HS_DB[[#This Row],[HS Code Risk Score]]/100)</f>
        <v>5948658.0200000005</v>
      </c>
      <c r="AS37" s="8">
        <f>RANK(HS_DB[[#This Row],[Risk Exposure - USD]],HS_DB[Risk Exposure - USD],0)</f>
        <v>118</v>
      </c>
      <c r="AT37" s="8" t="str">
        <f>IF(HS_DB[[#This Row],[Risk Exposure Rank]]&lt;=10,"High",
 IF(HS_DB[[#This Row],[Risk Exposure Rank]]&lt;=30,"Medium",
 "Low"))</f>
        <v>Low</v>
      </c>
      <c r="AU37" s="8" t="str">
        <f>IF(HS_DB[[#This Row],[Risk Exposure Rank]]&lt;=5,"Immediate Action",
 IF(HS_DB[[#This Row],[Risk Exposure Rank]]&lt;=15,"Monitor Closely",
 "Routine Control"))</f>
        <v>Routine Control</v>
      </c>
      <c r="AV37" s="8">
        <f>SUMIFS(HS_DB[Trade Value - USD],HS_DB[HS Code],HS_DB[[#This Row],[HS Code]])</f>
        <v>17496053</v>
      </c>
      <c r="AW37" s="6">
        <f>HS_DB[[#This Row],[Annual Spend - USD]]/HS_DB[[#This Row],[Total Market Size - USD]]</f>
        <v>1</v>
      </c>
      <c r="AX37" s="6" cm="1">
        <f t="array" ref="AX37">COUNTA(_xlfn.UNIQUE(_xlfn._xlws.FILTER(HS_DB[Partner],HS_DB[HS Code]=HS_DB[[#This Row],[HS Code]])))</f>
        <v>1</v>
      </c>
      <c r="AY37" s="8" t="str">
        <f>IF(HS_DB[[#This Row],[Competition Intensity]]&lt;=2,"Highly Concentrated",
 IF(HS_DB[[#This Row],[Competition Intensity]]&lt;=5,"Moderate",
 "Highly Competitive"))</f>
        <v>Highly Concentrated</v>
      </c>
      <c r="AZ37" s="8">
        <f>HS_DB[[#This Row],[Total Market Size - USD]]
*
(1+IFERROR(#REF!,0))
/
HS_DB[[#This Row],[Competition Intensity]]</f>
        <v>17496053</v>
      </c>
      <c r="BA37" s="8" t="str">
        <f>IF(HS_DB[[#This Row],[Commercial Opportunity Score]]&gt;=PERCENTILE(HS_DB[Commercial Opportunity Score],0.9),"High Opportunity",
 IF(HS_DB[[#This Row],[Commercial Opportunity Score]]&gt;=PERCENTILE(HS_DB[Commercial Opportunity Score],0.6),"Medium Opportunity",
 "Routine Market"))</f>
        <v>Medium Opportunity</v>
      </c>
      <c r="BB37" s="3" t="str">
        <f>IF(AND(HS_DB[[#This Row],[Product Rank]]&gt;0,HS_DB[[#This Row],[Product Rank]]&lt;=10),"Yes","No")</f>
        <v>No</v>
      </c>
      <c r="BC37" s="3" t="str">
        <f>IF(AND(HS_DB[[#This Row],[Origin Rank]]&gt;0,HS_DB[[#This Row],[Origin Rank]]&lt;=10),"Yes","No")</f>
        <v>No</v>
      </c>
    </row>
    <row r="38" spans="2:55" x14ac:dyDescent="0.3">
      <c r="B38" s="2">
        <f>HS_DB[[#This Row],[Commodity Code]]</f>
        <v>291814</v>
      </c>
      <c r="C38" s="2">
        <f>IFERROR(INDEX(HS_MD!C:C,MATCH(B38,HS_MD!B:B,0),1),"")</f>
        <v>6</v>
      </c>
      <c r="D38" s="17" t="str">
        <f>IFERROR(INDEX(HS_MD!D:D,MATCH(B38,HS_MD!B:B,0),1),"")</f>
        <v>Citric acid and salts</v>
      </c>
      <c r="E38" s="17" t="str">
        <f>IFERROR(INDEX(HS_MD!E:E,MATCH(B38,HS_MD!B:B,0),1),"")</f>
        <v>Citric Acid</v>
      </c>
      <c r="F38" s="17" t="str">
        <f>IFERROR(INDEX(HS_MD!F:F,MATCH(B38,HS_MD!B:B,0),1),"")</f>
        <v>ACIDULANTS &amp; REGULATORS</v>
      </c>
      <c r="G38" s="17" t="str">
        <f>IFERROR(INDEX(HS_MD!G:G,MATCH(B38,HS_MD!B:B,0),1),"")</f>
        <v>Organic Acids</v>
      </c>
      <c r="H38" s="17" t="str">
        <f>IFERROR(INDEX(HS_MD!H:H,MATCH(B38,HS_MD!B:B,0),1),"")</f>
        <v>Citric Acid</v>
      </c>
      <c r="I38" s="17" t="str">
        <f>IFERROR(INDEX(HS_MD!I:I,MATCH(B38,HS_MD!B:B,0),1),"")</f>
        <v>Beverages / Confectionery / Sauces</v>
      </c>
      <c r="J38" s="17">
        <f>IFERROR(INDEX(Heat_Map[Index],MATCH(HS_DB[[#This Row],[Reporter]],Heat_Map[Global],0),1),"")</f>
        <v>182</v>
      </c>
      <c r="K38" s="17" t="str">
        <f>IF(AND(HS_DB[[#This Row],[Origin Rank]]&gt;1,HS_DB[[#This Row],[Origin Rank]]&lt;=10),"Yes","No")</f>
        <v>Yes</v>
      </c>
      <c r="L38" s="2">
        <v>2024</v>
      </c>
      <c r="M38" s="2" t="s">
        <v>57</v>
      </c>
      <c r="N38" s="2" t="s">
        <v>56</v>
      </c>
      <c r="O38" s="2" t="s">
        <v>22</v>
      </c>
      <c r="P38" s="2" t="s">
        <v>23</v>
      </c>
      <c r="Q38" s="2" t="s">
        <v>24</v>
      </c>
      <c r="R38" s="2" t="s">
        <v>25</v>
      </c>
      <c r="S38" s="2">
        <v>291814</v>
      </c>
      <c r="T38" s="3">
        <v>168205</v>
      </c>
      <c r="U38" s="3">
        <v>50885</v>
      </c>
      <c r="V38" s="3">
        <v>0</v>
      </c>
      <c r="W38" s="3">
        <v>50885</v>
      </c>
      <c r="X38" s="3" t="s">
        <v>58</v>
      </c>
      <c r="Y38" s="3">
        <v>50885</v>
      </c>
      <c r="Z38" s="2" t="s">
        <v>58</v>
      </c>
      <c r="AA38" s="6">
        <f>SUMIFS(HS_DB[Trade Value - USD],HS_DB[Reporter],HS_DB[[#This Row],[Reporter]])/SUM(HS_DB[Trade Value - USD])</f>
        <v>9.425427433633813E-3</v>
      </c>
      <c r="AB38" s="8" cm="1">
        <f t="array" ref="AB38">SUMPRODUCT(
(HS_DB[Reporter]=HS_DB[[#This Row],[Reporter]])*
(HS_DB[Trade Value - USD]&gt;HS_DB[[#This Row],[Trade Value - USD]])
)+1</f>
        <v>10</v>
      </c>
      <c r="AC38" s="8" t="str">
        <f>IFERROR(IF(INDEX(Heat_Map[Crisis Impact %],MATCH(HS_DB[[#This Row],[Reporter]],Heat_Map[Global],0),1)&gt;0,"Yes","No"),"No")</f>
        <v>Yes</v>
      </c>
      <c r="AD38" s="6">
        <f>IFERROR(INDEX(Heat_Map[Crisis Impact %],MATCH(HS_DB[[#This Row],[Reporter]],Heat_Map[Global],0),1),0)</f>
        <v>4.0000000000000008E-2</v>
      </c>
      <c r="AE38" s="8">
        <f>HS_DB[[#This Row],[Crisis Impact%]]*HS_DB[[#This Row],[Trade Value - USD]]</f>
        <v>6728.2000000000016</v>
      </c>
      <c r="AF38" s="8">
        <f>HS_DB[[#This Row],[Crisis Impact%]]*HS_DB[[#This Row],[Net Weight -KG]]</f>
        <v>2035.4000000000003</v>
      </c>
      <c r="AG38" s="6">
        <f>SUMIFS(HS_DB[Trade Value - USD],HS_DB[Products],HS_DB[[#This Row],[Products]])/SUM(HS_DB[Trade Value - USD])</f>
        <v>9.2816848309420653E-3</v>
      </c>
      <c r="AH38" s="8">
        <f>_xlfn.RANK.EQ(HS_DB[[#This Row],[Trade Value - USD]], HS_DB[Trade Value - USD], 0)
 + COUNTIFS(HS_DB[Trade Value - USD],HS_DB[[#This Row],[Trade Value - USD]],
            HS_DB[HS Code],"&lt;"&amp;HS_DB[[#This Row],[HS Code]])</f>
        <v>232</v>
      </c>
      <c r="AI38" s="9">
        <f>IFERROR(HS_DB[[#This Row],[Trade Value - USD]]/HS_DB[[#This Row],[Net Weight -KG]],0)</f>
        <v>3.305591038616488</v>
      </c>
      <c r="AJ38" s="17" cm="1">
        <f t="array" ref="AJ38">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8" s="17" t="str">
        <f>IF(HS_DB[[#This Row],[HS Code Risk Score]]&gt;=40,"High",
 IF(HS_DB[[#This Row],[HS Code Risk Score]]&gt;=25,"Medium","Low"))</f>
        <v>Medium</v>
      </c>
      <c r="AL38" s="17" t="str">
        <f>IF(RANK(HS_DB[[#This Row],[HS Code Risk Score]],HS_DB[HS Code Risk Score])&lt;=10,"Yes","No")</f>
        <v>No</v>
      </c>
      <c r="AM38" s="8">
        <f>SUMIFS(HS_DB[Net Weight -KG],HS_DB[HS Code],HS_DB[[#This Row],[HS Code]])</f>
        <v>22769049.100000001</v>
      </c>
      <c r="AN38" s="8">
        <f>SUMIFS(HS_DB[Trade Value - USD],HS_DB[HS Code],HS_DB[[#This Row],[HS Code]])</f>
        <v>17496053</v>
      </c>
      <c r="AO38" s="6">
        <f>_xlfn.MAXIFS(HS_DB[Origin Share%],HS_DB[HS Code],HS_DB[[#This Row],[HS Code]])</f>
        <v>0.25769345655074266</v>
      </c>
      <c r="AP38" s="8" cm="1">
        <f t="array" ref="AP38">_xlfn.LET(
_xlpm.hs,HS_DB[[#This Row],[HS Code]],
COUNTA(_xlfn.UNIQUE(_xlfn._xlws.FILTER(HS_DB[Reporter],HS_DB[HS Code]=_xlpm.hs)))
)</f>
        <v>14</v>
      </c>
      <c r="AQ38" s="17" t="str">
        <f>IF(HS_DB[[#This Row],[Origin Count]]=1,"Single Source","Multiple Sources")</f>
        <v>Multiple Sources</v>
      </c>
      <c r="AR38" s="8">
        <f>HS_DB[[#This Row],[Annual Spend - USD]]*(HS_DB[[#This Row],[HS Code Risk Score]]/100)</f>
        <v>5948658.0200000005</v>
      </c>
      <c r="AS38" s="8">
        <f>RANK(HS_DB[[#This Row],[Risk Exposure - USD]],HS_DB[Risk Exposure - USD],0)</f>
        <v>118</v>
      </c>
      <c r="AT38" s="8" t="str">
        <f>IF(HS_DB[[#This Row],[Risk Exposure Rank]]&lt;=10,"High",
 IF(HS_DB[[#This Row],[Risk Exposure Rank]]&lt;=30,"Medium",
 "Low"))</f>
        <v>Low</v>
      </c>
      <c r="AU38" s="8" t="str">
        <f>IF(HS_DB[[#This Row],[Risk Exposure Rank]]&lt;=5,"Immediate Action",
 IF(HS_DB[[#This Row],[Risk Exposure Rank]]&lt;=15,"Monitor Closely",
 "Routine Control"))</f>
        <v>Routine Control</v>
      </c>
      <c r="AV38" s="8">
        <f>SUMIFS(HS_DB[Trade Value - USD],HS_DB[HS Code],HS_DB[[#This Row],[HS Code]])</f>
        <v>17496053</v>
      </c>
      <c r="AW38" s="6">
        <f>HS_DB[[#This Row],[Annual Spend - USD]]/HS_DB[[#This Row],[Total Market Size - USD]]</f>
        <v>1</v>
      </c>
      <c r="AX38" s="6" cm="1">
        <f t="array" ref="AX38">COUNTA(_xlfn.UNIQUE(_xlfn._xlws.FILTER(HS_DB[Partner],HS_DB[HS Code]=HS_DB[[#This Row],[HS Code]])))</f>
        <v>1</v>
      </c>
      <c r="AY38" s="8" t="str">
        <f>IF(HS_DB[[#This Row],[Competition Intensity]]&lt;=2,"Highly Concentrated",
 IF(HS_DB[[#This Row],[Competition Intensity]]&lt;=5,"Moderate",
 "Highly Competitive"))</f>
        <v>Highly Concentrated</v>
      </c>
      <c r="AZ38" s="8">
        <f>HS_DB[[#This Row],[Total Market Size - USD]]
*
(1+IFERROR(#REF!,0))
/
HS_DB[[#This Row],[Competition Intensity]]</f>
        <v>17496053</v>
      </c>
      <c r="BA38" s="8" t="str">
        <f>IF(HS_DB[[#This Row],[Commercial Opportunity Score]]&gt;=PERCENTILE(HS_DB[Commercial Opportunity Score],0.9),"High Opportunity",
 IF(HS_DB[[#This Row],[Commercial Opportunity Score]]&gt;=PERCENTILE(HS_DB[Commercial Opportunity Score],0.6),"Medium Opportunity",
 "Routine Market"))</f>
        <v>Medium Opportunity</v>
      </c>
      <c r="BB38" s="3" t="str">
        <f>IF(AND(HS_DB[[#This Row],[Product Rank]]&gt;0,HS_DB[[#This Row],[Product Rank]]&lt;=10),"Yes","No")</f>
        <v>No</v>
      </c>
      <c r="BC38" s="3" t="str">
        <f>IF(AND(HS_DB[[#This Row],[Origin Rank]]&gt;0,HS_DB[[#This Row],[Origin Rank]]&lt;=10),"Yes","No")</f>
        <v>Yes</v>
      </c>
    </row>
    <row r="39" spans="2:55" x14ac:dyDescent="0.3">
      <c r="B39" s="2">
        <f>HS_DB[[#This Row],[Commodity Code]]</f>
        <v>291619</v>
      </c>
      <c r="C39" s="2">
        <f>IFERROR(INDEX(HS_MD!C:C,MATCH(B39,HS_MD!B:B,0),1),"")</f>
        <v>10</v>
      </c>
      <c r="D39" s="17" t="str">
        <f>IFERROR(INDEX(HS_MD!D:D,MATCH(B39,HS_MD!B:B,0),1),"")</f>
        <v>Unsaturated acyclic acids</v>
      </c>
      <c r="E39" s="17" t="str">
        <f>IFERROR(INDEX(HS_MD!E:E,MATCH(B39,HS_MD!B:B,0),1),"")</f>
        <v>Potassium Sorbate</v>
      </c>
      <c r="F39" s="17" t="str">
        <f>IFERROR(INDEX(HS_MD!F:F,MATCH(B39,HS_MD!B:B,0),1),"")</f>
        <v>PRESERVATIVES</v>
      </c>
      <c r="G39" s="17" t="str">
        <f>IFERROR(INDEX(HS_MD!G:G,MATCH(B39,HS_MD!B:B,0),1),"")</f>
        <v>Organic Preservatives</v>
      </c>
      <c r="H39" s="17" t="str">
        <f>IFERROR(INDEX(HS_MD!H:H,MATCH(B39,HS_MD!B:B,0),1),"")</f>
        <v>Potassium Sorbate</v>
      </c>
      <c r="I39" s="17" t="str">
        <f>IFERROR(INDEX(HS_MD!I:I,MATCH(B39,HS_MD!B:B,0),1),"")</f>
        <v>Sauces / Bakery / Dairy</v>
      </c>
      <c r="J39" s="17">
        <f>IFERROR(INDEX(Heat_Map[Index],MATCH(HS_DB[[#This Row],[Reporter]],Heat_Map[Global],0),1),"")</f>
        <v>17</v>
      </c>
      <c r="K39" s="17" t="str">
        <f>IF(AND(HS_DB[[#This Row],[Origin Rank]]&gt;1,HS_DB[[#This Row],[Origin Rank]]&lt;=10),"Yes","No")</f>
        <v>No</v>
      </c>
      <c r="L39" s="2">
        <v>2024</v>
      </c>
      <c r="M39" s="2" t="s">
        <v>57</v>
      </c>
      <c r="N39" s="2" t="s">
        <v>5</v>
      </c>
      <c r="O39" s="2" t="s">
        <v>22</v>
      </c>
      <c r="P39" s="2" t="s">
        <v>23</v>
      </c>
      <c r="Q39" s="2" t="s">
        <v>24</v>
      </c>
      <c r="R39" s="2" t="s">
        <v>25</v>
      </c>
      <c r="S39" s="2">
        <v>291619</v>
      </c>
      <c r="T39" s="3">
        <v>17</v>
      </c>
      <c r="U39" s="3">
        <v>0.1</v>
      </c>
      <c r="V39" s="3">
        <v>0</v>
      </c>
      <c r="W39" s="3">
        <v>0</v>
      </c>
      <c r="X39" s="3" t="s">
        <v>58</v>
      </c>
      <c r="Y39" s="3">
        <v>0</v>
      </c>
      <c r="Z39" s="2" t="s">
        <v>58</v>
      </c>
      <c r="AA39" s="6">
        <f>SUMIFS(HS_DB[Trade Value - USD],HS_DB[Reporter],HS_DB[[#This Row],[Reporter]])/SUM(HS_DB[Trade Value - USD])</f>
        <v>5.3992075088500962E-3</v>
      </c>
      <c r="AB39" s="8" cm="1">
        <f t="array" ref="AB39">SUMPRODUCT(
(HS_DB[Reporter]=HS_DB[[#This Row],[Reporter]])*
(HS_DB[Trade Value - USD]&gt;HS_DB[[#This Row],[Trade Value - USD]])
)+1</f>
        <v>29</v>
      </c>
      <c r="AC39" s="8" t="str">
        <f>IFERROR(IF(INDEX(Heat_Map[Crisis Impact %],MATCH(HS_DB[[#This Row],[Reporter]],Heat_Map[Global],0),1)&gt;0,"Yes","No"),"No")</f>
        <v>No</v>
      </c>
      <c r="AD39" s="6">
        <f>IFERROR(INDEX(Heat_Map[Crisis Impact %],MATCH(HS_DB[[#This Row],[Reporter]],Heat_Map[Global],0),1),0)</f>
        <v>0</v>
      </c>
      <c r="AE39" s="8">
        <f>HS_DB[[#This Row],[Crisis Impact%]]*HS_DB[[#This Row],[Trade Value - USD]]</f>
        <v>0</v>
      </c>
      <c r="AF39" s="8">
        <f>HS_DB[[#This Row],[Crisis Impact%]]*HS_DB[[#This Row],[Net Weight -KG]]</f>
        <v>0</v>
      </c>
      <c r="AG39" s="6">
        <f>SUMIFS(HS_DB[Trade Value - USD],HS_DB[Products],HS_DB[[#This Row],[Products]])/SUM(HS_DB[Trade Value - USD])</f>
        <v>4.7607572716976661E-3</v>
      </c>
      <c r="AH39" s="8">
        <f>_xlfn.RANK.EQ(HS_DB[[#This Row],[Trade Value - USD]], HS_DB[Trade Value - USD], 0)
 + COUNTIFS(HS_DB[Trade Value - USD],HS_DB[[#This Row],[Trade Value - USD]],
            HS_DB[HS Code],"&lt;"&amp;HS_DB[[#This Row],[HS Code]])</f>
        <v>533</v>
      </c>
      <c r="AI39" s="9">
        <f>IFERROR(HS_DB[[#This Row],[Trade Value - USD]]/HS_DB[[#This Row],[Net Weight -KG]],0)</f>
        <v>170</v>
      </c>
      <c r="AJ39" s="17" cm="1">
        <f t="array" ref="AJ39">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9" s="17" t="str">
        <f>IF(HS_DB[[#This Row],[HS Code Risk Score]]&gt;=40,"High",
 IF(HS_DB[[#This Row],[HS Code Risk Score]]&gt;=25,"Medium","Low"))</f>
        <v>Medium</v>
      </c>
      <c r="AL39" s="17" t="str">
        <f>IF(RANK(HS_DB[[#This Row],[HS Code Risk Score]],HS_DB[HS Code Risk Score])&lt;=10,"Yes","No")</f>
        <v>No</v>
      </c>
      <c r="AM39" s="8">
        <f>SUMIFS(HS_DB[Net Weight -KG],HS_DB[HS Code],HS_DB[[#This Row],[HS Code]])</f>
        <v>2033373.9000000001</v>
      </c>
      <c r="AN39" s="8">
        <f>SUMIFS(HS_DB[Trade Value - USD],HS_DB[HS Code],HS_DB[[#This Row],[HS Code]])</f>
        <v>8974067</v>
      </c>
      <c r="AO39" s="6">
        <f>_xlfn.MAXIFS(HS_DB[Origin Share%],HS_DB[HS Code],HS_DB[[#This Row],[HS Code]])</f>
        <v>6.321329281187793E-2</v>
      </c>
      <c r="AP39" s="8" cm="1">
        <f t="array" ref="AP39">_xlfn.LET(
_xlpm.hs,HS_DB[[#This Row],[HS Code]],
COUNTA(_xlfn.UNIQUE(_xlfn._xlws.FILTER(HS_DB[Reporter],HS_DB[HS Code]=_xlpm.hs)))
)</f>
        <v>14</v>
      </c>
      <c r="AQ39" s="17" t="str">
        <f>IF(HS_DB[[#This Row],[Origin Count]]=1,"Single Source","Multiple Sources")</f>
        <v>Multiple Sources</v>
      </c>
      <c r="AR39" s="8">
        <f>HS_DB[[#This Row],[Annual Spend - USD]]*(HS_DB[[#This Row],[HS Code Risk Score]]/100)</f>
        <v>3051182.7800000003</v>
      </c>
      <c r="AS39" s="8">
        <f>RANK(HS_DB[[#This Row],[Risk Exposure - USD]],HS_DB[Risk Exposure - USD],0)</f>
        <v>315</v>
      </c>
      <c r="AT39" s="8" t="str">
        <f>IF(HS_DB[[#This Row],[Risk Exposure Rank]]&lt;=10,"High",
 IF(HS_DB[[#This Row],[Risk Exposure Rank]]&lt;=30,"Medium",
 "Low"))</f>
        <v>Low</v>
      </c>
      <c r="AU39" s="8" t="str">
        <f>IF(HS_DB[[#This Row],[Risk Exposure Rank]]&lt;=5,"Immediate Action",
 IF(HS_DB[[#This Row],[Risk Exposure Rank]]&lt;=15,"Monitor Closely",
 "Routine Control"))</f>
        <v>Routine Control</v>
      </c>
      <c r="AV39" s="8">
        <f>SUMIFS(HS_DB[Trade Value - USD],HS_DB[HS Code],HS_DB[[#This Row],[HS Code]])</f>
        <v>8974067</v>
      </c>
      <c r="AW39" s="6">
        <f>HS_DB[[#This Row],[Annual Spend - USD]]/HS_DB[[#This Row],[Total Market Size - USD]]</f>
        <v>1</v>
      </c>
      <c r="AX39" s="6" cm="1">
        <f t="array" ref="AX39">COUNTA(_xlfn.UNIQUE(_xlfn._xlws.FILTER(HS_DB[Partner],HS_DB[HS Code]=HS_DB[[#This Row],[HS Code]])))</f>
        <v>1</v>
      </c>
      <c r="AY39" s="8" t="str">
        <f>IF(HS_DB[[#This Row],[Competition Intensity]]&lt;=2,"Highly Concentrated",
 IF(HS_DB[[#This Row],[Competition Intensity]]&lt;=5,"Moderate",
 "Highly Competitive"))</f>
        <v>Highly Concentrated</v>
      </c>
      <c r="AZ39" s="8">
        <f>HS_DB[[#This Row],[Total Market Size - USD]]
*
(1+IFERROR(#REF!,0))
/
HS_DB[[#This Row],[Competition Intensity]]</f>
        <v>8974067</v>
      </c>
      <c r="BA39" s="8" t="str">
        <f>IF(HS_DB[[#This Row],[Commercial Opportunity Score]]&gt;=PERCENTILE(HS_DB[Commercial Opportunity Score],0.9),"High Opportunity",
 IF(HS_DB[[#This Row],[Commercial Opportunity Score]]&gt;=PERCENTILE(HS_DB[Commercial Opportunity Score],0.6),"Medium Opportunity",
 "Routine Market"))</f>
        <v>Routine Market</v>
      </c>
      <c r="BB39" s="3" t="str">
        <f>IF(AND(HS_DB[[#This Row],[Product Rank]]&gt;0,HS_DB[[#This Row],[Product Rank]]&lt;=10),"Yes","No")</f>
        <v>No</v>
      </c>
      <c r="BC39" s="3" t="str">
        <f>IF(AND(HS_DB[[#This Row],[Origin Rank]]&gt;0,HS_DB[[#This Row],[Origin Rank]]&lt;=10),"Yes","No")</f>
        <v>No</v>
      </c>
    </row>
    <row r="40" spans="2:55" x14ac:dyDescent="0.3">
      <c r="B40" s="2">
        <f>HS_DB[[#This Row],[Commodity Code]]</f>
        <v>291619</v>
      </c>
      <c r="C40" s="2">
        <f>IFERROR(INDEX(HS_MD!C:C,MATCH(B40,HS_MD!B:B,0),1),"")</f>
        <v>10</v>
      </c>
      <c r="D40" s="17" t="str">
        <f>IFERROR(INDEX(HS_MD!D:D,MATCH(B40,HS_MD!B:B,0),1),"")</f>
        <v>Unsaturated acyclic acids</v>
      </c>
      <c r="E40" s="17" t="str">
        <f>IFERROR(INDEX(HS_MD!E:E,MATCH(B40,HS_MD!B:B,0),1),"")</f>
        <v>Potassium Sorbate</v>
      </c>
      <c r="F40" s="17" t="str">
        <f>IFERROR(INDEX(HS_MD!F:F,MATCH(B40,HS_MD!B:B,0),1),"")</f>
        <v>PRESERVATIVES</v>
      </c>
      <c r="G40" s="17" t="str">
        <f>IFERROR(INDEX(HS_MD!G:G,MATCH(B40,HS_MD!B:B,0),1),"")</f>
        <v>Organic Preservatives</v>
      </c>
      <c r="H40" s="17" t="str">
        <f>IFERROR(INDEX(HS_MD!H:H,MATCH(B40,HS_MD!B:B,0),1),"")</f>
        <v>Potassium Sorbate</v>
      </c>
      <c r="I40" s="17" t="str">
        <f>IFERROR(INDEX(HS_MD!I:I,MATCH(B40,HS_MD!B:B,0),1),"")</f>
        <v>Sauces / Bakery / Dairy</v>
      </c>
      <c r="J40" s="17">
        <f>IFERROR(INDEX(Heat_Map[Index],MATCH(HS_DB[[#This Row],[Reporter]],Heat_Map[Global],0),1),"")</f>
        <v>36</v>
      </c>
      <c r="K40" s="17" t="str">
        <f>IF(AND(HS_DB[[#This Row],[Origin Rank]]&gt;1,HS_DB[[#This Row],[Origin Rank]]&lt;=10),"Yes","No")</f>
        <v>No</v>
      </c>
      <c r="L40" s="2">
        <v>2024</v>
      </c>
      <c r="M40" s="2" t="s">
        <v>57</v>
      </c>
      <c r="N40" s="2" t="s">
        <v>1</v>
      </c>
      <c r="O40" s="2" t="s">
        <v>22</v>
      </c>
      <c r="P40" s="2" t="s">
        <v>23</v>
      </c>
      <c r="Q40" s="2" t="s">
        <v>24</v>
      </c>
      <c r="R40" s="2" t="s">
        <v>25</v>
      </c>
      <c r="S40" s="2">
        <v>291619</v>
      </c>
      <c r="T40" s="3">
        <v>2950450</v>
      </c>
      <c r="U40" s="3">
        <v>1313551</v>
      </c>
      <c r="V40" s="3">
        <v>0</v>
      </c>
      <c r="W40" s="3">
        <v>1313551</v>
      </c>
      <c r="X40" s="3" t="s">
        <v>58</v>
      </c>
      <c r="Y40" s="3">
        <v>1313551</v>
      </c>
      <c r="Z40" s="2" t="s">
        <v>58</v>
      </c>
      <c r="AA40" s="6">
        <f>SUMIFS(HS_DB[Trade Value - USD],HS_DB[Reporter],HS_DB[[#This Row],[Reporter]])/SUM(HS_DB[Trade Value - USD])</f>
        <v>6.321329281187793E-2</v>
      </c>
      <c r="AB40" s="8" cm="1">
        <f t="array" ref="AB40">SUMPRODUCT(
(HS_DB[Reporter]=HS_DB[[#This Row],[Reporter]])*
(HS_DB[Trade Value - USD]&gt;HS_DB[[#This Row],[Trade Value - USD]])
)+1</f>
        <v>12</v>
      </c>
      <c r="AC40" s="8" t="str">
        <f>IFERROR(IF(INDEX(Heat_Map[Crisis Impact %],MATCH(HS_DB[[#This Row],[Reporter]],Heat_Map[Global],0),1)&gt;0,"Yes","No"),"No")</f>
        <v>Yes</v>
      </c>
      <c r="AD40" s="6">
        <f>IFERROR(INDEX(Heat_Map[Crisis Impact %],MATCH(HS_DB[[#This Row],[Reporter]],Heat_Map[Global],0),1),0)</f>
        <v>0.14000000000000001</v>
      </c>
      <c r="AE40" s="8">
        <f>HS_DB[[#This Row],[Crisis Impact%]]*HS_DB[[#This Row],[Trade Value - USD]]</f>
        <v>413063.00000000006</v>
      </c>
      <c r="AF40" s="8">
        <f>HS_DB[[#This Row],[Crisis Impact%]]*HS_DB[[#This Row],[Net Weight -KG]]</f>
        <v>183897.14</v>
      </c>
      <c r="AG40" s="6">
        <f>SUMIFS(HS_DB[Trade Value - USD],HS_DB[Products],HS_DB[[#This Row],[Products]])/SUM(HS_DB[Trade Value - USD])</f>
        <v>4.7607572716976661E-3</v>
      </c>
      <c r="AH40" s="8">
        <f>_xlfn.RANK.EQ(HS_DB[[#This Row],[Trade Value - USD]], HS_DB[Trade Value - USD], 0)
 + COUNTIFS(HS_DB[Trade Value - USD],HS_DB[[#This Row],[Trade Value - USD]],
            HS_DB[HS Code],"&lt;"&amp;HS_DB[[#This Row],[HS Code]])</f>
        <v>45</v>
      </c>
      <c r="AI40" s="9">
        <f>IFERROR(HS_DB[[#This Row],[Trade Value - USD]]/HS_DB[[#This Row],[Net Weight -KG]],0)</f>
        <v>2.2461632627891874</v>
      </c>
      <c r="AJ40" s="17" cm="1">
        <f t="array" ref="AJ40">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0" s="17" t="str">
        <f>IF(HS_DB[[#This Row],[HS Code Risk Score]]&gt;=40,"High",
 IF(HS_DB[[#This Row],[HS Code Risk Score]]&gt;=25,"Medium","Low"))</f>
        <v>Medium</v>
      </c>
      <c r="AL40" s="17" t="str">
        <f>IF(RANK(HS_DB[[#This Row],[HS Code Risk Score]],HS_DB[HS Code Risk Score])&lt;=10,"Yes","No")</f>
        <v>No</v>
      </c>
      <c r="AM40" s="8">
        <f>SUMIFS(HS_DB[Net Weight -KG],HS_DB[HS Code],HS_DB[[#This Row],[HS Code]])</f>
        <v>2033373.9000000001</v>
      </c>
      <c r="AN40" s="8">
        <f>SUMIFS(HS_DB[Trade Value - USD],HS_DB[HS Code],HS_DB[[#This Row],[HS Code]])</f>
        <v>8974067</v>
      </c>
      <c r="AO40" s="6">
        <f>_xlfn.MAXIFS(HS_DB[Origin Share%],HS_DB[HS Code],HS_DB[[#This Row],[HS Code]])</f>
        <v>6.321329281187793E-2</v>
      </c>
      <c r="AP40" s="8" cm="1">
        <f t="array" ref="AP40">_xlfn.LET(
_xlpm.hs,HS_DB[[#This Row],[HS Code]],
COUNTA(_xlfn.UNIQUE(_xlfn._xlws.FILTER(HS_DB[Reporter],HS_DB[HS Code]=_xlpm.hs)))
)</f>
        <v>14</v>
      </c>
      <c r="AQ40" s="17" t="str">
        <f>IF(HS_DB[[#This Row],[Origin Count]]=1,"Single Source","Multiple Sources")</f>
        <v>Multiple Sources</v>
      </c>
      <c r="AR40" s="8">
        <f>HS_DB[[#This Row],[Annual Spend - USD]]*(HS_DB[[#This Row],[HS Code Risk Score]]/100)</f>
        <v>3051182.7800000003</v>
      </c>
      <c r="AS40" s="8">
        <f>RANK(HS_DB[[#This Row],[Risk Exposure - USD]],HS_DB[Risk Exposure - USD],0)</f>
        <v>315</v>
      </c>
      <c r="AT40" s="8" t="str">
        <f>IF(HS_DB[[#This Row],[Risk Exposure Rank]]&lt;=10,"High",
 IF(HS_DB[[#This Row],[Risk Exposure Rank]]&lt;=30,"Medium",
 "Low"))</f>
        <v>Low</v>
      </c>
      <c r="AU40" s="8" t="str">
        <f>IF(HS_DB[[#This Row],[Risk Exposure Rank]]&lt;=5,"Immediate Action",
 IF(HS_DB[[#This Row],[Risk Exposure Rank]]&lt;=15,"Monitor Closely",
 "Routine Control"))</f>
        <v>Routine Control</v>
      </c>
      <c r="AV40" s="8">
        <f>SUMIFS(HS_DB[Trade Value - USD],HS_DB[HS Code],HS_DB[[#This Row],[HS Code]])</f>
        <v>8974067</v>
      </c>
      <c r="AW40" s="6">
        <f>HS_DB[[#This Row],[Annual Spend - USD]]/HS_DB[[#This Row],[Total Market Size - USD]]</f>
        <v>1</v>
      </c>
      <c r="AX40" s="6" cm="1">
        <f t="array" ref="AX40">COUNTA(_xlfn.UNIQUE(_xlfn._xlws.FILTER(HS_DB[Partner],HS_DB[HS Code]=HS_DB[[#This Row],[HS Code]])))</f>
        <v>1</v>
      </c>
      <c r="AY40" s="8" t="str">
        <f>IF(HS_DB[[#This Row],[Competition Intensity]]&lt;=2,"Highly Concentrated",
 IF(HS_DB[[#This Row],[Competition Intensity]]&lt;=5,"Moderate",
 "Highly Competitive"))</f>
        <v>Highly Concentrated</v>
      </c>
      <c r="AZ40" s="8">
        <f>HS_DB[[#This Row],[Total Market Size - USD]]
*
(1+IFERROR(#REF!,0))
/
HS_DB[[#This Row],[Competition Intensity]]</f>
        <v>8974067</v>
      </c>
      <c r="BA40" s="8" t="str">
        <f>IF(HS_DB[[#This Row],[Commercial Opportunity Score]]&gt;=PERCENTILE(HS_DB[Commercial Opportunity Score],0.9),"High Opportunity",
 IF(HS_DB[[#This Row],[Commercial Opportunity Score]]&gt;=PERCENTILE(HS_DB[Commercial Opportunity Score],0.6),"Medium Opportunity",
 "Routine Market"))</f>
        <v>Routine Market</v>
      </c>
      <c r="BB40" s="3" t="str">
        <f>IF(AND(HS_DB[[#This Row],[Product Rank]]&gt;0,HS_DB[[#This Row],[Product Rank]]&lt;=10),"Yes","No")</f>
        <v>No</v>
      </c>
      <c r="BC40" s="3" t="str">
        <f>IF(AND(HS_DB[[#This Row],[Origin Rank]]&gt;0,HS_DB[[#This Row],[Origin Rank]]&lt;=10),"Yes","No")</f>
        <v>No</v>
      </c>
    </row>
    <row r="41" spans="2:55" x14ac:dyDescent="0.3">
      <c r="B41" s="2">
        <f>HS_DB[[#This Row],[Commodity Code]]</f>
        <v>291619</v>
      </c>
      <c r="C41" s="2">
        <f>IFERROR(INDEX(HS_MD!C:C,MATCH(B41,HS_MD!B:B,0),1),"")</f>
        <v>10</v>
      </c>
      <c r="D41" s="17" t="str">
        <f>IFERROR(INDEX(HS_MD!D:D,MATCH(B41,HS_MD!B:B,0),1),"")</f>
        <v>Unsaturated acyclic acids</v>
      </c>
      <c r="E41" s="17" t="str">
        <f>IFERROR(INDEX(HS_MD!E:E,MATCH(B41,HS_MD!B:B,0),1),"")</f>
        <v>Potassium Sorbate</v>
      </c>
      <c r="F41" s="17" t="str">
        <f>IFERROR(INDEX(HS_MD!F:F,MATCH(B41,HS_MD!B:B,0),1),"")</f>
        <v>PRESERVATIVES</v>
      </c>
      <c r="G41" s="17" t="str">
        <f>IFERROR(INDEX(HS_MD!G:G,MATCH(B41,HS_MD!B:B,0),1),"")</f>
        <v>Organic Preservatives</v>
      </c>
      <c r="H41" s="17" t="str">
        <f>IFERROR(INDEX(HS_MD!H:H,MATCH(B41,HS_MD!B:B,0),1),"")</f>
        <v>Potassium Sorbate</v>
      </c>
      <c r="I41" s="17" t="str">
        <f>IFERROR(INDEX(HS_MD!I:I,MATCH(B41,HS_MD!B:B,0),1),"")</f>
        <v>Sauces / Bakery / Dairy</v>
      </c>
      <c r="J41" s="17">
        <f>IFERROR(INDEX(Heat_Map[Index],MATCH(HS_DB[[#This Row],[Reporter]],Heat_Map[Global],0),1),"")</f>
        <v>59</v>
      </c>
      <c r="K41" s="17" t="str">
        <f>IF(AND(HS_DB[[#This Row],[Origin Rank]]&gt;1,HS_DB[[#This Row],[Origin Rank]]&lt;=10),"Yes","No")</f>
        <v>No</v>
      </c>
      <c r="L41" s="2">
        <v>2024</v>
      </c>
      <c r="M41" s="2" t="s">
        <v>57</v>
      </c>
      <c r="N41" s="2" t="s">
        <v>44</v>
      </c>
      <c r="O41" s="2" t="s">
        <v>22</v>
      </c>
      <c r="P41" s="2" t="s">
        <v>23</v>
      </c>
      <c r="Q41" s="2" t="s">
        <v>24</v>
      </c>
      <c r="R41" s="2" t="s">
        <v>25</v>
      </c>
      <c r="S41" s="2">
        <v>291619</v>
      </c>
      <c r="T41" s="3">
        <v>2895</v>
      </c>
      <c r="U41" s="3">
        <v>241.5</v>
      </c>
      <c r="V41" s="3">
        <v>0</v>
      </c>
      <c r="W41" s="3">
        <v>241</v>
      </c>
      <c r="X41" s="3" t="s">
        <v>58</v>
      </c>
      <c r="Y41" s="3">
        <v>0</v>
      </c>
      <c r="Z41" s="2" t="s">
        <v>26</v>
      </c>
      <c r="AA41" s="6">
        <f>SUMIFS(HS_DB[Trade Value - USD],HS_DB[Reporter],HS_DB[[#This Row],[Reporter]])/SUM(HS_DB[Trade Value - USD])</f>
        <v>1.6951290293147386E-2</v>
      </c>
      <c r="AB41" s="8" cm="1">
        <f t="array" ref="AB41">SUMPRODUCT(
(HS_DB[Reporter]=HS_DB[[#This Row],[Reporter]])*
(HS_DB[Trade Value - USD]&gt;HS_DB[[#This Row],[Trade Value - USD]])
)+1</f>
        <v>32</v>
      </c>
      <c r="AC41" s="8" t="str">
        <f>IFERROR(IF(INDEX(Heat_Map[Crisis Impact %],MATCH(HS_DB[[#This Row],[Reporter]],Heat_Map[Global],0),1)&gt;0,"Yes","No"),"No")</f>
        <v>No</v>
      </c>
      <c r="AD41" s="6">
        <f>IFERROR(INDEX(Heat_Map[Crisis Impact %],MATCH(HS_DB[[#This Row],[Reporter]],Heat_Map[Global],0),1),0)</f>
        <v>0</v>
      </c>
      <c r="AE41" s="8">
        <f>HS_DB[[#This Row],[Crisis Impact%]]*HS_DB[[#This Row],[Trade Value - USD]]</f>
        <v>0</v>
      </c>
      <c r="AF41" s="8">
        <f>HS_DB[[#This Row],[Crisis Impact%]]*HS_DB[[#This Row],[Net Weight -KG]]</f>
        <v>0</v>
      </c>
      <c r="AG41" s="6">
        <f>SUMIFS(HS_DB[Trade Value - USD],HS_DB[Products],HS_DB[[#This Row],[Products]])/SUM(HS_DB[Trade Value - USD])</f>
        <v>4.7607572716976661E-3</v>
      </c>
      <c r="AH41" s="8">
        <f>_xlfn.RANK.EQ(HS_DB[[#This Row],[Trade Value - USD]], HS_DB[Trade Value - USD], 0)
 + COUNTIFS(HS_DB[Trade Value - USD],HS_DB[[#This Row],[Trade Value - USD]],
            HS_DB[HS Code],"&lt;"&amp;HS_DB[[#This Row],[HS Code]])</f>
        <v>461</v>
      </c>
      <c r="AI41" s="9">
        <f>IFERROR(HS_DB[[#This Row],[Trade Value - USD]]/HS_DB[[#This Row],[Net Weight -KG]],0)</f>
        <v>11.987577639751553</v>
      </c>
      <c r="AJ41" s="17" cm="1">
        <f t="array" ref="AJ41">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1" s="17" t="str">
        <f>IF(HS_DB[[#This Row],[HS Code Risk Score]]&gt;=40,"High",
 IF(HS_DB[[#This Row],[HS Code Risk Score]]&gt;=25,"Medium","Low"))</f>
        <v>Medium</v>
      </c>
      <c r="AL41" s="17" t="str">
        <f>IF(RANK(HS_DB[[#This Row],[HS Code Risk Score]],HS_DB[HS Code Risk Score])&lt;=10,"Yes","No")</f>
        <v>No</v>
      </c>
      <c r="AM41" s="8">
        <f>SUMIFS(HS_DB[Net Weight -KG],HS_DB[HS Code],HS_DB[[#This Row],[HS Code]])</f>
        <v>2033373.9000000001</v>
      </c>
      <c r="AN41" s="8">
        <f>SUMIFS(HS_DB[Trade Value - USD],HS_DB[HS Code],HS_DB[[#This Row],[HS Code]])</f>
        <v>8974067</v>
      </c>
      <c r="AO41" s="6">
        <f>_xlfn.MAXIFS(HS_DB[Origin Share%],HS_DB[HS Code],HS_DB[[#This Row],[HS Code]])</f>
        <v>6.321329281187793E-2</v>
      </c>
      <c r="AP41" s="8" cm="1">
        <f t="array" ref="AP41">_xlfn.LET(
_xlpm.hs,HS_DB[[#This Row],[HS Code]],
COUNTA(_xlfn.UNIQUE(_xlfn._xlws.FILTER(HS_DB[Reporter],HS_DB[HS Code]=_xlpm.hs)))
)</f>
        <v>14</v>
      </c>
      <c r="AQ41" s="17" t="str">
        <f>IF(HS_DB[[#This Row],[Origin Count]]=1,"Single Source","Multiple Sources")</f>
        <v>Multiple Sources</v>
      </c>
      <c r="AR41" s="8">
        <f>HS_DB[[#This Row],[Annual Spend - USD]]*(HS_DB[[#This Row],[HS Code Risk Score]]/100)</f>
        <v>3051182.7800000003</v>
      </c>
      <c r="AS41" s="8">
        <f>RANK(HS_DB[[#This Row],[Risk Exposure - USD]],HS_DB[Risk Exposure - USD],0)</f>
        <v>315</v>
      </c>
      <c r="AT41" s="8" t="str">
        <f>IF(HS_DB[[#This Row],[Risk Exposure Rank]]&lt;=10,"High",
 IF(HS_DB[[#This Row],[Risk Exposure Rank]]&lt;=30,"Medium",
 "Low"))</f>
        <v>Low</v>
      </c>
      <c r="AU41" s="8" t="str">
        <f>IF(HS_DB[[#This Row],[Risk Exposure Rank]]&lt;=5,"Immediate Action",
 IF(HS_DB[[#This Row],[Risk Exposure Rank]]&lt;=15,"Monitor Closely",
 "Routine Control"))</f>
        <v>Routine Control</v>
      </c>
      <c r="AV41" s="8">
        <f>SUMIFS(HS_DB[Trade Value - USD],HS_DB[HS Code],HS_DB[[#This Row],[HS Code]])</f>
        <v>8974067</v>
      </c>
      <c r="AW41" s="6">
        <f>HS_DB[[#This Row],[Annual Spend - USD]]/HS_DB[[#This Row],[Total Market Size - USD]]</f>
        <v>1</v>
      </c>
      <c r="AX41" s="6" cm="1">
        <f t="array" ref="AX41">COUNTA(_xlfn.UNIQUE(_xlfn._xlws.FILTER(HS_DB[Partner],HS_DB[HS Code]=HS_DB[[#This Row],[HS Code]])))</f>
        <v>1</v>
      </c>
      <c r="AY41" s="8" t="str">
        <f>IF(HS_DB[[#This Row],[Competition Intensity]]&lt;=2,"Highly Concentrated",
 IF(HS_DB[[#This Row],[Competition Intensity]]&lt;=5,"Moderate",
 "Highly Competitive"))</f>
        <v>Highly Concentrated</v>
      </c>
      <c r="AZ41" s="8">
        <f>HS_DB[[#This Row],[Total Market Size - USD]]
*
(1+IFERROR(#REF!,0))
/
HS_DB[[#This Row],[Competition Intensity]]</f>
        <v>8974067</v>
      </c>
      <c r="BA41" s="8" t="str">
        <f>IF(HS_DB[[#This Row],[Commercial Opportunity Score]]&gt;=PERCENTILE(HS_DB[Commercial Opportunity Score],0.9),"High Opportunity",
 IF(HS_DB[[#This Row],[Commercial Opportunity Score]]&gt;=PERCENTILE(HS_DB[Commercial Opportunity Score],0.6),"Medium Opportunity",
 "Routine Market"))</f>
        <v>Routine Market</v>
      </c>
      <c r="BB41" s="3" t="str">
        <f>IF(AND(HS_DB[[#This Row],[Product Rank]]&gt;0,HS_DB[[#This Row],[Product Rank]]&lt;=10),"Yes","No")</f>
        <v>No</v>
      </c>
      <c r="BC41" s="3" t="str">
        <f>IF(AND(HS_DB[[#This Row],[Origin Rank]]&gt;0,HS_DB[[#This Row],[Origin Rank]]&lt;=10),"Yes","No")</f>
        <v>No</v>
      </c>
    </row>
    <row r="42" spans="2:55" x14ac:dyDescent="0.3">
      <c r="B42" s="2">
        <f>HS_DB[[#This Row],[Commodity Code]]</f>
        <v>291619</v>
      </c>
      <c r="C42" s="2">
        <f>IFERROR(INDEX(HS_MD!C:C,MATCH(B42,HS_MD!B:B,0),1),"")</f>
        <v>10</v>
      </c>
      <c r="D42" s="17" t="str">
        <f>IFERROR(INDEX(HS_MD!D:D,MATCH(B42,HS_MD!B:B,0),1),"")</f>
        <v>Unsaturated acyclic acids</v>
      </c>
      <c r="E42" s="17" t="str">
        <f>IFERROR(INDEX(HS_MD!E:E,MATCH(B42,HS_MD!B:B,0),1),"")</f>
        <v>Potassium Sorbate</v>
      </c>
      <c r="F42" s="17" t="str">
        <f>IFERROR(INDEX(HS_MD!F:F,MATCH(B42,HS_MD!B:B,0),1),"")</f>
        <v>PRESERVATIVES</v>
      </c>
      <c r="G42" s="17" t="str">
        <f>IFERROR(INDEX(HS_MD!G:G,MATCH(B42,HS_MD!B:B,0),1),"")</f>
        <v>Organic Preservatives</v>
      </c>
      <c r="H42" s="17" t="str">
        <f>IFERROR(INDEX(HS_MD!H:H,MATCH(B42,HS_MD!B:B,0),1),"")</f>
        <v>Potassium Sorbate</v>
      </c>
      <c r="I42" s="17" t="str">
        <f>IFERROR(INDEX(HS_MD!I:I,MATCH(B42,HS_MD!B:B,0),1),"")</f>
        <v>Sauces / Bakery / Dairy</v>
      </c>
      <c r="J42" s="17">
        <f>IFERROR(INDEX(Heat_Map[Index],MATCH(HS_DB[[#This Row],[Reporter]],Heat_Map[Global],0),1),"")</f>
        <v>63</v>
      </c>
      <c r="K42" s="17" t="str">
        <f>IF(AND(HS_DB[[#This Row],[Origin Rank]]&gt;1,HS_DB[[#This Row],[Origin Rank]]&lt;=10),"Yes","No")</f>
        <v>Yes</v>
      </c>
      <c r="L42" s="2">
        <v>2024</v>
      </c>
      <c r="M42" s="2" t="s">
        <v>57</v>
      </c>
      <c r="N42" s="2" t="s">
        <v>2</v>
      </c>
      <c r="O42" s="2" t="s">
        <v>22</v>
      </c>
      <c r="P42" s="2" t="s">
        <v>23</v>
      </c>
      <c r="Q42" s="2" t="s">
        <v>24</v>
      </c>
      <c r="R42" s="2" t="s">
        <v>25</v>
      </c>
      <c r="S42" s="2">
        <v>291619</v>
      </c>
      <c r="T42" s="3">
        <v>2372645</v>
      </c>
      <c r="U42" s="3">
        <v>353185</v>
      </c>
      <c r="V42" s="3">
        <v>0</v>
      </c>
      <c r="W42" s="3">
        <v>353185</v>
      </c>
      <c r="X42" s="3" t="s">
        <v>58</v>
      </c>
      <c r="Y42" s="3">
        <v>0</v>
      </c>
      <c r="Z42" s="2" t="s">
        <v>26</v>
      </c>
      <c r="AA42" s="6">
        <f>SUMIFS(HS_DB[Trade Value - USD],HS_DB[Reporter],HS_DB[[#This Row],[Reporter]])/SUM(HS_DB[Trade Value - USD])</f>
        <v>1.1674623358397021E-2</v>
      </c>
      <c r="AB42" s="8" cm="1">
        <f t="array" ref="AB42">SUMPRODUCT(
(HS_DB[Reporter]=HS_DB[[#This Row],[Reporter]])*
(HS_DB[Trade Value - USD]&gt;HS_DB[[#This Row],[Trade Value - USD]])
)+1</f>
        <v>4</v>
      </c>
      <c r="AC42" s="8" t="str">
        <f>IFERROR(IF(INDEX(Heat_Map[Crisis Impact %],MATCH(HS_DB[[#This Row],[Reporter]],Heat_Map[Global],0),1)&gt;0,"Yes","No"),"No")</f>
        <v>No</v>
      </c>
      <c r="AD42" s="6">
        <f>IFERROR(INDEX(Heat_Map[Crisis Impact %],MATCH(HS_DB[[#This Row],[Reporter]],Heat_Map[Global],0),1),0)</f>
        <v>0</v>
      </c>
      <c r="AE42" s="8">
        <f>HS_DB[[#This Row],[Crisis Impact%]]*HS_DB[[#This Row],[Trade Value - USD]]</f>
        <v>0</v>
      </c>
      <c r="AF42" s="8">
        <f>HS_DB[[#This Row],[Crisis Impact%]]*HS_DB[[#This Row],[Net Weight -KG]]</f>
        <v>0</v>
      </c>
      <c r="AG42" s="6">
        <f>SUMIFS(HS_DB[Trade Value - USD],HS_DB[Products],HS_DB[[#This Row],[Products]])/SUM(HS_DB[Trade Value - USD])</f>
        <v>4.7607572716976661E-3</v>
      </c>
      <c r="AH42" s="8">
        <f>_xlfn.RANK.EQ(HS_DB[[#This Row],[Trade Value - USD]], HS_DB[Trade Value - USD], 0)
 + COUNTIFS(HS_DB[Trade Value - USD],HS_DB[[#This Row],[Trade Value - USD]],
            HS_DB[HS Code],"&lt;"&amp;HS_DB[[#This Row],[HS Code]])</f>
        <v>57</v>
      </c>
      <c r="AI42" s="9">
        <f>IFERROR(HS_DB[[#This Row],[Trade Value - USD]]/HS_DB[[#This Row],[Net Weight -KG]],0)</f>
        <v>6.7178532497133228</v>
      </c>
      <c r="AJ42" s="17" cm="1">
        <f t="array" ref="AJ42">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2" s="17" t="str">
        <f>IF(HS_DB[[#This Row],[HS Code Risk Score]]&gt;=40,"High",
 IF(HS_DB[[#This Row],[HS Code Risk Score]]&gt;=25,"Medium","Low"))</f>
        <v>Medium</v>
      </c>
      <c r="AL42" s="17" t="str">
        <f>IF(RANK(HS_DB[[#This Row],[HS Code Risk Score]],HS_DB[HS Code Risk Score])&lt;=10,"Yes","No")</f>
        <v>No</v>
      </c>
      <c r="AM42" s="8">
        <f>SUMIFS(HS_DB[Net Weight -KG],HS_DB[HS Code],HS_DB[[#This Row],[HS Code]])</f>
        <v>2033373.9000000001</v>
      </c>
      <c r="AN42" s="8">
        <f>SUMIFS(HS_DB[Trade Value - USD],HS_DB[HS Code],HS_DB[[#This Row],[HS Code]])</f>
        <v>8974067</v>
      </c>
      <c r="AO42" s="6">
        <f>_xlfn.MAXIFS(HS_DB[Origin Share%],HS_DB[HS Code],HS_DB[[#This Row],[HS Code]])</f>
        <v>6.321329281187793E-2</v>
      </c>
      <c r="AP42" s="8" cm="1">
        <f t="array" ref="AP42">_xlfn.LET(
_xlpm.hs,HS_DB[[#This Row],[HS Code]],
COUNTA(_xlfn.UNIQUE(_xlfn._xlws.FILTER(HS_DB[Reporter],HS_DB[HS Code]=_xlpm.hs)))
)</f>
        <v>14</v>
      </c>
      <c r="AQ42" s="17" t="str">
        <f>IF(HS_DB[[#This Row],[Origin Count]]=1,"Single Source","Multiple Sources")</f>
        <v>Multiple Sources</v>
      </c>
      <c r="AR42" s="8">
        <f>HS_DB[[#This Row],[Annual Spend - USD]]*(HS_DB[[#This Row],[HS Code Risk Score]]/100)</f>
        <v>3051182.7800000003</v>
      </c>
      <c r="AS42" s="8">
        <f>RANK(HS_DB[[#This Row],[Risk Exposure - USD]],HS_DB[Risk Exposure - USD],0)</f>
        <v>315</v>
      </c>
      <c r="AT42" s="8" t="str">
        <f>IF(HS_DB[[#This Row],[Risk Exposure Rank]]&lt;=10,"High",
 IF(HS_DB[[#This Row],[Risk Exposure Rank]]&lt;=30,"Medium",
 "Low"))</f>
        <v>Low</v>
      </c>
      <c r="AU42" s="8" t="str">
        <f>IF(HS_DB[[#This Row],[Risk Exposure Rank]]&lt;=5,"Immediate Action",
 IF(HS_DB[[#This Row],[Risk Exposure Rank]]&lt;=15,"Monitor Closely",
 "Routine Control"))</f>
        <v>Routine Control</v>
      </c>
      <c r="AV42" s="8">
        <f>SUMIFS(HS_DB[Trade Value - USD],HS_DB[HS Code],HS_DB[[#This Row],[HS Code]])</f>
        <v>8974067</v>
      </c>
      <c r="AW42" s="6">
        <f>HS_DB[[#This Row],[Annual Spend - USD]]/HS_DB[[#This Row],[Total Market Size - USD]]</f>
        <v>1</v>
      </c>
      <c r="AX42" s="6" cm="1">
        <f t="array" ref="AX42">COUNTA(_xlfn.UNIQUE(_xlfn._xlws.FILTER(HS_DB[Partner],HS_DB[HS Code]=HS_DB[[#This Row],[HS Code]])))</f>
        <v>1</v>
      </c>
      <c r="AY42" s="8" t="str">
        <f>IF(HS_DB[[#This Row],[Competition Intensity]]&lt;=2,"Highly Concentrated",
 IF(HS_DB[[#This Row],[Competition Intensity]]&lt;=5,"Moderate",
 "Highly Competitive"))</f>
        <v>Highly Concentrated</v>
      </c>
      <c r="AZ42" s="8">
        <f>HS_DB[[#This Row],[Total Market Size - USD]]
*
(1+IFERROR(#REF!,0))
/
HS_DB[[#This Row],[Competition Intensity]]</f>
        <v>8974067</v>
      </c>
      <c r="BA42" s="8" t="str">
        <f>IF(HS_DB[[#This Row],[Commercial Opportunity Score]]&gt;=PERCENTILE(HS_DB[Commercial Opportunity Score],0.9),"High Opportunity",
 IF(HS_DB[[#This Row],[Commercial Opportunity Score]]&gt;=PERCENTILE(HS_DB[Commercial Opportunity Score],0.6),"Medium Opportunity",
 "Routine Market"))</f>
        <v>Routine Market</v>
      </c>
      <c r="BB42" s="3" t="str">
        <f>IF(AND(HS_DB[[#This Row],[Product Rank]]&gt;0,HS_DB[[#This Row],[Product Rank]]&lt;=10),"Yes","No")</f>
        <v>No</v>
      </c>
      <c r="BC42" s="3" t="str">
        <f>IF(AND(HS_DB[[#This Row],[Origin Rank]]&gt;0,HS_DB[[#This Row],[Origin Rank]]&lt;=10),"Yes","No")</f>
        <v>Yes</v>
      </c>
    </row>
    <row r="43" spans="2:55" x14ac:dyDescent="0.3">
      <c r="B43" s="2">
        <f>HS_DB[[#This Row],[Commodity Code]]</f>
        <v>291619</v>
      </c>
      <c r="C43" s="2">
        <f>IFERROR(INDEX(HS_MD!C:C,MATCH(B43,HS_MD!B:B,0),1),"")</f>
        <v>10</v>
      </c>
      <c r="D43" s="17" t="str">
        <f>IFERROR(INDEX(HS_MD!D:D,MATCH(B43,HS_MD!B:B,0),1),"")</f>
        <v>Unsaturated acyclic acids</v>
      </c>
      <c r="E43" s="17" t="str">
        <f>IFERROR(INDEX(HS_MD!E:E,MATCH(B43,HS_MD!B:B,0),1),"")</f>
        <v>Potassium Sorbate</v>
      </c>
      <c r="F43" s="17" t="str">
        <f>IFERROR(INDEX(HS_MD!F:F,MATCH(B43,HS_MD!B:B,0),1),"")</f>
        <v>PRESERVATIVES</v>
      </c>
      <c r="G43" s="17" t="str">
        <f>IFERROR(INDEX(HS_MD!G:G,MATCH(B43,HS_MD!B:B,0),1),"")</f>
        <v>Organic Preservatives</v>
      </c>
      <c r="H43" s="17" t="str">
        <f>IFERROR(INDEX(HS_MD!H:H,MATCH(B43,HS_MD!B:B,0),1),"")</f>
        <v>Potassium Sorbate</v>
      </c>
      <c r="I43" s="17" t="str">
        <f>IFERROR(INDEX(HS_MD!I:I,MATCH(B43,HS_MD!B:B,0),1),"")</f>
        <v>Sauces / Bakery / Dairy</v>
      </c>
      <c r="J43" s="17">
        <f>IFERROR(INDEX(Heat_Map[Index],MATCH(HS_DB[[#This Row],[Reporter]],Heat_Map[Global],0),1),"")</f>
        <v>79</v>
      </c>
      <c r="K43" s="17" t="str">
        <f>IF(AND(HS_DB[[#This Row],[Origin Rank]]&gt;1,HS_DB[[#This Row],[Origin Rank]]&lt;=10),"Yes","No")</f>
        <v>Yes</v>
      </c>
      <c r="L43" s="2">
        <v>2024</v>
      </c>
      <c r="M43" s="2" t="s">
        <v>57</v>
      </c>
      <c r="N43" s="2" t="s">
        <v>48</v>
      </c>
      <c r="O43" s="2" t="s">
        <v>22</v>
      </c>
      <c r="P43" s="2" t="s">
        <v>23</v>
      </c>
      <c r="Q43" s="2" t="s">
        <v>24</v>
      </c>
      <c r="R43" s="2" t="s">
        <v>25</v>
      </c>
      <c r="S43" s="2">
        <v>291619</v>
      </c>
      <c r="T43" s="3">
        <v>906643</v>
      </c>
      <c r="U43" s="3">
        <v>137688</v>
      </c>
      <c r="V43" s="3">
        <v>0</v>
      </c>
      <c r="W43" s="3">
        <v>137688</v>
      </c>
      <c r="X43" s="3" t="s">
        <v>58</v>
      </c>
      <c r="Y43" s="3">
        <v>137688</v>
      </c>
      <c r="Z43" s="2" t="s">
        <v>58</v>
      </c>
      <c r="AA43" s="6">
        <f>SUMIFS(HS_DB[Trade Value - USD],HS_DB[Reporter],HS_DB[[#This Row],[Reporter]])/SUM(HS_DB[Trade Value - USD])</f>
        <v>4.9588465845200368E-3</v>
      </c>
      <c r="AB43" s="8" cm="1">
        <f t="array" ref="AB43">SUMPRODUCT(
(HS_DB[Reporter]=HS_DB[[#This Row],[Reporter]])*
(HS_DB[Trade Value - USD]&gt;HS_DB[[#This Row],[Trade Value - USD]])
)+1</f>
        <v>4</v>
      </c>
      <c r="AC43" s="8" t="str">
        <f>IFERROR(IF(INDEX(Heat_Map[Crisis Impact %],MATCH(HS_DB[[#This Row],[Reporter]],Heat_Map[Global],0),1)&gt;0,"Yes","No"),"No")</f>
        <v>No</v>
      </c>
      <c r="AD43" s="6">
        <f>IFERROR(INDEX(Heat_Map[Crisis Impact %],MATCH(HS_DB[[#This Row],[Reporter]],Heat_Map[Global],0),1),0)</f>
        <v>0</v>
      </c>
      <c r="AE43" s="8">
        <f>HS_DB[[#This Row],[Crisis Impact%]]*HS_DB[[#This Row],[Trade Value - USD]]</f>
        <v>0</v>
      </c>
      <c r="AF43" s="8">
        <f>HS_DB[[#This Row],[Crisis Impact%]]*HS_DB[[#This Row],[Net Weight -KG]]</f>
        <v>0</v>
      </c>
      <c r="AG43" s="6">
        <f>SUMIFS(HS_DB[Trade Value - USD],HS_DB[Products],HS_DB[[#This Row],[Products]])/SUM(HS_DB[Trade Value - USD])</f>
        <v>4.7607572716976661E-3</v>
      </c>
      <c r="AH43" s="8">
        <f>_xlfn.RANK.EQ(HS_DB[[#This Row],[Trade Value - USD]], HS_DB[Trade Value - USD], 0)
 + COUNTIFS(HS_DB[Trade Value - USD],HS_DB[[#This Row],[Trade Value - USD]],
            HS_DB[HS Code],"&lt;"&amp;HS_DB[[#This Row],[HS Code]])</f>
        <v>109</v>
      </c>
      <c r="AI43" s="9">
        <f>IFERROR(HS_DB[[#This Row],[Trade Value - USD]]/HS_DB[[#This Row],[Net Weight -KG]],0)</f>
        <v>6.5847641043518683</v>
      </c>
      <c r="AJ43" s="17" cm="1">
        <f t="array" ref="AJ43">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3" s="17" t="str">
        <f>IF(HS_DB[[#This Row],[HS Code Risk Score]]&gt;=40,"High",
 IF(HS_DB[[#This Row],[HS Code Risk Score]]&gt;=25,"Medium","Low"))</f>
        <v>Medium</v>
      </c>
      <c r="AL43" s="17" t="str">
        <f>IF(RANK(HS_DB[[#This Row],[HS Code Risk Score]],HS_DB[HS Code Risk Score])&lt;=10,"Yes","No")</f>
        <v>No</v>
      </c>
      <c r="AM43" s="8">
        <f>SUMIFS(HS_DB[Net Weight -KG],HS_DB[HS Code],HS_DB[[#This Row],[HS Code]])</f>
        <v>2033373.9000000001</v>
      </c>
      <c r="AN43" s="8">
        <f>SUMIFS(HS_DB[Trade Value - USD],HS_DB[HS Code],HS_DB[[#This Row],[HS Code]])</f>
        <v>8974067</v>
      </c>
      <c r="AO43" s="6">
        <f>_xlfn.MAXIFS(HS_DB[Origin Share%],HS_DB[HS Code],HS_DB[[#This Row],[HS Code]])</f>
        <v>6.321329281187793E-2</v>
      </c>
      <c r="AP43" s="8" cm="1">
        <f t="array" ref="AP43">_xlfn.LET(
_xlpm.hs,HS_DB[[#This Row],[HS Code]],
COUNTA(_xlfn.UNIQUE(_xlfn._xlws.FILTER(HS_DB[Reporter],HS_DB[HS Code]=_xlpm.hs)))
)</f>
        <v>14</v>
      </c>
      <c r="AQ43" s="17" t="str">
        <f>IF(HS_DB[[#This Row],[Origin Count]]=1,"Single Source","Multiple Sources")</f>
        <v>Multiple Sources</v>
      </c>
      <c r="AR43" s="8">
        <f>HS_DB[[#This Row],[Annual Spend - USD]]*(HS_DB[[#This Row],[HS Code Risk Score]]/100)</f>
        <v>3051182.7800000003</v>
      </c>
      <c r="AS43" s="8">
        <f>RANK(HS_DB[[#This Row],[Risk Exposure - USD]],HS_DB[Risk Exposure - USD],0)</f>
        <v>315</v>
      </c>
      <c r="AT43" s="8" t="str">
        <f>IF(HS_DB[[#This Row],[Risk Exposure Rank]]&lt;=10,"High",
 IF(HS_DB[[#This Row],[Risk Exposure Rank]]&lt;=30,"Medium",
 "Low"))</f>
        <v>Low</v>
      </c>
      <c r="AU43" s="8" t="str">
        <f>IF(HS_DB[[#This Row],[Risk Exposure Rank]]&lt;=5,"Immediate Action",
 IF(HS_DB[[#This Row],[Risk Exposure Rank]]&lt;=15,"Monitor Closely",
 "Routine Control"))</f>
        <v>Routine Control</v>
      </c>
      <c r="AV43" s="8">
        <f>SUMIFS(HS_DB[Trade Value - USD],HS_DB[HS Code],HS_DB[[#This Row],[HS Code]])</f>
        <v>8974067</v>
      </c>
      <c r="AW43" s="6">
        <f>HS_DB[[#This Row],[Annual Spend - USD]]/HS_DB[[#This Row],[Total Market Size - USD]]</f>
        <v>1</v>
      </c>
      <c r="AX43" s="6" cm="1">
        <f t="array" ref="AX43">COUNTA(_xlfn.UNIQUE(_xlfn._xlws.FILTER(HS_DB[Partner],HS_DB[HS Code]=HS_DB[[#This Row],[HS Code]])))</f>
        <v>1</v>
      </c>
      <c r="AY43" s="8" t="str">
        <f>IF(HS_DB[[#This Row],[Competition Intensity]]&lt;=2,"Highly Concentrated",
 IF(HS_DB[[#This Row],[Competition Intensity]]&lt;=5,"Moderate",
 "Highly Competitive"))</f>
        <v>Highly Concentrated</v>
      </c>
      <c r="AZ43" s="8">
        <f>HS_DB[[#This Row],[Total Market Size - USD]]
*
(1+IFERROR(#REF!,0))
/
HS_DB[[#This Row],[Competition Intensity]]</f>
        <v>8974067</v>
      </c>
      <c r="BA43" s="8" t="str">
        <f>IF(HS_DB[[#This Row],[Commercial Opportunity Score]]&gt;=PERCENTILE(HS_DB[Commercial Opportunity Score],0.9),"High Opportunity",
 IF(HS_DB[[#This Row],[Commercial Opportunity Score]]&gt;=PERCENTILE(HS_DB[Commercial Opportunity Score],0.6),"Medium Opportunity",
 "Routine Market"))</f>
        <v>Routine Market</v>
      </c>
      <c r="BB43" s="3" t="str">
        <f>IF(AND(HS_DB[[#This Row],[Product Rank]]&gt;0,HS_DB[[#This Row],[Product Rank]]&lt;=10),"Yes","No")</f>
        <v>No</v>
      </c>
      <c r="BC43" s="3" t="str">
        <f>IF(AND(HS_DB[[#This Row],[Origin Rank]]&gt;0,HS_DB[[#This Row],[Origin Rank]]&lt;=10),"Yes","No")</f>
        <v>Yes</v>
      </c>
    </row>
    <row r="44" spans="2:55" x14ac:dyDescent="0.3">
      <c r="B44" s="2">
        <f>HS_DB[[#This Row],[Commodity Code]]</f>
        <v>291619</v>
      </c>
      <c r="C44" s="2">
        <f>IFERROR(INDEX(HS_MD!C:C,MATCH(B44,HS_MD!B:B,0),1),"")</f>
        <v>10</v>
      </c>
      <c r="D44" s="17" t="str">
        <f>IFERROR(INDEX(HS_MD!D:D,MATCH(B44,HS_MD!B:B,0),1),"")</f>
        <v>Unsaturated acyclic acids</v>
      </c>
      <c r="E44" s="17" t="str">
        <f>IFERROR(INDEX(HS_MD!E:E,MATCH(B44,HS_MD!B:B,0),1),"")</f>
        <v>Potassium Sorbate</v>
      </c>
      <c r="F44" s="17" t="str">
        <f>IFERROR(INDEX(HS_MD!F:F,MATCH(B44,HS_MD!B:B,0),1),"")</f>
        <v>PRESERVATIVES</v>
      </c>
      <c r="G44" s="17" t="str">
        <f>IFERROR(INDEX(HS_MD!G:G,MATCH(B44,HS_MD!B:B,0),1),"")</f>
        <v>Organic Preservatives</v>
      </c>
      <c r="H44" s="17" t="str">
        <f>IFERROR(INDEX(HS_MD!H:H,MATCH(B44,HS_MD!B:B,0),1),"")</f>
        <v>Potassium Sorbate</v>
      </c>
      <c r="I44" s="17" t="str">
        <f>IFERROR(INDEX(HS_MD!I:I,MATCH(B44,HS_MD!B:B,0),1),"")</f>
        <v>Sauces / Bakery / Dairy</v>
      </c>
      <c r="J44" s="17">
        <f>IFERROR(INDEX(Heat_Map[Index],MATCH(HS_DB[[#This Row],[Reporter]],Heat_Map[Global],0),1),"")</f>
        <v>123</v>
      </c>
      <c r="K44" s="17" t="str">
        <f>IF(AND(HS_DB[[#This Row],[Origin Rank]]&gt;1,HS_DB[[#This Row],[Origin Rank]]&lt;=10),"Yes","No")</f>
        <v>Yes</v>
      </c>
      <c r="L44" s="2">
        <v>2024</v>
      </c>
      <c r="M44" s="2" t="s">
        <v>57</v>
      </c>
      <c r="N44" s="2" t="s">
        <v>330</v>
      </c>
      <c r="O44" s="2" t="s">
        <v>22</v>
      </c>
      <c r="P44" s="2" t="s">
        <v>23</v>
      </c>
      <c r="Q44" s="2" t="s">
        <v>24</v>
      </c>
      <c r="R44" s="2" t="s">
        <v>25</v>
      </c>
      <c r="S44" s="2">
        <v>291619</v>
      </c>
      <c r="T44" s="3">
        <v>1389782</v>
      </c>
      <c r="U44" s="3">
        <v>11476.3</v>
      </c>
      <c r="V44" s="3">
        <v>0</v>
      </c>
      <c r="W44" s="3">
        <v>11476</v>
      </c>
      <c r="X44" s="3" t="s">
        <v>58</v>
      </c>
      <c r="Y44" s="3">
        <v>11476</v>
      </c>
      <c r="Z44" s="2" t="s">
        <v>58</v>
      </c>
      <c r="AA44" s="6">
        <f>SUMIFS(HS_DB[Trade Value - USD],HS_DB[Reporter],HS_DB[[#This Row],[Reporter]])/SUM(HS_DB[Trade Value - USD])</f>
        <v>1.389484063100993E-2</v>
      </c>
      <c r="AB44" s="8" cm="1">
        <f t="array" ref="AB44">SUMPRODUCT(
(HS_DB[Reporter]=HS_DB[[#This Row],[Reporter]])*
(HS_DB[Trade Value - USD]&gt;HS_DB[[#This Row],[Trade Value - USD]])
)+1</f>
        <v>2</v>
      </c>
      <c r="AC44" s="8" t="str">
        <f>IFERROR(IF(INDEX(Heat_Map[Crisis Impact %],MATCH(HS_DB[[#This Row],[Reporter]],Heat_Map[Global],0),1)&gt;0,"Yes","No"),"No")</f>
        <v>No</v>
      </c>
      <c r="AD44" s="6">
        <f>IFERROR(INDEX(Heat_Map[Crisis Impact %],MATCH(HS_DB[[#This Row],[Reporter]],Heat_Map[Global],0),1),0)</f>
        <v>0</v>
      </c>
      <c r="AE44" s="8">
        <f>HS_DB[[#This Row],[Crisis Impact%]]*HS_DB[[#This Row],[Trade Value - USD]]</f>
        <v>0</v>
      </c>
      <c r="AF44" s="8">
        <f>HS_DB[[#This Row],[Crisis Impact%]]*HS_DB[[#This Row],[Net Weight -KG]]</f>
        <v>0</v>
      </c>
      <c r="AG44" s="6">
        <f>SUMIFS(HS_DB[Trade Value - USD],HS_DB[Products],HS_DB[[#This Row],[Products]])/SUM(HS_DB[Trade Value - USD])</f>
        <v>4.7607572716976661E-3</v>
      </c>
      <c r="AH44" s="8">
        <f>_xlfn.RANK.EQ(HS_DB[[#This Row],[Trade Value - USD]], HS_DB[Trade Value - USD], 0)
 + COUNTIFS(HS_DB[Trade Value - USD],HS_DB[[#This Row],[Trade Value - USD]],
            HS_DB[HS Code],"&lt;"&amp;HS_DB[[#This Row],[HS Code]])</f>
        <v>81</v>
      </c>
      <c r="AI44" s="9">
        <f>IFERROR(HS_DB[[#This Row],[Trade Value - USD]]/HS_DB[[#This Row],[Net Weight -KG]],0)</f>
        <v>121.1001803717226</v>
      </c>
      <c r="AJ44" s="17" cm="1">
        <f t="array" ref="AJ44">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4" s="17" t="str">
        <f>IF(HS_DB[[#This Row],[HS Code Risk Score]]&gt;=40,"High",
 IF(HS_DB[[#This Row],[HS Code Risk Score]]&gt;=25,"Medium","Low"))</f>
        <v>Medium</v>
      </c>
      <c r="AL44" s="17" t="str">
        <f>IF(RANK(HS_DB[[#This Row],[HS Code Risk Score]],HS_DB[HS Code Risk Score])&lt;=10,"Yes","No")</f>
        <v>No</v>
      </c>
      <c r="AM44" s="8">
        <f>SUMIFS(HS_DB[Net Weight -KG],HS_DB[HS Code],HS_DB[[#This Row],[HS Code]])</f>
        <v>2033373.9000000001</v>
      </c>
      <c r="AN44" s="8">
        <f>SUMIFS(HS_DB[Trade Value - USD],HS_DB[HS Code],HS_DB[[#This Row],[HS Code]])</f>
        <v>8974067</v>
      </c>
      <c r="AO44" s="6">
        <f>_xlfn.MAXIFS(HS_DB[Origin Share%],HS_DB[HS Code],HS_DB[[#This Row],[HS Code]])</f>
        <v>6.321329281187793E-2</v>
      </c>
      <c r="AP44" s="8" cm="1">
        <f t="array" ref="AP44">_xlfn.LET(
_xlpm.hs,HS_DB[[#This Row],[HS Code]],
COUNTA(_xlfn.UNIQUE(_xlfn._xlws.FILTER(HS_DB[Reporter],HS_DB[HS Code]=_xlpm.hs)))
)</f>
        <v>14</v>
      </c>
      <c r="AQ44" s="17" t="str">
        <f>IF(HS_DB[[#This Row],[Origin Count]]=1,"Single Source","Multiple Sources")</f>
        <v>Multiple Sources</v>
      </c>
      <c r="AR44" s="8">
        <f>HS_DB[[#This Row],[Annual Spend - USD]]*(HS_DB[[#This Row],[HS Code Risk Score]]/100)</f>
        <v>3051182.7800000003</v>
      </c>
      <c r="AS44" s="8">
        <f>RANK(HS_DB[[#This Row],[Risk Exposure - USD]],HS_DB[Risk Exposure - USD],0)</f>
        <v>315</v>
      </c>
      <c r="AT44" s="8" t="str">
        <f>IF(HS_DB[[#This Row],[Risk Exposure Rank]]&lt;=10,"High",
 IF(HS_DB[[#This Row],[Risk Exposure Rank]]&lt;=30,"Medium",
 "Low"))</f>
        <v>Low</v>
      </c>
      <c r="AU44" s="8" t="str">
        <f>IF(HS_DB[[#This Row],[Risk Exposure Rank]]&lt;=5,"Immediate Action",
 IF(HS_DB[[#This Row],[Risk Exposure Rank]]&lt;=15,"Monitor Closely",
 "Routine Control"))</f>
        <v>Routine Control</v>
      </c>
      <c r="AV44" s="8">
        <f>SUMIFS(HS_DB[Trade Value - USD],HS_DB[HS Code],HS_DB[[#This Row],[HS Code]])</f>
        <v>8974067</v>
      </c>
      <c r="AW44" s="6">
        <f>HS_DB[[#This Row],[Annual Spend - USD]]/HS_DB[[#This Row],[Total Market Size - USD]]</f>
        <v>1</v>
      </c>
      <c r="AX44" s="6" cm="1">
        <f t="array" ref="AX44">COUNTA(_xlfn.UNIQUE(_xlfn._xlws.FILTER(HS_DB[Partner],HS_DB[HS Code]=HS_DB[[#This Row],[HS Code]])))</f>
        <v>1</v>
      </c>
      <c r="AY44" s="8" t="str">
        <f>IF(HS_DB[[#This Row],[Competition Intensity]]&lt;=2,"Highly Concentrated",
 IF(HS_DB[[#This Row],[Competition Intensity]]&lt;=5,"Moderate",
 "Highly Competitive"))</f>
        <v>Highly Concentrated</v>
      </c>
      <c r="AZ44" s="8">
        <f>HS_DB[[#This Row],[Total Market Size - USD]]
*
(1+IFERROR(#REF!,0))
/
HS_DB[[#This Row],[Competition Intensity]]</f>
        <v>8974067</v>
      </c>
      <c r="BA44" s="8" t="str">
        <f>IF(HS_DB[[#This Row],[Commercial Opportunity Score]]&gt;=PERCENTILE(HS_DB[Commercial Opportunity Score],0.9),"High Opportunity",
 IF(HS_DB[[#This Row],[Commercial Opportunity Score]]&gt;=PERCENTILE(HS_DB[Commercial Opportunity Score],0.6),"Medium Opportunity",
 "Routine Market"))</f>
        <v>Routine Market</v>
      </c>
      <c r="BB44" s="3" t="str">
        <f>IF(AND(HS_DB[[#This Row],[Product Rank]]&gt;0,HS_DB[[#This Row],[Product Rank]]&lt;=10),"Yes","No")</f>
        <v>No</v>
      </c>
      <c r="BC44" s="3" t="str">
        <f>IF(AND(HS_DB[[#This Row],[Origin Rank]]&gt;0,HS_DB[[#This Row],[Origin Rank]]&lt;=10),"Yes","No")</f>
        <v>Yes</v>
      </c>
    </row>
    <row r="45" spans="2:55" x14ac:dyDescent="0.3">
      <c r="B45" s="2">
        <f>HS_DB[[#This Row],[Commodity Code]]</f>
        <v>291619</v>
      </c>
      <c r="C45" s="2">
        <f>IFERROR(INDEX(HS_MD!C:C,MATCH(B45,HS_MD!B:B,0),1),"")</f>
        <v>10</v>
      </c>
      <c r="D45" s="17" t="str">
        <f>IFERROR(INDEX(HS_MD!D:D,MATCH(B45,HS_MD!B:B,0),1),"")</f>
        <v>Unsaturated acyclic acids</v>
      </c>
      <c r="E45" s="17" t="str">
        <f>IFERROR(INDEX(HS_MD!E:E,MATCH(B45,HS_MD!B:B,0),1),"")</f>
        <v>Potassium Sorbate</v>
      </c>
      <c r="F45" s="17" t="str">
        <f>IFERROR(INDEX(HS_MD!F:F,MATCH(B45,HS_MD!B:B,0),1),"")</f>
        <v>PRESERVATIVES</v>
      </c>
      <c r="G45" s="17" t="str">
        <f>IFERROR(INDEX(HS_MD!G:G,MATCH(B45,HS_MD!B:B,0),1),"")</f>
        <v>Organic Preservatives</v>
      </c>
      <c r="H45" s="17" t="str">
        <f>IFERROR(INDEX(HS_MD!H:H,MATCH(B45,HS_MD!B:B,0),1),"")</f>
        <v>Potassium Sorbate</v>
      </c>
      <c r="I45" s="17" t="str">
        <f>IFERROR(INDEX(HS_MD!I:I,MATCH(B45,HS_MD!B:B,0),1),"")</f>
        <v>Sauces / Bakery / Dairy</v>
      </c>
      <c r="J45" s="17">
        <f>IFERROR(INDEX(Heat_Map[Index],MATCH(HS_DB[[#This Row],[Reporter]],Heat_Map[Global],0),1),"")</f>
        <v>118</v>
      </c>
      <c r="K45" s="17" t="str">
        <f>IF(AND(HS_DB[[#This Row],[Origin Rank]]&gt;1,HS_DB[[#This Row],[Origin Rank]]&lt;=10),"Yes","No")</f>
        <v>No</v>
      </c>
      <c r="L45" s="2">
        <v>2024</v>
      </c>
      <c r="M45" s="2" t="s">
        <v>57</v>
      </c>
      <c r="N45" s="2" t="s">
        <v>53</v>
      </c>
      <c r="O45" s="2" t="s">
        <v>22</v>
      </c>
      <c r="P45" s="2" t="s">
        <v>23</v>
      </c>
      <c r="Q45" s="2" t="s">
        <v>24</v>
      </c>
      <c r="R45" s="2" t="s">
        <v>25</v>
      </c>
      <c r="S45" s="2">
        <v>291619</v>
      </c>
      <c r="T45" s="3">
        <v>36534</v>
      </c>
      <c r="U45" s="3">
        <v>6925</v>
      </c>
      <c r="V45" s="3">
        <v>0</v>
      </c>
      <c r="W45" s="3">
        <v>6925</v>
      </c>
      <c r="X45" s="3" t="s">
        <v>58</v>
      </c>
      <c r="Y45" s="3">
        <v>6925</v>
      </c>
      <c r="Z45" s="2" t="s">
        <v>58</v>
      </c>
      <c r="AA45" s="6">
        <f>SUMIFS(HS_DB[Trade Value - USD],HS_DB[Reporter],HS_DB[[#This Row],[Reporter]])/SUM(HS_DB[Trade Value - USD])</f>
        <v>1.4561232389604124E-2</v>
      </c>
      <c r="AB45" s="8" cm="1">
        <f t="array" ref="AB45">SUMPRODUCT(
(HS_DB[Reporter]=HS_DB[[#This Row],[Reporter]])*
(HS_DB[Trade Value - USD]&gt;HS_DB[[#This Row],[Trade Value - USD]])
)+1</f>
        <v>22</v>
      </c>
      <c r="AC45" s="8" t="str">
        <f>IFERROR(IF(INDEX(Heat_Map[Crisis Impact %],MATCH(HS_DB[[#This Row],[Reporter]],Heat_Map[Global],0),1)&gt;0,"Yes","No"),"No")</f>
        <v>No</v>
      </c>
      <c r="AD45" s="6">
        <f>IFERROR(INDEX(Heat_Map[Crisis Impact %],MATCH(HS_DB[[#This Row],[Reporter]],Heat_Map[Global],0),1),0)</f>
        <v>0</v>
      </c>
      <c r="AE45" s="8">
        <f>HS_DB[[#This Row],[Crisis Impact%]]*HS_DB[[#This Row],[Trade Value - USD]]</f>
        <v>0</v>
      </c>
      <c r="AF45" s="8">
        <f>HS_DB[[#This Row],[Crisis Impact%]]*HS_DB[[#This Row],[Net Weight -KG]]</f>
        <v>0</v>
      </c>
      <c r="AG45" s="6">
        <f>SUMIFS(HS_DB[Trade Value - USD],HS_DB[Products],HS_DB[[#This Row],[Products]])/SUM(HS_DB[Trade Value - USD])</f>
        <v>4.7607572716976661E-3</v>
      </c>
      <c r="AH45" s="8">
        <f>_xlfn.RANK.EQ(HS_DB[[#This Row],[Trade Value - USD]], HS_DB[Trade Value - USD], 0)
 + COUNTIFS(HS_DB[Trade Value - USD],HS_DB[[#This Row],[Trade Value - USD]],
            HS_DB[HS Code],"&lt;"&amp;HS_DB[[#This Row],[HS Code]])</f>
        <v>338</v>
      </c>
      <c r="AI45" s="9">
        <f>IFERROR(HS_DB[[#This Row],[Trade Value - USD]]/HS_DB[[#This Row],[Net Weight -KG]],0)</f>
        <v>5.2756678700361013</v>
      </c>
      <c r="AJ45" s="17" cm="1">
        <f t="array" ref="AJ45">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5" s="17" t="str">
        <f>IF(HS_DB[[#This Row],[HS Code Risk Score]]&gt;=40,"High",
 IF(HS_DB[[#This Row],[HS Code Risk Score]]&gt;=25,"Medium","Low"))</f>
        <v>Medium</v>
      </c>
      <c r="AL45" s="17" t="str">
        <f>IF(RANK(HS_DB[[#This Row],[HS Code Risk Score]],HS_DB[HS Code Risk Score])&lt;=10,"Yes","No")</f>
        <v>No</v>
      </c>
      <c r="AM45" s="8">
        <f>SUMIFS(HS_DB[Net Weight -KG],HS_DB[HS Code],HS_DB[[#This Row],[HS Code]])</f>
        <v>2033373.9000000001</v>
      </c>
      <c r="AN45" s="8">
        <f>SUMIFS(HS_DB[Trade Value - USD],HS_DB[HS Code],HS_DB[[#This Row],[HS Code]])</f>
        <v>8974067</v>
      </c>
      <c r="AO45" s="6">
        <f>_xlfn.MAXIFS(HS_DB[Origin Share%],HS_DB[HS Code],HS_DB[[#This Row],[HS Code]])</f>
        <v>6.321329281187793E-2</v>
      </c>
      <c r="AP45" s="8" cm="1">
        <f t="array" ref="AP45">_xlfn.LET(
_xlpm.hs,HS_DB[[#This Row],[HS Code]],
COUNTA(_xlfn.UNIQUE(_xlfn._xlws.FILTER(HS_DB[Reporter],HS_DB[HS Code]=_xlpm.hs)))
)</f>
        <v>14</v>
      </c>
      <c r="AQ45" s="17" t="str">
        <f>IF(HS_DB[[#This Row],[Origin Count]]=1,"Single Source","Multiple Sources")</f>
        <v>Multiple Sources</v>
      </c>
      <c r="AR45" s="8">
        <f>HS_DB[[#This Row],[Annual Spend - USD]]*(HS_DB[[#This Row],[HS Code Risk Score]]/100)</f>
        <v>3051182.7800000003</v>
      </c>
      <c r="AS45" s="8">
        <f>RANK(HS_DB[[#This Row],[Risk Exposure - USD]],HS_DB[Risk Exposure - USD],0)</f>
        <v>315</v>
      </c>
      <c r="AT45" s="8" t="str">
        <f>IF(HS_DB[[#This Row],[Risk Exposure Rank]]&lt;=10,"High",
 IF(HS_DB[[#This Row],[Risk Exposure Rank]]&lt;=30,"Medium",
 "Low"))</f>
        <v>Low</v>
      </c>
      <c r="AU45" s="8" t="str">
        <f>IF(HS_DB[[#This Row],[Risk Exposure Rank]]&lt;=5,"Immediate Action",
 IF(HS_DB[[#This Row],[Risk Exposure Rank]]&lt;=15,"Monitor Closely",
 "Routine Control"))</f>
        <v>Routine Control</v>
      </c>
      <c r="AV45" s="8">
        <f>SUMIFS(HS_DB[Trade Value - USD],HS_DB[HS Code],HS_DB[[#This Row],[HS Code]])</f>
        <v>8974067</v>
      </c>
      <c r="AW45" s="6">
        <f>HS_DB[[#This Row],[Annual Spend - USD]]/HS_DB[[#This Row],[Total Market Size - USD]]</f>
        <v>1</v>
      </c>
      <c r="AX45" s="6" cm="1">
        <f t="array" ref="AX45">COUNTA(_xlfn.UNIQUE(_xlfn._xlws.FILTER(HS_DB[Partner],HS_DB[HS Code]=HS_DB[[#This Row],[HS Code]])))</f>
        <v>1</v>
      </c>
      <c r="AY45" s="8" t="str">
        <f>IF(HS_DB[[#This Row],[Competition Intensity]]&lt;=2,"Highly Concentrated",
 IF(HS_DB[[#This Row],[Competition Intensity]]&lt;=5,"Moderate",
 "Highly Competitive"))</f>
        <v>Highly Concentrated</v>
      </c>
      <c r="AZ45" s="8">
        <f>HS_DB[[#This Row],[Total Market Size - USD]]
*
(1+IFERROR(#REF!,0))
/
HS_DB[[#This Row],[Competition Intensity]]</f>
        <v>8974067</v>
      </c>
      <c r="BA45" s="8" t="str">
        <f>IF(HS_DB[[#This Row],[Commercial Opportunity Score]]&gt;=PERCENTILE(HS_DB[Commercial Opportunity Score],0.9),"High Opportunity",
 IF(HS_DB[[#This Row],[Commercial Opportunity Score]]&gt;=PERCENTILE(HS_DB[Commercial Opportunity Score],0.6),"Medium Opportunity",
 "Routine Market"))</f>
        <v>Routine Market</v>
      </c>
      <c r="BB45" s="3" t="str">
        <f>IF(AND(HS_DB[[#This Row],[Product Rank]]&gt;0,HS_DB[[#This Row],[Product Rank]]&lt;=10),"Yes","No")</f>
        <v>No</v>
      </c>
      <c r="BC45" s="3" t="str">
        <f>IF(AND(HS_DB[[#This Row],[Origin Rank]]&gt;0,HS_DB[[#This Row],[Origin Rank]]&lt;=10),"Yes","No")</f>
        <v>No</v>
      </c>
    </row>
    <row r="46" spans="2:55" x14ac:dyDescent="0.3">
      <c r="B46" s="2">
        <f>HS_DB[[#This Row],[Commodity Code]]</f>
        <v>291619</v>
      </c>
      <c r="C46" s="2">
        <f>IFERROR(INDEX(HS_MD!C:C,MATCH(B46,HS_MD!B:B,0),1),"")</f>
        <v>10</v>
      </c>
      <c r="D46" s="17" t="str">
        <f>IFERROR(INDEX(HS_MD!D:D,MATCH(B46,HS_MD!B:B,0),1),"")</f>
        <v>Unsaturated acyclic acids</v>
      </c>
      <c r="E46" s="17" t="str">
        <f>IFERROR(INDEX(HS_MD!E:E,MATCH(B46,HS_MD!B:B,0),1),"")</f>
        <v>Potassium Sorbate</v>
      </c>
      <c r="F46" s="17" t="str">
        <f>IFERROR(INDEX(HS_MD!F:F,MATCH(B46,HS_MD!B:B,0),1),"")</f>
        <v>PRESERVATIVES</v>
      </c>
      <c r="G46" s="17" t="str">
        <f>IFERROR(INDEX(HS_MD!G:G,MATCH(B46,HS_MD!B:B,0),1),"")</f>
        <v>Organic Preservatives</v>
      </c>
      <c r="H46" s="17" t="str">
        <f>IFERROR(INDEX(HS_MD!H:H,MATCH(B46,HS_MD!B:B,0),1),"")</f>
        <v>Potassium Sorbate</v>
      </c>
      <c r="I46" s="17" t="str">
        <f>IFERROR(INDEX(HS_MD!I:I,MATCH(B46,HS_MD!B:B,0),1),"")</f>
        <v>Sauces / Bakery / Dairy</v>
      </c>
      <c r="J46" s="17">
        <f>IFERROR(INDEX(Heat_Map[Index],MATCH(HS_DB[[#This Row],[Reporter]],Heat_Map[Global],0),1),"")</f>
        <v>75</v>
      </c>
      <c r="K46" s="17" t="str">
        <f>IF(AND(HS_DB[[#This Row],[Origin Rank]]&gt;1,HS_DB[[#This Row],[Origin Rank]]&lt;=10),"Yes","No")</f>
        <v>No</v>
      </c>
      <c r="L46" s="2">
        <v>2024</v>
      </c>
      <c r="M46" s="2" t="s">
        <v>57</v>
      </c>
      <c r="N46" s="2" t="s">
        <v>8</v>
      </c>
      <c r="O46" s="2" t="s">
        <v>22</v>
      </c>
      <c r="P46" s="2" t="s">
        <v>23</v>
      </c>
      <c r="Q46" s="2" t="s">
        <v>24</v>
      </c>
      <c r="R46" s="2" t="s">
        <v>25</v>
      </c>
      <c r="S46" s="2">
        <v>291619</v>
      </c>
      <c r="T46" s="3">
        <v>710534</v>
      </c>
      <c r="U46" s="3">
        <v>136852</v>
      </c>
      <c r="V46" s="3">
        <v>0</v>
      </c>
      <c r="W46" s="3">
        <v>136852</v>
      </c>
      <c r="X46" s="3" t="s">
        <v>58</v>
      </c>
      <c r="Y46" s="3">
        <v>136852</v>
      </c>
      <c r="Z46" s="2" t="s">
        <v>58</v>
      </c>
      <c r="AA46" s="6">
        <f>SUMIFS(HS_DB[Trade Value - USD],HS_DB[Reporter],HS_DB[[#This Row],[Reporter]])/SUM(HS_DB[Trade Value - USD])</f>
        <v>2.2441761060335613E-2</v>
      </c>
      <c r="AB46" s="8" cm="1">
        <f t="array" ref="AB46">SUMPRODUCT(
(HS_DB[Reporter]=HS_DB[[#This Row],[Reporter]])*
(HS_DB[Trade Value - USD]&gt;HS_DB[[#This Row],[Trade Value - USD]])
)+1</f>
        <v>13</v>
      </c>
      <c r="AC46" s="8" t="str">
        <f>IFERROR(IF(INDEX(Heat_Map[Crisis Impact %],MATCH(HS_DB[[#This Row],[Reporter]],Heat_Map[Global],0),1)&gt;0,"Yes","No"),"No")</f>
        <v>No</v>
      </c>
      <c r="AD46" s="6">
        <f>IFERROR(INDEX(Heat_Map[Crisis Impact %],MATCH(HS_DB[[#This Row],[Reporter]],Heat_Map[Global],0),1),0)</f>
        <v>0</v>
      </c>
      <c r="AE46" s="8">
        <f>HS_DB[[#This Row],[Crisis Impact%]]*HS_DB[[#This Row],[Trade Value - USD]]</f>
        <v>0</v>
      </c>
      <c r="AF46" s="8">
        <f>HS_DB[[#This Row],[Crisis Impact%]]*HS_DB[[#This Row],[Net Weight -KG]]</f>
        <v>0</v>
      </c>
      <c r="AG46" s="6">
        <f>SUMIFS(HS_DB[Trade Value - USD],HS_DB[Products],HS_DB[[#This Row],[Products]])/SUM(HS_DB[Trade Value - USD])</f>
        <v>4.7607572716976661E-3</v>
      </c>
      <c r="AH46" s="8">
        <f>_xlfn.RANK.EQ(HS_DB[[#This Row],[Trade Value - USD]], HS_DB[Trade Value - USD], 0)
 + COUNTIFS(HS_DB[Trade Value - USD],HS_DB[[#This Row],[Trade Value - USD]],
            HS_DB[HS Code],"&lt;"&amp;HS_DB[[#This Row],[HS Code]])</f>
        <v>125</v>
      </c>
      <c r="AI46" s="9">
        <f>IFERROR(HS_DB[[#This Row],[Trade Value - USD]]/HS_DB[[#This Row],[Net Weight -KG]],0)</f>
        <v>5.1919884254523136</v>
      </c>
      <c r="AJ46" s="17" cm="1">
        <f t="array" ref="AJ46">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6" s="17" t="str">
        <f>IF(HS_DB[[#This Row],[HS Code Risk Score]]&gt;=40,"High",
 IF(HS_DB[[#This Row],[HS Code Risk Score]]&gt;=25,"Medium","Low"))</f>
        <v>Medium</v>
      </c>
      <c r="AL46" s="17" t="str">
        <f>IF(RANK(HS_DB[[#This Row],[HS Code Risk Score]],HS_DB[HS Code Risk Score])&lt;=10,"Yes","No")</f>
        <v>No</v>
      </c>
      <c r="AM46" s="8">
        <f>SUMIFS(HS_DB[Net Weight -KG],HS_DB[HS Code],HS_DB[[#This Row],[HS Code]])</f>
        <v>2033373.9000000001</v>
      </c>
      <c r="AN46" s="8">
        <f>SUMIFS(HS_DB[Trade Value - USD],HS_DB[HS Code],HS_DB[[#This Row],[HS Code]])</f>
        <v>8974067</v>
      </c>
      <c r="AO46" s="6">
        <f>_xlfn.MAXIFS(HS_DB[Origin Share%],HS_DB[HS Code],HS_DB[[#This Row],[HS Code]])</f>
        <v>6.321329281187793E-2</v>
      </c>
      <c r="AP46" s="8" cm="1">
        <f t="array" ref="AP46">_xlfn.LET(
_xlpm.hs,HS_DB[[#This Row],[HS Code]],
COUNTA(_xlfn.UNIQUE(_xlfn._xlws.FILTER(HS_DB[Reporter],HS_DB[HS Code]=_xlpm.hs)))
)</f>
        <v>14</v>
      </c>
      <c r="AQ46" s="17" t="str">
        <f>IF(HS_DB[[#This Row],[Origin Count]]=1,"Single Source","Multiple Sources")</f>
        <v>Multiple Sources</v>
      </c>
      <c r="AR46" s="8">
        <f>HS_DB[[#This Row],[Annual Spend - USD]]*(HS_DB[[#This Row],[HS Code Risk Score]]/100)</f>
        <v>3051182.7800000003</v>
      </c>
      <c r="AS46" s="8">
        <f>RANK(HS_DB[[#This Row],[Risk Exposure - USD]],HS_DB[Risk Exposure - USD],0)</f>
        <v>315</v>
      </c>
      <c r="AT46" s="8" t="str">
        <f>IF(HS_DB[[#This Row],[Risk Exposure Rank]]&lt;=10,"High",
 IF(HS_DB[[#This Row],[Risk Exposure Rank]]&lt;=30,"Medium",
 "Low"))</f>
        <v>Low</v>
      </c>
      <c r="AU46" s="8" t="str">
        <f>IF(HS_DB[[#This Row],[Risk Exposure Rank]]&lt;=5,"Immediate Action",
 IF(HS_DB[[#This Row],[Risk Exposure Rank]]&lt;=15,"Monitor Closely",
 "Routine Control"))</f>
        <v>Routine Control</v>
      </c>
      <c r="AV46" s="8">
        <f>SUMIFS(HS_DB[Trade Value - USD],HS_DB[HS Code],HS_DB[[#This Row],[HS Code]])</f>
        <v>8974067</v>
      </c>
      <c r="AW46" s="6">
        <f>HS_DB[[#This Row],[Annual Spend - USD]]/HS_DB[[#This Row],[Total Market Size - USD]]</f>
        <v>1</v>
      </c>
      <c r="AX46" s="6" cm="1">
        <f t="array" ref="AX46">COUNTA(_xlfn.UNIQUE(_xlfn._xlws.FILTER(HS_DB[Partner],HS_DB[HS Code]=HS_DB[[#This Row],[HS Code]])))</f>
        <v>1</v>
      </c>
      <c r="AY46" s="8" t="str">
        <f>IF(HS_DB[[#This Row],[Competition Intensity]]&lt;=2,"Highly Concentrated",
 IF(HS_DB[[#This Row],[Competition Intensity]]&lt;=5,"Moderate",
 "Highly Competitive"))</f>
        <v>Highly Concentrated</v>
      </c>
      <c r="AZ46" s="8">
        <f>HS_DB[[#This Row],[Total Market Size - USD]]
*
(1+IFERROR(#REF!,0))
/
HS_DB[[#This Row],[Competition Intensity]]</f>
        <v>8974067</v>
      </c>
      <c r="BA46" s="8" t="str">
        <f>IF(HS_DB[[#This Row],[Commercial Opportunity Score]]&gt;=PERCENTILE(HS_DB[Commercial Opportunity Score],0.9),"High Opportunity",
 IF(HS_DB[[#This Row],[Commercial Opportunity Score]]&gt;=PERCENTILE(HS_DB[Commercial Opportunity Score],0.6),"Medium Opportunity",
 "Routine Market"))</f>
        <v>Routine Market</v>
      </c>
      <c r="BB46" s="3" t="str">
        <f>IF(AND(HS_DB[[#This Row],[Product Rank]]&gt;0,HS_DB[[#This Row],[Product Rank]]&lt;=10),"Yes","No")</f>
        <v>No</v>
      </c>
      <c r="BC46" s="3" t="str">
        <f>IF(AND(HS_DB[[#This Row],[Origin Rank]]&gt;0,HS_DB[[#This Row],[Origin Rank]]&lt;=10),"Yes","No")</f>
        <v>No</v>
      </c>
    </row>
    <row r="47" spans="2:55" x14ac:dyDescent="0.3">
      <c r="B47" s="2">
        <f>HS_DB[[#This Row],[Commodity Code]]</f>
        <v>291619</v>
      </c>
      <c r="C47" s="2">
        <f>IFERROR(INDEX(HS_MD!C:C,MATCH(B47,HS_MD!B:B,0),1),"")</f>
        <v>10</v>
      </c>
      <c r="D47" s="17" t="str">
        <f>IFERROR(INDEX(HS_MD!D:D,MATCH(B47,HS_MD!B:B,0),1),"")</f>
        <v>Unsaturated acyclic acids</v>
      </c>
      <c r="E47" s="17" t="str">
        <f>IFERROR(INDEX(HS_MD!E:E,MATCH(B47,HS_MD!B:B,0),1),"")</f>
        <v>Potassium Sorbate</v>
      </c>
      <c r="F47" s="17" t="str">
        <f>IFERROR(INDEX(HS_MD!F:F,MATCH(B47,HS_MD!B:B,0),1),"")</f>
        <v>PRESERVATIVES</v>
      </c>
      <c r="G47" s="17" t="str">
        <f>IFERROR(INDEX(HS_MD!G:G,MATCH(B47,HS_MD!B:B,0),1),"")</f>
        <v>Organic Preservatives</v>
      </c>
      <c r="H47" s="17" t="str">
        <f>IFERROR(INDEX(HS_MD!H:H,MATCH(B47,HS_MD!B:B,0),1),"")</f>
        <v>Potassium Sorbate</v>
      </c>
      <c r="I47" s="17" t="str">
        <f>IFERROR(INDEX(HS_MD!I:I,MATCH(B47,HS_MD!B:B,0),1),"")</f>
        <v>Sauces / Bakery / Dairy</v>
      </c>
      <c r="J47" s="17">
        <f>IFERROR(INDEX(Heat_Map[Index],MATCH(HS_DB[[#This Row],[Reporter]],Heat_Map[Global],0),1),"")</f>
        <v>156</v>
      </c>
      <c r="K47" s="17" t="str">
        <f>IF(AND(HS_DB[[#This Row],[Origin Rank]]&gt;1,HS_DB[[#This Row],[Origin Rank]]&lt;=10),"Yes","No")</f>
        <v>Yes</v>
      </c>
      <c r="L47" s="2">
        <v>2024</v>
      </c>
      <c r="M47" s="2" t="s">
        <v>57</v>
      </c>
      <c r="N47" s="2" t="s">
        <v>29</v>
      </c>
      <c r="O47" s="2" t="s">
        <v>22</v>
      </c>
      <c r="P47" s="2" t="s">
        <v>23</v>
      </c>
      <c r="Q47" s="2" t="s">
        <v>24</v>
      </c>
      <c r="R47" s="2" t="s">
        <v>25</v>
      </c>
      <c r="S47" s="2">
        <v>291619</v>
      </c>
      <c r="T47" s="3">
        <v>8051</v>
      </c>
      <c r="U47" s="3">
        <v>6504</v>
      </c>
      <c r="V47" s="3">
        <v>0</v>
      </c>
      <c r="W47" s="3">
        <v>6504</v>
      </c>
      <c r="X47" s="3" t="s">
        <v>58</v>
      </c>
      <c r="Y47" s="3">
        <v>6504</v>
      </c>
      <c r="Z47" s="2" t="s">
        <v>58</v>
      </c>
      <c r="AA47" s="6">
        <f>SUMIFS(HS_DB[Trade Value - USD],HS_DB[Reporter],HS_DB[[#This Row],[Reporter]])/SUM(HS_DB[Trade Value - USD])</f>
        <v>1.3832724193842358E-4</v>
      </c>
      <c r="AB47" s="8" cm="1">
        <f t="array" ref="AB47">SUMPRODUCT(
(HS_DB[Reporter]=HS_DB[[#This Row],[Reporter]])*
(HS_DB[Trade Value - USD]&gt;HS_DB[[#This Row],[Trade Value - USD]])
)+1</f>
        <v>4</v>
      </c>
      <c r="AC47" s="8" t="str">
        <f>IFERROR(IF(INDEX(Heat_Map[Crisis Impact %],MATCH(HS_DB[[#This Row],[Reporter]],Heat_Map[Global],0),1)&gt;0,"Yes","No"),"No")</f>
        <v>No</v>
      </c>
      <c r="AD47" s="6">
        <f>IFERROR(INDEX(Heat_Map[Crisis Impact %],MATCH(HS_DB[[#This Row],[Reporter]],Heat_Map[Global],0),1),0)</f>
        <v>0</v>
      </c>
      <c r="AE47" s="8">
        <f>HS_DB[[#This Row],[Crisis Impact%]]*HS_DB[[#This Row],[Trade Value - USD]]</f>
        <v>0</v>
      </c>
      <c r="AF47" s="8">
        <f>HS_DB[[#This Row],[Crisis Impact%]]*HS_DB[[#This Row],[Net Weight -KG]]</f>
        <v>0</v>
      </c>
      <c r="AG47" s="6">
        <f>SUMIFS(HS_DB[Trade Value - USD],HS_DB[Products],HS_DB[[#This Row],[Products]])/SUM(HS_DB[Trade Value - USD])</f>
        <v>4.7607572716976661E-3</v>
      </c>
      <c r="AH47" s="8">
        <f>_xlfn.RANK.EQ(HS_DB[[#This Row],[Trade Value - USD]], HS_DB[Trade Value - USD], 0)
 + COUNTIFS(HS_DB[Trade Value - USD],HS_DB[[#This Row],[Trade Value - USD]],
            HS_DB[HS Code],"&lt;"&amp;HS_DB[[#This Row],[HS Code]])</f>
        <v>421</v>
      </c>
      <c r="AI47" s="9">
        <f>IFERROR(HS_DB[[#This Row],[Trade Value - USD]]/HS_DB[[#This Row],[Net Weight -KG]],0)</f>
        <v>1.2378536285362853</v>
      </c>
      <c r="AJ47" s="17" cm="1">
        <f t="array" ref="AJ47">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7" s="17" t="str">
        <f>IF(HS_DB[[#This Row],[HS Code Risk Score]]&gt;=40,"High",
 IF(HS_DB[[#This Row],[HS Code Risk Score]]&gt;=25,"Medium","Low"))</f>
        <v>Medium</v>
      </c>
      <c r="AL47" s="17" t="str">
        <f>IF(RANK(HS_DB[[#This Row],[HS Code Risk Score]],HS_DB[HS Code Risk Score])&lt;=10,"Yes","No")</f>
        <v>No</v>
      </c>
      <c r="AM47" s="8">
        <f>SUMIFS(HS_DB[Net Weight -KG],HS_DB[HS Code],HS_DB[[#This Row],[HS Code]])</f>
        <v>2033373.9000000001</v>
      </c>
      <c r="AN47" s="8">
        <f>SUMIFS(HS_DB[Trade Value - USD],HS_DB[HS Code],HS_DB[[#This Row],[HS Code]])</f>
        <v>8974067</v>
      </c>
      <c r="AO47" s="6">
        <f>_xlfn.MAXIFS(HS_DB[Origin Share%],HS_DB[HS Code],HS_DB[[#This Row],[HS Code]])</f>
        <v>6.321329281187793E-2</v>
      </c>
      <c r="AP47" s="8" cm="1">
        <f t="array" ref="AP47">_xlfn.LET(
_xlpm.hs,HS_DB[[#This Row],[HS Code]],
COUNTA(_xlfn.UNIQUE(_xlfn._xlws.FILTER(HS_DB[Reporter],HS_DB[HS Code]=_xlpm.hs)))
)</f>
        <v>14</v>
      </c>
      <c r="AQ47" s="17" t="str">
        <f>IF(HS_DB[[#This Row],[Origin Count]]=1,"Single Source","Multiple Sources")</f>
        <v>Multiple Sources</v>
      </c>
      <c r="AR47" s="8">
        <f>HS_DB[[#This Row],[Annual Spend - USD]]*(HS_DB[[#This Row],[HS Code Risk Score]]/100)</f>
        <v>3051182.7800000003</v>
      </c>
      <c r="AS47" s="8">
        <f>RANK(HS_DB[[#This Row],[Risk Exposure - USD]],HS_DB[Risk Exposure - USD],0)</f>
        <v>315</v>
      </c>
      <c r="AT47" s="8" t="str">
        <f>IF(HS_DB[[#This Row],[Risk Exposure Rank]]&lt;=10,"High",
 IF(HS_DB[[#This Row],[Risk Exposure Rank]]&lt;=30,"Medium",
 "Low"))</f>
        <v>Low</v>
      </c>
      <c r="AU47" s="8" t="str">
        <f>IF(HS_DB[[#This Row],[Risk Exposure Rank]]&lt;=5,"Immediate Action",
 IF(HS_DB[[#This Row],[Risk Exposure Rank]]&lt;=15,"Monitor Closely",
 "Routine Control"))</f>
        <v>Routine Control</v>
      </c>
      <c r="AV47" s="8">
        <f>SUMIFS(HS_DB[Trade Value - USD],HS_DB[HS Code],HS_DB[[#This Row],[HS Code]])</f>
        <v>8974067</v>
      </c>
      <c r="AW47" s="6">
        <f>HS_DB[[#This Row],[Annual Spend - USD]]/HS_DB[[#This Row],[Total Market Size - USD]]</f>
        <v>1</v>
      </c>
      <c r="AX47" s="6" cm="1">
        <f t="array" ref="AX47">COUNTA(_xlfn.UNIQUE(_xlfn._xlws.FILTER(HS_DB[Partner],HS_DB[HS Code]=HS_DB[[#This Row],[HS Code]])))</f>
        <v>1</v>
      </c>
      <c r="AY47" s="8" t="str">
        <f>IF(HS_DB[[#This Row],[Competition Intensity]]&lt;=2,"Highly Concentrated",
 IF(HS_DB[[#This Row],[Competition Intensity]]&lt;=5,"Moderate",
 "Highly Competitive"))</f>
        <v>Highly Concentrated</v>
      </c>
      <c r="AZ47" s="8">
        <f>HS_DB[[#This Row],[Total Market Size - USD]]
*
(1+IFERROR(#REF!,0))
/
HS_DB[[#This Row],[Competition Intensity]]</f>
        <v>8974067</v>
      </c>
      <c r="BA47" s="8" t="str">
        <f>IF(HS_DB[[#This Row],[Commercial Opportunity Score]]&gt;=PERCENTILE(HS_DB[Commercial Opportunity Score],0.9),"High Opportunity",
 IF(HS_DB[[#This Row],[Commercial Opportunity Score]]&gt;=PERCENTILE(HS_DB[Commercial Opportunity Score],0.6),"Medium Opportunity",
 "Routine Market"))</f>
        <v>Routine Market</v>
      </c>
      <c r="BB47" s="3" t="str">
        <f>IF(AND(HS_DB[[#This Row],[Product Rank]]&gt;0,HS_DB[[#This Row],[Product Rank]]&lt;=10),"Yes","No")</f>
        <v>No</v>
      </c>
      <c r="BC47" s="3" t="str">
        <f>IF(AND(HS_DB[[#This Row],[Origin Rank]]&gt;0,HS_DB[[#This Row],[Origin Rank]]&lt;=10),"Yes","No")</f>
        <v>Yes</v>
      </c>
    </row>
    <row r="48" spans="2:55" x14ac:dyDescent="0.3">
      <c r="B48" s="2">
        <f>HS_DB[[#This Row],[Commodity Code]]</f>
        <v>291619</v>
      </c>
      <c r="C48" s="2">
        <f>IFERROR(INDEX(HS_MD!C:C,MATCH(B48,HS_MD!B:B,0),1),"")</f>
        <v>10</v>
      </c>
      <c r="D48" s="17" t="str">
        <f>IFERROR(INDEX(HS_MD!D:D,MATCH(B48,HS_MD!B:B,0),1),"")</f>
        <v>Unsaturated acyclic acids</v>
      </c>
      <c r="E48" s="17" t="str">
        <f>IFERROR(INDEX(HS_MD!E:E,MATCH(B48,HS_MD!B:B,0),1),"")</f>
        <v>Potassium Sorbate</v>
      </c>
      <c r="F48" s="17" t="str">
        <f>IFERROR(INDEX(HS_MD!F:F,MATCH(B48,HS_MD!B:B,0),1),"")</f>
        <v>PRESERVATIVES</v>
      </c>
      <c r="G48" s="17" t="str">
        <f>IFERROR(INDEX(HS_MD!G:G,MATCH(B48,HS_MD!B:B,0),1),"")</f>
        <v>Organic Preservatives</v>
      </c>
      <c r="H48" s="17" t="str">
        <f>IFERROR(INDEX(HS_MD!H:H,MATCH(B48,HS_MD!B:B,0),1),"")</f>
        <v>Potassium Sorbate</v>
      </c>
      <c r="I48" s="17" t="str">
        <f>IFERROR(INDEX(HS_MD!I:I,MATCH(B48,HS_MD!B:B,0),1),"")</f>
        <v>Sauces / Bakery / Dairy</v>
      </c>
      <c r="J48" s="17">
        <f>IFERROR(INDEX(Heat_Map[Index],MATCH(HS_DB[[#This Row],[Reporter]],Heat_Map[Global],0),1),"")</f>
        <v>159</v>
      </c>
      <c r="K48" s="17" t="str">
        <f>IF(AND(HS_DB[[#This Row],[Origin Rank]]&gt;1,HS_DB[[#This Row],[Origin Rank]]&lt;=10),"Yes","No")</f>
        <v>No</v>
      </c>
      <c r="L48" s="2">
        <v>2024</v>
      </c>
      <c r="M48" s="2" t="s">
        <v>57</v>
      </c>
      <c r="N48" s="2" t="s">
        <v>30</v>
      </c>
      <c r="O48" s="2" t="s">
        <v>22</v>
      </c>
      <c r="P48" s="2" t="s">
        <v>23</v>
      </c>
      <c r="Q48" s="2" t="s">
        <v>24</v>
      </c>
      <c r="R48" s="2" t="s">
        <v>25</v>
      </c>
      <c r="S48" s="2">
        <v>291619</v>
      </c>
      <c r="T48" s="3">
        <v>11516</v>
      </c>
      <c r="U48" s="3">
        <v>88</v>
      </c>
      <c r="V48" s="3">
        <v>0</v>
      </c>
      <c r="W48" s="3">
        <v>88</v>
      </c>
      <c r="X48" s="3" t="s">
        <v>58</v>
      </c>
      <c r="Y48" s="3">
        <v>88</v>
      </c>
      <c r="Z48" s="2" t="s">
        <v>58</v>
      </c>
      <c r="AA48" s="6">
        <f>SUMIFS(HS_DB[Trade Value - USD],HS_DB[Reporter],HS_DB[[#This Row],[Reporter]])/SUM(HS_DB[Trade Value - USD])</f>
        <v>6.110186869383482E-3</v>
      </c>
      <c r="AB48" s="8" cm="1">
        <f t="array" ref="AB48">SUMPRODUCT(
(HS_DB[Reporter]=HS_DB[[#This Row],[Reporter]])*
(HS_DB[Trade Value - USD]&gt;HS_DB[[#This Row],[Trade Value - USD]])
)+1</f>
        <v>19</v>
      </c>
      <c r="AC48" s="8" t="str">
        <f>IFERROR(IF(INDEX(Heat_Map[Crisis Impact %],MATCH(HS_DB[[#This Row],[Reporter]],Heat_Map[Global],0),1)&gt;0,"Yes","No"),"No")</f>
        <v>No</v>
      </c>
      <c r="AD48" s="6">
        <f>IFERROR(INDEX(Heat_Map[Crisis Impact %],MATCH(HS_DB[[#This Row],[Reporter]],Heat_Map[Global],0),1),0)</f>
        <v>0</v>
      </c>
      <c r="AE48" s="8">
        <f>HS_DB[[#This Row],[Crisis Impact%]]*HS_DB[[#This Row],[Trade Value - USD]]</f>
        <v>0</v>
      </c>
      <c r="AF48" s="8">
        <f>HS_DB[[#This Row],[Crisis Impact%]]*HS_DB[[#This Row],[Net Weight -KG]]</f>
        <v>0</v>
      </c>
      <c r="AG48" s="6">
        <f>SUMIFS(HS_DB[Trade Value - USD],HS_DB[Products],HS_DB[[#This Row],[Products]])/SUM(HS_DB[Trade Value - USD])</f>
        <v>4.7607572716976661E-3</v>
      </c>
      <c r="AH48" s="8">
        <f>_xlfn.RANK.EQ(HS_DB[[#This Row],[Trade Value - USD]], HS_DB[Trade Value - USD], 0)
 + COUNTIFS(HS_DB[Trade Value - USD],HS_DB[[#This Row],[Trade Value - USD]],
            HS_DB[HS Code],"&lt;"&amp;HS_DB[[#This Row],[HS Code]])</f>
        <v>406</v>
      </c>
      <c r="AI48" s="9">
        <f>IFERROR(HS_DB[[#This Row],[Trade Value - USD]]/HS_DB[[#This Row],[Net Weight -KG]],0)</f>
        <v>130.86363636363637</v>
      </c>
      <c r="AJ48" s="17" cm="1">
        <f t="array" ref="AJ48">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8" s="17" t="str">
        <f>IF(HS_DB[[#This Row],[HS Code Risk Score]]&gt;=40,"High",
 IF(HS_DB[[#This Row],[HS Code Risk Score]]&gt;=25,"Medium","Low"))</f>
        <v>Medium</v>
      </c>
      <c r="AL48" s="17" t="str">
        <f>IF(RANK(HS_DB[[#This Row],[HS Code Risk Score]],HS_DB[HS Code Risk Score])&lt;=10,"Yes","No")</f>
        <v>No</v>
      </c>
      <c r="AM48" s="8">
        <f>SUMIFS(HS_DB[Net Weight -KG],HS_DB[HS Code],HS_DB[[#This Row],[HS Code]])</f>
        <v>2033373.9000000001</v>
      </c>
      <c r="AN48" s="8">
        <f>SUMIFS(HS_DB[Trade Value - USD],HS_DB[HS Code],HS_DB[[#This Row],[HS Code]])</f>
        <v>8974067</v>
      </c>
      <c r="AO48" s="6">
        <f>_xlfn.MAXIFS(HS_DB[Origin Share%],HS_DB[HS Code],HS_DB[[#This Row],[HS Code]])</f>
        <v>6.321329281187793E-2</v>
      </c>
      <c r="AP48" s="8" cm="1">
        <f t="array" ref="AP48">_xlfn.LET(
_xlpm.hs,HS_DB[[#This Row],[HS Code]],
COUNTA(_xlfn.UNIQUE(_xlfn._xlws.FILTER(HS_DB[Reporter],HS_DB[HS Code]=_xlpm.hs)))
)</f>
        <v>14</v>
      </c>
      <c r="AQ48" s="17" t="str">
        <f>IF(HS_DB[[#This Row],[Origin Count]]=1,"Single Source","Multiple Sources")</f>
        <v>Multiple Sources</v>
      </c>
      <c r="AR48" s="8">
        <f>HS_DB[[#This Row],[Annual Spend - USD]]*(HS_DB[[#This Row],[HS Code Risk Score]]/100)</f>
        <v>3051182.7800000003</v>
      </c>
      <c r="AS48" s="8">
        <f>RANK(HS_DB[[#This Row],[Risk Exposure - USD]],HS_DB[Risk Exposure - USD],0)</f>
        <v>315</v>
      </c>
      <c r="AT48" s="8" t="str">
        <f>IF(HS_DB[[#This Row],[Risk Exposure Rank]]&lt;=10,"High",
 IF(HS_DB[[#This Row],[Risk Exposure Rank]]&lt;=30,"Medium",
 "Low"))</f>
        <v>Low</v>
      </c>
      <c r="AU48" s="8" t="str">
        <f>IF(HS_DB[[#This Row],[Risk Exposure Rank]]&lt;=5,"Immediate Action",
 IF(HS_DB[[#This Row],[Risk Exposure Rank]]&lt;=15,"Monitor Closely",
 "Routine Control"))</f>
        <v>Routine Control</v>
      </c>
      <c r="AV48" s="8">
        <f>SUMIFS(HS_DB[Trade Value - USD],HS_DB[HS Code],HS_DB[[#This Row],[HS Code]])</f>
        <v>8974067</v>
      </c>
      <c r="AW48" s="6">
        <f>HS_DB[[#This Row],[Annual Spend - USD]]/HS_DB[[#This Row],[Total Market Size - USD]]</f>
        <v>1</v>
      </c>
      <c r="AX48" s="6" cm="1">
        <f t="array" ref="AX48">COUNTA(_xlfn.UNIQUE(_xlfn._xlws.FILTER(HS_DB[Partner],HS_DB[HS Code]=HS_DB[[#This Row],[HS Code]])))</f>
        <v>1</v>
      </c>
      <c r="AY48" s="8" t="str">
        <f>IF(HS_DB[[#This Row],[Competition Intensity]]&lt;=2,"Highly Concentrated",
 IF(HS_DB[[#This Row],[Competition Intensity]]&lt;=5,"Moderate",
 "Highly Competitive"))</f>
        <v>Highly Concentrated</v>
      </c>
      <c r="AZ48" s="8">
        <f>HS_DB[[#This Row],[Total Market Size - USD]]
*
(1+IFERROR(#REF!,0))
/
HS_DB[[#This Row],[Competition Intensity]]</f>
        <v>8974067</v>
      </c>
      <c r="BA48" s="8" t="str">
        <f>IF(HS_DB[[#This Row],[Commercial Opportunity Score]]&gt;=PERCENTILE(HS_DB[Commercial Opportunity Score],0.9),"High Opportunity",
 IF(HS_DB[[#This Row],[Commercial Opportunity Score]]&gt;=PERCENTILE(HS_DB[Commercial Opportunity Score],0.6),"Medium Opportunity",
 "Routine Market"))</f>
        <v>Routine Market</v>
      </c>
      <c r="BB48" s="3" t="str">
        <f>IF(AND(HS_DB[[#This Row],[Product Rank]]&gt;0,HS_DB[[#This Row],[Product Rank]]&lt;=10),"Yes","No")</f>
        <v>No</v>
      </c>
      <c r="BC48" s="3" t="str">
        <f>IF(AND(HS_DB[[#This Row],[Origin Rank]]&gt;0,HS_DB[[#This Row],[Origin Rank]]&lt;=10),"Yes","No")</f>
        <v>No</v>
      </c>
    </row>
    <row r="49" spans="2:55" x14ac:dyDescent="0.3">
      <c r="B49" s="2">
        <f>HS_DB[[#This Row],[Commodity Code]]</f>
        <v>291619</v>
      </c>
      <c r="C49" s="2">
        <f>IFERROR(INDEX(HS_MD!C:C,MATCH(B49,HS_MD!B:B,0),1),"")</f>
        <v>10</v>
      </c>
      <c r="D49" s="17" t="str">
        <f>IFERROR(INDEX(HS_MD!D:D,MATCH(B49,HS_MD!B:B,0),1),"")</f>
        <v>Unsaturated acyclic acids</v>
      </c>
      <c r="E49" s="17" t="str">
        <f>IFERROR(INDEX(HS_MD!E:E,MATCH(B49,HS_MD!B:B,0),1),"")</f>
        <v>Potassium Sorbate</v>
      </c>
      <c r="F49" s="17" t="str">
        <f>IFERROR(INDEX(HS_MD!F:F,MATCH(B49,HS_MD!B:B,0),1),"")</f>
        <v>PRESERVATIVES</v>
      </c>
      <c r="G49" s="17" t="str">
        <f>IFERROR(INDEX(HS_MD!G:G,MATCH(B49,HS_MD!B:B,0),1),"")</f>
        <v>Organic Preservatives</v>
      </c>
      <c r="H49" s="17" t="str">
        <f>IFERROR(INDEX(HS_MD!H:H,MATCH(B49,HS_MD!B:B,0),1),"")</f>
        <v>Potassium Sorbate</v>
      </c>
      <c r="I49" s="17" t="str">
        <f>IFERROR(INDEX(HS_MD!I:I,MATCH(B49,HS_MD!B:B,0),1),"")</f>
        <v>Sauces / Bakery / Dairy</v>
      </c>
      <c r="J49" s="17">
        <f>IFERROR(INDEX(Heat_Map[Index],MATCH(HS_DB[[#This Row],[Reporter]],Heat_Map[Global],0),1),"")</f>
        <v>164</v>
      </c>
      <c r="K49" s="17" t="str">
        <f>IF(AND(HS_DB[[#This Row],[Origin Rank]]&gt;1,HS_DB[[#This Row],[Origin Rank]]&lt;=10),"Yes","No")</f>
        <v>Yes</v>
      </c>
      <c r="L49" s="2">
        <v>2024</v>
      </c>
      <c r="M49" s="2" t="s">
        <v>57</v>
      </c>
      <c r="N49" s="2" t="s">
        <v>32</v>
      </c>
      <c r="O49" s="2" t="s">
        <v>22</v>
      </c>
      <c r="P49" s="2" t="s">
        <v>23</v>
      </c>
      <c r="Q49" s="2" t="s">
        <v>24</v>
      </c>
      <c r="R49" s="2" t="s">
        <v>25</v>
      </c>
      <c r="S49" s="2">
        <v>291619</v>
      </c>
      <c r="T49" s="3">
        <v>1577</v>
      </c>
      <c r="U49" s="3">
        <v>10</v>
      </c>
      <c r="V49" s="3">
        <v>0</v>
      </c>
      <c r="W49" s="3">
        <v>10</v>
      </c>
      <c r="X49" s="3" t="s">
        <v>58</v>
      </c>
      <c r="Y49" s="3">
        <v>10</v>
      </c>
      <c r="Z49" s="2" t="s">
        <v>58</v>
      </c>
      <c r="AA49" s="6">
        <f>SUMIFS(HS_DB[Trade Value - USD],HS_DB[Reporter],HS_DB[[#This Row],[Reporter]])/SUM(HS_DB[Trade Value - USD])</f>
        <v>1.1630298885271862E-3</v>
      </c>
      <c r="AB49" s="8" cm="1">
        <f t="array" ref="AB49">SUMPRODUCT(
(HS_DB[Reporter]=HS_DB[[#This Row],[Reporter]])*
(HS_DB[Trade Value - USD]&gt;HS_DB[[#This Row],[Trade Value - USD]])
)+1</f>
        <v>8</v>
      </c>
      <c r="AC49" s="8" t="str">
        <f>IFERROR(IF(INDEX(Heat_Map[Crisis Impact %],MATCH(HS_DB[[#This Row],[Reporter]],Heat_Map[Global],0),1)&gt;0,"Yes","No"),"No")</f>
        <v>No</v>
      </c>
      <c r="AD49" s="6">
        <f>IFERROR(INDEX(Heat_Map[Crisis Impact %],MATCH(HS_DB[[#This Row],[Reporter]],Heat_Map[Global],0),1),0)</f>
        <v>0</v>
      </c>
      <c r="AE49" s="8">
        <f>HS_DB[[#This Row],[Crisis Impact%]]*HS_DB[[#This Row],[Trade Value - USD]]</f>
        <v>0</v>
      </c>
      <c r="AF49" s="8">
        <f>HS_DB[[#This Row],[Crisis Impact%]]*HS_DB[[#This Row],[Net Weight -KG]]</f>
        <v>0</v>
      </c>
      <c r="AG49" s="6">
        <f>SUMIFS(HS_DB[Trade Value - USD],HS_DB[Products],HS_DB[[#This Row],[Products]])/SUM(HS_DB[Trade Value - USD])</f>
        <v>4.7607572716976661E-3</v>
      </c>
      <c r="AH49" s="8">
        <f>_xlfn.RANK.EQ(HS_DB[[#This Row],[Trade Value - USD]], HS_DB[Trade Value - USD], 0)
 + COUNTIFS(HS_DB[Trade Value - USD],HS_DB[[#This Row],[Trade Value - USD]],
            HS_DB[HS Code],"&lt;"&amp;HS_DB[[#This Row],[HS Code]])</f>
        <v>474</v>
      </c>
      <c r="AI49" s="9">
        <f>IFERROR(HS_DB[[#This Row],[Trade Value - USD]]/HS_DB[[#This Row],[Net Weight -KG]],0)</f>
        <v>157.69999999999999</v>
      </c>
      <c r="AJ49" s="17" cm="1">
        <f t="array" ref="AJ49">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9" s="17" t="str">
        <f>IF(HS_DB[[#This Row],[HS Code Risk Score]]&gt;=40,"High",
 IF(HS_DB[[#This Row],[HS Code Risk Score]]&gt;=25,"Medium","Low"))</f>
        <v>Medium</v>
      </c>
      <c r="AL49" s="17" t="str">
        <f>IF(RANK(HS_DB[[#This Row],[HS Code Risk Score]],HS_DB[HS Code Risk Score])&lt;=10,"Yes","No")</f>
        <v>No</v>
      </c>
      <c r="AM49" s="8">
        <f>SUMIFS(HS_DB[Net Weight -KG],HS_DB[HS Code],HS_DB[[#This Row],[HS Code]])</f>
        <v>2033373.9000000001</v>
      </c>
      <c r="AN49" s="8">
        <f>SUMIFS(HS_DB[Trade Value - USD],HS_DB[HS Code],HS_DB[[#This Row],[HS Code]])</f>
        <v>8974067</v>
      </c>
      <c r="AO49" s="6">
        <f>_xlfn.MAXIFS(HS_DB[Origin Share%],HS_DB[HS Code],HS_DB[[#This Row],[HS Code]])</f>
        <v>6.321329281187793E-2</v>
      </c>
      <c r="AP49" s="8" cm="1">
        <f t="array" ref="AP49">_xlfn.LET(
_xlpm.hs,HS_DB[[#This Row],[HS Code]],
COUNTA(_xlfn.UNIQUE(_xlfn._xlws.FILTER(HS_DB[Reporter],HS_DB[HS Code]=_xlpm.hs)))
)</f>
        <v>14</v>
      </c>
      <c r="AQ49" s="17" t="str">
        <f>IF(HS_DB[[#This Row],[Origin Count]]=1,"Single Source","Multiple Sources")</f>
        <v>Multiple Sources</v>
      </c>
      <c r="AR49" s="8">
        <f>HS_DB[[#This Row],[Annual Spend - USD]]*(HS_DB[[#This Row],[HS Code Risk Score]]/100)</f>
        <v>3051182.7800000003</v>
      </c>
      <c r="AS49" s="8">
        <f>RANK(HS_DB[[#This Row],[Risk Exposure - USD]],HS_DB[Risk Exposure - USD],0)</f>
        <v>315</v>
      </c>
      <c r="AT49" s="8" t="str">
        <f>IF(HS_DB[[#This Row],[Risk Exposure Rank]]&lt;=10,"High",
 IF(HS_DB[[#This Row],[Risk Exposure Rank]]&lt;=30,"Medium",
 "Low"))</f>
        <v>Low</v>
      </c>
      <c r="AU49" s="8" t="str">
        <f>IF(HS_DB[[#This Row],[Risk Exposure Rank]]&lt;=5,"Immediate Action",
 IF(HS_DB[[#This Row],[Risk Exposure Rank]]&lt;=15,"Monitor Closely",
 "Routine Control"))</f>
        <v>Routine Control</v>
      </c>
      <c r="AV49" s="8">
        <f>SUMIFS(HS_DB[Trade Value - USD],HS_DB[HS Code],HS_DB[[#This Row],[HS Code]])</f>
        <v>8974067</v>
      </c>
      <c r="AW49" s="6">
        <f>HS_DB[[#This Row],[Annual Spend - USD]]/HS_DB[[#This Row],[Total Market Size - USD]]</f>
        <v>1</v>
      </c>
      <c r="AX49" s="6" cm="1">
        <f t="array" ref="AX49">COUNTA(_xlfn.UNIQUE(_xlfn._xlws.FILTER(HS_DB[Partner],HS_DB[HS Code]=HS_DB[[#This Row],[HS Code]])))</f>
        <v>1</v>
      </c>
      <c r="AY49" s="8" t="str">
        <f>IF(HS_DB[[#This Row],[Competition Intensity]]&lt;=2,"Highly Concentrated",
 IF(HS_DB[[#This Row],[Competition Intensity]]&lt;=5,"Moderate",
 "Highly Competitive"))</f>
        <v>Highly Concentrated</v>
      </c>
      <c r="AZ49" s="8">
        <f>HS_DB[[#This Row],[Total Market Size - USD]]
*
(1+IFERROR(#REF!,0))
/
HS_DB[[#This Row],[Competition Intensity]]</f>
        <v>8974067</v>
      </c>
      <c r="BA49" s="8" t="str">
        <f>IF(HS_DB[[#This Row],[Commercial Opportunity Score]]&gt;=PERCENTILE(HS_DB[Commercial Opportunity Score],0.9),"High Opportunity",
 IF(HS_DB[[#This Row],[Commercial Opportunity Score]]&gt;=PERCENTILE(HS_DB[Commercial Opportunity Score],0.6),"Medium Opportunity",
 "Routine Market"))</f>
        <v>Routine Market</v>
      </c>
      <c r="BB49" s="3" t="str">
        <f>IF(AND(HS_DB[[#This Row],[Product Rank]]&gt;0,HS_DB[[#This Row],[Product Rank]]&lt;=10),"Yes","No")</f>
        <v>No</v>
      </c>
      <c r="BC49" s="3" t="str">
        <f>IF(AND(HS_DB[[#This Row],[Origin Rank]]&gt;0,HS_DB[[#This Row],[Origin Rank]]&lt;=10),"Yes","No")</f>
        <v>Yes</v>
      </c>
    </row>
    <row r="50" spans="2:55" x14ac:dyDescent="0.3">
      <c r="B50" s="2">
        <f>HS_DB[[#This Row],[Commodity Code]]</f>
        <v>291619</v>
      </c>
      <c r="C50" s="2">
        <f>IFERROR(INDEX(HS_MD!C:C,MATCH(B50,HS_MD!B:B,0),1),"")</f>
        <v>10</v>
      </c>
      <c r="D50" s="17" t="str">
        <f>IFERROR(INDEX(HS_MD!D:D,MATCH(B50,HS_MD!B:B,0),1),"")</f>
        <v>Unsaturated acyclic acids</v>
      </c>
      <c r="E50" s="17" t="str">
        <f>IFERROR(INDEX(HS_MD!E:E,MATCH(B50,HS_MD!B:B,0),1),"")</f>
        <v>Potassium Sorbate</v>
      </c>
      <c r="F50" s="17" t="str">
        <f>IFERROR(INDEX(HS_MD!F:F,MATCH(B50,HS_MD!B:B,0),1),"")</f>
        <v>PRESERVATIVES</v>
      </c>
      <c r="G50" s="17" t="str">
        <f>IFERROR(INDEX(HS_MD!G:G,MATCH(B50,HS_MD!B:B,0),1),"")</f>
        <v>Organic Preservatives</v>
      </c>
      <c r="H50" s="17" t="str">
        <f>IFERROR(INDEX(HS_MD!H:H,MATCH(B50,HS_MD!B:B,0),1),"")</f>
        <v>Potassium Sorbate</v>
      </c>
      <c r="I50" s="17" t="str">
        <f>IFERROR(INDEX(HS_MD!I:I,MATCH(B50,HS_MD!B:B,0),1),"")</f>
        <v>Sauces / Bakery / Dairy</v>
      </c>
      <c r="J50" s="17">
        <f>IFERROR(INDEX(Heat_Map[Index],MATCH(HS_DB[[#This Row],[Reporter]],Heat_Map[Global],0),1),"")</f>
        <v>175</v>
      </c>
      <c r="K50" s="17" t="str">
        <f>IF(AND(HS_DB[[#This Row],[Origin Rank]]&gt;1,HS_DB[[#This Row],[Origin Rank]]&lt;=10),"Yes","No")</f>
        <v>No</v>
      </c>
      <c r="L50" s="2">
        <v>2024</v>
      </c>
      <c r="M50" s="2" t="s">
        <v>57</v>
      </c>
      <c r="N50" s="2" t="s">
        <v>34</v>
      </c>
      <c r="O50" s="2" t="s">
        <v>22</v>
      </c>
      <c r="P50" s="2" t="s">
        <v>23</v>
      </c>
      <c r="Q50" s="2" t="s">
        <v>24</v>
      </c>
      <c r="R50" s="2" t="s">
        <v>25</v>
      </c>
      <c r="S50" s="2">
        <v>291619</v>
      </c>
      <c r="T50" s="3">
        <v>105750</v>
      </c>
      <c r="U50" s="3">
        <v>13000</v>
      </c>
      <c r="V50" s="3">
        <v>0</v>
      </c>
      <c r="W50" s="3">
        <v>13000</v>
      </c>
      <c r="X50" s="3" t="s">
        <v>58</v>
      </c>
      <c r="Y50" s="3">
        <v>13000</v>
      </c>
      <c r="Z50" s="2" t="s">
        <v>58</v>
      </c>
      <c r="AA50" s="6">
        <f>SUMIFS(HS_DB[Trade Value - USD],HS_DB[Reporter],HS_DB[[#This Row],[Reporter]])/SUM(HS_DB[Trade Value - USD])</f>
        <v>4.7522902002533667E-2</v>
      </c>
      <c r="AB50" s="8" cm="1">
        <f t="array" ref="AB50">SUMPRODUCT(
(HS_DB[Reporter]=HS_DB[[#This Row],[Reporter]])*
(HS_DB[Trade Value - USD]&gt;HS_DB[[#This Row],[Trade Value - USD]])
)+1</f>
        <v>25</v>
      </c>
      <c r="AC50" s="8" t="str">
        <f>IFERROR(IF(INDEX(Heat_Map[Crisis Impact %],MATCH(HS_DB[[#This Row],[Reporter]],Heat_Map[Global],0),1)&gt;0,"Yes","No"),"No")</f>
        <v>Yes</v>
      </c>
      <c r="AD50" s="6">
        <f>IFERROR(INDEX(Heat_Map[Crisis Impact %],MATCH(HS_DB[[#This Row],[Reporter]],Heat_Map[Global],0),1),0)</f>
        <v>0.1</v>
      </c>
      <c r="AE50" s="8">
        <f>HS_DB[[#This Row],[Crisis Impact%]]*HS_DB[[#This Row],[Trade Value - USD]]</f>
        <v>10575</v>
      </c>
      <c r="AF50" s="8">
        <f>HS_DB[[#This Row],[Crisis Impact%]]*HS_DB[[#This Row],[Net Weight -KG]]</f>
        <v>1300</v>
      </c>
      <c r="AG50" s="6">
        <f>SUMIFS(HS_DB[Trade Value - USD],HS_DB[Products],HS_DB[[#This Row],[Products]])/SUM(HS_DB[Trade Value - USD])</f>
        <v>4.7607572716976661E-3</v>
      </c>
      <c r="AH50" s="8">
        <f>_xlfn.RANK.EQ(HS_DB[[#This Row],[Trade Value - USD]], HS_DB[Trade Value - USD], 0)
 + COUNTIFS(HS_DB[Trade Value - USD],HS_DB[[#This Row],[Trade Value - USD]],
            HS_DB[HS Code],"&lt;"&amp;HS_DB[[#This Row],[HS Code]])</f>
        <v>272</v>
      </c>
      <c r="AI50" s="9">
        <f>IFERROR(HS_DB[[#This Row],[Trade Value - USD]]/HS_DB[[#This Row],[Net Weight -KG]],0)</f>
        <v>8.134615384615385</v>
      </c>
      <c r="AJ50" s="17" cm="1">
        <f t="array" ref="AJ50">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50" s="17" t="str">
        <f>IF(HS_DB[[#This Row],[HS Code Risk Score]]&gt;=40,"High",
 IF(HS_DB[[#This Row],[HS Code Risk Score]]&gt;=25,"Medium","Low"))</f>
        <v>Medium</v>
      </c>
      <c r="AL50" s="17" t="str">
        <f>IF(RANK(HS_DB[[#This Row],[HS Code Risk Score]],HS_DB[HS Code Risk Score])&lt;=10,"Yes","No")</f>
        <v>No</v>
      </c>
      <c r="AM50" s="8">
        <f>SUMIFS(HS_DB[Net Weight -KG],HS_DB[HS Code],HS_DB[[#This Row],[HS Code]])</f>
        <v>2033373.9000000001</v>
      </c>
      <c r="AN50" s="8">
        <f>SUMIFS(HS_DB[Trade Value - USD],HS_DB[HS Code],HS_DB[[#This Row],[HS Code]])</f>
        <v>8974067</v>
      </c>
      <c r="AO50" s="6">
        <f>_xlfn.MAXIFS(HS_DB[Origin Share%],HS_DB[HS Code],HS_DB[[#This Row],[HS Code]])</f>
        <v>6.321329281187793E-2</v>
      </c>
      <c r="AP50" s="8" cm="1">
        <f t="array" ref="AP50">_xlfn.LET(
_xlpm.hs,HS_DB[[#This Row],[HS Code]],
COUNTA(_xlfn.UNIQUE(_xlfn._xlws.FILTER(HS_DB[Reporter],HS_DB[HS Code]=_xlpm.hs)))
)</f>
        <v>14</v>
      </c>
      <c r="AQ50" s="17" t="str">
        <f>IF(HS_DB[[#This Row],[Origin Count]]=1,"Single Source","Multiple Sources")</f>
        <v>Multiple Sources</v>
      </c>
      <c r="AR50" s="8">
        <f>HS_DB[[#This Row],[Annual Spend - USD]]*(HS_DB[[#This Row],[HS Code Risk Score]]/100)</f>
        <v>3051182.7800000003</v>
      </c>
      <c r="AS50" s="8">
        <f>RANK(HS_DB[[#This Row],[Risk Exposure - USD]],HS_DB[Risk Exposure - USD],0)</f>
        <v>315</v>
      </c>
      <c r="AT50" s="8" t="str">
        <f>IF(HS_DB[[#This Row],[Risk Exposure Rank]]&lt;=10,"High",
 IF(HS_DB[[#This Row],[Risk Exposure Rank]]&lt;=30,"Medium",
 "Low"))</f>
        <v>Low</v>
      </c>
      <c r="AU50" s="8" t="str">
        <f>IF(HS_DB[[#This Row],[Risk Exposure Rank]]&lt;=5,"Immediate Action",
 IF(HS_DB[[#This Row],[Risk Exposure Rank]]&lt;=15,"Monitor Closely",
 "Routine Control"))</f>
        <v>Routine Control</v>
      </c>
      <c r="AV50" s="8">
        <f>SUMIFS(HS_DB[Trade Value - USD],HS_DB[HS Code],HS_DB[[#This Row],[HS Code]])</f>
        <v>8974067</v>
      </c>
      <c r="AW50" s="6">
        <f>HS_DB[[#This Row],[Annual Spend - USD]]/HS_DB[[#This Row],[Total Market Size - USD]]</f>
        <v>1</v>
      </c>
      <c r="AX50" s="6" cm="1">
        <f t="array" ref="AX50">COUNTA(_xlfn.UNIQUE(_xlfn._xlws.FILTER(HS_DB[Partner],HS_DB[HS Code]=HS_DB[[#This Row],[HS Code]])))</f>
        <v>1</v>
      </c>
      <c r="AY50" s="8" t="str">
        <f>IF(HS_DB[[#This Row],[Competition Intensity]]&lt;=2,"Highly Concentrated",
 IF(HS_DB[[#This Row],[Competition Intensity]]&lt;=5,"Moderate",
 "Highly Competitive"))</f>
        <v>Highly Concentrated</v>
      </c>
      <c r="AZ50" s="8">
        <f>HS_DB[[#This Row],[Total Market Size - USD]]
*
(1+IFERROR(#REF!,0))
/
HS_DB[[#This Row],[Competition Intensity]]</f>
        <v>8974067</v>
      </c>
      <c r="BA50" s="8" t="str">
        <f>IF(HS_DB[[#This Row],[Commercial Opportunity Score]]&gt;=PERCENTILE(HS_DB[Commercial Opportunity Score],0.9),"High Opportunity",
 IF(HS_DB[[#This Row],[Commercial Opportunity Score]]&gt;=PERCENTILE(HS_DB[Commercial Opportunity Score],0.6),"Medium Opportunity",
 "Routine Market"))</f>
        <v>Routine Market</v>
      </c>
      <c r="BB50" s="3" t="str">
        <f>IF(AND(HS_DB[[#This Row],[Product Rank]]&gt;0,HS_DB[[#This Row],[Product Rank]]&lt;=10),"Yes","No")</f>
        <v>No</v>
      </c>
      <c r="BC50" s="3" t="str">
        <f>IF(AND(HS_DB[[#This Row],[Origin Rank]]&gt;0,HS_DB[[#This Row],[Origin Rank]]&lt;=10),"Yes","No")</f>
        <v>No</v>
      </c>
    </row>
    <row r="51" spans="2:55" x14ac:dyDescent="0.3">
      <c r="B51" s="2">
        <f>HS_DB[[#This Row],[Commodity Code]]</f>
        <v>291619</v>
      </c>
      <c r="C51" s="2">
        <f>IFERROR(INDEX(HS_MD!C:C,MATCH(B51,HS_MD!B:B,0),1),"")</f>
        <v>10</v>
      </c>
      <c r="D51" s="17" t="str">
        <f>IFERROR(INDEX(HS_MD!D:D,MATCH(B51,HS_MD!B:B,0),1),"")</f>
        <v>Unsaturated acyclic acids</v>
      </c>
      <c r="E51" s="17" t="str">
        <f>IFERROR(INDEX(HS_MD!E:E,MATCH(B51,HS_MD!B:B,0),1),"")</f>
        <v>Potassium Sorbate</v>
      </c>
      <c r="F51" s="17" t="str">
        <f>IFERROR(INDEX(HS_MD!F:F,MATCH(B51,HS_MD!B:B,0),1),"")</f>
        <v>PRESERVATIVES</v>
      </c>
      <c r="G51" s="17" t="str">
        <f>IFERROR(INDEX(HS_MD!G:G,MATCH(B51,HS_MD!B:B,0),1),"")</f>
        <v>Organic Preservatives</v>
      </c>
      <c r="H51" s="17" t="str">
        <f>IFERROR(INDEX(HS_MD!H:H,MATCH(B51,HS_MD!B:B,0),1),"")</f>
        <v>Potassium Sorbate</v>
      </c>
      <c r="I51" s="17" t="str">
        <f>IFERROR(INDEX(HS_MD!I:I,MATCH(B51,HS_MD!B:B,0),1),"")</f>
        <v>Sauces / Bakery / Dairy</v>
      </c>
      <c r="J51" s="17">
        <f>IFERROR(INDEX(Heat_Map[Index],MATCH(HS_DB[[#This Row],[Reporter]],Heat_Map[Global],0),1),"")</f>
        <v>181</v>
      </c>
      <c r="K51" s="17" t="str">
        <f>IF(AND(HS_DB[[#This Row],[Origin Rank]]&gt;1,HS_DB[[#This Row],[Origin Rank]]&lt;=10),"Yes","No")</f>
        <v>Yes</v>
      </c>
      <c r="L51" s="2">
        <v>2024</v>
      </c>
      <c r="M51" s="2" t="s">
        <v>57</v>
      </c>
      <c r="N51" s="2" t="s">
        <v>36</v>
      </c>
      <c r="O51" s="2" t="s">
        <v>22</v>
      </c>
      <c r="P51" s="2" t="s">
        <v>23</v>
      </c>
      <c r="Q51" s="2" t="s">
        <v>24</v>
      </c>
      <c r="R51" s="2" t="s">
        <v>25</v>
      </c>
      <c r="S51" s="2">
        <v>291619</v>
      </c>
      <c r="T51" s="3">
        <v>445057</v>
      </c>
      <c r="U51" s="3">
        <v>53765</v>
      </c>
      <c r="V51" s="3">
        <v>0</v>
      </c>
      <c r="W51" s="3">
        <v>53765</v>
      </c>
      <c r="X51" s="3" t="s">
        <v>58</v>
      </c>
      <c r="Y51" s="3">
        <v>53765</v>
      </c>
      <c r="Z51" s="2" t="s">
        <v>58</v>
      </c>
      <c r="AA51" s="6">
        <f>SUMIFS(HS_DB[Trade Value - USD],HS_DB[Reporter],HS_DB[[#This Row],[Reporter]])/SUM(HS_DB[Trade Value - USD])</f>
        <v>1.3104801671892474E-3</v>
      </c>
      <c r="AB51" s="8" cm="1">
        <f t="array" ref="AB51">SUMPRODUCT(
(HS_DB[Reporter]=HS_DB[[#This Row],[Reporter]])*
(HS_DB[Trade Value - USD]&gt;HS_DB[[#This Row],[Trade Value - USD]])
)+1</f>
        <v>3</v>
      </c>
      <c r="AC51" s="8" t="str">
        <f>IFERROR(IF(INDEX(Heat_Map[Crisis Impact %],MATCH(HS_DB[[#This Row],[Reporter]],Heat_Map[Global],0),1)&gt;0,"Yes","No"),"No")</f>
        <v>No</v>
      </c>
      <c r="AD51" s="6">
        <f>IFERROR(INDEX(Heat_Map[Crisis Impact %],MATCH(HS_DB[[#This Row],[Reporter]],Heat_Map[Global],0),1),0)</f>
        <v>0</v>
      </c>
      <c r="AE51" s="8">
        <f>HS_DB[[#This Row],[Crisis Impact%]]*HS_DB[[#This Row],[Trade Value - USD]]</f>
        <v>0</v>
      </c>
      <c r="AF51" s="8">
        <f>HS_DB[[#This Row],[Crisis Impact%]]*HS_DB[[#This Row],[Net Weight -KG]]</f>
        <v>0</v>
      </c>
      <c r="AG51" s="6">
        <f>SUMIFS(HS_DB[Trade Value - USD],HS_DB[Products],HS_DB[[#This Row],[Products]])/SUM(HS_DB[Trade Value - USD])</f>
        <v>4.7607572716976661E-3</v>
      </c>
      <c r="AH51" s="8">
        <f>_xlfn.RANK.EQ(HS_DB[[#This Row],[Trade Value - USD]], HS_DB[Trade Value - USD], 0)
 + COUNTIFS(HS_DB[Trade Value - USD],HS_DB[[#This Row],[Trade Value - USD]],
            HS_DB[HS Code],"&lt;"&amp;HS_DB[[#This Row],[HS Code]])</f>
        <v>155</v>
      </c>
      <c r="AI51" s="9">
        <f>IFERROR(HS_DB[[#This Row],[Trade Value - USD]]/HS_DB[[#This Row],[Net Weight -KG]],0)</f>
        <v>8.2778201432158465</v>
      </c>
      <c r="AJ51" s="17" cm="1">
        <f t="array" ref="AJ51">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51" s="17" t="str">
        <f>IF(HS_DB[[#This Row],[HS Code Risk Score]]&gt;=40,"High",
 IF(HS_DB[[#This Row],[HS Code Risk Score]]&gt;=25,"Medium","Low"))</f>
        <v>Medium</v>
      </c>
      <c r="AL51" s="17" t="str">
        <f>IF(RANK(HS_DB[[#This Row],[HS Code Risk Score]],HS_DB[HS Code Risk Score])&lt;=10,"Yes","No")</f>
        <v>No</v>
      </c>
      <c r="AM51" s="8">
        <f>SUMIFS(HS_DB[Net Weight -KG],HS_DB[HS Code],HS_DB[[#This Row],[HS Code]])</f>
        <v>2033373.9000000001</v>
      </c>
      <c r="AN51" s="8">
        <f>SUMIFS(HS_DB[Trade Value - USD],HS_DB[HS Code],HS_DB[[#This Row],[HS Code]])</f>
        <v>8974067</v>
      </c>
      <c r="AO51" s="6">
        <f>_xlfn.MAXIFS(HS_DB[Origin Share%],HS_DB[HS Code],HS_DB[[#This Row],[HS Code]])</f>
        <v>6.321329281187793E-2</v>
      </c>
      <c r="AP51" s="8" cm="1">
        <f t="array" ref="AP51">_xlfn.LET(
_xlpm.hs,HS_DB[[#This Row],[HS Code]],
COUNTA(_xlfn.UNIQUE(_xlfn._xlws.FILTER(HS_DB[Reporter],HS_DB[HS Code]=_xlpm.hs)))
)</f>
        <v>14</v>
      </c>
      <c r="AQ51" s="17" t="str">
        <f>IF(HS_DB[[#This Row],[Origin Count]]=1,"Single Source","Multiple Sources")</f>
        <v>Multiple Sources</v>
      </c>
      <c r="AR51" s="8">
        <f>HS_DB[[#This Row],[Annual Spend - USD]]*(HS_DB[[#This Row],[HS Code Risk Score]]/100)</f>
        <v>3051182.7800000003</v>
      </c>
      <c r="AS51" s="8">
        <f>RANK(HS_DB[[#This Row],[Risk Exposure - USD]],HS_DB[Risk Exposure - USD],0)</f>
        <v>315</v>
      </c>
      <c r="AT51" s="8" t="str">
        <f>IF(HS_DB[[#This Row],[Risk Exposure Rank]]&lt;=10,"High",
 IF(HS_DB[[#This Row],[Risk Exposure Rank]]&lt;=30,"Medium",
 "Low"))</f>
        <v>Low</v>
      </c>
      <c r="AU51" s="8" t="str">
        <f>IF(HS_DB[[#This Row],[Risk Exposure Rank]]&lt;=5,"Immediate Action",
 IF(HS_DB[[#This Row],[Risk Exposure Rank]]&lt;=15,"Monitor Closely",
 "Routine Control"))</f>
        <v>Routine Control</v>
      </c>
      <c r="AV51" s="8">
        <f>SUMIFS(HS_DB[Trade Value - USD],HS_DB[HS Code],HS_DB[[#This Row],[HS Code]])</f>
        <v>8974067</v>
      </c>
      <c r="AW51" s="6">
        <f>HS_DB[[#This Row],[Annual Spend - USD]]/HS_DB[[#This Row],[Total Market Size - USD]]</f>
        <v>1</v>
      </c>
      <c r="AX51" s="6" cm="1">
        <f t="array" ref="AX51">COUNTA(_xlfn.UNIQUE(_xlfn._xlws.FILTER(HS_DB[Partner],HS_DB[HS Code]=HS_DB[[#This Row],[HS Code]])))</f>
        <v>1</v>
      </c>
      <c r="AY51" s="8" t="str">
        <f>IF(HS_DB[[#This Row],[Competition Intensity]]&lt;=2,"Highly Concentrated",
 IF(HS_DB[[#This Row],[Competition Intensity]]&lt;=5,"Moderate",
 "Highly Competitive"))</f>
        <v>Highly Concentrated</v>
      </c>
      <c r="AZ51" s="8">
        <f>HS_DB[[#This Row],[Total Market Size - USD]]
*
(1+IFERROR(#REF!,0))
/
HS_DB[[#This Row],[Competition Intensity]]</f>
        <v>8974067</v>
      </c>
      <c r="BA51" s="8" t="str">
        <f>IF(HS_DB[[#This Row],[Commercial Opportunity Score]]&gt;=PERCENTILE(HS_DB[Commercial Opportunity Score],0.9),"High Opportunity",
 IF(HS_DB[[#This Row],[Commercial Opportunity Score]]&gt;=PERCENTILE(HS_DB[Commercial Opportunity Score],0.6),"Medium Opportunity",
 "Routine Market"))</f>
        <v>Routine Market</v>
      </c>
      <c r="BB51" s="3" t="str">
        <f>IF(AND(HS_DB[[#This Row],[Product Rank]]&gt;0,HS_DB[[#This Row],[Product Rank]]&lt;=10),"Yes","No")</f>
        <v>No</v>
      </c>
      <c r="BC51" s="3" t="str">
        <f>IF(AND(HS_DB[[#This Row],[Origin Rank]]&gt;0,HS_DB[[#This Row],[Origin Rank]]&lt;=10),"Yes","No")</f>
        <v>Yes</v>
      </c>
    </row>
    <row r="52" spans="2:55" x14ac:dyDescent="0.3">
      <c r="B52" s="2">
        <f>HS_DB[[#This Row],[Commodity Code]]</f>
        <v>291619</v>
      </c>
      <c r="C52" s="2">
        <f>IFERROR(INDEX(HS_MD!C:C,MATCH(B52,HS_MD!B:B,0),1),"")</f>
        <v>10</v>
      </c>
      <c r="D52" s="17" t="str">
        <f>IFERROR(INDEX(HS_MD!D:D,MATCH(B52,HS_MD!B:B,0),1),"")</f>
        <v>Unsaturated acyclic acids</v>
      </c>
      <c r="E52" s="17" t="str">
        <f>IFERROR(INDEX(HS_MD!E:E,MATCH(B52,HS_MD!B:B,0),1),"")</f>
        <v>Potassium Sorbate</v>
      </c>
      <c r="F52" s="17" t="str">
        <f>IFERROR(INDEX(HS_MD!F:F,MATCH(B52,HS_MD!B:B,0),1),"")</f>
        <v>PRESERVATIVES</v>
      </c>
      <c r="G52" s="17" t="str">
        <f>IFERROR(INDEX(HS_MD!G:G,MATCH(B52,HS_MD!B:B,0),1),"")</f>
        <v>Organic Preservatives</v>
      </c>
      <c r="H52" s="17" t="str">
        <f>IFERROR(INDEX(HS_MD!H:H,MATCH(B52,HS_MD!B:B,0),1),"")</f>
        <v>Potassium Sorbate</v>
      </c>
      <c r="I52" s="17" t="str">
        <f>IFERROR(INDEX(HS_MD!I:I,MATCH(B52,HS_MD!B:B,0),1),"")</f>
        <v>Sauces / Bakery / Dairy</v>
      </c>
      <c r="J52" s="17">
        <f>IFERROR(INDEX(Heat_Map[Index],MATCH(HS_DB[[#This Row],[Reporter]],Heat_Map[Global],0),1),"")</f>
        <v>182</v>
      </c>
      <c r="K52" s="17" t="str">
        <f>IF(AND(HS_DB[[#This Row],[Origin Rank]]&gt;1,HS_DB[[#This Row],[Origin Rank]]&lt;=10),"Yes","No")</f>
        <v>No</v>
      </c>
      <c r="L52" s="2">
        <v>2024</v>
      </c>
      <c r="M52" s="2" t="s">
        <v>57</v>
      </c>
      <c r="N52" s="2" t="s">
        <v>56</v>
      </c>
      <c r="O52" s="2" t="s">
        <v>22</v>
      </c>
      <c r="P52" s="2" t="s">
        <v>23</v>
      </c>
      <c r="Q52" s="2" t="s">
        <v>24</v>
      </c>
      <c r="R52" s="2" t="s">
        <v>25</v>
      </c>
      <c r="S52" s="2">
        <v>291619</v>
      </c>
      <c r="T52" s="3">
        <v>32616</v>
      </c>
      <c r="U52" s="3">
        <v>88</v>
      </c>
      <c r="V52" s="3">
        <v>0</v>
      </c>
      <c r="W52" s="3">
        <v>88</v>
      </c>
      <c r="X52" s="3" t="s">
        <v>58</v>
      </c>
      <c r="Y52" s="3">
        <v>88</v>
      </c>
      <c r="Z52" s="2" t="s">
        <v>58</v>
      </c>
      <c r="AA52" s="6">
        <f>SUMIFS(HS_DB[Trade Value - USD],HS_DB[Reporter],HS_DB[[#This Row],[Reporter]])/SUM(HS_DB[Trade Value - USD])</f>
        <v>9.425427433633813E-3</v>
      </c>
      <c r="AB52" s="8" cm="1">
        <f t="array" ref="AB52">SUMPRODUCT(
(HS_DB[Reporter]=HS_DB[[#This Row],[Reporter]])*
(HS_DB[Trade Value - USD]&gt;HS_DB[[#This Row],[Trade Value - USD]])
)+1</f>
        <v>18</v>
      </c>
      <c r="AC52" s="8" t="str">
        <f>IFERROR(IF(INDEX(Heat_Map[Crisis Impact %],MATCH(HS_DB[[#This Row],[Reporter]],Heat_Map[Global],0),1)&gt;0,"Yes","No"),"No")</f>
        <v>Yes</v>
      </c>
      <c r="AD52" s="6">
        <f>IFERROR(INDEX(Heat_Map[Crisis Impact %],MATCH(HS_DB[[#This Row],[Reporter]],Heat_Map[Global],0),1),0)</f>
        <v>4.0000000000000008E-2</v>
      </c>
      <c r="AE52" s="8">
        <f>HS_DB[[#This Row],[Crisis Impact%]]*HS_DB[[#This Row],[Trade Value - USD]]</f>
        <v>1304.6400000000003</v>
      </c>
      <c r="AF52" s="8">
        <f>HS_DB[[#This Row],[Crisis Impact%]]*HS_DB[[#This Row],[Net Weight -KG]]</f>
        <v>3.5200000000000005</v>
      </c>
      <c r="AG52" s="6">
        <f>SUMIFS(HS_DB[Trade Value - USD],HS_DB[Products],HS_DB[[#This Row],[Products]])/SUM(HS_DB[Trade Value - USD])</f>
        <v>4.7607572716976661E-3</v>
      </c>
      <c r="AH52" s="8">
        <f>_xlfn.RANK.EQ(HS_DB[[#This Row],[Trade Value - USD]], HS_DB[Trade Value - USD], 0)
 + COUNTIFS(HS_DB[Trade Value - USD],HS_DB[[#This Row],[Trade Value - USD]],
            HS_DB[HS Code],"&lt;"&amp;HS_DB[[#This Row],[HS Code]])</f>
        <v>350</v>
      </c>
      <c r="AI52" s="9">
        <f>IFERROR(HS_DB[[#This Row],[Trade Value - USD]]/HS_DB[[#This Row],[Net Weight -KG]],0)</f>
        <v>370.63636363636363</v>
      </c>
      <c r="AJ52" s="17" cm="1">
        <f t="array" ref="AJ52">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52" s="17" t="str">
        <f>IF(HS_DB[[#This Row],[HS Code Risk Score]]&gt;=40,"High",
 IF(HS_DB[[#This Row],[HS Code Risk Score]]&gt;=25,"Medium","Low"))</f>
        <v>Medium</v>
      </c>
      <c r="AL52" s="17" t="str">
        <f>IF(RANK(HS_DB[[#This Row],[HS Code Risk Score]],HS_DB[HS Code Risk Score])&lt;=10,"Yes","No")</f>
        <v>No</v>
      </c>
      <c r="AM52" s="8">
        <f>SUMIFS(HS_DB[Net Weight -KG],HS_DB[HS Code],HS_DB[[#This Row],[HS Code]])</f>
        <v>2033373.9000000001</v>
      </c>
      <c r="AN52" s="8">
        <f>SUMIFS(HS_DB[Trade Value - USD],HS_DB[HS Code],HS_DB[[#This Row],[HS Code]])</f>
        <v>8974067</v>
      </c>
      <c r="AO52" s="6">
        <f>_xlfn.MAXIFS(HS_DB[Origin Share%],HS_DB[HS Code],HS_DB[[#This Row],[HS Code]])</f>
        <v>6.321329281187793E-2</v>
      </c>
      <c r="AP52" s="8" cm="1">
        <f t="array" ref="AP52">_xlfn.LET(
_xlpm.hs,HS_DB[[#This Row],[HS Code]],
COUNTA(_xlfn.UNIQUE(_xlfn._xlws.FILTER(HS_DB[Reporter],HS_DB[HS Code]=_xlpm.hs)))
)</f>
        <v>14</v>
      </c>
      <c r="AQ52" s="17" t="str">
        <f>IF(HS_DB[[#This Row],[Origin Count]]=1,"Single Source","Multiple Sources")</f>
        <v>Multiple Sources</v>
      </c>
      <c r="AR52" s="8">
        <f>HS_DB[[#This Row],[Annual Spend - USD]]*(HS_DB[[#This Row],[HS Code Risk Score]]/100)</f>
        <v>3051182.7800000003</v>
      </c>
      <c r="AS52" s="8">
        <f>RANK(HS_DB[[#This Row],[Risk Exposure - USD]],HS_DB[Risk Exposure - USD],0)</f>
        <v>315</v>
      </c>
      <c r="AT52" s="8" t="str">
        <f>IF(HS_DB[[#This Row],[Risk Exposure Rank]]&lt;=10,"High",
 IF(HS_DB[[#This Row],[Risk Exposure Rank]]&lt;=30,"Medium",
 "Low"))</f>
        <v>Low</v>
      </c>
      <c r="AU52" s="8" t="str">
        <f>IF(HS_DB[[#This Row],[Risk Exposure Rank]]&lt;=5,"Immediate Action",
 IF(HS_DB[[#This Row],[Risk Exposure Rank]]&lt;=15,"Monitor Closely",
 "Routine Control"))</f>
        <v>Routine Control</v>
      </c>
      <c r="AV52" s="8">
        <f>SUMIFS(HS_DB[Trade Value - USD],HS_DB[HS Code],HS_DB[[#This Row],[HS Code]])</f>
        <v>8974067</v>
      </c>
      <c r="AW52" s="6">
        <f>HS_DB[[#This Row],[Annual Spend - USD]]/HS_DB[[#This Row],[Total Market Size - USD]]</f>
        <v>1</v>
      </c>
      <c r="AX52" s="6" cm="1">
        <f t="array" ref="AX52">COUNTA(_xlfn.UNIQUE(_xlfn._xlws.FILTER(HS_DB[Partner],HS_DB[HS Code]=HS_DB[[#This Row],[HS Code]])))</f>
        <v>1</v>
      </c>
      <c r="AY52" s="8" t="str">
        <f>IF(HS_DB[[#This Row],[Competition Intensity]]&lt;=2,"Highly Concentrated",
 IF(HS_DB[[#This Row],[Competition Intensity]]&lt;=5,"Moderate",
 "Highly Competitive"))</f>
        <v>Highly Concentrated</v>
      </c>
      <c r="AZ52" s="8">
        <f>HS_DB[[#This Row],[Total Market Size - USD]]
*
(1+IFERROR(#REF!,0))
/
HS_DB[[#This Row],[Competition Intensity]]</f>
        <v>8974067</v>
      </c>
      <c r="BA52" s="8" t="str">
        <f>IF(HS_DB[[#This Row],[Commercial Opportunity Score]]&gt;=PERCENTILE(HS_DB[Commercial Opportunity Score],0.9),"High Opportunity",
 IF(HS_DB[[#This Row],[Commercial Opportunity Score]]&gt;=PERCENTILE(HS_DB[Commercial Opportunity Score],0.6),"Medium Opportunity",
 "Routine Market"))</f>
        <v>Routine Market</v>
      </c>
      <c r="BB52" s="3" t="str">
        <f>IF(AND(HS_DB[[#This Row],[Product Rank]]&gt;0,HS_DB[[#This Row],[Product Rank]]&lt;=10),"Yes","No")</f>
        <v>No</v>
      </c>
      <c r="BC52" s="3" t="str">
        <f>IF(AND(HS_DB[[#This Row],[Origin Rank]]&gt;0,HS_DB[[#This Row],[Origin Rank]]&lt;=10),"Yes","No")</f>
        <v>No</v>
      </c>
    </row>
    <row r="53" spans="2:55" x14ac:dyDescent="0.3">
      <c r="B53" s="2">
        <f>HS_DB[[#This Row],[Commodity Code]]</f>
        <v>350510</v>
      </c>
      <c r="C53" s="2">
        <f>IFERROR(INDEX(HS_MD!C:C,MATCH(B53,HS_MD!B:B,0),1),"")</f>
        <v>15</v>
      </c>
      <c r="D53" s="17" t="str">
        <f>IFERROR(INDEX(HS_MD!D:D,MATCH(B53,HS_MD!B:B,0),1),"")</f>
        <v>Dextrins and modified starches</v>
      </c>
      <c r="E53" s="17" t="str">
        <f>IFERROR(INDEX(HS_MD!E:E,MATCH(B53,HS_MD!B:B,0),1),"")</f>
        <v>Modified Starch (Cold/Hot)</v>
      </c>
      <c r="F53" s="17" t="str">
        <f>IFERROR(INDEX(HS_MD!F:F,MATCH(B53,HS_MD!B:B,0),1),"")</f>
        <v>FUNCTIONAL INGREDIENTS</v>
      </c>
      <c r="G53" s="17" t="str">
        <f>IFERROR(INDEX(HS_MD!G:G,MATCH(B53,HS_MD!B:B,0),1),"")</f>
        <v>Modified Starches</v>
      </c>
      <c r="H53" s="17" t="str">
        <f>IFERROR(INDEX(HS_MD!H:H,MATCH(B53,HS_MD!B:B,0),1),"")</f>
        <v>Modified Starch</v>
      </c>
      <c r="I53" s="17" t="str">
        <f>IFERROR(INDEX(HS_MD!I:I,MATCH(B53,HS_MD!B:B,0),1),"")</f>
        <v>Sauces / Mayo / Ketchup</v>
      </c>
      <c r="J53" s="17">
        <f>IFERROR(INDEX(Heat_Map[Index],MATCH(HS_DB[[#This Row],[Reporter]],Heat_Map[Global],0),1),"")</f>
        <v>17</v>
      </c>
      <c r="K53" s="17" t="str">
        <f>IF(AND(HS_DB[[#This Row],[Origin Rank]]&gt;1,HS_DB[[#This Row],[Origin Rank]]&lt;=10),"Yes","No")</f>
        <v>Yes</v>
      </c>
      <c r="L53" s="2">
        <v>2024</v>
      </c>
      <c r="M53" s="2" t="s">
        <v>57</v>
      </c>
      <c r="N53" s="2" t="s">
        <v>5</v>
      </c>
      <c r="O53" s="2" t="s">
        <v>22</v>
      </c>
      <c r="P53" s="2" t="s">
        <v>23</v>
      </c>
      <c r="Q53" s="2" t="s">
        <v>24</v>
      </c>
      <c r="R53" s="2" t="s">
        <v>25</v>
      </c>
      <c r="S53" s="2">
        <v>350510</v>
      </c>
      <c r="T53" s="3">
        <v>877849</v>
      </c>
      <c r="U53" s="3">
        <v>523065.2</v>
      </c>
      <c r="V53" s="3">
        <v>0</v>
      </c>
      <c r="W53" s="3">
        <v>523065</v>
      </c>
      <c r="X53" s="3" t="s">
        <v>58</v>
      </c>
      <c r="Y53" s="3">
        <v>523065</v>
      </c>
      <c r="Z53" s="2" t="s">
        <v>58</v>
      </c>
      <c r="AA53" s="6">
        <f>SUMIFS(HS_DB[Trade Value - USD],HS_DB[Reporter],HS_DB[[#This Row],[Reporter]])/SUM(HS_DB[Trade Value - USD])</f>
        <v>5.3992075088500962E-3</v>
      </c>
      <c r="AB53" s="8" cm="1">
        <f t="array" ref="AB53">SUMPRODUCT(
(HS_DB[Reporter]=HS_DB[[#This Row],[Reporter]])*
(HS_DB[Trade Value - USD]&gt;HS_DB[[#This Row],[Trade Value - USD]])
)+1</f>
        <v>4</v>
      </c>
      <c r="AC53" s="8" t="str">
        <f>IFERROR(IF(INDEX(Heat_Map[Crisis Impact %],MATCH(HS_DB[[#This Row],[Reporter]],Heat_Map[Global],0),1)&gt;0,"Yes","No"),"No")</f>
        <v>No</v>
      </c>
      <c r="AD53" s="6">
        <f>IFERROR(INDEX(Heat_Map[Crisis Impact %],MATCH(HS_DB[[#This Row],[Reporter]],Heat_Map[Global],0),1),0)</f>
        <v>0</v>
      </c>
      <c r="AE53" s="8">
        <f>HS_DB[[#This Row],[Crisis Impact%]]*HS_DB[[#This Row],[Trade Value - USD]]</f>
        <v>0</v>
      </c>
      <c r="AF53" s="8">
        <f>HS_DB[[#This Row],[Crisis Impact%]]*HS_DB[[#This Row],[Net Weight -KG]]</f>
        <v>0</v>
      </c>
      <c r="AG53" s="6">
        <f>SUMIFS(HS_DB[Trade Value - USD],HS_DB[Products],HS_DB[[#This Row],[Products]])/SUM(HS_DB[Trade Value - USD])</f>
        <v>1.2966653739508774E-2</v>
      </c>
      <c r="AH53" s="8">
        <f>_xlfn.RANK.EQ(HS_DB[[#This Row],[Trade Value - USD]], HS_DB[Trade Value - USD], 0)
 + COUNTIFS(HS_DB[Trade Value - USD],HS_DB[[#This Row],[Trade Value - USD]],
            HS_DB[HS Code],"&lt;"&amp;HS_DB[[#This Row],[HS Code]])</f>
        <v>111</v>
      </c>
      <c r="AI53" s="9">
        <f>IFERROR(HS_DB[[#This Row],[Trade Value - USD]]/HS_DB[[#This Row],[Net Weight -KG]],0)</f>
        <v>1.6782783484735746</v>
      </c>
      <c r="AJ53" s="17" cm="1">
        <f t="array" ref="AJ53">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53" s="17" t="str">
        <f>IF(HS_DB[[#This Row],[HS Code Risk Score]]&gt;=40,"High",
 IF(HS_DB[[#This Row],[HS Code Risk Score]]&gt;=25,"Medium","Low"))</f>
        <v>Medium</v>
      </c>
      <c r="AL53" s="17" t="str">
        <f>IF(RANK(HS_DB[[#This Row],[HS Code Risk Score]],HS_DB[HS Code Risk Score])&lt;=10,"Yes","No")</f>
        <v>No</v>
      </c>
      <c r="AM53" s="8">
        <f>SUMIFS(HS_DB[Net Weight -KG],HS_DB[HS Code],HS_DB[[#This Row],[HS Code]])</f>
        <v>17243671.100000001</v>
      </c>
      <c r="AN53" s="8">
        <f>SUMIFS(HS_DB[Trade Value - USD],HS_DB[HS Code],HS_DB[[#This Row],[HS Code]])</f>
        <v>24442250</v>
      </c>
      <c r="AO53" s="6">
        <f>_xlfn.MAXIFS(HS_DB[Origin Share%],HS_DB[HS Code],HS_DB[[#This Row],[HS Code]])</f>
        <v>0.39900464236999494</v>
      </c>
      <c r="AP53" s="8" cm="1">
        <f t="array" ref="AP53">_xlfn.LET(
_xlpm.hs,HS_DB[[#This Row],[HS Code]],
COUNTA(_xlfn.UNIQUE(_xlfn._xlws.FILTER(HS_DB[Reporter],HS_DB[HS Code]=_xlpm.hs)))
)</f>
        <v>23</v>
      </c>
      <c r="AQ53" s="17" t="str">
        <f>IF(HS_DB[[#This Row],[Origin Count]]=1,"Single Source","Multiple Sources")</f>
        <v>Multiple Sources</v>
      </c>
      <c r="AR53" s="8">
        <f>HS_DB[[#This Row],[Annual Spend - USD]]*(HS_DB[[#This Row],[HS Code Risk Score]]/100)</f>
        <v>8310365.0000000009</v>
      </c>
      <c r="AS53" s="8">
        <f>RANK(HS_DB[[#This Row],[Risk Exposure - USD]],HS_DB[Risk Exposure - USD],0)</f>
        <v>73</v>
      </c>
      <c r="AT53" s="8" t="str">
        <f>IF(HS_DB[[#This Row],[Risk Exposure Rank]]&lt;=10,"High",
 IF(HS_DB[[#This Row],[Risk Exposure Rank]]&lt;=30,"Medium",
 "Low"))</f>
        <v>Low</v>
      </c>
      <c r="AU53" s="8" t="str">
        <f>IF(HS_DB[[#This Row],[Risk Exposure Rank]]&lt;=5,"Immediate Action",
 IF(HS_DB[[#This Row],[Risk Exposure Rank]]&lt;=15,"Monitor Closely",
 "Routine Control"))</f>
        <v>Routine Control</v>
      </c>
      <c r="AV53" s="8">
        <f>SUMIFS(HS_DB[Trade Value - USD],HS_DB[HS Code],HS_DB[[#This Row],[HS Code]])</f>
        <v>24442250</v>
      </c>
      <c r="AW53" s="6">
        <f>HS_DB[[#This Row],[Annual Spend - USD]]/HS_DB[[#This Row],[Total Market Size - USD]]</f>
        <v>1</v>
      </c>
      <c r="AX53" s="6" cm="1">
        <f t="array" ref="AX53">COUNTA(_xlfn.UNIQUE(_xlfn._xlws.FILTER(HS_DB[Partner],HS_DB[HS Code]=HS_DB[[#This Row],[HS Code]])))</f>
        <v>1</v>
      </c>
      <c r="AY53" s="8" t="str">
        <f>IF(HS_DB[[#This Row],[Competition Intensity]]&lt;=2,"Highly Concentrated",
 IF(HS_DB[[#This Row],[Competition Intensity]]&lt;=5,"Moderate",
 "Highly Competitive"))</f>
        <v>Highly Concentrated</v>
      </c>
      <c r="AZ53" s="8">
        <f>HS_DB[[#This Row],[Total Market Size - USD]]
*
(1+IFERROR(#REF!,0))
/
HS_DB[[#This Row],[Competition Intensity]]</f>
        <v>24442250</v>
      </c>
      <c r="BA53" s="8" t="str">
        <f>IF(HS_DB[[#This Row],[Commercial Opportunity Score]]&gt;=PERCENTILE(HS_DB[Commercial Opportunity Score],0.9),"High Opportunity",
 IF(HS_DB[[#This Row],[Commercial Opportunity Score]]&gt;=PERCENTILE(HS_DB[Commercial Opportunity Score],0.6),"Medium Opportunity",
 "Routine Market"))</f>
        <v>Medium Opportunity</v>
      </c>
      <c r="BB53" s="3" t="str">
        <f>IF(AND(HS_DB[[#This Row],[Product Rank]]&gt;0,HS_DB[[#This Row],[Product Rank]]&lt;=10),"Yes","No")</f>
        <v>No</v>
      </c>
      <c r="BC53" s="3" t="str">
        <f>IF(AND(HS_DB[[#This Row],[Origin Rank]]&gt;0,HS_DB[[#This Row],[Origin Rank]]&lt;=10),"Yes","No")</f>
        <v>Yes</v>
      </c>
    </row>
    <row r="54" spans="2:55" x14ac:dyDescent="0.3">
      <c r="B54" s="2">
        <f>HS_DB[[#This Row],[Commodity Code]]</f>
        <v>350510</v>
      </c>
      <c r="C54" s="2">
        <f>IFERROR(INDEX(HS_MD!C:C,MATCH(B54,HS_MD!B:B,0),1),"")</f>
        <v>15</v>
      </c>
      <c r="D54" s="17" t="str">
        <f>IFERROR(INDEX(HS_MD!D:D,MATCH(B54,HS_MD!B:B,0),1),"")</f>
        <v>Dextrins and modified starches</v>
      </c>
      <c r="E54" s="17" t="str">
        <f>IFERROR(INDEX(HS_MD!E:E,MATCH(B54,HS_MD!B:B,0),1),"")</f>
        <v>Modified Starch (Cold/Hot)</v>
      </c>
      <c r="F54" s="17" t="str">
        <f>IFERROR(INDEX(HS_MD!F:F,MATCH(B54,HS_MD!B:B,0),1),"")</f>
        <v>FUNCTIONAL INGREDIENTS</v>
      </c>
      <c r="G54" s="17" t="str">
        <f>IFERROR(INDEX(HS_MD!G:G,MATCH(B54,HS_MD!B:B,0),1),"")</f>
        <v>Modified Starches</v>
      </c>
      <c r="H54" s="17" t="str">
        <f>IFERROR(INDEX(HS_MD!H:H,MATCH(B54,HS_MD!B:B,0),1),"")</f>
        <v>Modified Starch</v>
      </c>
      <c r="I54" s="17" t="str">
        <f>IFERROR(INDEX(HS_MD!I:I,MATCH(B54,HS_MD!B:B,0),1),"")</f>
        <v>Sauces / Mayo / Ketchup</v>
      </c>
      <c r="J54" s="17">
        <f>IFERROR(INDEX(Heat_Map[Index],MATCH(HS_DB[[#This Row],[Reporter]],Heat_Map[Global],0),1),"")</f>
        <v>24</v>
      </c>
      <c r="K54" s="17" t="str">
        <f>IF(AND(HS_DB[[#This Row],[Origin Rank]]&gt;1,HS_DB[[#This Row],[Origin Rank]]&lt;=10),"Yes","No")</f>
        <v>Yes</v>
      </c>
      <c r="L54" s="2">
        <v>2024</v>
      </c>
      <c r="M54" s="2" t="s">
        <v>57</v>
      </c>
      <c r="N54" s="2" t="s">
        <v>38</v>
      </c>
      <c r="O54" s="2" t="s">
        <v>22</v>
      </c>
      <c r="P54" s="2" t="s">
        <v>23</v>
      </c>
      <c r="Q54" s="2" t="s">
        <v>24</v>
      </c>
      <c r="R54" s="2" t="s">
        <v>25</v>
      </c>
      <c r="S54" s="2">
        <v>350510</v>
      </c>
      <c r="T54" s="3">
        <v>150685</v>
      </c>
      <c r="U54" s="3">
        <v>128750</v>
      </c>
      <c r="V54" s="3">
        <v>0</v>
      </c>
      <c r="W54" s="3">
        <v>128750</v>
      </c>
      <c r="X54" s="3" t="s">
        <v>58</v>
      </c>
      <c r="Y54" s="3">
        <v>128750</v>
      </c>
      <c r="Z54" s="2" t="s">
        <v>58</v>
      </c>
      <c r="AA54" s="6">
        <f>SUMIFS(HS_DB[Trade Value - USD],HS_DB[Reporter],HS_DB[[#This Row],[Reporter]])/SUM(HS_DB[Trade Value - USD])</f>
        <v>1.3771095818184687E-3</v>
      </c>
      <c r="AB54" s="8" cm="1">
        <f t="array" ref="AB54">SUMPRODUCT(
(HS_DB[Reporter]=HS_DB[[#This Row],[Reporter]])*
(HS_DB[Trade Value - USD]&gt;HS_DB[[#This Row],[Trade Value - USD]])
)+1</f>
        <v>2</v>
      </c>
      <c r="AC54" s="8" t="str">
        <f>IFERROR(IF(INDEX(Heat_Map[Crisis Impact %],MATCH(HS_DB[[#This Row],[Reporter]],Heat_Map[Global],0),1)&gt;0,"Yes","No"),"No")</f>
        <v>No</v>
      </c>
      <c r="AD54" s="6">
        <f>IFERROR(INDEX(Heat_Map[Crisis Impact %],MATCH(HS_DB[[#This Row],[Reporter]],Heat_Map[Global],0),1),0)</f>
        <v>0</v>
      </c>
      <c r="AE54" s="8">
        <f>HS_DB[[#This Row],[Crisis Impact%]]*HS_DB[[#This Row],[Trade Value - USD]]</f>
        <v>0</v>
      </c>
      <c r="AF54" s="8">
        <f>HS_DB[[#This Row],[Crisis Impact%]]*HS_DB[[#This Row],[Net Weight -KG]]</f>
        <v>0</v>
      </c>
      <c r="AG54" s="6">
        <f>SUMIFS(HS_DB[Trade Value - USD],HS_DB[Products],HS_DB[[#This Row],[Products]])/SUM(HS_DB[Trade Value - USD])</f>
        <v>1.2966653739508774E-2</v>
      </c>
      <c r="AH54" s="8">
        <f>_xlfn.RANK.EQ(HS_DB[[#This Row],[Trade Value - USD]], HS_DB[Trade Value - USD], 0)
 + COUNTIFS(HS_DB[Trade Value - USD],HS_DB[[#This Row],[Trade Value - USD]],
            HS_DB[HS Code],"&lt;"&amp;HS_DB[[#This Row],[HS Code]])</f>
        <v>247</v>
      </c>
      <c r="AI54" s="9">
        <f>IFERROR(HS_DB[[#This Row],[Trade Value - USD]]/HS_DB[[#This Row],[Net Weight -KG]],0)</f>
        <v>1.1703689320388349</v>
      </c>
      <c r="AJ54" s="17" cm="1">
        <f t="array" ref="AJ54">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54" s="17" t="str">
        <f>IF(HS_DB[[#This Row],[HS Code Risk Score]]&gt;=40,"High",
 IF(HS_DB[[#This Row],[HS Code Risk Score]]&gt;=25,"Medium","Low"))</f>
        <v>Medium</v>
      </c>
      <c r="AL54" s="17" t="str">
        <f>IF(RANK(HS_DB[[#This Row],[HS Code Risk Score]],HS_DB[HS Code Risk Score])&lt;=10,"Yes","No")</f>
        <v>No</v>
      </c>
      <c r="AM54" s="8">
        <f>SUMIFS(HS_DB[Net Weight -KG],HS_DB[HS Code],HS_DB[[#This Row],[HS Code]])</f>
        <v>17243671.100000001</v>
      </c>
      <c r="AN54" s="8">
        <f>SUMIFS(HS_DB[Trade Value - USD],HS_DB[HS Code],HS_DB[[#This Row],[HS Code]])</f>
        <v>24442250</v>
      </c>
      <c r="AO54" s="6">
        <f>_xlfn.MAXIFS(HS_DB[Origin Share%],HS_DB[HS Code],HS_DB[[#This Row],[HS Code]])</f>
        <v>0.39900464236999494</v>
      </c>
      <c r="AP54" s="8" cm="1">
        <f t="array" ref="AP54">_xlfn.LET(
_xlpm.hs,HS_DB[[#This Row],[HS Code]],
COUNTA(_xlfn.UNIQUE(_xlfn._xlws.FILTER(HS_DB[Reporter],HS_DB[HS Code]=_xlpm.hs)))
)</f>
        <v>23</v>
      </c>
      <c r="AQ54" s="17" t="str">
        <f>IF(HS_DB[[#This Row],[Origin Count]]=1,"Single Source","Multiple Sources")</f>
        <v>Multiple Sources</v>
      </c>
      <c r="AR54" s="8">
        <f>HS_DB[[#This Row],[Annual Spend - USD]]*(HS_DB[[#This Row],[HS Code Risk Score]]/100)</f>
        <v>8310365.0000000009</v>
      </c>
      <c r="AS54" s="8">
        <f>RANK(HS_DB[[#This Row],[Risk Exposure - USD]],HS_DB[Risk Exposure - USD],0)</f>
        <v>73</v>
      </c>
      <c r="AT54" s="8" t="str">
        <f>IF(HS_DB[[#This Row],[Risk Exposure Rank]]&lt;=10,"High",
 IF(HS_DB[[#This Row],[Risk Exposure Rank]]&lt;=30,"Medium",
 "Low"))</f>
        <v>Low</v>
      </c>
      <c r="AU54" s="8" t="str">
        <f>IF(HS_DB[[#This Row],[Risk Exposure Rank]]&lt;=5,"Immediate Action",
 IF(HS_DB[[#This Row],[Risk Exposure Rank]]&lt;=15,"Monitor Closely",
 "Routine Control"))</f>
        <v>Routine Control</v>
      </c>
      <c r="AV54" s="8">
        <f>SUMIFS(HS_DB[Trade Value - USD],HS_DB[HS Code],HS_DB[[#This Row],[HS Code]])</f>
        <v>24442250</v>
      </c>
      <c r="AW54" s="6">
        <f>HS_DB[[#This Row],[Annual Spend - USD]]/HS_DB[[#This Row],[Total Market Size - USD]]</f>
        <v>1</v>
      </c>
      <c r="AX54" s="6" cm="1">
        <f t="array" ref="AX54">COUNTA(_xlfn.UNIQUE(_xlfn._xlws.FILTER(HS_DB[Partner],HS_DB[HS Code]=HS_DB[[#This Row],[HS Code]])))</f>
        <v>1</v>
      </c>
      <c r="AY54" s="8" t="str">
        <f>IF(HS_DB[[#This Row],[Competition Intensity]]&lt;=2,"Highly Concentrated",
 IF(HS_DB[[#This Row],[Competition Intensity]]&lt;=5,"Moderate",
 "Highly Competitive"))</f>
        <v>Highly Concentrated</v>
      </c>
      <c r="AZ54" s="8">
        <f>HS_DB[[#This Row],[Total Market Size - USD]]
*
(1+IFERROR(#REF!,0))
/
HS_DB[[#This Row],[Competition Intensity]]</f>
        <v>24442250</v>
      </c>
      <c r="BA54" s="8" t="str">
        <f>IF(HS_DB[[#This Row],[Commercial Opportunity Score]]&gt;=PERCENTILE(HS_DB[Commercial Opportunity Score],0.9),"High Opportunity",
 IF(HS_DB[[#This Row],[Commercial Opportunity Score]]&gt;=PERCENTILE(HS_DB[Commercial Opportunity Score],0.6),"Medium Opportunity",
 "Routine Market"))</f>
        <v>Medium Opportunity</v>
      </c>
      <c r="BB54" s="3" t="str">
        <f>IF(AND(HS_DB[[#This Row],[Product Rank]]&gt;0,HS_DB[[#This Row],[Product Rank]]&lt;=10),"Yes","No")</f>
        <v>No</v>
      </c>
      <c r="BC54" s="3" t="str">
        <f>IF(AND(HS_DB[[#This Row],[Origin Rank]]&gt;0,HS_DB[[#This Row],[Origin Rank]]&lt;=10),"Yes","No")</f>
        <v>Yes</v>
      </c>
    </row>
    <row r="55" spans="2:55" x14ac:dyDescent="0.3">
      <c r="B55" s="2">
        <f>HS_DB[[#This Row],[Commodity Code]]</f>
        <v>350510</v>
      </c>
      <c r="C55" s="2">
        <f>IFERROR(INDEX(HS_MD!C:C,MATCH(B55,HS_MD!B:B,0),1),"")</f>
        <v>15</v>
      </c>
      <c r="D55" s="17" t="str">
        <f>IFERROR(INDEX(HS_MD!D:D,MATCH(B55,HS_MD!B:B,0),1),"")</f>
        <v>Dextrins and modified starches</v>
      </c>
      <c r="E55" s="17" t="str">
        <f>IFERROR(INDEX(HS_MD!E:E,MATCH(B55,HS_MD!B:B,0),1),"")</f>
        <v>Modified Starch (Cold/Hot)</v>
      </c>
      <c r="F55" s="17" t="str">
        <f>IFERROR(INDEX(HS_MD!F:F,MATCH(B55,HS_MD!B:B,0),1),"")</f>
        <v>FUNCTIONAL INGREDIENTS</v>
      </c>
      <c r="G55" s="17" t="str">
        <f>IFERROR(INDEX(HS_MD!G:G,MATCH(B55,HS_MD!B:B,0),1),"")</f>
        <v>Modified Starches</v>
      </c>
      <c r="H55" s="17" t="str">
        <f>IFERROR(INDEX(HS_MD!H:H,MATCH(B55,HS_MD!B:B,0),1),"")</f>
        <v>Modified Starch</v>
      </c>
      <c r="I55" s="17" t="str">
        <f>IFERROR(INDEX(HS_MD!I:I,MATCH(B55,HS_MD!B:B,0),1),"")</f>
        <v>Sauces / Mayo / Ketchup</v>
      </c>
      <c r="J55" s="17">
        <f>IFERROR(INDEX(Heat_Map[Index],MATCH(HS_DB[[#This Row],[Reporter]],Heat_Map[Global],0),1),"")</f>
        <v>32</v>
      </c>
      <c r="K55" s="17" t="str">
        <f>IF(AND(HS_DB[[#This Row],[Origin Rank]]&gt;1,HS_DB[[#This Row],[Origin Rank]]&lt;=10),"Yes","No")</f>
        <v>Yes</v>
      </c>
      <c r="L55" s="2">
        <v>2024</v>
      </c>
      <c r="M55" s="2" t="s">
        <v>57</v>
      </c>
      <c r="N55" s="2" t="s">
        <v>39</v>
      </c>
      <c r="O55" s="2" t="s">
        <v>22</v>
      </c>
      <c r="P55" s="2" t="s">
        <v>23</v>
      </c>
      <c r="Q55" s="2" t="s">
        <v>24</v>
      </c>
      <c r="R55" s="2" t="s">
        <v>25</v>
      </c>
      <c r="S55" s="2">
        <v>350510</v>
      </c>
      <c r="T55" s="3">
        <v>31</v>
      </c>
      <c r="U55" s="3">
        <v>49</v>
      </c>
      <c r="V55" s="3">
        <v>0</v>
      </c>
      <c r="W55" s="3">
        <v>49</v>
      </c>
      <c r="X55" s="3" t="s">
        <v>58</v>
      </c>
      <c r="Y55" s="3">
        <v>49</v>
      </c>
      <c r="Z55" s="2" t="s">
        <v>58</v>
      </c>
      <c r="AA55" s="6">
        <f>SUMIFS(HS_DB[Trade Value - USD],HS_DB[Reporter],HS_DB[[#This Row],[Reporter]])/SUM(HS_DB[Trade Value - USD])</f>
        <v>1.2732039388690099E-7</v>
      </c>
      <c r="AB55" s="8" cm="1">
        <f t="array" ref="AB55">SUMPRODUCT(
(HS_DB[Reporter]=HS_DB[[#This Row],[Reporter]])*
(HS_DB[Trade Value - USD]&gt;HS_DB[[#This Row],[Trade Value - USD]])
)+1</f>
        <v>2</v>
      </c>
      <c r="AC55" s="8" t="str">
        <f>IFERROR(IF(INDEX(Heat_Map[Crisis Impact %],MATCH(HS_DB[[#This Row],[Reporter]],Heat_Map[Global],0),1)&gt;0,"Yes","No"),"No")</f>
        <v>No</v>
      </c>
      <c r="AD55" s="6">
        <f>IFERROR(INDEX(Heat_Map[Crisis Impact %],MATCH(HS_DB[[#This Row],[Reporter]],Heat_Map[Global],0),1),0)</f>
        <v>0</v>
      </c>
      <c r="AE55" s="8">
        <f>HS_DB[[#This Row],[Crisis Impact%]]*HS_DB[[#This Row],[Trade Value - USD]]</f>
        <v>0</v>
      </c>
      <c r="AF55" s="8">
        <f>HS_DB[[#This Row],[Crisis Impact%]]*HS_DB[[#This Row],[Net Weight -KG]]</f>
        <v>0</v>
      </c>
      <c r="AG55" s="6">
        <f>SUMIFS(HS_DB[Trade Value - USD],HS_DB[Products],HS_DB[[#This Row],[Products]])/SUM(HS_DB[Trade Value - USD])</f>
        <v>1.2966653739508774E-2</v>
      </c>
      <c r="AH55" s="8">
        <f>_xlfn.RANK.EQ(HS_DB[[#This Row],[Trade Value - USD]], HS_DB[Trade Value - USD], 0)
 + COUNTIFS(HS_DB[Trade Value - USD],HS_DB[[#This Row],[Trade Value - USD]],
            HS_DB[HS Code],"&lt;"&amp;HS_DB[[#This Row],[HS Code]])</f>
        <v>527</v>
      </c>
      <c r="AI55" s="9">
        <f>IFERROR(HS_DB[[#This Row],[Trade Value - USD]]/HS_DB[[#This Row],[Net Weight -KG]],0)</f>
        <v>0.63265306122448983</v>
      </c>
      <c r="AJ55" s="17" cm="1">
        <f t="array" ref="AJ55">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55" s="17" t="str">
        <f>IF(HS_DB[[#This Row],[HS Code Risk Score]]&gt;=40,"High",
 IF(HS_DB[[#This Row],[HS Code Risk Score]]&gt;=25,"Medium","Low"))</f>
        <v>Medium</v>
      </c>
      <c r="AL55" s="17" t="str">
        <f>IF(RANK(HS_DB[[#This Row],[HS Code Risk Score]],HS_DB[HS Code Risk Score])&lt;=10,"Yes","No")</f>
        <v>No</v>
      </c>
      <c r="AM55" s="8">
        <f>SUMIFS(HS_DB[Net Weight -KG],HS_DB[HS Code],HS_DB[[#This Row],[HS Code]])</f>
        <v>17243671.100000001</v>
      </c>
      <c r="AN55" s="8">
        <f>SUMIFS(HS_DB[Trade Value - USD],HS_DB[HS Code],HS_DB[[#This Row],[HS Code]])</f>
        <v>24442250</v>
      </c>
      <c r="AO55" s="6">
        <f>_xlfn.MAXIFS(HS_DB[Origin Share%],HS_DB[HS Code],HS_DB[[#This Row],[HS Code]])</f>
        <v>0.39900464236999494</v>
      </c>
      <c r="AP55" s="8" cm="1">
        <f t="array" ref="AP55">_xlfn.LET(
_xlpm.hs,HS_DB[[#This Row],[HS Code]],
COUNTA(_xlfn.UNIQUE(_xlfn._xlws.FILTER(HS_DB[Reporter],HS_DB[HS Code]=_xlpm.hs)))
)</f>
        <v>23</v>
      </c>
      <c r="AQ55" s="17" t="str">
        <f>IF(HS_DB[[#This Row],[Origin Count]]=1,"Single Source","Multiple Sources")</f>
        <v>Multiple Sources</v>
      </c>
      <c r="AR55" s="8">
        <f>HS_DB[[#This Row],[Annual Spend - USD]]*(HS_DB[[#This Row],[HS Code Risk Score]]/100)</f>
        <v>8310365.0000000009</v>
      </c>
      <c r="AS55" s="8">
        <f>RANK(HS_DB[[#This Row],[Risk Exposure - USD]],HS_DB[Risk Exposure - USD],0)</f>
        <v>73</v>
      </c>
      <c r="AT55" s="8" t="str">
        <f>IF(HS_DB[[#This Row],[Risk Exposure Rank]]&lt;=10,"High",
 IF(HS_DB[[#This Row],[Risk Exposure Rank]]&lt;=30,"Medium",
 "Low"))</f>
        <v>Low</v>
      </c>
      <c r="AU55" s="8" t="str">
        <f>IF(HS_DB[[#This Row],[Risk Exposure Rank]]&lt;=5,"Immediate Action",
 IF(HS_DB[[#This Row],[Risk Exposure Rank]]&lt;=15,"Monitor Closely",
 "Routine Control"))</f>
        <v>Routine Control</v>
      </c>
      <c r="AV55" s="8">
        <f>SUMIFS(HS_DB[Trade Value - USD],HS_DB[HS Code],HS_DB[[#This Row],[HS Code]])</f>
        <v>24442250</v>
      </c>
      <c r="AW55" s="6">
        <f>HS_DB[[#This Row],[Annual Spend - USD]]/HS_DB[[#This Row],[Total Market Size - USD]]</f>
        <v>1</v>
      </c>
      <c r="AX55" s="6" cm="1">
        <f t="array" ref="AX55">COUNTA(_xlfn.UNIQUE(_xlfn._xlws.FILTER(HS_DB[Partner],HS_DB[HS Code]=HS_DB[[#This Row],[HS Code]])))</f>
        <v>1</v>
      </c>
      <c r="AY55" s="8" t="str">
        <f>IF(HS_DB[[#This Row],[Competition Intensity]]&lt;=2,"Highly Concentrated",
 IF(HS_DB[[#This Row],[Competition Intensity]]&lt;=5,"Moderate",
 "Highly Competitive"))</f>
        <v>Highly Concentrated</v>
      </c>
      <c r="AZ55" s="8">
        <f>HS_DB[[#This Row],[Total Market Size - USD]]
*
(1+IFERROR(#REF!,0))
/
HS_DB[[#This Row],[Competition Intensity]]</f>
        <v>24442250</v>
      </c>
      <c r="BA55" s="8" t="str">
        <f>IF(HS_DB[[#This Row],[Commercial Opportunity Score]]&gt;=PERCENTILE(HS_DB[Commercial Opportunity Score],0.9),"High Opportunity",
 IF(HS_DB[[#This Row],[Commercial Opportunity Score]]&gt;=PERCENTILE(HS_DB[Commercial Opportunity Score],0.6),"Medium Opportunity",
 "Routine Market"))</f>
        <v>Medium Opportunity</v>
      </c>
      <c r="BB55" s="3" t="str">
        <f>IF(AND(HS_DB[[#This Row],[Product Rank]]&gt;0,HS_DB[[#This Row],[Product Rank]]&lt;=10),"Yes","No")</f>
        <v>No</v>
      </c>
      <c r="BC55" s="3" t="str">
        <f>IF(AND(HS_DB[[#This Row],[Origin Rank]]&gt;0,HS_DB[[#This Row],[Origin Rank]]&lt;=10),"Yes","No")</f>
        <v>Yes</v>
      </c>
    </row>
    <row r="56" spans="2:55" x14ac:dyDescent="0.3">
      <c r="B56" s="2">
        <f>HS_DB[[#This Row],[Commodity Code]]</f>
        <v>350510</v>
      </c>
      <c r="C56" s="2">
        <f>IFERROR(INDEX(HS_MD!C:C,MATCH(B56,HS_MD!B:B,0),1),"")</f>
        <v>15</v>
      </c>
      <c r="D56" s="17" t="str">
        <f>IFERROR(INDEX(HS_MD!D:D,MATCH(B56,HS_MD!B:B,0),1),"")</f>
        <v>Dextrins and modified starches</v>
      </c>
      <c r="E56" s="17" t="str">
        <f>IFERROR(INDEX(HS_MD!E:E,MATCH(B56,HS_MD!B:B,0),1),"")</f>
        <v>Modified Starch (Cold/Hot)</v>
      </c>
      <c r="F56" s="17" t="str">
        <f>IFERROR(INDEX(HS_MD!F:F,MATCH(B56,HS_MD!B:B,0),1),"")</f>
        <v>FUNCTIONAL INGREDIENTS</v>
      </c>
      <c r="G56" s="17" t="str">
        <f>IFERROR(INDEX(HS_MD!G:G,MATCH(B56,HS_MD!B:B,0),1),"")</f>
        <v>Modified Starches</v>
      </c>
      <c r="H56" s="17" t="str">
        <f>IFERROR(INDEX(HS_MD!H:H,MATCH(B56,HS_MD!B:B,0),1),"")</f>
        <v>Modified Starch</v>
      </c>
      <c r="I56" s="17" t="str">
        <f>IFERROR(INDEX(HS_MD!I:I,MATCH(B56,HS_MD!B:B,0),1),"")</f>
        <v>Sauces / Mayo / Ketchup</v>
      </c>
      <c r="J56" s="17">
        <f>IFERROR(INDEX(Heat_Map[Index],MATCH(HS_DB[[#This Row],[Reporter]],Heat_Map[Global],0),1),"")</f>
        <v>36</v>
      </c>
      <c r="K56" s="17" t="str">
        <f>IF(AND(HS_DB[[#This Row],[Origin Rank]]&gt;1,HS_DB[[#This Row],[Origin Rank]]&lt;=10),"Yes","No")</f>
        <v>No</v>
      </c>
      <c r="L56" s="2">
        <v>2024</v>
      </c>
      <c r="M56" s="2" t="s">
        <v>57</v>
      </c>
      <c r="N56" s="2" t="s">
        <v>1</v>
      </c>
      <c r="O56" s="2" t="s">
        <v>22</v>
      </c>
      <c r="P56" s="2" t="s">
        <v>23</v>
      </c>
      <c r="Q56" s="2" t="s">
        <v>24</v>
      </c>
      <c r="R56" s="2" t="s">
        <v>25</v>
      </c>
      <c r="S56" s="2">
        <v>350510</v>
      </c>
      <c r="T56" s="3">
        <v>1567776</v>
      </c>
      <c r="U56" s="3">
        <v>822976</v>
      </c>
      <c r="V56" s="3">
        <v>0</v>
      </c>
      <c r="W56" s="3">
        <v>822976</v>
      </c>
      <c r="X56" s="3" t="s">
        <v>58</v>
      </c>
      <c r="Y56" s="3">
        <v>822976</v>
      </c>
      <c r="Z56" s="2" t="s">
        <v>58</v>
      </c>
      <c r="AA56" s="6">
        <f>SUMIFS(HS_DB[Trade Value - USD],HS_DB[Reporter],HS_DB[[#This Row],[Reporter]])/SUM(HS_DB[Trade Value - USD])</f>
        <v>6.321329281187793E-2</v>
      </c>
      <c r="AB56" s="8" cm="1">
        <f t="array" ref="AB56">SUMPRODUCT(
(HS_DB[Reporter]=HS_DB[[#This Row],[Reporter]])*
(HS_DB[Trade Value - USD]&gt;HS_DB[[#This Row],[Trade Value - USD]])
)+1</f>
        <v>17</v>
      </c>
      <c r="AC56" s="8" t="str">
        <f>IFERROR(IF(INDEX(Heat_Map[Crisis Impact %],MATCH(HS_DB[[#This Row],[Reporter]],Heat_Map[Global],0),1)&gt;0,"Yes","No"),"No")</f>
        <v>Yes</v>
      </c>
      <c r="AD56" s="6">
        <f>IFERROR(INDEX(Heat_Map[Crisis Impact %],MATCH(HS_DB[[#This Row],[Reporter]],Heat_Map[Global],0),1),0)</f>
        <v>0.14000000000000001</v>
      </c>
      <c r="AE56" s="8">
        <f>HS_DB[[#This Row],[Crisis Impact%]]*HS_DB[[#This Row],[Trade Value - USD]]</f>
        <v>219488.64000000001</v>
      </c>
      <c r="AF56" s="8">
        <f>HS_DB[[#This Row],[Crisis Impact%]]*HS_DB[[#This Row],[Net Weight -KG]]</f>
        <v>115216.64000000001</v>
      </c>
      <c r="AG56" s="6">
        <f>SUMIFS(HS_DB[Trade Value - USD],HS_DB[Products],HS_DB[[#This Row],[Products]])/SUM(HS_DB[Trade Value - USD])</f>
        <v>1.2966653739508774E-2</v>
      </c>
      <c r="AH56" s="8">
        <f>_xlfn.RANK.EQ(HS_DB[[#This Row],[Trade Value - USD]], HS_DB[Trade Value - USD], 0)
 + COUNTIFS(HS_DB[Trade Value - USD],HS_DB[[#This Row],[Trade Value - USD]],
            HS_DB[HS Code],"&lt;"&amp;HS_DB[[#This Row],[HS Code]])</f>
        <v>74</v>
      </c>
      <c r="AI56" s="9">
        <f>IFERROR(HS_DB[[#This Row],[Trade Value - USD]]/HS_DB[[#This Row],[Net Weight -KG]],0)</f>
        <v>1.9050081654872073</v>
      </c>
      <c r="AJ56" s="17" cm="1">
        <f t="array" ref="AJ56">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56" s="17" t="str">
        <f>IF(HS_DB[[#This Row],[HS Code Risk Score]]&gt;=40,"High",
 IF(HS_DB[[#This Row],[HS Code Risk Score]]&gt;=25,"Medium","Low"))</f>
        <v>Medium</v>
      </c>
      <c r="AL56" s="17" t="str">
        <f>IF(RANK(HS_DB[[#This Row],[HS Code Risk Score]],HS_DB[HS Code Risk Score])&lt;=10,"Yes","No")</f>
        <v>No</v>
      </c>
      <c r="AM56" s="8">
        <f>SUMIFS(HS_DB[Net Weight -KG],HS_DB[HS Code],HS_DB[[#This Row],[HS Code]])</f>
        <v>17243671.100000001</v>
      </c>
      <c r="AN56" s="8">
        <f>SUMIFS(HS_DB[Trade Value - USD],HS_DB[HS Code],HS_DB[[#This Row],[HS Code]])</f>
        <v>24442250</v>
      </c>
      <c r="AO56" s="6">
        <f>_xlfn.MAXIFS(HS_DB[Origin Share%],HS_DB[HS Code],HS_DB[[#This Row],[HS Code]])</f>
        <v>0.39900464236999494</v>
      </c>
      <c r="AP56" s="8" cm="1">
        <f t="array" ref="AP56">_xlfn.LET(
_xlpm.hs,HS_DB[[#This Row],[HS Code]],
COUNTA(_xlfn.UNIQUE(_xlfn._xlws.FILTER(HS_DB[Reporter],HS_DB[HS Code]=_xlpm.hs)))
)</f>
        <v>23</v>
      </c>
      <c r="AQ56" s="17" t="str">
        <f>IF(HS_DB[[#This Row],[Origin Count]]=1,"Single Source","Multiple Sources")</f>
        <v>Multiple Sources</v>
      </c>
      <c r="AR56" s="8">
        <f>HS_DB[[#This Row],[Annual Spend - USD]]*(HS_DB[[#This Row],[HS Code Risk Score]]/100)</f>
        <v>8310365.0000000009</v>
      </c>
      <c r="AS56" s="8">
        <f>RANK(HS_DB[[#This Row],[Risk Exposure - USD]],HS_DB[Risk Exposure - USD],0)</f>
        <v>73</v>
      </c>
      <c r="AT56" s="8" t="str">
        <f>IF(HS_DB[[#This Row],[Risk Exposure Rank]]&lt;=10,"High",
 IF(HS_DB[[#This Row],[Risk Exposure Rank]]&lt;=30,"Medium",
 "Low"))</f>
        <v>Low</v>
      </c>
      <c r="AU56" s="8" t="str">
        <f>IF(HS_DB[[#This Row],[Risk Exposure Rank]]&lt;=5,"Immediate Action",
 IF(HS_DB[[#This Row],[Risk Exposure Rank]]&lt;=15,"Monitor Closely",
 "Routine Control"))</f>
        <v>Routine Control</v>
      </c>
      <c r="AV56" s="8">
        <f>SUMIFS(HS_DB[Trade Value - USD],HS_DB[HS Code],HS_DB[[#This Row],[HS Code]])</f>
        <v>24442250</v>
      </c>
      <c r="AW56" s="6">
        <f>HS_DB[[#This Row],[Annual Spend - USD]]/HS_DB[[#This Row],[Total Market Size - USD]]</f>
        <v>1</v>
      </c>
      <c r="AX56" s="6" cm="1">
        <f t="array" ref="AX56">COUNTA(_xlfn.UNIQUE(_xlfn._xlws.FILTER(HS_DB[Partner],HS_DB[HS Code]=HS_DB[[#This Row],[HS Code]])))</f>
        <v>1</v>
      </c>
      <c r="AY56" s="8" t="str">
        <f>IF(HS_DB[[#This Row],[Competition Intensity]]&lt;=2,"Highly Concentrated",
 IF(HS_DB[[#This Row],[Competition Intensity]]&lt;=5,"Moderate",
 "Highly Competitive"))</f>
        <v>Highly Concentrated</v>
      </c>
      <c r="AZ56" s="8">
        <f>HS_DB[[#This Row],[Total Market Size - USD]]
*
(1+IFERROR(#REF!,0))
/
HS_DB[[#This Row],[Competition Intensity]]</f>
        <v>24442250</v>
      </c>
      <c r="BA56" s="8" t="str">
        <f>IF(HS_DB[[#This Row],[Commercial Opportunity Score]]&gt;=PERCENTILE(HS_DB[Commercial Opportunity Score],0.9),"High Opportunity",
 IF(HS_DB[[#This Row],[Commercial Opportunity Score]]&gt;=PERCENTILE(HS_DB[Commercial Opportunity Score],0.6),"Medium Opportunity",
 "Routine Market"))</f>
        <v>Medium Opportunity</v>
      </c>
      <c r="BB56" s="3" t="str">
        <f>IF(AND(HS_DB[[#This Row],[Product Rank]]&gt;0,HS_DB[[#This Row],[Product Rank]]&lt;=10),"Yes","No")</f>
        <v>No</v>
      </c>
      <c r="BC56" s="3" t="str">
        <f>IF(AND(HS_DB[[#This Row],[Origin Rank]]&gt;0,HS_DB[[#This Row],[Origin Rank]]&lt;=10),"Yes","No")</f>
        <v>No</v>
      </c>
    </row>
    <row r="57" spans="2:55" x14ac:dyDescent="0.3">
      <c r="B57" s="2">
        <f>HS_DB[[#This Row],[Commodity Code]]</f>
        <v>350510</v>
      </c>
      <c r="C57" s="2">
        <f>IFERROR(INDEX(HS_MD!C:C,MATCH(B57,HS_MD!B:B,0),1),"")</f>
        <v>15</v>
      </c>
      <c r="D57" s="17" t="str">
        <f>IFERROR(INDEX(HS_MD!D:D,MATCH(B57,HS_MD!B:B,0),1),"")</f>
        <v>Dextrins and modified starches</v>
      </c>
      <c r="E57" s="17" t="str">
        <f>IFERROR(INDEX(HS_MD!E:E,MATCH(B57,HS_MD!B:B,0),1),"")</f>
        <v>Modified Starch (Cold/Hot)</v>
      </c>
      <c r="F57" s="17" t="str">
        <f>IFERROR(INDEX(HS_MD!F:F,MATCH(B57,HS_MD!B:B,0),1),"")</f>
        <v>FUNCTIONAL INGREDIENTS</v>
      </c>
      <c r="G57" s="17" t="str">
        <f>IFERROR(INDEX(HS_MD!G:G,MATCH(B57,HS_MD!B:B,0),1),"")</f>
        <v>Modified Starches</v>
      </c>
      <c r="H57" s="17" t="str">
        <f>IFERROR(INDEX(HS_MD!H:H,MATCH(B57,HS_MD!B:B,0),1),"")</f>
        <v>Modified Starch</v>
      </c>
      <c r="I57" s="17" t="str">
        <f>IFERROR(INDEX(HS_MD!I:I,MATCH(B57,HS_MD!B:B,0),1),"")</f>
        <v>Sauces / Mayo / Ketchup</v>
      </c>
      <c r="J57" s="17">
        <f>IFERROR(INDEX(Heat_Map[Index],MATCH(HS_DB[[#This Row],[Reporter]],Heat_Map[Global],0),1),"")</f>
        <v>44</v>
      </c>
      <c r="K57" s="17" t="str">
        <f>IF(AND(HS_DB[[#This Row],[Origin Rank]]&gt;1,HS_DB[[#This Row],[Origin Rank]]&lt;=10),"Yes","No")</f>
        <v>Yes</v>
      </c>
      <c r="L57" s="2">
        <v>2024</v>
      </c>
      <c r="M57" s="2" t="s">
        <v>57</v>
      </c>
      <c r="N57" s="2" t="s">
        <v>41</v>
      </c>
      <c r="O57" s="2" t="s">
        <v>22</v>
      </c>
      <c r="P57" s="2" t="s">
        <v>23</v>
      </c>
      <c r="Q57" s="2" t="s">
        <v>24</v>
      </c>
      <c r="R57" s="2" t="s">
        <v>25</v>
      </c>
      <c r="S57" s="2">
        <v>350510</v>
      </c>
      <c r="T57" s="3">
        <v>302860</v>
      </c>
      <c r="U57" s="3">
        <v>163100</v>
      </c>
      <c r="V57" s="3">
        <v>0</v>
      </c>
      <c r="W57" s="3">
        <v>163100</v>
      </c>
      <c r="X57" s="3" t="s">
        <v>58</v>
      </c>
      <c r="Y57" s="3">
        <v>163100</v>
      </c>
      <c r="Z57" s="2" t="s">
        <v>58</v>
      </c>
      <c r="AA57" s="6">
        <f>SUMIFS(HS_DB[Trade Value - USD],HS_DB[Reporter],HS_DB[[#This Row],[Reporter]])/SUM(HS_DB[Trade Value - USD])</f>
        <v>4.2641562768795568E-4</v>
      </c>
      <c r="AB57" s="8" cm="1">
        <f t="array" ref="AB57">SUMPRODUCT(
(HS_DB[Reporter]=HS_DB[[#This Row],[Reporter]])*
(HS_DB[Trade Value - USD]&gt;HS_DB[[#This Row],[Trade Value - USD]])
)+1</f>
        <v>2</v>
      </c>
      <c r="AC57" s="8" t="str">
        <f>IFERROR(IF(INDEX(Heat_Map[Crisis Impact %],MATCH(HS_DB[[#This Row],[Reporter]],Heat_Map[Global],0),1)&gt;0,"Yes","No"),"No")</f>
        <v>No</v>
      </c>
      <c r="AD57" s="6">
        <f>IFERROR(INDEX(Heat_Map[Crisis Impact %],MATCH(HS_DB[[#This Row],[Reporter]],Heat_Map[Global],0),1),0)</f>
        <v>0</v>
      </c>
      <c r="AE57" s="8">
        <f>HS_DB[[#This Row],[Crisis Impact%]]*HS_DB[[#This Row],[Trade Value - USD]]</f>
        <v>0</v>
      </c>
      <c r="AF57" s="8">
        <f>HS_DB[[#This Row],[Crisis Impact%]]*HS_DB[[#This Row],[Net Weight -KG]]</f>
        <v>0</v>
      </c>
      <c r="AG57" s="6">
        <f>SUMIFS(HS_DB[Trade Value - USD],HS_DB[Products],HS_DB[[#This Row],[Products]])/SUM(HS_DB[Trade Value - USD])</f>
        <v>1.2966653739508774E-2</v>
      </c>
      <c r="AH57" s="8">
        <f>_xlfn.RANK.EQ(HS_DB[[#This Row],[Trade Value - USD]], HS_DB[Trade Value - USD], 0)
 + COUNTIFS(HS_DB[Trade Value - USD],HS_DB[[#This Row],[Trade Value - USD]],
            HS_DB[HS Code],"&lt;"&amp;HS_DB[[#This Row],[HS Code]])</f>
        <v>187</v>
      </c>
      <c r="AI57" s="9">
        <f>IFERROR(HS_DB[[#This Row],[Trade Value - USD]]/HS_DB[[#This Row],[Net Weight -KG]],0)</f>
        <v>1.8568976088289393</v>
      </c>
      <c r="AJ57" s="17" cm="1">
        <f t="array" ref="AJ57">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57" s="17" t="str">
        <f>IF(HS_DB[[#This Row],[HS Code Risk Score]]&gt;=40,"High",
 IF(HS_DB[[#This Row],[HS Code Risk Score]]&gt;=25,"Medium","Low"))</f>
        <v>Medium</v>
      </c>
      <c r="AL57" s="17" t="str">
        <f>IF(RANK(HS_DB[[#This Row],[HS Code Risk Score]],HS_DB[HS Code Risk Score])&lt;=10,"Yes","No")</f>
        <v>No</v>
      </c>
      <c r="AM57" s="8">
        <f>SUMIFS(HS_DB[Net Weight -KG],HS_DB[HS Code],HS_DB[[#This Row],[HS Code]])</f>
        <v>17243671.100000001</v>
      </c>
      <c r="AN57" s="8">
        <f>SUMIFS(HS_DB[Trade Value - USD],HS_DB[HS Code],HS_DB[[#This Row],[HS Code]])</f>
        <v>24442250</v>
      </c>
      <c r="AO57" s="6">
        <f>_xlfn.MAXIFS(HS_DB[Origin Share%],HS_DB[HS Code],HS_DB[[#This Row],[HS Code]])</f>
        <v>0.39900464236999494</v>
      </c>
      <c r="AP57" s="8" cm="1">
        <f t="array" ref="AP57">_xlfn.LET(
_xlpm.hs,HS_DB[[#This Row],[HS Code]],
COUNTA(_xlfn.UNIQUE(_xlfn._xlws.FILTER(HS_DB[Reporter],HS_DB[HS Code]=_xlpm.hs)))
)</f>
        <v>23</v>
      </c>
      <c r="AQ57" s="17" t="str">
        <f>IF(HS_DB[[#This Row],[Origin Count]]=1,"Single Source","Multiple Sources")</f>
        <v>Multiple Sources</v>
      </c>
      <c r="AR57" s="8">
        <f>HS_DB[[#This Row],[Annual Spend - USD]]*(HS_DB[[#This Row],[HS Code Risk Score]]/100)</f>
        <v>8310365.0000000009</v>
      </c>
      <c r="AS57" s="8">
        <f>RANK(HS_DB[[#This Row],[Risk Exposure - USD]],HS_DB[Risk Exposure - USD],0)</f>
        <v>73</v>
      </c>
      <c r="AT57" s="8" t="str">
        <f>IF(HS_DB[[#This Row],[Risk Exposure Rank]]&lt;=10,"High",
 IF(HS_DB[[#This Row],[Risk Exposure Rank]]&lt;=30,"Medium",
 "Low"))</f>
        <v>Low</v>
      </c>
      <c r="AU57" s="8" t="str">
        <f>IF(HS_DB[[#This Row],[Risk Exposure Rank]]&lt;=5,"Immediate Action",
 IF(HS_DB[[#This Row],[Risk Exposure Rank]]&lt;=15,"Monitor Closely",
 "Routine Control"))</f>
        <v>Routine Control</v>
      </c>
      <c r="AV57" s="8">
        <f>SUMIFS(HS_DB[Trade Value - USD],HS_DB[HS Code],HS_DB[[#This Row],[HS Code]])</f>
        <v>24442250</v>
      </c>
      <c r="AW57" s="6">
        <f>HS_DB[[#This Row],[Annual Spend - USD]]/HS_DB[[#This Row],[Total Market Size - USD]]</f>
        <v>1</v>
      </c>
      <c r="AX57" s="6" cm="1">
        <f t="array" ref="AX57">COUNTA(_xlfn.UNIQUE(_xlfn._xlws.FILTER(HS_DB[Partner],HS_DB[HS Code]=HS_DB[[#This Row],[HS Code]])))</f>
        <v>1</v>
      </c>
      <c r="AY57" s="8" t="str">
        <f>IF(HS_DB[[#This Row],[Competition Intensity]]&lt;=2,"Highly Concentrated",
 IF(HS_DB[[#This Row],[Competition Intensity]]&lt;=5,"Moderate",
 "Highly Competitive"))</f>
        <v>Highly Concentrated</v>
      </c>
      <c r="AZ57" s="8">
        <f>HS_DB[[#This Row],[Total Market Size - USD]]
*
(1+IFERROR(#REF!,0))
/
HS_DB[[#This Row],[Competition Intensity]]</f>
        <v>24442250</v>
      </c>
      <c r="BA57" s="8" t="str">
        <f>IF(HS_DB[[#This Row],[Commercial Opportunity Score]]&gt;=PERCENTILE(HS_DB[Commercial Opportunity Score],0.9),"High Opportunity",
 IF(HS_DB[[#This Row],[Commercial Opportunity Score]]&gt;=PERCENTILE(HS_DB[Commercial Opportunity Score],0.6),"Medium Opportunity",
 "Routine Market"))</f>
        <v>Medium Opportunity</v>
      </c>
      <c r="BB57" s="3" t="str">
        <f>IF(AND(HS_DB[[#This Row],[Product Rank]]&gt;0,HS_DB[[#This Row],[Product Rank]]&lt;=10),"Yes","No")</f>
        <v>No</v>
      </c>
      <c r="BC57" s="3" t="str">
        <f>IF(AND(HS_DB[[#This Row],[Origin Rank]]&gt;0,HS_DB[[#This Row],[Origin Rank]]&lt;=10),"Yes","No")</f>
        <v>Yes</v>
      </c>
    </row>
    <row r="58" spans="2:55" x14ac:dyDescent="0.3">
      <c r="B58" s="2">
        <f>HS_DB[[#This Row],[Commodity Code]]</f>
        <v>350510</v>
      </c>
      <c r="C58" s="2">
        <f>IFERROR(INDEX(HS_MD!C:C,MATCH(B58,HS_MD!B:B,0),1),"")</f>
        <v>15</v>
      </c>
      <c r="D58" s="17" t="str">
        <f>IFERROR(INDEX(HS_MD!D:D,MATCH(B58,HS_MD!B:B,0),1),"")</f>
        <v>Dextrins and modified starches</v>
      </c>
      <c r="E58" s="17" t="str">
        <f>IFERROR(INDEX(HS_MD!E:E,MATCH(B58,HS_MD!B:B,0),1),"")</f>
        <v>Modified Starch (Cold/Hot)</v>
      </c>
      <c r="F58" s="17" t="str">
        <f>IFERROR(INDEX(HS_MD!F:F,MATCH(B58,HS_MD!B:B,0),1),"")</f>
        <v>FUNCTIONAL INGREDIENTS</v>
      </c>
      <c r="G58" s="17" t="str">
        <f>IFERROR(INDEX(HS_MD!G:G,MATCH(B58,HS_MD!B:B,0),1),"")</f>
        <v>Modified Starches</v>
      </c>
      <c r="H58" s="17" t="str">
        <f>IFERROR(INDEX(HS_MD!H:H,MATCH(B58,HS_MD!B:B,0),1),"")</f>
        <v>Modified Starch</v>
      </c>
      <c r="I58" s="17" t="str">
        <f>IFERROR(INDEX(HS_MD!I:I,MATCH(B58,HS_MD!B:B,0),1),"")</f>
        <v>Sauces / Mayo / Ketchup</v>
      </c>
      <c r="J58" s="17">
        <f>IFERROR(INDEX(Heat_Map[Index],MATCH(HS_DB[[#This Row],[Reporter]],Heat_Map[Global],0),1),"")</f>
        <v>45</v>
      </c>
      <c r="K58" s="17" t="str">
        <f>IF(AND(HS_DB[[#This Row],[Origin Rank]]&gt;1,HS_DB[[#This Row],[Origin Rank]]&lt;=10),"Yes","No")</f>
        <v>Yes</v>
      </c>
      <c r="L58" s="2">
        <v>2024</v>
      </c>
      <c r="M58" s="2" t="s">
        <v>57</v>
      </c>
      <c r="N58" s="2" t="s">
        <v>42</v>
      </c>
      <c r="O58" s="2" t="s">
        <v>22</v>
      </c>
      <c r="P58" s="2" t="s">
        <v>23</v>
      </c>
      <c r="Q58" s="2" t="s">
        <v>24</v>
      </c>
      <c r="R58" s="2" t="s">
        <v>25</v>
      </c>
      <c r="S58" s="2">
        <v>350510</v>
      </c>
      <c r="T58" s="3">
        <v>34922</v>
      </c>
      <c r="U58" s="3">
        <v>17600</v>
      </c>
      <c r="V58" s="3">
        <v>0</v>
      </c>
      <c r="W58" s="3">
        <v>17600</v>
      </c>
      <c r="X58" s="3" t="s">
        <v>58</v>
      </c>
      <c r="Y58" s="3">
        <v>17600</v>
      </c>
      <c r="Z58" s="2" t="s">
        <v>58</v>
      </c>
      <c r="AA58" s="6">
        <f>SUMIFS(HS_DB[Trade Value - USD],HS_DB[Reporter],HS_DB[[#This Row],[Reporter]])/SUM(HS_DB[Trade Value - USD])</f>
        <v>4.8573207719329804E-4</v>
      </c>
      <c r="AB58" s="8" cm="1">
        <f t="array" ref="AB58">SUMPRODUCT(
(HS_DB[Reporter]=HS_DB[[#This Row],[Reporter]])*
(HS_DB[Trade Value - USD]&gt;HS_DB[[#This Row],[Trade Value - USD]])
)+1</f>
        <v>4</v>
      </c>
      <c r="AC58" s="8" t="str">
        <f>IFERROR(IF(INDEX(Heat_Map[Crisis Impact %],MATCH(HS_DB[[#This Row],[Reporter]],Heat_Map[Global],0),1)&gt;0,"Yes","No"),"No")</f>
        <v>No</v>
      </c>
      <c r="AD58" s="6">
        <f>IFERROR(INDEX(Heat_Map[Crisis Impact %],MATCH(HS_DB[[#This Row],[Reporter]],Heat_Map[Global],0),1),0)</f>
        <v>0</v>
      </c>
      <c r="AE58" s="8">
        <f>HS_DB[[#This Row],[Crisis Impact%]]*HS_DB[[#This Row],[Trade Value - USD]]</f>
        <v>0</v>
      </c>
      <c r="AF58" s="8">
        <f>HS_DB[[#This Row],[Crisis Impact%]]*HS_DB[[#This Row],[Net Weight -KG]]</f>
        <v>0</v>
      </c>
      <c r="AG58" s="6">
        <f>SUMIFS(HS_DB[Trade Value - USD],HS_DB[Products],HS_DB[[#This Row],[Products]])/SUM(HS_DB[Trade Value - USD])</f>
        <v>1.2966653739508774E-2</v>
      </c>
      <c r="AH58" s="8">
        <f>_xlfn.RANK.EQ(HS_DB[[#This Row],[Trade Value - USD]], HS_DB[Trade Value - USD], 0)
 + COUNTIFS(HS_DB[Trade Value - USD],HS_DB[[#This Row],[Trade Value - USD]],
            HS_DB[HS Code],"&lt;"&amp;HS_DB[[#This Row],[HS Code]])</f>
        <v>344</v>
      </c>
      <c r="AI58" s="9">
        <f>IFERROR(HS_DB[[#This Row],[Trade Value - USD]]/HS_DB[[#This Row],[Net Weight -KG]],0)</f>
        <v>1.9842045454545454</v>
      </c>
      <c r="AJ58" s="17" cm="1">
        <f t="array" ref="AJ58">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58" s="17" t="str">
        <f>IF(HS_DB[[#This Row],[HS Code Risk Score]]&gt;=40,"High",
 IF(HS_DB[[#This Row],[HS Code Risk Score]]&gt;=25,"Medium","Low"))</f>
        <v>Medium</v>
      </c>
      <c r="AL58" s="17" t="str">
        <f>IF(RANK(HS_DB[[#This Row],[HS Code Risk Score]],HS_DB[HS Code Risk Score])&lt;=10,"Yes","No")</f>
        <v>No</v>
      </c>
      <c r="AM58" s="8">
        <f>SUMIFS(HS_DB[Net Weight -KG],HS_DB[HS Code],HS_DB[[#This Row],[HS Code]])</f>
        <v>17243671.100000001</v>
      </c>
      <c r="AN58" s="8">
        <f>SUMIFS(HS_DB[Trade Value - USD],HS_DB[HS Code],HS_DB[[#This Row],[HS Code]])</f>
        <v>24442250</v>
      </c>
      <c r="AO58" s="6">
        <f>_xlfn.MAXIFS(HS_DB[Origin Share%],HS_DB[HS Code],HS_DB[[#This Row],[HS Code]])</f>
        <v>0.39900464236999494</v>
      </c>
      <c r="AP58" s="8" cm="1">
        <f t="array" ref="AP58">_xlfn.LET(
_xlpm.hs,HS_DB[[#This Row],[HS Code]],
COUNTA(_xlfn.UNIQUE(_xlfn._xlws.FILTER(HS_DB[Reporter],HS_DB[HS Code]=_xlpm.hs)))
)</f>
        <v>23</v>
      </c>
      <c r="AQ58" s="17" t="str">
        <f>IF(HS_DB[[#This Row],[Origin Count]]=1,"Single Source","Multiple Sources")</f>
        <v>Multiple Sources</v>
      </c>
      <c r="AR58" s="8">
        <f>HS_DB[[#This Row],[Annual Spend - USD]]*(HS_DB[[#This Row],[HS Code Risk Score]]/100)</f>
        <v>8310365.0000000009</v>
      </c>
      <c r="AS58" s="8">
        <f>RANK(HS_DB[[#This Row],[Risk Exposure - USD]],HS_DB[Risk Exposure - USD],0)</f>
        <v>73</v>
      </c>
      <c r="AT58" s="8" t="str">
        <f>IF(HS_DB[[#This Row],[Risk Exposure Rank]]&lt;=10,"High",
 IF(HS_DB[[#This Row],[Risk Exposure Rank]]&lt;=30,"Medium",
 "Low"))</f>
        <v>Low</v>
      </c>
      <c r="AU58" s="8" t="str">
        <f>IF(HS_DB[[#This Row],[Risk Exposure Rank]]&lt;=5,"Immediate Action",
 IF(HS_DB[[#This Row],[Risk Exposure Rank]]&lt;=15,"Monitor Closely",
 "Routine Control"))</f>
        <v>Routine Control</v>
      </c>
      <c r="AV58" s="8">
        <f>SUMIFS(HS_DB[Trade Value - USD],HS_DB[HS Code],HS_DB[[#This Row],[HS Code]])</f>
        <v>24442250</v>
      </c>
      <c r="AW58" s="6">
        <f>HS_DB[[#This Row],[Annual Spend - USD]]/HS_DB[[#This Row],[Total Market Size - USD]]</f>
        <v>1</v>
      </c>
      <c r="AX58" s="6" cm="1">
        <f t="array" ref="AX58">COUNTA(_xlfn.UNIQUE(_xlfn._xlws.FILTER(HS_DB[Partner],HS_DB[HS Code]=HS_DB[[#This Row],[HS Code]])))</f>
        <v>1</v>
      </c>
      <c r="AY58" s="8" t="str">
        <f>IF(HS_DB[[#This Row],[Competition Intensity]]&lt;=2,"Highly Concentrated",
 IF(HS_DB[[#This Row],[Competition Intensity]]&lt;=5,"Moderate",
 "Highly Competitive"))</f>
        <v>Highly Concentrated</v>
      </c>
      <c r="AZ58" s="8">
        <f>HS_DB[[#This Row],[Total Market Size - USD]]
*
(1+IFERROR(#REF!,0))
/
HS_DB[[#This Row],[Competition Intensity]]</f>
        <v>24442250</v>
      </c>
      <c r="BA58" s="8" t="str">
        <f>IF(HS_DB[[#This Row],[Commercial Opportunity Score]]&gt;=PERCENTILE(HS_DB[Commercial Opportunity Score],0.9),"High Opportunity",
 IF(HS_DB[[#This Row],[Commercial Opportunity Score]]&gt;=PERCENTILE(HS_DB[Commercial Opportunity Score],0.6),"Medium Opportunity",
 "Routine Market"))</f>
        <v>Medium Opportunity</v>
      </c>
      <c r="BB58" s="3" t="str">
        <f>IF(AND(HS_DB[[#This Row],[Product Rank]]&gt;0,HS_DB[[#This Row],[Product Rank]]&lt;=10),"Yes","No")</f>
        <v>No</v>
      </c>
      <c r="BC58" s="3" t="str">
        <f>IF(AND(HS_DB[[#This Row],[Origin Rank]]&gt;0,HS_DB[[#This Row],[Origin Rank]]&lt;=10),"Yes","No")</f>
        <v>Yes</v>
      </c>
    </row>
    <row r="59" spans="2:55" x14ac:dyDescent="0.3">
      <c r="B59" s="2">
        <f>HS_DB[[#This Row],[Commodity Code]]</f>
        <v>350510</v>
      </c>
      <c r="C59" s="2">
        <f>IFERROR(INDEX(HS_MD!C:C,MATCH(B59,HS_MD!B:B,0),1),"")</f>
        <v>15</v>
      </c>
      <c r="D59" s="17" t="str">
        <f>IFERROR(INDEX(HS_MD!D:D,MATCH(B59,HS_MD!B:B,0),1),"")</f>
        <v>Dextrins and modified starches</v>
      </c>
      <c r="E59" s="17" t="str">
        <f>IFERROR(INDEX(HS_MD!E:E,MATCH(B59,HS_MD!B:B,0),1),"")</f>
        <v>Modified Starch (Cold/Hot)</v>
      </c>
      <c r="F59" s="17" t="str">
        <f>IFERROR(INDEX(HS_MD!F:F,MATCH(B59,HS_MD!B:B,0),1),"")</f>
        <v>FUNCTIONAL INGREDIENTS</v>
      </c>
      <c r="G59" s="17" t="str">
        <f>IFERROR(INDEX(HS_MD!G:G,MATCH(B59,HS_MD!B:B,0),1),"")</f>
        <v>Modified Starches</v>
      </c>
      <c r="H59" s="17" t="str">
        <f>IFERROR(INDEX(HS_MD!H:H,MATCH(B59,HS_MD!B:B,0),1),"")</f>
        <v>Modified Starch</v>
      </c>
      <c r="I59" s="17" t="str">
        <f>IFERROR(INDEX(HS_MD!I:I,MATCH(B59,HS_MD!B:B,0),1),"")</f>
        <v>Sauces / Mayo / Ketchup</v>
      </c>
      <c r="J59" s="17">
        <f>IFERROR(INDEX(Heat_Map[Index],MATCH(HS_DB[[#This Row],[Reporter]],Heat_Map[Global],0),1),"")</f>
        <v>59</v>
      </c>
      <c r="K59" s="17" t="str">
        <f>IF(AND(HS_DB[[#This Row],[Origin Rank]]&gt;1,HS_DB[[#This Row],[Origin Rank]]&lt;=10),"Yes","No")</f>
        <v>No</v>
      </c>
      <c r="L59" s="2">
        <v>2024</v>
      </c>
      <c r="M59" s="2" t="s">
        <v>57</v>
      </c>
      <c r="N59" s="2" t="s">
        <v>44</v>
      </c>
      <c r="O59" s="2" t="s">
        <v>22</v>
      </c>
      <c r="P59" s="2" t="s">
        <v>23</v>
      </c>
      <c r="Q59" s="2" t="s">
        <v>24</v>
      </c>
      <c r="R59" s="2" t="s">
        <v>25</v>
      </c>
      <c r="S59" s="2">
        <v>350510</v>
      </c>
      <c r="T59" s="3">
        <v>368731</v>
      </c>
      <c r="U59" s="3">
        <v>199010</v>
      </c>
      <c r="V59" s="3">
        <v>0</v>
      </c>
      <c r="W59" s="3">
        <v>199010</v>
      </c>
      <c r="X59" s="3" t="s">
        <v>58</v>
      </c>
      <c r="Y59" s="3">
        <v>199010</v>
      </c>
      <c r="Z59" s="2" t="s">
        <v>58</v>
      </c>
      <c r="AA59" s="6">
        <f>SUMIFS(HS_DB[Trade Value - USD],HS_DB[Reporter],HS_DB[[#This Row],[Reporter]])/SUM(HS_DB[Trade Value - USD])</f>
        <v>1.6951290293147386E-2</v>
      </c>
      <c r="AB59" s="8" cm="1">
        <f t="array" ref="AB59">SUMPRODUCT(
(HS_DB[Reporter]=HS_DB[[#This Row],[Reporter]])*
(HS_DB[Trade Value - USD]&gt;HS_DB[[#This Row],[Trade Value - USD]])
)+1</f>
        <v>11</v>
      </c>
      <c r="AC59" s="8" t="str">
        <f>IFERROR(IF(INDEX(Heat_Map[Crisis Impact %],MATCH(HS_DB[[#This Row],[Reporter]],Heat_Map[Global],0),1)&gt;0,"Yes","No"),"No")</f>
        <v>No</v>
      </c>
      <c r="AD59" s="6">
        <f>IFERROR(INDEX(Heat_Map[Crisis Impact %],MATCH(HS_DB[[#This Row],[Reporter]],Heat_Map[Global],0),1),0)</f>
        <v>0</v>
      </c>
      <c r="AE59" s="8">
        <f>HS_DB[[#This Row],[Crisis Impact%]]*HS_DB[[#This Row],[Trade Value - USD]]</f>
        <v>0</v>
      </c>
      <c r="AF59" s="8">
        <f>HS_DB[[#This Row],[Crisis Impact%]]*HS_DB[[#This Row],[Net Weight -KG]]</f>
        <v>0</v>
      </c>
      <c r="AG59" s="6">
        <f>SUMIFS(HS_DB[Trade Value - USD],HS_DB[Products],HS_DB[[#This Row],[Products]])/SUM(HS_DB[Trade Value - USD])</f>
        <v>1.2966653739508774E-2</v>
      </c>
      <c r="AH59" s="8">
        <f>_xlfn.RANK.EQ(HS_DB[[#This Row],[Trade Value - USD]], HS_DB[Trade Value - USD], 0)
 + COUNTIFS(HS_DB[Trade Value - USD],HS_DB[[#This Row],[Trade Value - USD]],
            HS_DB[HS Code],"&lt;"&amp;HS_DB[[#This Row],[HS Code]])</f>
        <v>169</v>
      </c>
      <c r="AI59" s="9">
        <f>IFERROR(HS_DB[[#This Row],[Trade Value - USD]]/HS_DB[[#This Row],[Net Weight -KG]],0)</f>
        <v>1.852826491131099</v>
      </c>
      <c r="AJ59" s="17" cm="1">
        <f t="array" ref="AJ59">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59" s="17" t="str">
        <f>IF(HS_DB[[#This Row],[HS Code Risk Score]]&gt;=40,"High",
 IF(HS_DB[[#This Row],[HS Code Risk Score]]&gt;=25,"Medium","Low"))</f>
        <v>Medium</v>
      </c>
      <c r="AL59" s="17" t="str">
        <f>IF(RANK(HS_DB[[#This Row],[HS Code Risk Score]],HS_DB[HS Code Risk Score])&lt;=10,"Yes","No")</f>
        <v>No</v>
      </c>
      <c r="AM59" s="8">
        <f>SUMIFS(HS_DB[Net Weight -KG],HS_DB[HS Code],HS_DB[[#This Row],[HS Code]])</f>
        <v>17243671.100000001</v>
      </c>
      <c r="AN59" s="8">
        <f>SUMIFS(HS_DB[Trade Value - USD],HS_DB[HS Code],HS_DB[[#This Row],[HS Code]])</f>
        <v>24442250</v>
      </c>
      <c r="AO59" s="6">
        <f>_xlfn.MAXIFS(HS_DB[Origin Share%],HS_DB[HS Code],HS_DB[[#This Row],[HS Code]])</f>
        <v>0.39900464236999494</v>
      </c>
      <c r="AP59" s="8" cm="1">
        <f t="array" ref="AP59">_xlfn.LET(
_xlpm.hs,HS_DB[[#This Row],[HS Code]],
COUNTA(_xlfn.UNIQUE(_xlfn._xlws.FILTER(HS_DB[Reporter],HS_DB[HS Code]=_xlpm.hs)))
)</f>
        <v>23</v>
      </c>
      <c r="AQ59" s="17" t="str">
        <f>IF(HS_DB[[#This Row],[Origin Count]]=1,"Single Source","Multiple Sources")</f>
        <v>Multiple Sources</v>
      </c>
      <c r="AR59" s="8">
        <f>HS_DB[[#This Row],[Annual Spend - USD]]*(HS_DB[[#This Row],[HS Code Risk Score]]/100)</f>
        <v>8310365.0000000009</v>
      </c>
      <c r="AS59" s="8">
        <f>RANK(HS_DB[[#This Row],[Risk Exposure - USD]],HS_DB[Risk Exposure - USD],0)</f>
        <v>73</v>
      </c>
      <c r="AT59" s="8" t="str">
        <f>IF(HS_DB[[#This Row],[Risk Exposure Rank]]&lt;=10,"High",
 IF(HS_DB[[#This Row],[Risk Exposure Rank]]&lt;=30,"Medium",
 "Low"))</f>
        <v>Low</v>
      </c>
      <c r="AU59" s="8" t="str">
        <f>IF(HS_DB[[#This Row],[Risk Exposure Rank]]&lt;=5,"Immediate Action",
 IF(HS_DB[[#This Row],[Risk Exposure Rank]]&lt;=15,"Monitor Closely",
 "Routine Control"))</f>
        <v>Routine Control</v>
      </c>
      <c r="AV59" s="8">
        <f>SUMIFS(HS_DB[Trade Value - USD],HS_DB[HS Code],HS_DB[[#This Row],[HS Code]])</f>
        <v>24442250</v>
      </c>
      <c r="AW59" s="6">
        <f>HS_DB[[#This Row],[Annual Spend - USD]]/HS_DB[[#This Row],[Total Market Size - USD]]</f>
        <v>1</v>
      </c>
      <c r="AX59" s="6" cm="1">
        <f t="array" ref="AX59">COUNTA(_xlfn.UNIQUE(_xlfn._xlws.FILTER(HS_DB[Partner],HS_DB[HS Code]=HS_DB[[#This Row],[HS Code]])))</f>
        <v>1</v>
      </c>
      <c r="AY59" s="8" t="str">
        <f>IF(HS_DB[[#This Row],[Competition Intensity]]&lt;=2,"Highly Concentrated",
 IF(HS_DB[[#This Row],[Competition Intensity]]&lt;=5,"Moderate",
 "Highly Competitive"))</f>
        <v>Highly Concentrated</v>
      </c>
      <c r="AZ59" s="8">
        <f>HS_DB[[#This Row],[Total Market Size - USD]]
*
(1+IFERROR(#REF!,0))
/
HS_DB[[#This Row],[Competition Intensity]]</f>
        <v>24442250</v>
      </c>
      <c r="BA59" s="8" t="str">
        <f>IF(HS_DB[[#This Row],[Commercial Opportunity Score]]&gt;=PERCENTILE(HS_DB[Commercial Opportunity Score],0.9),"High Opportunity",
 IF(HS_DB[[#This Row],[Commercial Opportunity Score]]&gt;=PERCENTILE(HS_DB[Commercial Opportunity Score],0.6),"Medium Opportunity",
 "Routine Market"))</f>
        <v>Medium Opportunity</v>
      </c>
      <c r="BB59" s="3" t="str">
        <f>IF(AND(HS_DB[[#This Row],[Product Rank]]&gt;0,HS_DB[[#This Row],[Product Rank]]&lt;=10),"Yes","No")</f>
        <v>No</v>
      </c>
      <c r="BC59" s="3" t="str">
        <f>IF(AND(HS_DB[[#This Row],[Origin Rank]]&gt;0,HS_DB[[#This Row],[Origin Rank]]&lt;=10),"Yes","No")</f>
        <v>No</v>
      </c>
    </row>
    <row r="60" spans="2:55" x14ac:dyDescent="0.3">
      <c r="B60" s="2">
        <f>HS_DB[[#This Row],[Commodity Code]]</f>
        <v>350510</v>
      </c>
      <c r="C60" s="2">
        <f>IFERROR(INDEX(HS_MD!C:C,MATCH(B60,HS_MD!B:B,0),1),"")</f>
        <v>15</v>
      </c>
      <c r="D60" s="17" t="str">
        <f>IFERROR(INDEX(HS_MD!D:D,MATCH(B60,HS_MD!B:B,0),1),"")</f>
        <v>Dextrins and modified starches</v>
      </c>
      <c r="E60" s="17" t="str">
        <f>IFERROR(INDEX(HS_MD!E:E,MATCH(B60,HS_MD!B:B,0),1),"")</f>
        <v>Modified Starch (Cold/Hot)</v>
      </c>
      <c r="F60" s="17" t="str">
        <f>IFERROR(INDEX(HS_MD!F:F,MATCH(B60,HS_MD!B:B,0),1),"")</f>
        <v>FUNCTIONAL INGREDIENTS</v>
      </c>
      <c r="G60" s="17" t="str">
        <f>IFERROR(INDEX(HS_MD!G:G,MATCH(B60,HS_MD!B:B,0),1),"")</f>
        <v>Modified Starches</v>
      </c>
      <c r="H60" s="17" t="str">
        <f>IFERROR(INDEX(HS_MD!H:H,MATCH(B60,HS_MD!B:B,0),1),"")</f>
        <v>Modified Starch</v>
      </c>
      <c r="I60" s="17" t="str">
        <f>IFERROR(INDEX(HS_MD!I:I,MATCH(B60,HS_MD!B:B,0),1),"")</f>
        <v>Sauces / Mayo / Ketchup</v>
      </c>
      <c r="J60" s="17">
        <f>IFERROR(INDEX(Heat_Map[Index],MATCH(HS_DB[[#This Row],[Reporter]],Heat_Map[Global],0),1),"")</f>
        <v>63</v>
      </c>
      <c r="K60" s="17" t="str">
        <f>IF(AND(HS_DB[[#This Row],[Origin Rank]]&gt;1,HS_DB[[#This Row],[Origin Rank]]&lt;=10),"Yes","No")</f>
        <v>Yes</v>
      </c>
      <c r="L60" s="2">
        <v>2024</v>
      </c>
      <c r="M60" s="2" t="s">
        <v>57</v>
      </c>
      <c r="N60" s="2" t="s">
        <v>2</v>
      </c>
      <c r="O60" s="2" t="s">
        <v>22</v>
      </c>
      <c r="P60" s="2" t="s">
        <v>23</v>
      </c>
      <c r="Q60" s="2" t="s">
        <v>24</v>
      </c>
      <c r="R60" s="2" t="s">
        <v>25</v>
      </c>
      <c r="S60" s="2">
        <v>350510</v>
      </c>
      <c r="T60" s="3">
        <v>3374059</v>
      </c>
      <c r="U60" s="3">
        <v>1649011</v>
      </c>
      <c r="V60" s="3">
        <v>0</v>
      </c>
      <c r="W60" s="3">
        <v>1649011</v>
      </c>
      <c r="X60" s="3" t="s">
        <v>58</v>
      </c>
      <c r="Y60" s="3">
        <v>1649011</v>
      </c>
      <c r="Z60" s="2" t="s">
        <v>58</v>
      </c>
      <c r="AA60" s="6">
        <f>SUMIFS(HS_DB[Trade Value - USD],HS_DB[Reporter],HS_DB[[#This Row],[Reporter]])/SUM(HS_DB[Trade Value - USD])</f>
        <v>1.1674623358397021E-2</v>
      </c>
      <c r="AB60" s="8" cm="1">
        <f t="array" ref="AB60">SUMPRODUCT(
(HS_DB[Reporter]=HS_DB[[#This Row],[Reporter]])*
(HS_DB[Trade Value - USD]&gt;HS_DB[[#This Row],[Trade Value - USD]])
)+1</f>
        <v>2</v>
      </c>
      <c r="AC60" s="8" t="str">
        <f>IFERROR(IF(INDEX(Heat_Map[Crisis Impact %],MATCH(HS_DB[[#This Row],[Reporter]],Heat_Map[Global],0),1)&gt;0,"Yes","No"),"No")</f>
        <v>No</v>
      </c>
      <c r="AD60" s="6">
        <f>IFERROR(INDEX(Heat_Map[Crisis Impact %],MATCH(HS_DB[[#This Row],[Reporter]],Heat_Map[Global],0),1),0)</f>
        <v>0</v>
      </c>
      <c r="AE60" s="8">
        <f>HS_DB[[#This Row],[Crisis Impact%]]*HS_DB[[#This Row],[Trade Value - USD]]</f>
        <v>0</v>
      </c>
      <c r="AF60" s="8">
        <f>HS_DB[[#This Row],[Crisis Impact%]]*HS_DB[[#This Row],[Net Weight -KG]]</f>
        <v>0</v>
      </c>
      <c r="AG60" s="6">
        <f>SUMIFS(HS_DB[Trade Value - USD],HS_DB[Products],HS_DB[[#This Row],[Products]])/SUM(HS_DB[Trade Value - USD])</f>
        <v>1.2966653739508774E-2</v>
      </c>
      <c r="AH60" s="8">
        <f>_xlfn.RANK.EQ(HS_DB[[#This Row],[Trade Value - USD]], HS_DB[Trade Value - USD], 0)
 + COUNTIFS(HS_DB[Trade Value - USD],HS_DB[[#This Row],[Trade Value - USD]],
            HS_DB[HS Code],"&lt;"&amp;HS_DB[[#This Row],[HS Code]])</f>
        <v>43</v>
      </c>
      <c r="AI60" s="9">
        <f>IFERROR(HS_DB[[#This Row],[Trade Value - USD]]/HS_DB[[#This Row],[Net Weight -KG]],0)</f>
        <v>2.0461106687584256</v>
      </c>
      <c r="AJ60" s="17" cm="1">
        <f t="array" ref="AJ60">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60" s="17" t="str">
        <f>IF(HS_DB[[#This Row],[HS Code Risk Score]]&gt;=40,"High",
 IF(HS_DB[[#This Row],[HS Code Risk Score]]&gt;=25,"Medium","Low"))</f>
        <v>Medium</v>
      </c>
      <c r="AL60" s="17" t="str">
        <f>IF(RANK(HS_DB[[#This Row],[HS Code Risk Score]],HS_DB[HS Code Risk Score])&lt;=10,"Yes","No")</f>
        <v>No</v>
      </c>
      <c r="AM60" s="8">
        <f>SUMIFS(HS_DB[Net Weight -KG],HS_DB[HS Code],HS_DB[[#This Row],[HS Code]])</f>
        <v>17243671.100000001</v>
      </c>
      <c r="AN60" s="8">
        <f>SUMIFS(HS_DB[Trade Value - USD],HS_DB[HS Code],HS_DB[[#This Row],[HS Code]])</f>
        <v>24442250</v>
      </c>
      <c r="AO60" s="6">
        <f>_xlfn.MAXIFS(HS_DB[Origin Share%],HS_DB[HS Code],HS_DB[[#This Row],[HS Code]])</f>
        <v>0.39900464236999494</v>
      </c>
      <c r="AP60" s="8" cm="1">
        <f t="array" ref="AP60">_xlfn.LET(
_xlpm.hs,HS_DB[[#This Row],[HS Code]],
COUNTA(_xlfn.UNIQUE(_xlfn._xlws.FILTER(HS_DB[Reporter],HS_DB[HS Code]=_xlpm.hs)))
)</f>
        <v>23</v>
      </c>
      <c r="AQ60" s="17" t="str">
        <f>IF(HS_DB[[#This Row],[Origin Count]]=1,"Single Source","Multiple Sources")</f>
        <v>Multiple Sources</v>
      </c>
      <c r="AR60" s="8">
        <f>HS_DB[[#This Row],[Annual Spend - USD]]*(HS_DB[[#This Row],[HS Code Risk Score]]/100)</f>
        <v>8310365.0000000009</v>
      </c>
      <c r="AS60" s="8">
        <f>RANK(HS_DB[[#This Row],[Risk Exposure - USD]],HS_DB[Risk Exposure - USD],0)</f>
        <v>73</v>
      </c>
      <c r="AT60" s="8" t="str">
        <f>IF(HS_DB[[#This Row],[Risk Exposure Rank]]&lt;=10,"High",
 IF(HS_DB[[#This Row],[Risk Exposure Rank]]&lt;=30,"Medium",
 "Low"))</f>
        <v>Low</v>
      </c>
      <c r="AU60" s="8" t="str">
        <f>IF(HS_DB[[#This Row],[Risk Exposure Rank]]&lt;=5,"Immediate Action",
 IF(HS_DB[[#This Row],[Risk Exposure Rank]]&lt;=15,"Monitor Closely",
 "Routine Control"))</f>
        <v>Routine Control</v>
      </c>
      <c r="AV60" s="8">
        <f>SUMIFS(HS_DB[Trade Value - USD],HS_DB[HS Code],HS_DB[[#This Row],[HS Code]])</f>
        <v>24442250</v>
      </c>
      <c r="AW60" s="6">
        <f>HS_DB[[#This Row],[Annual Spend - USD]]/HS_DB[[#This Row],[Total Market Size - USD]]</f>
        <v>1</v>
      </c>
      <c r="AX60" s="6" cm="1">
        <f t="array" ref="AX60">COUNTA(_xlfn.UNIQUE(_xlfn._xlws.FILTER(HS_DB[Partner],HS_DB[HS Code]=HS_DB[[#This Row],[HS Code]])))</f>
        <v>1</v>
      </c>
      <c r="AY60" s="8" t="str">
        <f>IF(HS_DB[[#This Row],[Competition Intensity]]&lt;=2,"Highly Concentrated",
 IF(HS_DB[[#This Row],[Competition Intensity]]&lt;=5,"Moderate",
 "Highly Competitive"))</f>
        <v>Highly Concentrated</v>
      </c>
      <c r="AZ60" s="8">
        <f>HS_DB[[#This Row],[Total Market Size - USD]]
*
(1+IFERROR(#REF!,0))
/
HS_DB[[#This Row],[Competition Intensity]]</f>
        <v>24442250</v>
      </c>
      <c r="BA60" s="8" t="str">
        <f>IF(HS_DB[[#This Row],[Commercial Opportunity Score]]&gt;=PERCENTILE(HS_DB[Commercial Opportunity Score],0.9),"High Opportunity",
 IF(HS_DB[[#This Row],[Commercial Opportunity Score]]&gt;=PERCENTILE(HS_DB[Commercial Opportunity Score],0.6),"Medium Opportunity",
 "Routine Market"))</f>
        <v>Medium Opportunity</v>
      </c>
      <c r="BB60" s="3" t="str">
        <f>IF(AND(HS_DB[[#This Row],[Product Rank]]&gt;0,HS_DB[[#This Row],[Product Rank]]&lt;=10),"Yes","No")</f>
        <v>No</v>
      </c>
      <c r="BC60" s="3" t="str">
        <f>IF(AND(HS_DB[[#This Row],[Origin Rank]]&gt;0,HS_DB[[#This Row],[Origin Rank]]&lt;=10),"Yes","No")</f>
        <v>Yes</v>
      </c>
    </row>
    <row r="61" spans="2:55" x14ac:dyDescent="0.3">
      <c r="B61" s="2">
        <f>HS_DB[[#This Row],[Commodity Code]]</f>
        <v>350510</v>
      </c>
      <c r="C61" s="2">
        <f>IFERROR(INDEX(HS_MD!C:C,MATCH(B61,HS_MD!B:B,0),1),"")</f>
        <v>15</v>
      </c>
      <c r="D61" s="17" t="str">
        <f>IFERROR(INDEX(HS_MD!D:D,MATCH(B61,HS_MD!B:B,0),1),"")</f>
        <v>Dextrins and modified starches</v>
      </c>
      <c r="E61" s="17" t="str">
        <f>IFERROR(INDEX(HS_MD!E:E,MATCH(B61,HS_MD!B:B,0),1),"")</f>
        <v>Modified Starch (Cold/Hot)</v>
      </c>
      <c r="F61" s="17" t="str">
        <f>IFERROR(INDEX(HS_MD!F:F,MATCH(B61,HS_MD!B:B,0),1),"")</f>
        <v>FUNCTIONAL INGREDIENTS</v>
      </c>
      <c r="G61" s="17" t="str">
        <f>IFERROR(INDEX(HS_MD!G:G,MATCH(B61,HS_MD!B:B,0),1),"")</f>
        <v>Modified Starches</v>
      </c>
      <c r="H61" s="17" t="str">
        <f>IFERROR(INDEX(HS_MD!H:H,MATCH(B61,HS_MD!B:B,0),1),"")</f>
        <v>Modified Starch</v>
      </c>
      <c r="I61" s="17" t="str">
        <f>IFERROR(INDEX(HS_MD!I:I,MATCH(B61,HS_MD!B:B,0),1),"")</f>
        <v>Sauces / Mayo / Ketchup</v>
      </c>
      <c r="J61" s="17">
        <f>IFERROR(INDEX(Heat_Map[Index],MATCH(HS_DB[[#This Row],[Reporter]],Heat_Map[Global],0),1),"")</f>
        <v>73</v>
      </c>
      <c r="K61" s="17" t="str">
        <f>IF(AND(HS_DB[[#This Row],[Origin Rank]]&gt;1,HS_DB[[#This Row],[Origin Rank]]&lt;=10),"Yes","No")</f>
        <v>Yes</v>
      </c>
      <c r="L61" s="2">
        <v>2024</v>
      </c>
      <c r="M61" s="2" t="s">
        <v>57</v>
      </c>
      <c r="N61" s="2" t="s">
        <v>46</v>
      </c>
      <c r="O61" s="2" t="s">
        <v>22</v>
      </c>
      <c r="P61" s="2" t="s">
        <v>23</v>
      </c>
      <c r="Q61" s="2" t="s">
        <v>24</v>
      </c>
      <c r="R61" s="2" t="s">
        <v>25</v>
      </c>
      <c r="S61" s="2">
        <v>350510</v>
      </c>
      <c r="T61" s="3">
        <v>4957</v>
      </c>
      <c r="U61" s="3">
        <v>1610</v>
      </c>
      <c r="V61" s="3">
        <v>0</v>
      </c>
      <c r="W61" s="3">
        <v>1610</v>
      </c>
      <c r="X61" s="3" t="s">
        <v>58</v>
      </c>
      <c r="Y61" s="3">
        <v>1610</v>
      </c>
      <c r="Z61" s="2" t="s">
        <v>58</v>
      </c>
      <c r="AA61" s="6">
        <f>SUMIFS(HS_DB[Trade Value - USD],HS_DB[Reporter],HS_DB[[#This Row],[Reporter]])/SUM(HS_DB[Trade Value - USD])</f>
        <v>2.621940701411424E-4</v>
      </c>
      <c r="AB61" s="8" cm="1">
        <f t="array" ref="AB61">SUMPRODUCT(
(HS_DB[Reporter]=HS_DB[[#This Row],[Reporter]])*
(HS_DB[Trade Value - USD]&gt;HS_DB[[#This Row],[Trade Value - USD]])
)+1</f>
        <v>2</v>
      </c>
      <c r="AC61" s="8" t="str">
        <f>IFERROR(IF(INDEX(Heat_Map[Crisis Impact %],MATCH(HS_DB[[#This Row],[Reporter]],Heat_Map[Global],0),1)&gt;0,"Yes","No"),"No")</f>
        <v>No</v>
      </c>
      <c r="AD61" s="6">
        <f>IFERROR(INDEX(Heat_Map[Crisis Impact %],MATCH(HS_DB[[#This Row],[Reporter]],Heat_Map[Global],0),1),0)</f>
        <v>0</v>
      </c>
      <c r="AE61" s="8">
        <f>HS_DB[[#This Row],[Crisis Impact%]]*HS_DB[[#This Row],[Trade Value - USD]]</f>
        <v>0</v>
      </c>
      <c r="AF61" s="8">
        <f>HS_DB[[#This Row],[Crisis Impact%]]*HS_DB[[#This Row],[Net Weight -KG]]</f>
        <v>0</v>
      </c>
      <c r="AG61" s="6">
        <f>SUMIFS(HS_DB[Trade Value - USD],HS_DB[Products],HS_DB[[#This Row],[Products]])/SUM(HS_DB[Trade Value - USD])</f>
        <v>1.2966653739508774E-2</v>
      </c>
      <c r="AH61" s="8">
        <f>_xlfn.RANK.EQ(HS_DB[[#This Row],[Trade Value - USD]], HS_DB[Trade Value - USD], 0)
 + COUNTIFS(HS_DB[Trade Value - USD],HS_DB[[#This Row],[Trade Value - USD]],
            HS_DB[HS Code],"&lt;"&amp;HS_DB[[#This Row],[HS Code]])</f>
        <v>442</v>
      </c>
      <c r="AI61" s="9">
        <f>IFERROR(HS_DB[[#This Row],[Trade Value - USD]]/HS_DB[[#This Row],[Net Weight -KG]],0)</f>
        <v>3.0788819875776396</v>
      </c>
      <c r="AJ61" s="17" cm="1">
        <f t="array" ref="AJ61">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61" s="17" t="str">
        <f>IF(HS_DB[[#This Row],[HS Code Risk Score]]&gt;=40,"High",
 IF(HS_DB[[#This Row],[HS Code Risk Score]]&gt;=25,"Medium","Low"))</f>
        <v>Medium</v>
      </c>
      <c r="AL61" s="17" t="str">
        <f>IF(RANK(HS_DB[[#This Row],[HS Code Risk Score]],HS_DB[HS Code Risk Score])&lt;=10,"Yes","No")</f>
        <v>No</v>
      </c>
      <c r="AM61" s="8">
        <f>SUMIFS(HS_DB[Net Weight -KG],HS_DB[HS Code],HS_DB[[#This Row],[HS Code]])</f>
        <v>17243671.100000001</v>
      </c>
      <c r="AN61" s="8">
        <f>SUMIFS(HS_DB[Trade Value - USD],HS_DB[HS Code],HS_DB[[#This Row],[HS Code]])</f>
        <v>24442250</v>
      </c>
      <c r="AO61" s="6">
        <f>_xlfn.MAXIFS(HS_DB[Origin Share%],HS_DB[HS Code],HS_DB[[#This Row],[HS Code]])</f>
        <v>0.39900464236999494</v>
      </c>
      <c r="AP61" s="8" cm="1">
        <f t="array" ref="AP61">_xlfn.LET(
_xlpm.hs,HS_DB[[#This Row],[HS Code]],
COUNTA(_xlfn.UNIQUE(_xlfn._xlws.FILTER(HS_DB[Reporter],HS_DB[HS Code]=_xlpm.hs)))
)</f>
        <v>23</v>
      </c>
      <c r="AQ61" s="17" t="str">
        <f>IF(HS_DB[[#This Row],[Origin Count]]=1,"Single Source","Multiple Sources")</f>
        <v>Multiple Sources</v>
      </c>
      <c r="AR61" s="8">
        <f>HS_DB[[#This Row],[Annual Spend - USD]]*(HS_DB[[#This Row],[HS Code Risk Score]]/100)</f>
        <v>8310365.0000000009</v>
      </c>
      <c r="AS61" s="8">
        <f>RANK(HS_DB[[#This Row],[Risk Exposure - USD]],HS_DB[Risk Exposure - USD],0)</f>
        <v>73</v>
      </c>
      <c r="AT61" s="8" t="str">
        <f>IF(HS_DB[[#This Row],[Risk Exposure Rank]]&lt;=10,"High",
 IF(HS_DB[[#This Row],[Risk Exposure Rank]]&lt;=30,"Medium",
 "Low"))</f>
        <v>Low</v>
      </c>
      <c r="AU61" s="8" t="str">
        <f>IF(HS_DB[[#This Row],[Risk Exposure Rank]]&lt;=5,"Immediate Action",
 IF(HS_DB[[#This Row],[Risk Exposure Rank]]&lt;=15,"Monitor Closely",
 "Routine Control"))</f>
        <v>Routine Control</v>
      </c>
      <c r="AV61" s="8">
        <f>SUMIFS(HS_DB[Trade Value - USD],HS_DB[HS Code],HS_DB[[#This Row],[HS Code]])</f>
        <v>24442250</v>
      </c>
      <c r="AW61" s="6">
        <f>HS_DB[[#This Row],[Annual Spend - USD]]/HS_DB[[#This Row],[Total Market Size - USD]]</f>
        <v>1</v>
      </c>
      <c r="AX61" s="6" cm="1">
        <f t="array" ref="AX61">COUNTA(_xlfn.UNIQUE(_xlfn._xlws.FILTER(HS_DB[Partner],HS_DB[HS Code]=HS_DB[[#This Row],[HS Code]])))</f>
        <v>1</v>
      </c>
      <c r="AY61" s="8" t="str">
        <f>IF(HS_DB[[#This Row],[Competition Intensity]]&lt;=2,"Highly Concentrated",
 IF(HS_DB[[#This Row],[Competition Intensity]]&lt;=5,"Moderate",
 "Highly Competitive"))</f>
        <v>Highly Concentrated</v>
      </c>
      <c r="AZ61" s="8">
        <f>HS_DB[[#This Row],[Total Market Size - USD]]
*
(1+IFERROR(#REF!,0))
/
HS_DB[[#This Row],[Competition Intensity]]</f>
        <v>24442250</v>
      </c>
      <c r="BA61" s="8" t="str">
        <f>IF(HS_DB[[#This Row],[Commercial Opportunity Score]]&gt;=PERCENTILE(HS_DB[Commercial Opportunity Score],0.9),"High Opportunity",
 IF(HS_DB[[#This Row],[Commercial Opportunity Score]]&gt;=PERCENTILE(HS_DB[Commercial Opportunity Score],0.6),"Medium Opportunity",
 "Routine Market"))</f>
        <v>Medium Opportunity</v>
      </c>
      <c r="BB61" s="3" t="str">
        <f>IF(AND(HS_DB[[#This Row],[Product Rank]]&gt;0,HS_DB[[#This Row],[Product Rank]]&lt;=10),"Yes","No")</f>
        <v>No</v>
      </c>
      <c r="BC61" s="3" t="str">
        <f>IF(AND(HS_DB[[#This Row],[Origin Rank]]&gt;0,HS_DB[[#This Row],[Origin Rank]]&lt;=10),"Yes","No")</f>
        <v>Yes</v>
      </c>
    </row>
    <row r="62" spans="2:55" x14ac:dyDescent="0.3">
      <c r="B62" s="2">
        <f>HS_DB[[#This Row],[Commodity Code]]</f>
        <v>350510</v>
      </c>
      <c r="C62" s="2">
        <f>IFERROR(INDEX(HS_MD!C:C,MATCH(B62,HS_MD!B:B,0),1),"")</f>
        <v>15</v>
      </c>
      <c r="D62" s="17" t="str">
        <f>IFERROR(INDEX(HS_MD!D:D,MATCH(B62,HS_MD!B:B,0),1),"")</f>
        <v>Dextrins and modified starches</v>
      </c>
      <c r="E62" s="17" t="str">
        <f>IFERROR(INDEX(HS_MD!E:E,MATCH(B62,HS_MD!B:B,0),1),"")</f>
        <v>Modified Starch (Cold/Hot)</v>
      </c>
      <c r="F62" s="17" t="str">
        <f>IFERROR(INDEX(HS_MD!F:F,MATCH(B62,HS_MD!B:B,0),1),"")</f>
        <v>FUNCTIONAL INGREDIENTS</v>
      </c>
      <c r="G62" s="17" t="str">
        <f>IFERROR(INDEX(HS_MD!G:G,MATCH(B62,HS_MD!B:B,0),1),"")</f>
        <v>Modified Starches</v>
      </c>
      <c r="H62" s="17" t="str">
        <f>IFERROR(INDEX(HS_MD!H:H,MATCH(B62,HS_MD!B:B,0),1),"")</f>
        <v>Modified Starch</v>
      </c>
      <c r="I62" s="17" t="str">
        <f>IFERROR(INDEX(HS_MD!I:I,MATCH(B62,HS_MD!B:B,0),1),"")</f>
        <v>Sauces / Mayo / Ketchup</v>
      </c>
      <c r="J62" s="17">
        <f>IFERROR(INDEX(Heat_Map[Index],MATCH(HS_DB[[#This Row],[Reporter]],Heat_Map[Global],0),1),"")</f>
        <v>76</v>
      </c>
      <c r="K62" s="17" t="str">
        <f>IF(AND(HS_DB[[#This Row],[Origin Rank]]&gt;1,HS_DB[[#This Row],[Origin Rank]]&lt;=10),"Yes","No")</f>
        <v>Yes</v>
      </c>
      <c r="L62" s="2">
        <v>2024</v>
      </c>
      <c r="M62" s="2" t="s">
        <v>57</v>
      </c>
      <c r="N62" s="2" t="s">
        <v>47</v>
      </c>
      <c r="O62" s="2" t="s">
        <v>22</v>
      </c>
      <c r="P62" s="2" t="s">
        <v>23</v>
      </c>
      <c r="Q62" s="2" t="s">
        <v>24</v>
      </c>
      <c r="R62" s="2" t="s">
        <v>25</v>
      </c>
      <c r="S62" s="2">
        <v>350510</v>
      </c>
      <c r="T62" s="3">
        <v>71000</v>
      </c>
      <c r="U62" s="3">
        <v>25000</v>
      </c>
      <c r="V62" s="3">
        <v>0</v>
      </c>
      <c r="W62" s="3">
        <v>25000</v>
      </c>
      <c r="X62" s="3" t="s">
        <v>58</v>
      </c>
      <c r="Y62" s="3">
        <v>25000</v>
      </c>
      <c r="Z62" s="2" t="s">
        <v>58</v>
      </c>
      <c r="AA62" s="6">
        <f>SUMIFS(HS_DB[Trade Value - USD],HS_DB[Reporter],HS_DB[[#This Row],[Reporter]])/SUM(HS_DB[Trade Value - USD])</f>
        <v>0.39900464236999494</v>
      </c>
      <c r="AB62" s="8" cm="1">
        <f t="array" ref="AB62">SUMPRODUCT(
(HS_DB[Reporter]=HS_DB[[#This Row],[Reporter]])*
(HS_DB[Trade Value - USD]&gt;HS_DB[[#This Row],[Trade Value - USD]])
)+1</f>
        <v>6</v>
      </c>
      <c r="AC62" s="8" t="str">
        <f>IFERROR(IF(INDEX(Heat_Map[Crisis Impact %],MATCH(HS_DB[[#This Row],[Reporter]],Heat_Map[Global],0),1)&gt;0,"Yes","No"),"No")</f>
        <v>Yes</v>
      </c>
      <c r="AD62" s="6">
        <f>IFERROR(INDEX(Heat_Map[Crisis Impact %],MATCH(HS_DB[[#This Row],[Reporter]],Heat_Map[Global],0),1),0)</f>
        <v>0.21</v>
      </c>
      <c r="AE62" s="8">
        <f>HS_DB[[#This Row],[Crisis Impact%]]*HS_DB[[#This Row],[Trade Value - USD]]</f>
        <v>14910</v>
      </c>
      <c r="AF62" s="8">
        <f>HS_DB[[#This Row],[Crisis Impact%]]*HS_DB[[#This Row],[Net Weight -KG]]</f>
        <v>5250</v>
      </c>
      <c r="AG62" s="6">
        <f>SUMIFS(HS_DB[Trade Value - USD],HS_DB[Products],HS_DB[[#This Row],[Products]])/SUM(HS_DB[Trade Value - USD])</f>
        <v>1.2966653739508774E-2</v>
      </c>
      <c r="AH62" s="8">
        <f>_xlfn.RANK.EQ(HS_DB[[#This Row],[Trade Value - USD]], HS_DB[Trade Value - USD], 0)
 + COUNTIFS(HS_DB[Trade Value - USD],HS_DB[[#This Row],[Trade Value - USD]],
            HS_DB[HS Code],"&lt;"&amp;HS_DB[[#This Row],[HS Code]])</f>
        <v>302</v>
      </c>
      <c r="AI62" s="9">
        <f>IFERROR(HS_DB[[#This Row],[Trade Value - USD]]/HS_DB[[#This Row],[Net Weight -KG]],0)</f>
        <v>2.84</v>
      </c>
      <c r="AJ62" s="17" cm="1">
        <f t="array" ref="AJ62">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62" s="17" t="str">
        <f>IF(HS_DB[[#This Row],[HS Code Risk Score]]&gt;=40,"High",
 IF(HS_DB[[#This Row],[HS Code Risk Score]]&gt;=25,"Medium","Low"))</f>
        <v>Medium</v>
      </c>
      <c r="AL62" s="17" t="str">
        <f>IF(RANK(HS_DB[[#This Row],[HS Code Risk Score]],HS_DB[HS Code Risk Score])&lt;=10,"Yes","No")</f>
        <v>No</v>
      </c>
      <c r="AM62" s="8">
        <f>SUMIFS(HS_DB[Net Weight -KG],HS_DB[HS Code],HS_DB[[#This Row],[HS Code]])</f>
        <v>17243671.100000001</v>
      </c>
      <c r="AN62" s="8">
        <f>SUMIFS(HS_DB[Trade Value - USD],HS_DB[HS Code],HS_DB[[#This Row],[HS Code]])</f>
        <v>24442250</v>
      </c>
      <c r="AO62" s="6">
        <f>_xlfn.MAXIFS(HS_DB[Origin Share%],HS_DB[HS Code],HS_DB[[#This Row],[HS Code]])</f>
        <v>0.39900464236999494</v>
      </c>
      <c r="AP62" s="8" cm="1">
        <f t="array" ref="AP62">_xlfn.LET(
_xlpm.hs,HS_DB[[#This Row],[HS Code]],
COUNTA(_xlfn.UNIQUE(_xlfn._xlws.FILTER(HS_DB[Reporter],HS_DB[HS Code]=_xlpm.hs)))
)</f>
        <v>23</v>
      </c>
      <c r="AQ62" s="17" t="str">
        <f>IF(HS_DB[[#This Row],[Origin Count]]=1,"Single Source","Multiple Sources")</f>
        <v>Multiple Sources</v>
      </c>
      <c r="AR62" s="8">
        <f>HS_DB[[#This Row],[Annual Spend - USD]]*(HS_DB[[#This Row],[HS Code Risk Score]]/100)</f>
        <v>8310365.0000000009</v>
      </c>
      <c r="AS62" s="8">
        <f>RANK(HS_DB[[#This Row],[Risk Exposure - USD]],HS_DB[Risk Exposure - USD],0)</f>
        <v>73</v>
      </c>
      <c r="AT62" s="8" t="str">
        <f>IF(HS_DB[[#This Row],[Risk Exposure Rank]]&lt;=10,"High",
 IF(HS_DB[[#This Row],[Risk Exposure Rank]]&lt;=30,"Medium",
 "Low"))</f>
        <v>Low</v>
      </c>
      <c r="AU62" s="8" t="str">
        <f>IF(HS_DB[[#This Row],[Risk Exposure Rank]]&lt;=5,"Immediate Action",
 IF(HS_DB[[#This Row],[Risk Exposure Rank]]&lt;=15,"Monitor Closely",
 "Routine Control"))</f>
        <v>Routine Control</v>
      </c>
      <c r="AV62" s="8">
        <f>SUMIFS(HS_DB[Trade Value - USD],HS_DB[HS Code],HS_DB[[#This Row],[HS Code]])</f>
        <v>24442250</v>
      </c>
      <c r="AW62" s="6">
        <f>HS_DB[[#This Row],[Annual Spend - USD]]/HS_DB[[#This Row],[Total Market Size - USD]]</f>
        <v>1</v>
      </c>
      <c r="AX62" s="6" cm="1">
        <f t="array" ref="AX62">COUNTA(_xlfn.UNIQUE(_xlfn._xlws.FILTER(HS_DB[Partner],HS_DB[HS Code]=HS_DB[[#This Row],[HS Code]])))</f>
        <v>1</v>
      </c>
      <c r="AY62" s="8" t="str">
        <f>IF(HS_DB[[#This Row],[Competition Intensity]]&lt;=2,"Highly Concentrated",
 IF(HS_DB[[#This Row],[Competition Intensity]]&lt;=5,"Moderate",
 "Highly Competitive"))</f>
        <v>Highly Concentrated</v>
      </c>
      <c r="AZ62" s="8">
        <f>HS_DB[[#This Row],[Total Market Size - USD]]
*
(1+IFERROR(#REF!,0))
/
HS_DB[[#This Row],[Competition Intensity]]</f>
        <v>24442250</v>
      </c>
      <c r="BA62" s="8" t="str">
        <f>IF(HS_DB[[#This Row],[Commercial Opportunity Score]]&gt;=PERCENTILE(HS_DB[Commercial Opportunity Score],0.9),"High Opportunity",
 IF(HS_DB[[#This Row],[Commercial Opportunity Score]]&gt;=PERCENTILE(HS_DB[Commercial Opportunity Score],0.6),"Medium Opportunity",
 "Routine Market"))</f>
        <v>Medium Opportunity</v>
      </c>
      <c r="BB62" s="3" t="str">
        <f>IF(AND(HS_DB[[#This Row],[Product Rank]]&gt;0,HS_DB[[#This Row],[Product Rank]]&lt;=10),"Yes","No")</f>
        <v>No</v>
      </c>
      <c r="BC62" s="3" t="str">
        <f>IF(AND(HS_DB[[#This Row],[Origin Rank]]&gt;0,HS_DB[[#This Row],[Origin Rank]]&lt;=10),"Yes","No")</f>
        <v>Yes</v>
      </c>
    </row>
    <row r="63" spans="2:55" x14ac:dyDescent="0.3">
      <c r="B63" s="2">
        <f>HS_DB[[#This Row],[Commodity Code]]</f>
        <v>350510</v>
      </c>
      <c r="C63" s="2">
        <f>IFERROR(INDEX(HS_MD!C:C,MATCH(B63,HS_MD!B:B,0),1),"")</f>
        <v>15</v>
      </c>
      <c r="D63" s="17" t="str">
        <f>IFERROR(INDEX(HS_MD!D:D,MATCH(B63,HS_MD!B:B,0),1),"")</f>
        <v>Dextrins and modified starches</v>
      </c>
      <c r="E63" s="17" t="str">
        <f>IFERROR(INDEX(HS_MD!E:E,MATCH(B63,HS_MD!B:B,0),1),"")</f>
        <v>Modified Starch (Cold/Hot)</v>
      </c>
      <c r="F63" s="17" t="str">
        <f>IFERROR(INDEX(HS_MD!F:F,MATCH(B63,HS_MD!B:B,0),1),"")</f>
        <v>FUNCTIONAL INGREDIENTS</v>
      </c>
      <c r="G63" s="17" t="str">
        <f>IFERROR(INDEX(HS_MD!G:G,MATCH(B63,HS_MD!B:B,0),1),"")</f>
        <v>Modified Starches</v>
      </c>
      <c r="H63" s="17" t="str">
        <f>IFERROR(INDEX(HS_MD!H:H,MATCH(B63,HS_MD!B:B,0),1),"")</f>
        <v>Modified Starch</v>
      </c>
      <c r="I63" s="17" t="str">
        <f>IFERROR(INDEX(HS_MD!I:I,MATCH(B63,HS_MD!B:B,0),1),"")</f>
        <v>Sauces / Mayo / Ketchup</v>
      </c>
      <c r="J63" s="17">
        <f>IFERROR(INDEX(Heat_Map[Index],MATCH(HS_DB[[#This Row],[Reporter]],Heat_Map[Global],0),1),"")</f>
        <v>79</v>
      </c>
      <c r="K63" s="17" t="str">
        <f>IF(AND(HS_DB[[#This Row],[Origin Rank]]&gt;1,HS_DB[[#This Row],[Origin Rank]]&lt;=10),"Yes","No")</f>
        <v>No</v>
      </c>
      <c r="L63" s="2">
        <v>2024</v>
      </c>
      <c r="M63" s="2" t="s">
        <v>57</v>
      </c>
      <c r="N63" s="2" t="s">
        <v>48</v>
      </c>
      <c r="O63" s="2" t="s">
        <v>22</v>
      </c>
      <c r="P63" s="2" t="s">
        <v>23</v>
      </c>
      <c r="Q63" s="2" t="s">
        <v>24</v>
      </c>
      <c r="R63" s="2" t="s">
        <v>25</v>
      </c>
      <c r="S63" s="2">
        <v>350510</v>
      </c>
      <c r="T63" s="3">
        <v>2</v>
      </c>
      <c r="U63" s="3">
        <v>2</v>
      </c>
      <c r="V63" s="3">
        <v>0</v>
      </c>
      <c r="W63" s="3">
        <v>2</v>
      </c>
      <c r="X63" s="3" t="s">
        <v>58</v>
      </c>
      <c r="Y63" s="3">
        <v>2</v>
      </c>
      <c r="Z63" s="2" t="s">
        <v>58</v>
      </c>
      <c r="AA63" s="6">
        <f>SUMIFS(HS_DB[Trade Value - USD],HS_DB[Reporter],HS_DB[[#This Row],[Reporter]])/SUM(HS_DB[Trade Value - USD])</f>
        <v>4.9588465845200368E-3</v>
      </c>
      <c r="AB63" s="8" cm="1">
        <f t="array" ref="AB63">SUMPRODUCT(
(HS_DB[Reporter]=HS_DB[[#This Row],[Reporter]])*
(HS_DB[Trade Value - USD]&gt;HS_DB[[#This Row],[Trade Value - USD]])
)+1</f>
        <v>14</v>
      </c>
      <c r="AC63" s="8" t="str">
        <f>IFERROR(IF(INDEX(Heat_Map[Crisis Impact %],MATCH(HS_DB[[#This Row],[Reporter]],Heat_Map[Global],0),1)&gt;0,"Yes","No"),"No")</f>
        <v>No</v>
      </c>
      <c r="AD63" s="6">
        <f>IFERROR(INDEX(Heat_Map[Crisis Impact %],MATCH(HS_DB[[#This Row],[Reporter]],Heat_Map[Global],0),1),0)</f>
        <v>0</v>
      </c>
      <c r="AE63" s="8">
        <f>HS_DB[[#This Row],[Crisis Impact%]]*HS_DB[[#This Row],[Trade Value - USD]]</f>
        <v>0</v>
      </c>
      <c r="AF63" s="8">
        <f>HS_DB[[#This Row],[Crisis Impact%]]*HS_DB[[#This Row],[Net Weight -KG]]</f>
        <v>0</v>
      </c>
      <c r="AG63" s="6">
        <f>SUMIFS(HS_DB[Trade Value - USD],HS_DB[Products],HS_DB[[#This Row],[Products]])/SUM(HS_DB[Trade Value - USD])</f>
        <v>1.2966653739508774E-2</v>
      </c>
      <c r="AH63" s="8">
        <f>_xlfn.RANK.EQ(HS_DB[[#This Row],[Trade Value - USD]], HS_DB[Trade Value - USD], 0)
 + COUNTIFS(HS_DB[Trade Value - USD],HS_DB[[#This Row],[Trade Value - USD]],
            HS_DB[HS Code],"&lt;"&amp;HS_DB[[#This Row],[HS Code]])</f>
        <v>537</v>
      </c>
      <c r="AI63" s="9">
        <f>IFERROR(HS_DB[[#This Row],[Trade Value - USD]]/HS_DB[[#This Row],[Net Weight -KG]],0)</f>
        <v>1</v>
      </c>
      <c r="AJ63" s="17" cm="1">
        <f t="array" ref="AJ63">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63" s="17" t="str">
        <f>IF(HS_DB[[#This Row],[HS Code Risk Score]]&gt;=40,"High",
 IF(HS_DB[[#This Row],[HS Code Risk Score]]&gt;=25,"Medium","Low"))</f>
        <v>Medium</v>
      </c>
      <c r="AL63" s="17" t="str">
        <f>IF(RANK(HS_DB[[#This Row],[HS Code Risk Score]],HS_DB[HS Code Risk Score])&lt;=10,"Yes","No")</f>
        <v>No</v>
      </c>
      <c r="AM63" s="8">
        <f>SUMIFS(HS_DB[Net Weight -KG],HS_DB[HS Code],HS_DB[[#This Row],[HS Code]])</f>
        <v>17243671.100000001</v>
      </c>
      <c r="AN63" s="8">
        <f>SUMIFS(HS_DB[Trade Value - USD],HS_DB[HS Code],HS_DB[[#This Row],[HS Code]])</f>
        <v>24442250</v>
      </c>
      <c r="AO63" s="6">
        <f>_xlfn.MAXIFS(HS_DB[Origin Share%],HS_DB[HS Code],HS_DB[[#This Row],[HS Code]])</f>
        <v>0.39900464236999494</v>
      </c>
      <c r="AP63" s="8" cm="1">
        <f t="array" ref="AP63">_xlfn.LET(
_xlpm.hs,HS_DB[[#This Row],[HS Code]],
COUNTA(_xlfn.UNIQUE(_xlfn._xlws.FILTER(HS_DB[Reporter],HS_DB[HS Code]=_xlpm.hs)))
)</f>
        <v>23</v>
      </c>
      <c r="AQ63" s="17" t="str">
        <f>IF(HS_DB[[#This Row],[Origin Count]]=1,"Single Source","Multiple Sources")</f>
        <v>Multiple Sources</v>
      </c>
      <c r="AR63" s="8">
        <f>HS_DB[[#This Row],[Annual Spend - USD]]*(HS_DB[[#This Row],[HS Code Risk Score]]/100)</f>
        <v>8310365.0000000009</v>
      </c>
      <c r="AS63" s="8">
        <f>RANK(HS_DB[[#This Row],[Risk Exposure - USD]],HS_DB[Risk Exposure - USD],0)</f>
        <v>73</v>
      </c>
      <c r="AT63" s="8" t="str">
        <f>IF(HS_DB[[#This Row],[Risk Exposure Rank]]&lt;=10,"High",
 IF(HS_DB[[#This Row],[Risk Exposure Rank]]&lt;=30,"Medium",
 "Low"))</f>
        <v>Low</v>
      </c>
      <c r="AU63" s="8" t="str">
        <f>IF(HS_DB[[#This Row],[Risk Exposure Rank]]&lt;=5,"Immediate Action",
 IF(HS_DB[[#This Row],[Risk Exposure Rank]]&lt;=15,"Monitor Closely",
 "Routine Control"))</f>
        <v>Routine Control</v>
      </c>
      <c r="AV63" s="8">
        <f>SUMIFS(HS_DB[Trade Value - USD],HS_DB[HS Code],HS_DB[[#This Row],[HS Code]])</f>
        <v>24442250</v>
      </c>
      <c r="AW63" s="6">
        <f>HS_DB[[#This Row],[Annual Spend - USD]]/HS_DB[[#This Row],[Total Market Size - USD]]</f>
        <v>1</v>
      </c>
      <c r="AX63" s="6" cm="1">
        <f t="array" ref="AX63">COUNTA(_xlfn.UNIQUE(_xlfn._xlws.FILTER(HS_DB[Partner],HS_DB[HS Code]=HS_DB[[#This Row],[HS Code]])))</f>
        <v>1</v>
      </c>
      <c r="AY63" s="8" t="str">
        <f>IF(HS_DB[[#This Row],[Competition Intensity]]&lt;=2,"Highly Concentrated",
 IF(HS_DB[[#This Row],[Competition Intensity]]&lt;=5,"Moderate",
 "Highly Competitive"))</f>
        <v>Highly Concentrated</v>
      </c>
      <c r="AZ63" s="8">
        <f>HS_DB[[#This Row],[Total Market Size - USD]]
*
(1+IFERROR(#REF!,0))
/
HS_DB[[#This Row],[Competition Intensity]]</f>
        <v>24442250</v>
      </c>
      <c r="BA63" s="8" t="str">
        <f>IF(HS_DB[[#This Row],[Commercial Opportunity Score]]&gt;=PERCENTILE(HS_DB[Commercial Opportunity Score],0.9),"High Opportunity",
 IF(HS_DB[[#This Row],[Commercial Opportunity Score]]&gt;=PERCENTILE(HS_DB[Commercial Opportunity Score],0.6),"Medium Opportunity",
 "Routine Market"))</f>
        <v>Medium Opportunity</v>
      </c>
      <c r="BB63" s="3" t="str">
        <f>IF(AND(HS_DB[[#This Row],[Product Rank]]&gt;0,HS_DB[[#This Row],[Product Rank]]&lt;=10),"Yes","No")</f>
        <v>No</v>
      </c>
      <c r="BC63" s="3" t="str">
        <f>IF(AND(HS_DB[[#This Row],[Origin Rank]]&gt;0,HS_DB[[#This Row],[Origin Rank]]&lt;=10),"Yes","No")</f>
        <v>No</v>
      </c>
    </row>
    <row r="64" spans="2:55" x14ac:dyDescent="0.3">
      <c r="B64" s="2">
        <f>HS_DB[[#This Row],[Commodity Code]]</f>
        <v>350510</v>
      </c>
      <c r="C64" s="2">
        <f>IFERROR(INDEX(HS_MD!C:C,MATCH(B64,HS_MD!B:B,0),1),"")</f>
        <v>15</v>
      </c>
      <c r="D64" s="17" t="str">
        <f>IFERROR(INDEX(HS_MD!D:D,MATCH(B64,HS_MD!B:B,0),1),"")</f>
        <v>Dextrins and modified starches</v>
      </c>
      <c r="E64" s="17" t="str">
        <f>IFERROR(INDEX(HS_MD!E:E,MATCH(B64,HS_MD!B:B,0),1),"")</f>
        <v>Modified Starch (Cold/Hot)</v>
      </c>
      <c r="F64" s="17" t="str">
        <f>IFERROR(INDEX(HS_MD!F:F,MATCH(B64,HS_MD!B:B,0),1),"")</f>
        <v>FUNCTIONAL INGREDIENTS</v>
      </c>
      <c r="G64" s="17" t="str">
        <f>IFERROR(INDEX(HS_MD!G:G,MATCH(B64,HS_MD!B:B,0),1),"")</f>
        <v>Modified Starches</v>
      </c>
      <c r="H64" s="17" t="str">
        <f>IFERROR(INDEX(HS_MD!H:H,MATCH(B64,HS_MD!B:B,0),1),"")</f>
        <v>Modified Starch</v>
      </c>
      <c r="I64" s="17" t="str">
        <f>IFERROR(INDEX(HS_MD!I:I,MATCH(B64,HS_MD!B:B,0),1),"")</f>
        <v>Sauces / Mayo / Ketchup</v>
      </c>
      <c r="J64" s="17">
        <f>IFERROR(INDEX(Heat_Map[Index],MATCH(HS_DB[[#This Row],[Reporter]],Heat_Map[Global],0),1),"")</f>
        <v>81</v>
      </c>
      <c r="K64" s="17" t="str">
        <f>IF(AND(HS_DB[[#This Row],[Origin Rank]]&gt;1,HS_DB[[#This Row],[Origin Rank]]&lt;=10),"Yes","No")</f>
        <v>Yes</v>
      </c>
      <c r="L64" s="2">
        <v>2024</v>
      </c>
      <c r="M64" s="2" t="s">
        <v>57</v>
      </c>
      <c r="N64" s="2" t="s">
        <v>49</v>
      </c>
      <c r="O64" s="2" t="s">
        <v>22</v>
      </c>
      <c r="P64" s="2" t="s">
        <v>23</v>
      </c>
      <c r="Q64" s="2" t="s">
        <v>24</v>
      </c>
      <c r="R64" s="2" t="s">
        <v>25</v>
      </c>
      <c r="S64" s="2">
        <v>350510</v>
      </c>
      <c r="T64" s="3">
        <v>1022126</v>
      </c>
      <c r="U64" s="3">
        <v>702350</v>
      </c>
      <c r="V64" s="3">
        <v>0</v>
      </c>
      <c r="W64" s="3">
        <v>702350</v>
      </c>
      <c r="X64" s="3" t="s">
        <v>58</v>
      </c>
      <c r="Y64" s="3">
        <v>702350</v>
      </c>
      <c r="Z64" s="2" t="s">
        <v>58</v>
      </c>
      <c r="AA64" s="6">
        <f>SUMIFS(HS_DB[Trade Value - USD],HS_DB[Reporter],HS_DB[[#This Row],[Reporter]])/SUM(HS_DB[Trade Value - USD])</f>
        <v>1.1178535358665947E-2</v>
      </c>
      <c r="AB64" s="8" cm="1">
        <f t="array" ref="AB64">SUMPRODUCT(
(HS_DB[Reporter]=HS_DB[[#This Row],[Reporter]])*
(HS_DB[Trade Value - USD]&gt;HS_DB[[#This Row],[Trade Value - USD]])
)+1</f>
        <v>3</v>
      </c>
      <c r="AC64" s="8" t="str">
        <f>IFERROR(IF(INDEX(Heat_Map[Crisis Impact %],MATCH(HS_DB[[#This Row],[Reporter]],Heat_Map[Global],0),1)&gt;0,"Yes","No"),"No")</f>
        <v>No</v>
      </c>
      <c r="AD64" s="6">
        <f>IFERROR(INDEX(Heat_Map[Crisis Impact %],MATCH(HS_DB[[#This Row],[Reporter]],Heat_Map[Global],0),1),0)</f>
        <v>0</v>
      </c>
      <c r="AE64" s="8">
        <f>HS_DB[[#This Row],[Crisis Impact%]]*HS_DB[[#This Row],[Trade Value - USD]]</f>
        <v>0</v>
      </c>
      <c r="AF64" s="8">
        <f>HS_DB[[#This Row],[Crisis Impact%]]*HS_DB[[#This Row],[Net Weight -KG]]</f>
        <v>0</v>
      </c>
      <c r="AG64" s="6">
        <f>SUMIFS(HS_DB[Trade Value - USD],HS_DB[Products],HS_DB[[#This Row],[Products]])/SUM(HS_DB[Trade Value - USD])</f>
        <v>1.2966653739508774E-2</v>
      </c>
      <c r="AH64" s="8">
        <f>_xlfn.RANK.EQ(HS_DB[[#This Row],[Trade Value - USD]], HS_DB[Trade Value - USD], 0)
 + COUNTIFS(HS_DB[Trade Value - USD],HS_DB[[#This Row],[Trade Value - USD]],
            HS_DB[HS Code],"&lt;"&amp;HS_DB[[#This Row],[HS Code]])</f>
        <v>106</v>
      </c>
      <c r="AI64" s="9">
        <f>IFERROR(HS_DB[[#This Row],[Trade Value - USD]]/HS_DB[[#This Row],[Net Weight -KG]],0)</f>
        <v>1.4552943689043925</v>
      </c>
      <c r="AJ64" s="17" cm="1">
        <f t="array" ref="AJ64">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64" s="17" t="str">
        <f>IF(HS_DB[[#This Row],[HS Code Risk Score]]&gt;=40,"High",
 IF(HS_DB[[#This Row],[HS Code Risk Score]]&gt;=25,"Medium","Low"))</f>
        <v>Medium</v>
      </c>
      <c r="AL64" s="17" t="str">
        <f>IF(RANK(HS_DB[[#This Row],[HS Code Risk Score]],HS_DB[HS Code Risk Score])&lt;=10,"Yes","No")</f>
        <v>No</v>
      </c>
      <c r="AM64" s="8">
        <f>SUMIFS(HS_DB[Net Weight -KG],HS_DB[HS Code],HS_DB[[#This Row],[HS Code]])</f>
        <v>17243671.100000001</v>
      </c>
      <c r="AN64" s="8">
        <f>SUMIFS(HS_DB[Trade Value - USD],HS_DB[HS Code],HS_DB[[#This Row],[HS Code]])</f>
        <v>24442250</v>
      </c>
      <c r="AO64" s="6">
        <f>_xlfn.MAXIFS(HS_DB[Origin Share%],HS_DB[HS Code],HS_DB[[#This Row],[HS Code]])</f>
        <v>0.39900464236999494</v>
      </c>
      <c r="AP64" s="8" cm="1">
        <f t="array" ref="AP64">_xlfn.LET(
_xlpm.hs,HS_DB[[#This Row],[HS Code]],
COUNTA(_xlfn.UNIQUE(_xlfn._xlws.FILTER(HS_DB[Reporter],HS_DB[HS Code]=_xlpm.hs)))
)</f>
        <v>23</v>
      </c>
      <c r="AQ64" s="17" t="str">
        <f>IF(HS_DB[[#This Row],[Origin Count]]=1,"Single Source","Multiple Sources")</f>
        <v>Multiple Sources</v>
      </c>
      <c r="AR64" s="8">
        <f>HS_DB[[#This Row],[Annual Spend - USD]]*(HS_DB[[#This Row],[HS Code Risk Score]]/100)</f>
        <v>8310365.0000000009</v>
      </c>
      <c r="AS64" s="8">
        <f>RANK(HS_DB[[#This Row],[Risk Exposure - USD]],HS_DB[Risk Exposure - USD],0)</f>
        <v>73</v>
      </c>
      <c r="AT64" s="8" t="str">
        <f>IF(HS_DB[[#This Row],[Risk Exposure Rank]]&lt;=10,"High",
 IF(HS_DB[[#This Row],[Risk Exposure Rank]]&lt;=30,"Medium",
 "Low"))</f>
        <v>Low</v>
      </c>
      <c r="AU64" s="8" t="str">
        <f>IF(HS_DB[[#This Row],[Risk Exposure Rank]]&lt;=5,"Immediate Action",
 IF(HS_DB[[#This Row],[Risk Exposure Rank]]&lt;=15,"Monitor Closely",
 "Routine Control"))</f>
        <v>Routine Control</v>
      </c>
      <c r="AV64" s="8">
        <f>SUMIFS(HS_DB[Trade Value - USD],HS_DB[HS Code],HS_DB[[#This Row],[HS Code]])</f>
        <v>24442250</v>
      </c>
      <c r="AW64" s="6">
        <f>HS_DB[[#This Row],[Annual Spend - USD]]/HS_DB[[#This Row],[Total Market Size - USD]]</f>
        <v>1</v>
      </c>
      <c r="AX64" s="6" cm="1">
        <f t="array" ref="AX64">COUNTA(_xlfn.UNIQUE(_xlfn._xlws.FILTER(HS_DB[Partner],HS_DB[HS Code]=HS_DB[[#This Row],[HS Code]])))</f>
        <v>1</v>
      </c>
      <c r="AY64" s="8" t="str">
        <f>IF(HS_DB[[#This Row],[Competition Intensity]]&lt;=2,"Highly Concentrated",
 IF(HS_DB[[#This Row],[Competition Intensity]]&lt;=5,"Moderate",
 "Highly Competitive"))</f>
        <v>Highly Concentrated</v>
      </c>
      <c r="AZ64" s="8">
        <f>HS_DB[[#This Row],[Total Market Size - USD]]
*
(1+IFERROR(#REF!,0))
/
HS_DB[[#This Row],[Competition Intensity]]</f>
        <v>24442250</v>
      </c>
      <c r="BA64" s="8" t="str">
        <f>IF(HS_DB[[#This Row],[Commercial Opportunity Score]]&gt;=PERCENTILE(HS_DB[Commercial Opportunity Score],0.9),"High Opportunity",
 IF(HS_DB[[#This Row],[Commercial Opportunity Score]]&gt;=PERCENTILE(HS_DB[Commercial Opportunity Score],0.6),"Medium Opportunity",
 "Routine Market"))</f>
        <v>Medium Opportunity</v>
      </c>
      <c r="BB64" s="3" t="str">
        <f>IF(AND(HS_DB[[#This Row],[Product Rank]]&gt;0,HS_DB[[#This Row],[Product Rank]]&lt;=10),"Yes","No")</f>
        <v>No</v>
      </c>
      <c r="BC64" s="3" t="str">
        <f>IF(AND(HS_DB[[#This Row],[Origin Rank]]&gt;0,HS_DB[[#This Row],[Origin Rank]]&lt;=10),"Yes","No")</f>
        <v>Yes</v>
      </c>
    </row>
    <row r="65" spans="2:55" x14ac:dyDescent="0.3">
      <c r="B65" s="2">
        <f>HS_DB[[#This Row],[Commodity Code]]</f>
        <v>350510</v>
      </c>
      <c r="C65" s="2">
        <f>IFERROR(INDEX(HS_MD!C:C,MATCH(B65,HS_MD!B:B,0),1),"")</f>
        <v>15</v>
      </c>
      <c r="D65" s="17" t="str">
        <f>IFERROR(INDEX(HS_MD!D:D,MATCH(B65,HS_MD!B:B,0),1),"")</f>
        <v>Dextrins and modified starches</v>
      </c>
      <c r="E65" s="17" t="str">
        <f>IFERROR(INDEX(HS_MD!E:E,MATCH(B65,HS_MD!B:B,0),1),"")</f>
        <v>Modified Starch (Cold/Hot)</v>
      </c>
      <c r="F65" s="17" t="str">
        <f>IFERROR(INDEX(HS_MD!F:F,MATCH(B65,HS_MD!B:B,0),1),"")</f>
        <v>FUNCTIONAL INGREDIENTS</v>
      </c>
      <c r="G65" s="17" t="str">
        <f>IFERROR(INDEX(HS_MD!G:G,MATCH(B65,HS_MD!B:B,0),1),"")</f>
        <v>Modified Starches</v>
      </c>
      <c r="H65" s="17" t="str">
        <f>IFERROR(INDEX(HS_MD!H:H,MATCH(B65,HS_MD!B:B,0),1),"")</f>
        <v>Modified Starch</v>
      </c>
      <c r="I65" s="17" t="str">
        <f>IFERROR(INDEX(HS_MD!I:I,MATCH(B65,HS_MD!B:B,0),1),"")</f>
        <v>Sauces / Mayo / Ketchup</v>
      </c>
      <c r="J65" s="17">
        <f>IFERROR(INDEX(Heat_Map[Index],MATCH(HS_DB[[#This Row],[Reporter]],Heat_Map[Global],0),1),"")</f>
        <v>92</v>
      </c>
      <c r="K65" s="17" t="str">
        <f>IF(AND(HS_DB[[#This Row],[Origin Rank]]&gt;1,HS_DB[[#This Row],[Origin Rank]]&lt;=10),"Yes","No")</f>
        <v>Yes</v>
      </c>
      <c r="L65" s="2">
        <v>2024</v>
      </c>
      <c r="M65" s="2" t="s">
        <v>57</v>
      </c>
      <c r="N65" s="2" t="s">
        <v>50</v>
      </c>
      <c r="O65" s="2" t="s">
        <v>22</v>
      </c>
      <c r="P65" s="2" t="s">
        <v>23</v>
      </c>
      <c r="Q65" s="2" t="s">
        <v>24</v>
      </c>
      <c r="R65" s="2" t="s">
        <v>25</v>
      </c>
      <c r="S65" s="2">
        <v>350510</v>
      </c>
      <c r="T65" s="3">
        <v>11429</v>
      </c>
      <c r="U65" s="3">
        <v>6991.9</v>
      </c>
      <c r="V65" s="3">
        <v>0</v>
      </c>
      <c r="W65" s="3">
        <v>6992</v>
      </c>
      <c r="X65" s="3" t="s">
        <v>58</v>
      </c>
      <c r="Y65" s="3">
        <v>0</v>
      </c>
      <c r="Z65" s="2" t="s">
        <v>26</v>
      </c>
      <c r="AA65" s="6">
        <f>SUMIFS(HS_DB[Trade Value - USD],HS_DB[Reporter],HS_DB[[#This Row],[Reporter]])/SUM(HS_DB[Trade Value - USD])</f>
        <v>1.4545824499937243E-5</v>
      </c>
      <c r="AB65" s="8" cm="1">
        <f t="array" ref="AB65">SUMPRODUCT(
(HS_DB[Reporter]=HS_DB[[#This Row],[Reporter]])*
(HS_DB[Trade Value - USD]&gt;HS_DB[[#This Row],[Trade Value - USD]])
)+1</f>
        <v>2</v>
      </c>
      <c r="AC65" s="8" t="str">
        <f>IFERROR(IF(INDEX(Heat_Map[Crisis Impact %],MATCH(HS_DB[[#This Row],[Reporter]],Heat_Map[Global],0),1)&gt;0,"Yes","No"),"No")</f>
        <v>No</v>
      </c>
      <c r="AD65" s="6">
        <f>IFERROR(INDEX(Heat_Map[Crisis Impact %],MATCH(HS_DB[[#This Row],[Reporter]],Heat_Map[Global],0),1),0)</f>
        <v>0</v>
      </c>
      <c r="AE65" s="8">
        <f>HS_DB[[#This Row],[Crisis Impact%]]*HS_DB[[#This Row],[Trade Value - USD]]</f>
        <v>0</v>
      </c>
      <c r="AF65" s="8">
        <f>HS_DB[[#This Row],[Crisis Impact%]]*HS_DB[[#This Row],[Net Weight -KG]]</f>
        <v>0</v>
      </c>
      <c r="AG65" s="6">
        <f>SUMIFS(HS_DB[Trade Value - USD],HS_DB[Products],HS_DB[[#This Row],[Products]])/SUM(HS_DB[Trade Value - USD])</f>
        <v>1.2966653739508774E-2</v>
      </c>
      <c r="AH65" s="8">
        <f>_xlfn.RANK.EQ(HS_DB[[#This Row],[Trade Value - USD]], HS_DB[Trade Value - USD], 0)
 + COUNTIFS(HS_DB[Trade Value - USD],HS_DB[[#This Row],[Trade Value - USD]],
            HS_DB[HS Code],"&lt;"&amp;HS_DB[[#This Row],[HS Code]])</f>
        <v>407</v>
      </c>
      <c r="AI65" s="9">
        <f>IFERROR(HS_DB[[#This Row],[Trade Value - USD]]/HS_DB[[#This Row],[Net Weight -KG]],0)</f>
        <v>1.6346057580915059</v>
      </c>
      <c r="AJ65" s="17" cm="1">
        <f t="array" ref="AJ65">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65" s="17" t="str">
        <f>IF(HS_DB[[#This Row],[HS Code Risk Score]]&gt;=40,"High",
 IF(HS_DB[[#This Row],[HS Code Risk Score]]&gt;=25,"Medium","Low"))</f>
        <v>Medium</v>
      </c>
      <c r="AL65" s="17" t="str">
        <f>IF(RANK(HS_DB[[#This Row],[HS Code Risk Score]],HS_DB[HS Code Risk Score])&lt;=10,"Yes","No")</f>
        <v>No</v>
      </c>
      <c r="AM65" s="8">
        <f>SUMIFS(HS_DB[Net Weight -KG],HS_DB[HS Code],HS_DB[[#This Row],[HS Code]])</f>
        <v>17243671.100000001</v>
      </c>
      <c r="AN65" s="8">
        <f>SUMIFS(HS_DB[Trade Value - USD],HS_DB[HS Code],HS_DB[[#This Row],[HS Code]])</f>
        <v>24442250</v>
      </c>
      <c r="AO65" s="6">
        <f>_xlfn.MAXIFS(HS_DB[Origin Share%],HS_DB[HS Code],HS_DB[[#This Row],[HS Code]])</f>
        <v>0.39900464236999494</v>
      </c>
      <c r="AP65" s="8" cm="1">
        <f t="array" ref="AP65">_xlfn.LET(
_xlpm.hs,HS_DB[[#This Row],[HS Code]],
COUNTA(_xlfn.UNIQUE(_xlfn._xlws.FILTER(HS_DB[Reporter],HS_DB[HS Code]=_xlpm.hs)))
)</f>
        <v>23</v>
      </c>
      <c r="AQ65" s="17" t="str">
        <f>IF(HS_DB[[#This Row],[Origin Count]]=1,"Single Source","Multiple Sources")</f>
        <v>Multiple Sources</v>
      </c>
      <c r="AR65" s="8">
        <f>HS_DB[[#This Row],[Annual Spend - USD]]*(HS_DB[[#This Row],[HS Code Risk Score]]/100)</f>
        <v>8310365.0000000009</v>
      </c>
      <c r="AS65" s="8">
        <f>RANK(HS_DB[[#This Row],[Risk Exposure - USD]],HS_DB[Risk Exposure - USD],0)</f>
        <v>73</v>
      </c>
      <c r="AT65" s="8" t="str">
        <f>IF(HS_DB[[#This Row],[Risk Exposure Rank]]&lt;=10,"High",
 IF(HS_DB[[#This Row],[Risk Exposure Rank]]&lt;=30,"Medium",
 "Low"))</f>
        <v>Low</v>
      </c>
      <c r="AU65" s="8" t="str">
        <f>IF(HS_DB[[#This Row],[Risk Exposure Rank]]&lt;=5,"Immediate Action",
 IF(HS_DB[[#This Row],[Risk Exposure Rank]]&lt;=15,"Monitor Closely",
 "Routine Control"))</f>
        <v>Routine Control</v>
      </c>
      <c r="AV65" s="8">
        <f>SUMIFS(HS_DB[Trade Value - USD],HS_DB[HS Code],HS_DB[[#This Row],[HS Code]])</f>
        <v>24442250</v>
      </c>
      <c r="AW65" s="6">
        <f>HS_DB[[#This Row],[Annual Spend - USD]]/HS_DB[[#This Row],[Total Market Size - USD]]</f>
        <v>1</v>
      </c>
      <c r="AX65" s="6" cm="1">
        <f t="array" ref="AX65">COUNTA(_xlfn.UNIQUE(_xlfn._xlws.FILTER(HS_DB[Partner],HS_DB[HS Code]=HS_DB[[#This Row],[HS Code]])))</f>
        <v>1</v>
      </c>
      <c r="AY65" s="8" t="str">
        <f>IF(HS_DB[[#This Row],[Competition Intensity]]&lt;=2,"Highly Concentrated",
 IF(HS_DB[[#This Row],[Competition Intensity]]&lt;=5,"Moderate",
 "Highly Competitive"))</f>
        <v>Highly Concentrated</v>
      </c>
      <c r="AZ65" s="8">
        <f>HS_DB[[#This Row],[Total Market Size - USD]]
*
(1+IFERROR(#REF!,0))
/
HS_DB[[#This Row],[Competition Intensity]]</f>
        <v>24442250</v>
      </c>
      <c r="BA65" s="8" t="str">
        <f>IF(HS_DB[[#This Row],[Commercial Opportunity Score]]&gt;=PERCENTILE(HS_DB[Commercial Opportunity Score],0.9),"High Opportunity",
 IF(HS_DB[[#This Row],[Commercial Opportunity Score]]&gt;=PERCENTILE(HS_DB[Commercial Opportunity Score],0.6),"Medium Opportunity",
 "Routine Market"))</f>
        <v>Medium Opportunity</v>
      </c>
      <c r="BB65" s="3" t="str">
        <f>IF(AND(HS_DB[[#This Row],[Product Rank]]&gt;0,HS_DB[[#This Row],[Product Rank]]&lt;=10),"Yes","No")</f>
        <v>No</v>
      </c>
      <c r="BC65" s="3" t="str">
        <f>IF(AND(HS_DB[[#This Row],[Origin Rank]]&gt;0,HS_DB[[#This Row],[Origin Rank]]&lt;=10),"Yes","No")</f>
        <v>Yes</v>
      </c>
    </row>
    <row r="66" spans="2:55" x14ac:dyDescent="0.3">
      <c r="B66" s="2">
        <f>HS_DB[[#This Row],[Commodity Code]]</f>
        <v>350510</v>
      </c>
      <c r="C66" s="2">
        <f>IFERROR(INDEX(HS_MD!C:C,MATCH(B66,HS_MD!B:B,0),1),"")</f>
        <v>15</v>
      </c>
      <c r="D66" s="17" t="str">
        <f>IFERROR(INDEX(HS_MD!D:D,MATCH(B66,HS_MD!B:B,0),1),"")</f>
        <v>Dextrins and modified starches</v>
      </c>
      <c r="E66" s="17" t="str">
        <f>IFERROR(INDEX(HS_MD!E:E,MATCH(B66,HS_MD!B:B,0),1),"")</f>
        <v>Modified Starch (Cold/Hot)</v>
      </c>
      <c r="F66" s="17" t="str">
        <f>IFERROR(INDEX(HS_MD!F:F,MATCH(B66,HS_MD!B:B,0),1),"")</f>
        <v>FUNCTIONAL INGREDIENTS</v>
      </c>
      <c r="G66" s="17" t="str">
        <f>IFERROR(INDEX(HS_MD!G:G,MATCH(B66,HS_MD!B:B,0),1),"")</f>
        <v>Modified Starches</v>
      </c>
      <c r="H66" s="17" t="str">
        <f>IFERROR(INDEX(HS_MD!H:H,MATCH(B66,HS_MD!B:B,0),1),"")</f>
        <v>Modified Starch</v>
      </c>
      <c r="I66" s="17" t="str">
        <f>IFERROR(INDEX(HS_MD!I:I,MATCH(B66,HS_MD!B:B,0),1),"")</f>
        <v>Sauces / Mayo / Ketchup</v>
      </c>
      <c r="J66" s="17">
        <f>IFERROR(INDEX(Heat_Map[Index],MATCH(HS_DB[[#This Row],[Reporter]],Heat_Map[Global],0),1),"")</f>
        <v>118</v>
      </c>
      <c r="K66" s="17" t="str">
        <f>IF(AND(HS_DB[[#This Row],[Origin Rank]]&gt;1,HS_DB[[#This Row],[Origin Rank]]&lt;=10),"Yes","No")</f>
        <v>No</v>
      </c>
      <c r="L66" s="2">
        <v>2024</v>
      </c>
      <c r="M66" s="2" t="s">
        <v>57</v>
      </c>
      <c r="N66" s="2" t="s">
        <v>53</v>
      </c>
      <c r="O66" s="2" t="s">
        <v>22</v>
      </c>
      <c r="P66" s="2" t="s">
        <v>23</v>
      </c>
      <c r="Q66" s="2" t="s">
        <v>24</v>
      </c>
      <c r="R66" s="2" t="s">
        <v>25</v>
      </c>
      <c r="S66" s="2">
        <v>350510</v>
      </c>
      <c r="T66" s="3">
        <v>9885316</v>
      </c>
      <c r="U66" s="3">
        <v>5294894</v>
      </c>
      <c r="V66" s="3">
        <v>0</v>
      </c>
      <c r="W66" s="3">
        <v>5294894</v>
      </c>
      <c r="X66" s="3" t="s">
        <v>58</v>
      </c>
      <c r="Y66" s="3">
        <v>5294894</v>
      </c>
      <c r="Z66" s="2" t="s">
        <v>58</v>
      </c>
      <c r="AA66" s="6">
        <f>SUMIFS(HS_DB[Trade Value - USD],HS_DB[Reporter],HS_DB[[#This Row],[Reporter]])/SUM(HS_DB[Trade Value - USD])</f>
        <v>1.4561232389604124E-2</v>
      </c>
      <c r="AB66" s="8" cm="1">
        <f t="array" ref="AB66">SUMPRODUCT(
(HS_DB[Reporter]=HS_DB[[#This Row],[Reporter]])*
(HS_DB[Trade Value - USD]&gt;HS_DB[[#This Row],[Trade Value - USD]])
)+1</f>
        <v>1</v>
      </c>
      <c r="AC66" s="8" t="str">
        <f>IFERROR(IF(INDEX(Heat_Map[Crisis Impact %],MATCH(HS_DB[[#This Row],[Reporter]],Heat_Map[Global],0),1)&gt;0,"Yes","No"),"No")</f>
        <v>No</v>
      </c>
      <c r="AD66" s="6">
        <f>IFERROR(INDEX(Heat_Map[Crisis Impact %],MATCH(HS_DB[[#This Row],[Reporter]],Heat_Map[Global],0),1),0)</f>
        <v>0</v>
      </c>
      <c r="AE66" s="8">
        <f>HS_DB[[#This Row],[Crisis Impact%]]*HS_DB[[#This Row],[Trade Value - USD]]</f>
        <v>0</v>
      </c>
      <c r="AF66" s="8">
        <f>HS_DB[[#This Row],[Crisis Impact%]]*HS_DB[[#This Row],[Net Weight -KG]]</f>
        <v>0</v>
      </c>
      <c r="AG66" s="6">
        <f>SUMIFS(HS_DB[Trade Value - USD],HS_DB[Products],HS_DB[[#This Row],[Products]])/SUM(HS_DB[Trade Value - USD])</f>
        <v>1.2966653739508774E-2</v>
      </c>
      <c r="AH66" s="8">
        <f>_xlfn.RANK.EQ(HS_DB[[#This Row],[Trade Value - USD]], HS_DB[Trade Value - USD], 0)
 + COUNTIFS(HS_DB[Trade Value - USD],HS_DB[[#This Row],[Trade Value - USD]],
            HS_DB[HS Code],"&lt;"&amp;HS_DB[[#This Row],[HS Code]])</f>
        <v>19</v>
      </c>
      <c r="AI66" s="9">
        <f>IFERROR(HS_DB[[#This Row],[Trade Value - USD]]/HS_DB[[#This Row],[Net Weight -KG]],0)</f>
        <v>1.8669525773320486</v>
      </c>
      <c r="AJ66" s="17" cm="1">
        <f t="array" ref="AJ66">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66" s="17" t="str">
        <f>IF(HS_DB[[#This Row],[HS Code Risk Score]]&gt;=40,"High",
 IF(HS_DB[[#This Row],[HS Code Risk Score]]&gt;=25,"Medium","Low"))</f>
        <v>Medium</v>
      </c>
      <c r="AL66" s="17" t="str">
        <f>IF(RANK(HS_DB[[#This Row],[HS Code Risk Score]],HS_DB[HS Code Risk Score])&lt;=10,"Yes","No")</f>
        <v>No</v>
      </c>
      <c r="AM66" s="8">
        <f>SUMIFS(HS_DB[Net Weight -KG],HS_DB[HS Code],HS_DB[[#This Row],[HS Code]])</f>
        <v>17243671.100000001</v>
      </c>
      <c r="AN66" s="8">
        <f>SUMIFS(HS_DB[Trade Value - USD],HS_DB[HS Code],HS_DB[[#This Row],[HS Code]])</f>
        <v>24442250</v>
      </c>
      <c r="AO66" s="6">
        <f>_xlfn.MAXIFS(HS_DB[Origin Share%],HS_DB[HS Code],HS_DB[[#This Row],[HS Code]])</f>
        <v>0.39900464236999494</v>
      </c>
      <c r="AP66" s="8" cm="1">
        <f t="array" ref="AP66">_xlfn.LET(
_xlpm.hs,HS_DB[[#This Row],[HS Code]],
COUNTA(_xlfn.UNIQUE(_xlfn._xlws.FILTER(HS_DB[Reporter],HS_DB[HS Code]=_xlpm.hs)))
)</f>
        <v>23</v>
      </c>
      <c r="AQ66" s="17" t="str">
        <f>IF(HS_DB[[#This Row],[Origin Count]]=1,"Single Source","Multiple Sources")</f>
        <v>Multiple Sources</v>
      </c>
      <c r="AR66" s="8">
        <f>HS_DB[[#This Row],[Annual Spend - USD]]*(HS_DB[[#This Row],[HS Code Risk Score]]/100)</f>
        <v>8310365.0000000009</v>
      </c>
      <c r="AS66" s="8">
        <f>RANK(HS_DB[[#This Row],[Risk Exposure - USD]],HS_DB[Risk Exposure - USD],0)</f>
        <v>73</v>
      </c>
      <c r="AT66" s="8" t="str">
        <f>IF(HS_DB[[#This Row],[Risk Exposure Rank]]&lt;=10,"High",
 IF(HS_DB[[#This Row],[Risk Exposure Rank]]&lt;=30,"Medium",
 "Low"))</f>
        <v>Low</v>
      </c>
      <c r="AU66" s="8" t="str">
        <f>IF(HS_DB[[#This Row],[Risk Exposure Rank]]&lt;=5,"Immediate Action",
 IF(HS_DB[[#This Row],[Risk Exposure Rank]]&lt;=15,"Monitor Closely",
 "Routine Control"))</f>
        <v>Routine Control</v>
      </c>
      <c r="AV66" s="8">
        <f>SUMIFS(HS_DB[Trade Value - USD],HS_DB[HS Code],HS_DB[[#This Row],[HS Code]])</f>
        <v>24442250</v>
      </c>
      <c r="AW66" s="6">
        <f>HS_DB[[#This Row],[Annual Spend - USD]]/HS_DB[[#This Row],[Total Market Size - USD]]</f>
        <v>1</v>
      </c>
      <c r="AX66" s="6" cm="1">
        <f t="array" ref="AX66">COUNTA(_xlfn.UNIQUE(_xlfn._xlws.FILTER(HS_DB[Partner],HS_DB[HS Code]=HS_DB[[#This Row],[HS Code]])))</f>
        <v>1</v>
      </c>
      <c r="AY66" s="8" t="str">
        <f>IF(HS_DB[[#This Row],[Competition Intensity]]&lt;=2,"Highly Concentrated",
 IF(HS_DB[[#This Row],[Competition Intensity]]&lt;=5,"Moderate",
 "Highly Competitive"))</f>
        <v>Highly Concentrated</v>
      </c>
      <c r="AZ66" s="8">
        <f>HS_DB[[#This Row],[Total Market Size - USD]]
*
(1+IFERROR(#REF!,0))
/
HS_DB[[#This Row],[Competition Intensity]]</f>
        <v>24442250</v>
      </c>
      <c r="BA66" s="8" t="str">
        <f>IF(HS_DB[[#This Row],[Commercial Opportunity Score]]&gt;=PERCENTILE(HS_DB[Commercial Opportunity Score],0.9),"High Opportunity",
 IF(HS_DB[[#This Row],[Commercial Opportunity Score]]&gt;=PERCENTILE(HS_DB[Commercial Opportunity Score],0.6),"Medium Opportunity",
 "Routine Market"))</f>
        <v>Medium Opportunity</v>
      </c>
      <c r="BB66" s="3" t="str">
        <f>IF(AND(HS_DB[[#This Row],[Product Rank]]&gt;0,HS_DB[[#This Row],[Product Rank]]&lt;=10),"Yes","No")</f>
        <v>No</v>
      </c>
      <c r="BC66" s="3" t="str">
        <f>IF(AND(HS_DB[[#This Row],[Origin Rank]]&gt;0,HS_DB[[#This Row],[Origin Rank]]&lt;=10),"Yes","No")</f>
        <v>Yes</v>
      </c>
    </row>
    <row r="67" spans="2:55" x14ac:dyDescent="0.3">
      <c r="B67" s="2">
        <f>HS_DB[[#This Row],[Commodity Code]]</f>
        <v>350510</v>
      </c>
      <c r="C67" s="2">
        <f>IFERROR(INDEX(HS_MD!C:C,MATCH(B67,HS_MD!B:B,0),1),"")</f>
        <v>15</v>
      </c>
      <c r="D67" s="17" t="str">
        <f>IFERROR(INDEX(HS_MD!D:D,MATCH(B67,HS_MD!B:B,0),1),"")</f>
        <v>Dextrins and modified starches</v>
      </c>
      <c r="E67" s="17" t="str">
        <f>IFERROR(INDEX(HS_MD!E:E,MATCH(B67,HS_MD!B:B,0),1),"")</f>
        <v>Modified Starch (Cold/Hot)</v>
      </c>
      <c r="F67" s="17" t="str">
        <f>IFERROR(INDEX(HS_MD!F:F,MATCH(B67,HS_MD!B:B,0),1),"")</f>
        <v>FUNCTIONAL INGREDIENTS</v>
      </c>
      <c r="G67" s="17" t="str">
        <f>IFERROR(INDEX(HS_MD!G:G,MATCH(B67,HS_MD!B:B,0),1),"")</f>
        <v>Modified Starches</v>
      </c>
      <c r="H67" s="17" t="str">
        <f>IFERROR(INDEX(HS_MD!H:H,MATCH(B67,HS_MD!B:B,0),1),"")</f>
        <v>Modified Starch</v>
      </c>
      <c r="I67" s="17" t="str">
        <f>IFERROR(INDEX(HS_MD!I:I,MATCH(B67,HS_MD!B:B,0),1),"")</f>
        <v>Sauces / Mayo / Ketchup</v>
      </c>
      <c r="J67" s="17">
        <f>IFERROR(INDEX(Heat_Map[Index],MATCH(HS_DB[[#This Row],[Reporter]],Heat_Map[Global],0),1),"")</f>
        <v>127</v>
      </c>
      <c r="K67" s="17" t="str">
        <f>IF(AND(HS_DB[[#This Row],[Origin Rank]]&gt;1,HS_DB[[#This Row],[Origin Rank]]&lt;=10),"Yes","No")</f>
        <v>No</v>
      </c>
      <c r="L67" s="2">
        <v>2024</v>
      </c>
      <c r="M67" s="2" t="s">
        <v>57</v>
      </c>
      <c r="N67" s="2" t="s">
        <v>54</v>
      </c>
      <c r="O67" s="2" t="s">
        <v>22</v>
      </c>
      <c r="P67" s="2" t="s">
        <v>23</v>
      </c>
      <c r="Q67" s="2" t="s">
        <v>24</v>
      </c>
      <c r="R67" s="2" t="s">
        <v>25</v>
      </c>
      <c r="S67" s="2">
        <v>350510</v>
      </c>
      <c r="T67" s="3">
        <v>396897</v>
      </c>
      <c r="U67" s="3">
        <v>405600</v>
      </c>
      <c r="V67" s="3">
        <v>0</v>
      </c>
      <c r="W67" s="3">
        <v>405600</v>
      </c>
      <c r="X67" s="3" t="s">
        <v>58</v>
      </c>
      <c r="Y67" s="3">
        <v>405600</v>
      </c>
      <c r="Z67" s="2" t="s">
        <v>58</v>
      </c>
      <c r="AA67" s="6">
        <f>SUMIFS(HS_DB[Trade Value - USD],HS_DB[Reporter],HS_DB[[#This Row],[Reporter]])/SUM(HS_DB[Trade Value - USD])</f>
        <v>3.82286909668397E-4</v>
      </c>
      <c r="AB67" s="8" cm="1">
        <f t="array" ref="AB67">SUMPRODUCT(
(HS_DB[Reporter]=HS_DB[[#This Row],[Reporter]])*
(HS_DB[Trade Value - USD]&gt;HS_DB[[#This Row],[Trade Value - USD]])
)+1</f>
        <v>1</v>
      </c>
      <c r="AC67" s="8" t="str">
        <f>IFERROR(IF(INDEX(Heat_Map[Crisis Impact %],MATCH(HS_DB[[#This Row],[Reporter]],Heat_Map[Global],0),1)&gt;0,"Yes","No"),"No")</f>
        <v>No</v>
      </c>
      <c r="AD67" s="6">
        <f>IFERROR(INDEX(Heat_Map[Crisis Impact %],MATCH(HS_DB[[#This Row],[Reporter]],Heat_Map[Global],0),1),0)</f>
        <v>0</v>
      </c>
      <c r="AE67" s="8">
        <f>HS_DB[[#This Row],[Crisis Impact%]]*HS_DB[[#This Row],[Trade Value - USD]]</f>
        <v>0</v>
      </c>
      <c r="AF67" s="8">
        <f>HS_DB[[#This Row],[Crisis Impact%]]*HS_DB[[#This Row],[Net Weight -KG]]</f>
        <v>0</v>
      </c>
      <c r="AG67" s="6">
        <f>SUMIFS(HS_DB[Trade Value - USD],HS_DB[Products],HS_DB[[#This Row],[Products]])/SUM(HS_DB[Trade Value - USD])</f>
        <v>1.2966653739508774E-2</v>
      </c>
      <c r="AH67" s="8">
        <f>_xlfn.RANK.EQ(HS_DB[[#This Row],[Trade Value - USD]], HS_DB[Trade Value - USD], 0)
 + COUNTIFS(HS_DB[Trade Value - USD],HS_DB[[#This Row],[Trade Value - USD]],
            HS_DB[HS Code],"&lt;"&amp;HS_DB[[#This Row],[HS Code]])</f>
        <v>161</v>
      </c>
      <c r="AI67" s="9">
        <f>IFERROR(HS_DB[[#This Row],[Trade Value - USD]]/HS_DB[[#This Row],[Net Weight -KG]],0)</f>
        <v>0.97854289940828398</v>
      </c>
      <c r="AJ67" s="17" cm="1">
        <f t="array" ref="AJ67">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67" s="17" t="str">
        <f>IF(HS_DB[[#This Row],[HS Code Risk Score]]&gt;=40,"High",
 IF(HS_DB[[#This Row],[HS Code Risk Score]]&gt;=25,"Medium","Low"))</f>
        <v>Medium</v>
      </c>
      <c r="AL67" s="17" t="str">
        <f>IF(RANK(HS_DB[[#This Row],[HS Code Risk Score]],HS_DB[HS Code Risk Score])&lt;=10,"Yes","No")</f>
        <v>No</v>
      </c>
      <c r="AM67" s="8">
        <f>SUMIFS(HS_DB[Net Weight -KG],HS_DB[HS Code],HS_DB[[#This Row],[HS Code]])</f>
        <v>17243671.100000001</v>
      </c>
      <c r="AN67" s="8">
        <f>SUMIFS(HS_DB[Trade Value - USD],HS_DB[HS Code],HS_DB[[#This Row],[HS Code]])</f>
        <v>24442250</v>
      </c>
      <c r="AO67" s="6">
        <f>_xlfn.MAXIFS(HS_DB[Origin Share%],HS_DB[HS Code],HS_DB[[#This Row],[HS Code]])</f>
        <v>0.39900464236999494</v>
      </c>
      <c r="AP67" s="8" cm="1">
        <f t="array" ref="AP67">_xlfn.LET(
_xlpm.hs,HS_DB[[#This Row],[HS Code]],
COUNTA(_xlfn.UNIQUE(_xlfn._xlws.FILTER(HS_DB[Reporter],HS_DB[HS Code]=_xlpm.hs)))
)</f>
        <v>23</v>
      </c>
      <c r="AQ67" s="17" t="str">
        <f>IF(HS_DB[[#This Row],[Origin Count]]=1,"Single Source","Multiple Sources")</f>
        <v>Multiple Sources</v>
      </c>
      <c r="AR67" s="8">
        <f>HS_DB[[#This Row],[Annual Spend - USD]]*(HS_DB[[#This Row],[HS Code Risk Score]]/100)</f>
        <v>8310365.0000000009</v>
      </c>
      <c r="AS67" s="8">
        <f>RANK(HS_DB[[#This Row],[Risk Exposure - USD]],HS_DB[Risk Exposure - USD],0)</f>
        <v>73</v>
      </c>
      <c r="AT67" s="8" t="str">
        <f>IF(HS_DB[[#This Row],[Risk Exposure Rank]]&lt;=10,"High",
 IF(HS_DB[[#This Row],[Risk Exposure Rank]]&lt;=30,"Medium",
 "Low"))</f>
        <v>Low</v>
      </c>
      <c r="AU67" s="8" t="str">
        <f>IF(HS_DB[[#This Row],[Risk Exposure Rank]]&lt;=5,"Immediate Action",
 IF(HS_DB[[#This Row],[Risk Exposure Rank]]&lt;=15,"Monitor Closely",
 "Routine Control"))</f>
        <v>Routine Control</v>
      </c>
      <c r="AV67" s="8">
        <f>SUMIFS(HS_DB[Trade Value - USD],HS_DB[HS Code],HS_DB[[#This Row],[HS Code]])</f>
        <v>24442250</v>
      </c>
      <c r="AW67" s="6">
        <f>HS_DB[[#This Row],[Annual Spend - USD]]/HS_DB[[#This Row],[Total Market Size - USD]]</f>
        <v>1</v>
      </c>
      <c r="AX67" s="6" cm="1">
        <f t="array" ref="AX67">COUNTA(_xlfn.UNIQUE(_xlfn._xlws.FILTER(HS_DB[Partner],HS_DB[HS Code]=HS_DB[[#This Row],[HS Code]])))</f>
        <v>1</v>
      </c>
      <c r="AY67" s="8" t="str">
        <f>IF(HS_DB[[#This Row],[Competition Intensity]]&lt;=2,"Highly Concentrated",
 IF(HS_DB[[#This Row],[Competition Intensity]]&lt;=5,"Moderate",
 "Highly Competitive"))</f>
        <v>Highly Concentrated</v>
      </c>
      <c r="AZ67" s="8">
        <f>HS_DB[[#This Row],[Total Market Size - USD]]
*
(1+IFERROR(#REF!,0))
/
HS_DB[[#This Row],[Competition Intensity]]</f>
        <v>24442250</v>
      </c>
      <c r="BA67" s="8" t="str">
        <f>IF(HS_DB[[#This Row],[Commercial Opportunity Score]]&gt;=PERCENTILE(HS_DB[Commercial Opportunity Score],0.9),"High Opportunity",
 IF(HS_DB[[#This Row],[Commercial Opportunity Score]]&gt;=PERCENTILE(HS_DB[Commercial Opportunity Score],0.6),"Medium Opportunity",
 "Routine Market"))</f>
        <v>Medium Opportunity</v>
      </c>
      <c r="BB67" s="3" t="str">
        <f>IF(AND(HS_DB[[#This Row],[Product Rank]]&gt;0,HS_DB[[#This Row],[Product Rank]]&lt;=10),"Yes","No")</f>
        <v>No</v>
      </c>
      <c r="BC67" s="3" t="str">
        <f>IF(AND(HS_DB[[#This Row],[Origin Rank]]&gt;0,HS_DB[[#This Row],[Origin Rank]]&lt;=10),"Yes","No")</f>
        <v>Yes</v>
      </c>
    </row>
    <row r="68" spans="2:55" x14ac:dyDescent="0.3">
      <c r="B68" s="2">
        <f>HS_DB[[#This Row],[Commodity Code]]</f>
        <v>350510</v>
      </c>
      <c r="C68" s="2">
        <f>IFERROR(INDEX(HS_MD!C:C,MATCH(B68,HS_MD!B:B,0),1),"")</f>
        <v>15</v>
      </c>
      <c r="D68" s="17" t="str">
        <f>IFERROR(INDEX(HS_MD!D:D,MATCH(B68,HS_MD!B:B,0),1),"")</f>
        <v>Dextrins and modified starches</v>
      </c>
      <c r="E68" s="17" t="str">
        <f>IFERROR(INDEX(HS_MD!E:E,MATCH(B68,HS_MD!B:B,0),1),"")</f>
        <v>Modified Starch (Cold/Hot)</v>
      </c>
      <c r="F68" s="17" t="str">
        <f>IFERROR(INDEX(HS_MD!F:F,MATCH(B68,HS_MD!B:B,0),1),"")</f>
        <v>FUNCTIONAL INGREDIENTS</v>
      </c>
      <c r="G68" s="17" t="str">
        <f>IFERROR(INDEX(HS_MD!G:G,MATCH(B68,HS_MD!B:B,0),1),"")</f>
        <v>Modified Starches</v>
      </c>
      <c r="H68" s="17" t="str">
        <f>IFERROR(INDEX(HS_MD!H:H,MATCH(B68,HS_MD!B:B,0),1),"")</f>
        <v>Modified Starch</v>
      </c>
      <c r="I68" s="17" t="str">
        <f>IFERROR(INDEX(HS_MD!I:I,MATCH(B68,HS_MD!B:B,0),1),"")</f>
        <v>Sauces / Mayo / Ketchup</v>
      </c>
      <c r="J68" s="17">
        <f>IFERROR(INDEX(Heat_Map[Index],MATCH(HS_DB[[#This Row],[Reporter]],Heat_Map[Global],0),1),"")</f>
        <v>75</v>
      </c>
      <c r="K68" s="17" t="str">
        <f>IF(AND(HS_DB[[#This Row],[Origin Rank]]&gt;1,HS_DB[[#This Row],[Origin Rank]]&lt;=10),"Yes","No")</f>
        <v>No</v>
      </c>
      <c r="L68" s="2">
        <v>2024</v>
      </c>
      <c r="M68" s="2" t="s">
        <v>57</v>
      </c>
      <c r="N68" s="2" t="s">
        <v>8</v>
      </c>
      <c r="O68" s="2" t="s">
        <v>22</v>
      </c>
      <c r="P68" s="2" t="s">
        <v>23</v>
      </c>
      <c r="Q68" s="2" t="s">
        <v>24</v>
      </c>
      <c r="R68" s="2" t="s">
        <v>25</v>
      </c>
      <c r="S68" s="2">
        <v>350510</v>
      </c>
      <c r="T68" s="3">
        <v>404214</v>
      </c>
      <c r="U68" s="3">
        <v>339088</v>
      </c>
      <c r="V68" s="3">
        <v>0</v>
      </c>
      <c r="W68" s="3">
        <v>339088</v>
      </c>
      <c r="X68" s="3" t="s">
        <v>58</v>
      </c>
      <c r="Y68" s="3">
        <v>339088</v>
      </c>
      <c r="Z68" s="2" t="s">
        <v>58</v>
      </c>
      <c r="AA68" s="6">
        <f>SUMIFS(HS_DB[Trade Value - USD],HS_DB[Reporter],HS_DB[[#This Row],[Reporter]])/SUM(HS_DB[Trade Value - USD])</f>
        <v>2.2441761060335613E-2</v>
      </c>
      <c r="AB68" s="8" cm="1">
        <f t="array" ref="AB68">SUMPRODUCT(
(HS_DB[Reporter]=HS_DB[[#This Row],[Reporter]])*
(HS_DB[Trade Value - USD]&gt;HS_DB[[#This Row],[Trade Value - USD]])
)+1</f>
        <v>17</v>
      </c>
      <c r="AC68" s="8" t="str">
        <f>IFERROR(IF(INDEX(Heat_Map[Crisis Impact %],MATCH(HS_DB[[#This Row],[Reporter]],Heat_Map[Global],0),1)&gt;0,"Yes","No"),"No")</f>
        <v>No</v>
      </c>
      <c r="AD68" s="6">
        <f>IFERROR(INDEX(Heat_Map[Crisis Impact %],MATCH(HS_DB[[#This Row],[Reporter]],Heat_Map[Global],0),1),0)</f>
        <v>0</v>
      </c>
      <c r="AE68" s="8">
        <f>HS_DB[[#This Row],[Crisis Impact%]]*HS_DB[[#This Row],[Trade Value - USD]]</f>
        <v>0</v>
      </c>
      <c r="AF68" s="8">
        <f>HS_DB[[#This Row],[Crisis Impact%]]*HS_DB[[#This Row],[Net Weight -KG]]</f>
        <v>0</v>
      </c>
      <c r="AG68" s="6">
        <f>SUMIFS(HS_DB[Trade Value - USD],HS_DB[Products],HS_DB[[#This Row],[Products]])/SUM(HS_DB[Trade Value - USD])</f>
        <v>1.2966653739508774E-2</v>
      </c>
      <c r="AH68" s="8">
        <f>_xlfn.RANK.EQ(HS_DB[[#This Row],[Trade Value - USD]], HS_DB[Trade Value - USD], 0)
 + COUNTIFS(HS_DB[Trade Value - USD],HS_DB[[#This Row],[Trade Value - USD]],
            HS_DB[HS Code],"&lt;"&amp;HS_DB[[#This Row],[HS Code]])</f>
        <v>160</v>
      </c>
      <c r="AI68" s="9">
        <f>IFERROR(HS_DB[[#This Row],[Trade Value - USD]]/HS_DB[[#This Row],[Net Weight -KG]],0)</f>
        <v>1.1920622375312604</v>
      </c>
      <c r="AJ68" s="17" cm="1">
        <f t="array" ref="AJ68">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68" s="17" t="str">
        <f>IF(HS_DB[[#This Row],[HS Code Risk Score]]&gt;=40,"High",
 IF(HS_DB[[#This Row],[HS Code Risk Score]]&gt;=25,"Medium","Low"))</f>
        <v>Medium</v>
      </c>
      <c r="AL68" s="17" t="str">
        <f>IF(RANK(HS_DB[[#This Row],[HS Code Risk Score]],HS_DB[HS Code Risk Score])&lt;=10,"Yes","No")</f>
        <v>No</v>
      </c>
      <c r="AM68" s="8">
        <f>SUMIFS(HS_DB[Net Weight -KG],HS_DB[HS Code],HS_DB[[#This Row],[HS Code]])</f>
        <v>17243671.100000001</v>
      </c>
      <c r="AN68" s="8">
        <f>SUMIFS(HS_DB[Trade Value - USD],HS_DB[HS Code],HS_DB[[#This Row],[HS Code]])</f>
        <v>24442250</v>
      </c>
      <c r="AO68" s="6">
        <f>_xlfn.MAXIFS(HS_DB[Origin Share%],HS_DB[HS Code],HS_DB[[#This Row],[HS Code]])</f>
        <v>0.39900464236999494</v>
      </c>
      <c r="AP68" s="8" cm="1">
        <f t="array" ref="AP68">_xlfn.LET(
_xlpm.hs,HS_DB[[#This Row],[HS Code]],
COUNTA(_xlfn.UNIQUE(_xlfn._xlws.FILTER(HS_DB[Reporter],HS_DB[HS Code]=_xlpm.hs)))
)</f>
        <v>23</v>
      </c>
      <c r="AQ68" s="17" t="str">
        <f>IF(HS_DB[[#This Row],[Origin Count]]=1,"Single Source","Multiple Sources")</f>
        <v>Multiple Sources</v>
      </c>
      <c r="AR68" s="8">
        <f>HS_DB[[#This Row],[Annual Spend - USD]]*(HS_DB[[#This Row],[HS Code Risk Score]]/100)</f>
        <v>8310365.0000000009</v>
      </c>
      <c r="AS68" s="8">
        <f>RANK(HS_DB[[#This Row],[Risk Exposure - USD]],HS_DB[Risk Exposure - USD],0)</f>
        <v>73</v>
      </c>
      <c r="AT68" s="8" t="str">
        <f>IF(HS_DB[[#This Row],[Risk Exposure Rank]]&lt;=10,"High",
 IF(HS_DB[[#This Row],[Risk Exposure Rank]]&lt;=30,"Medium",
 "Low"))</f>
        <v>Low</v>
      </c>
      <c r="AU68" s="8" t="str">
        <f>IF(HS_DB[[#This Row],[Risk Exposure Rank]]&lt;=5,"Immediate Action",
 IF(HS_DB[[#This Row],[Risk Exposure Rank]]&lt;=15,"Monitor Closely",
 "Routine Control"))</f>
        <v>Routine Control</v>
      </c>
      <c r="AV68" s="8">
        <f>SUMIFS(HS_DB[Trade Value - USD],HS_DB[HS Code],HS_DB[[#This Row],[HS Code]])</f>
        <v>24442250</v>
      </c>
      <c r="AW68" s="6">
        <f>HS_DB[[#This Row],[Annual Spend - USD]]/HS_DB[[#This Row],[Total Market Size - USD]]</f>
        <v>1</v>
      </c>
      <c r="AX68" s="6" cm="1">
        <f t="array" ref="AX68">COUNTA(_xlfn.UNIQUE(_xlfn._xlws.FILTER(HS_DB[Partner],HS_DB[HS Code]=HS_DB[[#This Row],[HS Code]])))</f>
        <v>1</v>
      </c>
      <c r="AY68" s="8" t="str">
        <f>IF(HS_DB[[#This Row],[Competition Intensity]]&lt;=2,"Highly Concentrated",
 IF(HS_DB[[#This Row],[Competition Intensity]]&lt;=5,"Moderate",
 "Highly Competitive"))</f>
        <v>Highly Concentrated</v>
      </c>
      <c r="AZ68" s="8">
        <f>HS_DB[[#This Row],[Total Market Size - USD]]
*
(1+IFERROR(#REF!,0))
/
HS_DB[[#This Row],[Competition Intensity]]</f>
        <v>24442250</v>
      </c>
      <c r="BA68" s="8" t="str">
        <f>IF(HS_DB[[#This Row],[Commercial Opportunity Score]]&gt;=PERCENTILE(HS_DB[Commercial Opportunity Score],0.9),"High Opportunity",
 IF(HS_DB[[#This Row],[Commercial Opportunity Score]]&gt;=PERCENTILE(HS_DB[Commercial Opportunity Score],0.6),"Medium Opportunity",
 "Routine Market"))</f>
        <v>Medium Opportunity</v>
      </c>
      <c r="BB68" s="3" t="str">
        <f>IF(AND(HS_DB[[#This Row],[Product Rank]]&gt;0,HS_DB[[#This Row],[Product Rank]]&lt;=10),"Yes","No")</f>
        <v>No</v>
      </c>
      <c r="BC68" s="3" t="str">
        <f>IF(AND(HS_DB[[#This Row],[Origin Rank]]&gt;0,HS_DB[[#This Row],[Origin Rank]]&lt;=10),"Yes","No")</f>
        <v>No</v>
      </c>
    </row>
    <row r="69" spans="2:55" x14ac:dyDescent="0.3">
      <c r="B69" s="2">
        <f>HS_DB[[#This Row],[Commodity Code]]</f>
        <v>350510</v>
      </c>
      <c r="C69" s="2">
        <f>IFERROR(INDEX(HS_MD!C:C,MATCH(B69,HS_MD!B:B,0),1),"")</f>
        <v>15</v>
      </c>
      <c r="D69" s="17" t="str">
        <f>IFERROR(INDEX(HS_MD!D:D,MATCH(B69,HS_MD!B:B,0),1),"")</f>
        <v>Dextrins and modified starches</v>
      </c>
      <c r="E69" s="17" t="str">
        <f>IFERROR(INDEX(HS_MD!E:E,MATCH(B69,HS_MD!B:B,0),1),"")</f>
        <v>Modified Starch (Cold/Hot)</v>
      </c>
      <c r="F69" s="17" t="str">
        <f>IFERROR(INDEX(HS_MD!F:F,MATCH(B69,HS_MD!B:B,0),1),"")</f>
        <v>FUNCTIONAL INGREDIENTS</v>
      </c>
      <c r="G69" s="17" t="str">
        <f>IFERROR(INDEX(HS_MD!G:G,MATCH(B69,HS_MD!B:B,0),1),"")</f>
        <v>Modified Starches</v>
      </c>
      <c r="H69" s="17" t="str">
        <f>IFERROR(INDEX(HS_MD!H:H,MATCH(B69,HS_MD!B:B,0),1),"")</f>
        <v>Modified Starch</v>
      </c>
      <c r="I69" s="17" t="str">
        <f>IFERROR(INDEX(HS_MD!I:I,MATCH(B69,HS_MD!B:B,0),1),"")</f>
        <v>Sauces / Mayo / Ketchup</v>
      </c>
      <c r="J69" s="17">
        <f>IFERROR(INDEX(Heat_Map[Index],MATCH(HS_DB[[#This Row],[Reporter]],Heat_Map[Global],0),1),"")</f>
        <v>156</v>
      </c>
      <c r="K69" s="17" t="str">
        <f>IF(AND(HS_DB[[#This Row],[Origin Rank]]&gt;1,HS_DB[[#This Row],[Origin Rank]]&lt;=10),"Yes","No")</f>
        <v>Yes</v>
      </c>
      <c r="L69" s="2">
        <v>2024</v>
      </c>
      <c r="M69" s="2" t="s">
        <v>57</v>
      </c>
      <c r="N69" s="2" t="s">
        <v>29</v>
      </c>
      <c r="O69" s="2" t="s">
        <v>22</v>
      </c>
      <c r="P69" s="2" t="s">
        <v>23</v>
      </c>
      <c r="Q69" s="2" t="s">
        <v>24</v>
      </c>
      <c r="R69" s="2" t="s">
        <v>25</v>
      </c>
      <c r="S69" s="2">
        <v>350510</v>
      </c>
      <c r="T69" s="3">
        <v>17084</v>
      </c>
      <c r="U69" s="3">
        <v>5000</v>
      </c>
      <c r="V69" s="3">
        <v>0</v>
      </c>
      <c r="W69" s="3">
        <v>5000</v>
      </c>
      <c r="X69" s="3" t="s">
        <v>58</v>
      </c>
      <c r="Y69" s="3">
        <v>5000</v>
      </c>
      <c r="Z69" s="2" t="s">
        <v>58</v>
      </c>
      <c r="AA69" s="6">
        <f>SUMIFS(HS_DB[Trade Value - USD],HS_DB[Reporter],HS_DB[[#This Row],[Reporter]])/SUM(HS_DB[Trade Value - USD])</f>
        <v>1.3832724193842358E-4</v>
      </c>
      <c r="AB69" s="8" cm="1">
        <f t="array" ref="AB69">SUMPRODUCT(
(HS_DB[Reporter]=HS_DB[[#This Row],[Reporter]])*
(HS_DB[Trade Value - USD]&gt;HS_DB[[#This Row],[Trade Value - USD]])
)+1</f>
        <v>2</v>
      </c>
      <c r="AC69" s="8" t="str">
        <f>IFERROR(IF(INDEX(Heat_Map[Crisis Impact %],MATCH(HS_DB[[#This Row],[Reporter]],Heat_Map[Global],0),1)&gt;0,"Yes","No"),"No")</f>
        <v>No</v>
      </c>
      <c r="AD69" s="6">
        <f>IFERROR(INDEX(Heat_Map[Crisis Impact %],MATCH(HS_DB[[#This Row],[Reporter]],Heat_Map[Global],0),1),0)</f>
        <v>0</v>
      </c>
      <c r="AE69" s="8">
        <f>HS_DB[[#This Row],[Crisis Impact%]]*HS_DB[[#This Row],[Trade Value - USD]]</f>
        <v>0</v>
      </c>
      <c r="AF69" s="8">
        <f>HS_DB[[#This Row],[Crisis Impact%]]*HS_DB[[#This Row],[Net Weight -KG]]</f>
        <v>0</v>
      </c>
      <c r="AG69" s="6">
        <f>SUMIFS(HS_DB[Trade Value - USD],HS_DB[Products],HS_DB[[#This Row],[Products]])/SUM(HS_DB[Trade Value - USD])</f>
        <v>1.2966653739508774E-2</v>
      </c>
      <c r="AH69" s="8">
        <f>_xlfn.RANK.EQ(HS_DB[[#This Row],[Trade Value - USD]], HS_DB[Trade Value - USD], 0)
 + COUNTIFS(HS_DB[Trade Value - USD],HS_DB[[#This Row],[Trade Value - USD]],
            HS_DB[HS Code],"&lt;"&amp;HS_DB[[#This Row],[HS Code]])</f>
        <v>387</v>
      </c>
      <c r="AI69" s="9">
        <f>IFERROR(HS_DB[[#This Row],[Trade Value - USD]]/HS_DB[[#This Row],[Net Weight -KG]],0)</f>
        <v>3.4167999999999998</v>
      </c>
      <c r="AJ69" s="17" cm="1">
        <f t="array" ref="AJ69">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69" s="17" t="str">
        <f>IF(HS_DB[[#This Row],[HS Code Risk Score]]&gt;=40,"High",
 IF(HS_DB[[#This Row],[HS Code Risk Score]]&gt;=25,"Medium","Low"))</f>
        <v>Medium</v>
      </c>
      <c r="AL69" s="17" t="str">
        <f>IF(RANK(HS_DB[[#This Row],[HS Code Risk Score]],HS_DB[HS Code Risk Score])&lt;=10,"Yes","No")</f>
        <v>No</v>
      </c>
      <c r="AM69" s="8">
        <f>SUMIFS(HS_DB[Net Weight -KG],HS_DB[HS Code],HS_DB[[#This Row],[HS Code]])</f>
        <v>17243671.100000001</v>
      </c>
      <c r="AN69" s="8">
        <f>SUMIFS(HS_DB[Trade Value - USD],HS_DB[HS Code],HS_DB[[#This Row],[HS Code]])</f>
        <v>24442250</v>
      </c>
      <c r="AO69" s="6">
        <f>_xlfn.MAXIFS(HS_DB[Origin Share%],HS_DB[HS Code],HS_DB[[#This Row],[HS Code]])</f>
        <v>0.39900464236999494</v>
      </c>
      <c r="AP69" s="8" cm="1">
        <f t="array" ref="AP69">_xlfn.LET(
_xlpm.hs,HS_DB[[#This Row],[HS Code]],
COUNTA(_xlfn.UNIQUE(_xlfn._xlws.FILTER(HS_DB[Reporter],HS_DB[HS Code]=_xlpm.hs)))
)</f>
        <v>23</v>
      </c>
      <c r="AQ69" s="17" t="str">
        <f>IF(HS_DB[[#This Row],[Origin Count]]=1,"Single Source","Multiple Sources")</f>
        <v>Multiple Sources</v>
      </c>
      <c r="AR69" s="8">
        <f>HS_DB[[#This Row],[Annual Spend - USD]]*(HS_DB[[#This Row],[HS Code Risk Score]]/100)</f>
        <v>8310365.0000000009</v>
      </c>
      <c r="AS69" s="8">
        <f>RANK(HS_DB[[#This Row],[Risk Exposure - USD]],HS_DB[Risk Exposure - USD],0)</f>
        <v>73</v>
      </c>
      <c r="AT69" s="8" t="str">
        <f>IF(HS_DB[[#This Row],[Risk Exposure Rank]]&lt;=10,"High",
 IF(HS_DB[[#This Row],[Risk Exposure Rank]]&lt;=30,"Medium",
 "Low"))</f>
        <v>Low</v>
      </c>
      <c r="AU69" s="8" t="str">
        <f>IF(HS_DB[[#This Row],[Risk Exposure Rank]]&lt;=5,"Immediate Action",
 IF(HS_DB[[#This Row],[Risk Exposure Rank]]&lt;=15,"Monitor Closely",
 "Routine Control"))</f>
        <v>Routine Control</v>
      </c>
      <c r="AV69" s="8">
        <f>SUMIFS(HS_DB[Trade Value - USD],HS_DB[HS Code],HS_DB[[#This Row],[HS Code]])</f>
        <v>24442250</v>
      </c>
      <c r="AW69" s="6">
        <f>HS_DB[[#This Row],[Annual Spend - USD]]/HS_DB[[#This Row],[Total Market Size - USD]]</f>
        <v>1</v>
      </c>
      <c r="AX69" s="6" cm="1">
        <f t="array" ref="AX69">COUNTA(_xlfn.UNIQUE(_xlfn._xlws.FILTER(HS_DB[Partner],HS_DB[HS Code]=HS_DB[[#This Row],[HS Code]])))</f>
        <v>1</v>
      </c>
      <c r="AY69" s="8" t="str">
        <f>IF(HS_DB[[#This Row],[Competition Intensity]]&lt;=2,"Highly Concentrated",
 IF(HS_DB[[#This Row],[Competition Intensity]]&lt;=5,"Moderate",
 "Highly Competitive"))</f>
        <v>Highly Concentrated</v>
      </c>
      <c r="AZ69" s="8">
        <f>HS_DB[[#This Row],[Total Market Size - USD]]
*
(1+IFERROR(#REF!,0))
/
HS_DB[[#This Row],[Competition Intensity]]</f>
        <v>24442250</v>
      </c>
      <c r="BA69" s="8" t="str">
        <f>IF(HS_DB[[#This Row],[Commercial Opportunity Score]]&gt;=PERCENTILE(HS_DB[Commercial Opportunity Score],0.9),"High Opportunity",
 IF(HS_DB[[#This Row],[Commercial Opportunity Score]]&gt;=PERCENTILE(HS_DB[Commercial Opportunity Score],0.6),"Medium Opportunity",
 "Routine Market"))</f>
        <v>Medium Opportunity</v>
      </c>
      <c r="BB69" s="3" t="str">
        <f>IF(AND(HS_DB[[#This Row],[Product Rank]]&gt;0,HS_DB[[#This Row],[Product Rank]]&lt;=10),"Yes","No")</f>
        <v>No</v>
      </c>
      <c r="BC69" s="3" t="str">
        <f>IF(AND(HS_DB[[#This Row],[Origin Rank]]&gt;0,HS_DB[[#This Row],[Origin Rank]]&lt;=10),"Yes","No")</f>
        <v>Yes</v>
      </c>
    </row>
    <row r="70" spans="2:55" x14ac:dyDescent="0.3">
      <c r="B70" s="2">
        <f>HS_DB[[#This Row],[Commodity Code]]</f>
        <v>350510</v>
      </c>
      <c r="C70" s="2">
        <f>IFERROR(INDEX(HS_MD!C:C,MATCH(B70,HS_MD!B:B,0),1),"")</f>
        <v>15</v>
      </c>
      <c r="D70" s="17" t="str">
        <f>IFERROR(INDEX(HS_MD!D:D,MATCH(B70,HS_MD!B:B,0),1),"")</f>
        <v>Dextrins and modified starches</v>
      </c>
      <c r="E70" s="17" t="str">
        <f>IFERROR(INDEX(HS_MD!E:E,MATCH(B70,HS_MD!B:B,0),1),"")</f>
        <v>Modified Starch (Cold/Hot)</v>
      </c>
      <c r="F70" s="17" t="str">
        <f>IFERROR(INDEX(HS_MD!F:F,MATCH(B70,HS_MD!B:B,0),1),"")</f>
        <v>FUNCTIONAL INGREDIENTS</v>
      </c>
      <c r="G70" s="17" t="str">
        <f>IFERROR(INDEX(HS_MD!G:G,MATCH(B70,HS_MD!B:B,0),1),"")</f>
        <v>Modified Starches</v>
      </c>
      <c r="H70" s="17" t="str">
        <f>IFERROR(INDEX(HS_MD!H:H,MATCH(B70,HS_MD!B:B,0),1),"")</f>
        <v>Modified Starch</v>
      </c>
      <c r="I70" s="17" t="str">
        <f>IFERROR(INDEX(HS_MD!I:I,MATCH(B70,HS_MD!B:B,0),1),"")</f>
        <v>Sauces / Mayo / Ketchup</v>
      </c>
      <c r="J70" s="17">
        <f>IFERROR(INDEX(Heat_Map[Index],MATCH(HS_DB[[#This Row],[Reporter]],Heat_Map[Global],0),1),"")</f>
        <v>163</v>
      </c>
      <c r="K70" s="17" t="str">
        <f>IF(AND(HS_DB[[#This Row],[Origin Rank]]&gt;1,HS_DB[[#This Row],[Origin Rank]]&lt;=10),"Yes","No")</f>
        <v>Yes</v>
      </c>
      <c r="L70" s="2">
        <v>2024</v>
      </c>
      <c r="M70" s="2" t="s">
        <v>57</v>
      </c>
      <c r="N70" s="2" t="s">
        <v>31</v>
      </c>
      <c r="O70" s="2" t="s">
        <v>22</v>
      </c>
      <c r="P70" s="2" t="s">
        <v>23</v>
      </c>
      <c r="Q70" s="2" t="s">
        <v>24</v>
      </c>
      <c r="R70" s="2" t="s">
        <v>25</v>
      </c>
      <c r="S70" s="2">
        <v>350510</v>
      </c>
      <c r="T70" s="3">
        <v>18831</v>
      </c>
      <c r="U70" s="3">
        <v>11000</v>
      </c>
      <c r="V70" s="3">
        <v>0</v>
      </c>
      <c r="W70" s="3">
        <v>11000</v>
      </c>
      <c r="X70" s="3" t="s">
        <v>58</v>
      </c>
      <c r="Y70" s="3">
        <v>11000</v>
      </c>
      <c r="Z70" s="2" t="s">
        <v>58</v>
      </c>
      <c r="AA70" s="6">
        <f>SUMIFS(HS_DB[Trade Value - USD],HS_DB[Reporter],HS_DB[[#This Row],[Reporter]])/SUM(HS_DB[Trade Value - USD])</f>
        <v>1.1596288425054823E-4</v>
      </c>
      <c r="AB70" s="8" cm="1">
        <f t="array" ref="AB70">SUMPRODUCT(
(HS_DB[Reporter]=HS_DB[[#This Row],[Reporter]])*
(HS_DB[Trade Value - USD]&gt;HS_DB[[#This Row],[Trade Value - USD]])
)+1</f>
        <v>4</v>
      </c>
      <c r="AC70" s="8" t="str">
        <f>IFERROR(IF(INDEX(Heat_Map[Crisis Impact %],MATCH(HS_DB[[#This Row],[Reporter]],Heat_Map[Global],0),1)&gt;0,"Yes","No"),"No")</f>
        <v>No</v>
      </c>
      <c r="AD70" s="6">
        <f>IFERROR(INDEX(Heat_Map[Crisis Impact %],MATCH(HS_DB[[#This Row],[Reporter]],Heat_Map[Global],0),1),0)</f>
        <v>0</v>
      </c>
      <c r="AE70" s="8">
        <f>HS_DB[[#This Row],[Crisis Impact%]]*HS_DB[[#This Row],[Trade Value - USD]]</f>
        <v>0</v>
      </c>
      <c r="AF70" s="8">
        <f>HS_DB[[#This Row],[Crisis Impact%]]*HS_DB[[#This Row],[Net Weight -KG]]</f>
        <v>0</v>
      </c>
      <c r="AG70" s="6">
        <f>SUMIFS(HS_DB[Trade Value - USD],HS_DB[Products],HS_DB[[#This Row],[Products]])/SUM(HS_DB[Trade Value - USD])</f>
        <v>1.2966653739508774E-2</v>
      </c>
      <c r="AH70" s="8">
        <f>_xlfn.RANK.EQ(HS_DB[[#This Row],[Trade Value - USD]], HS_DB[Trade Value - USD], 0)
 + COUNTIFS(HS_DB[Trade Value - USD],HS_DB[[#This Row],[Trade Value - USD]],
            HS_DB[HS Code],"&lt;"&amp;HS_DB[[#This Row],[HS Code]])</f>
        <v>382</v>
      </c>
      <c r="AI70" s="9">
        <f>IFERROR(HS_DB[[#This Row],[Trade Value - USD]]/HS_DB[[#This Row],[Net Weight -KG]],0)</f>
        <v>1.7119090909090908</v>
      </c>
      <c r="AJ70" s="17" cm="1">
        <f t="array" ref="AJ70">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70" s="17" t="str">
        <f>IF(HS_DB[[#This Row],[HS Code Risk Score]]&gt;=40,"High",
 IF(HS_DB[[#This Row],[HS Code Risk Score]]&gt;=25,"Medium","Low"))</f>
        <v>Medium</v>
      </c>
      <c r="AL70" s="17" t="str">
        <f>IF(RANK(HS_DB[[#This Row],[HS Code Risk Score]],HS_DB[HS Code Risk Score])&lt;=10,"Yes","No")</f>
        <v>No</v>
      </c>
      <c r="AM70" s="8">
        <f>SUMIFS(HS_DB[Net Weight -KG],HS_DB[HS Code],HS_DB[[#This Row],[HS Code]])</f>
        <v>17243671.100000001</v>
      </c>
      <c r="AN70" s="8">
        <f>SUMIFS(HS_DB[Trade Value - USD],HS_DB[HS Code],HS_DB[[#This Row],[HS Code]])</f>
        <v>24442250</v>
      </c>
      <c r="AO70" s="6">
        <f>_xlfn.MAXIFS(HS_DB[Origin Share%],HS_DB[HS Code],HS_DB[[#This Row],[HS Code]])</f>
        <v>0.39900464236999494</v>
      </c>
      <c r="AP70" s="8" cm="1">
        <f t="array" ref="AP70">_xlfn.LET(
_xlpm.hs,HS_DB[[#This Row],[HS Code]],
COUNTA(_xlfn.UNIQUE(_xlfn._xlws.FILTER(HS_DB[Reporter],HS_DB[HS Code]=_xlpm.hs)))
)</f>
        <v>23</v>
      </c>
      <c r="AQ70" s="17" t="str">
        <f>IF(HS_DB[[#This Row],[Origin Count]]=1,"Single Source","Multiple Sources")</f>
        <v>Multiple Sources</v>
      </c>
      <c r="AR70" s="8">
        <f>HS_DB[[#This Row],[Annual Spend - USD]]*(HS_DB[[#This Row],[HS Code Risk Score]]/100)</f>
        <v>8310365.0000000009</v>
      </c>
      <c r="AS70" s="8">
        <f>RANK(HS_DB[[#This Row],[Risk Exposure - USD]],HS_DB[Risk Exposure - USD],0)</f>
        <v>73</v>
      </c>
      <c r="AT70" s="8" t="str">
        <f>IF(HS_DB[[#This Row],[Risk Exposure Rank]]&lt;=10,"High",
 IF(HS_DB[[#This Row],[Risk Exposure Rank]]&lt;=30,"Medium",
 "Low"))</f>
        <v>Low</v>
      </c>
      <c r="AU70" s="8" t="str">
        <f>IF(HS_DB[[#This Row],[Risk Exposure Rank]]&lt;=5,"Immediate Action",
 IF(HS_DB[[#This Row],[Risk Exposure Rank]]&lt;=15,"Monitor Closely",
 "Routine Control"))</f>
        <v>Routine Control</v>
      </c>
      <c r="AV70" s="8">
        <f>SUMIFS(HS_DB[Trade Value - USD],HS_DB[HS Code],HS_DB[[#This Row],[HS Code]])</f>
        <v>24442250</v>
      </c>
      <c r="AW70" s="6">
        <f>HS_DB[[#This Row],[Annual Spend - USD]]/HS_DB[[#This Row],[Total Market Size - USD]]</f>
        <v>1</v>
      </c>
      <c r="AX70" s="6" cm="1">
        <f t="array" ref="AX70">COUNTA(_xlfn.UNIQUE(_xlfn._xlws.FILTER(HS_DB[Partner],HS_DB[HS Code]=HS_DB[[#This Row],[HS Code]])))</f>
        <v>1</v>
      </c>
      <c r="AY70" s="8" t="str">
        <f>IF(HS_DB[[#This Row],[Competition Intensity]]&lt;=2,"Highly Concentrated",
 IF(HS_DB[[#This Row],[Competition Intensity]]&lt;=5,"Moderate",
 "Highly Competitive"))</f>
        <v>Highly Concentrated</v>
      </c>
      <c r="AZ70" s="8">
        <f>HS_DB[[#This Row],[Total Market Size - USD]]
*
(1+IFERROR(#REF!,0))
/
HS_DB[[#This Row],[Competition Intensity]]</f>
        <v>24442250</v>
      </c>
      <c r="BA70" s="8" t="str">
        <f>IF(HS_DB[[#This Row],[Commercial Opportunity Score]]&gt;=PERCENTILE(HS_DB[Commercial Opportunity Score],0.9),"High Opportunity",
 IF(HS_DB[[#This Row],[Commercial Opportunity Score]]&gt;=PERCENTILE(HS_DB[Commercial Opportunity Score],0.6),"Medium Opportunity",
 "Routine Market"))</f>
        <v>Medium Opportunity</v>
      </c>
      <c r="BB70" s="3" t="str">
        <f>IF(AND(HS_DB[[#This Row],[Product Rank]]&gt;0,HS_DB[[#This Row],[Product Rank]]&lt;=10),"Yes","No")</f>
        <v>No</v>
      </c>
      <c r="BC70" s="3" t="str">
        <f>IF(AND(HS_DB[[#This Row],[Origin Rank]]&gt;0,HS_DB[[#This Row],[Origin Rank]]&lt;=10),"Yes","No")</f>
        <v>Yes</v>
      </c>
    </row>
    <row r="71" spans="2:55" x14ac:dyDescent="0.3">
      <c r="B71" s="2">
        <f>HS_DB[[#This Row],[Commodity Code]]</f>
        <v>350510</v>
      </c>
      <c r="C71" s="2">
        <f>IFERROR(INDEX(HS_MD!C:C,MATCH(B71,HS_MD!B:B,0),1),"")</f>
        <v>15</v>
      </c>
      <c r="D71" s="17" t="str">
        <f>IFERROR(INDEX(HS_MD!D:D,MATCH(B71,HS_MD!B:B,0),1),"")</f>
        <v>Dextrins and modified starches</v>
      </c>
      <c r="E71" s="17" t="str">
        <f>IFERROR(INDEX(HS_MD!E:E,MATCH(B71,HS_MD!B:B,0),1),"")</f>
        <v>Modified Starch (Cold/Hot)</v>
      </c>
      <c r="F71" s="17" t="str">
        <f>IFERROR(INDEX(HS_MD!F:F,MATCH(B71,HS_MD!B:B,0),1),"")</f>
        <v>FUNCTIONAL INGREDIENTS</v>
      </c>
      <c r="G71" s="17" t="str">
        <f>IFERROR(INDEX(HS_MD!G:G,MATCH(B71,HS_MD!B:B,0),1),"")</f>
        <v>Modified Starches</v>
      </c>
      <c r="H71" s="17" t="str">
        <f>IFERROR(INDEX(HS_MD!H:H,MATCH(B71,HS_MD!B:B,0),1),"")</f>
        <v>Modified Starch</v>
      </c>
      <c r="I71" s="17" t="str">
        <f>IFERROR(INDEX(HS_MD!I:I,MATCH(B71,HS_MD!B:B,0),1),"")</f>
        <v>Sauces / Mayo / Ketchup</v>
      </c>
      <c r="J71" s="17">
        <f>IFERROR(INDEX(Heat_Map[Index],MATCH(HS_DB[[#This Row],[Reporter]],Heat_Map[Global],0),1),"")</f>
        <v>169</v>
      </c>
      <c r="K71" s="17" t="str">
        <f>IF(AND(HS_DB[[#This Row],[Origin Rank]]&gt;1,HS_DB[[#This Row],[Origin Rank]]&lt;=10),"Yes","No")</f>
        <v>No</v>
      </c>
      <c r="L71" s="2">
        <v>2024</v>
      </c>
      <c r="M71" s="2" t="s">
        <v>57</v>
      </c>
      <c r="N71" s="2" t="s">
        <v>33</v>
      </c>
      <c r="O71" s="2" t="s">
        <v>22</v>
      </c>
      <c r="P71" s="2" t="s">
        <v>23</v>
      </c>
      <c r="Q71" s="2" t="s">
        <v>24</v>
      </c>
      <c r="R71" s="2" t="s">
        <v>25</v>
      </c>
      <c r="S71" s="2">
        <v>350510</v>
      </c>
      <c r="T71" s="3">
        <v>829700</v>
      </c>
      <c r="U71" s="3">
        <v>678100</v>
      </c>
      <c r="V71" s="3">
        <v>0</v>
      </c>
      <c r="W71" s="3">
        <v>678100</v>
      </c>
      <c r="X71" s="3" t="s">
        <v>58</v>
      </c>
      <c r="Y71" s="3">
        <v>678100</v>
      </c>
      <c r="Z71" s="2" t="s">
        <v>58</v>
      </c>
      <c r="AA71" s="6">
        <f>SUMIFS(HS_DB[Trade Value - USD],HS_DB[Reporter],HS_DB[[#This Row],[Reporter]])/SUM(HS_DB[Trade Value - USD])</f>
        <v>8.0337630087875059E-4</v>
      </c>
      <c r="AB71" s="8" cm="1">
        <f t="array" ref="AB71">SUMPRODUCT(
(HS_DB[Reporter]=HS_DB[[#This Row],[Reporter]])*
(HS_DB[Trade Value - USD]&gt;HS_DB[[#This Row],[Trade Value - USD]])
)+1</f>
        <v>1</v>
      </c>
      <c r="AC71" s="8" t="str">
        <f>IFERROR(IF(INDEX(Heat_Map[Crisis Impact %],MATCH(HS_DB[[#This Row],[Reporter]],Heat_Map[Global],0),1)&gt;0,"Yes","No"),"No")</f>
        <v>No</v>
      </c>
      <c r="AD71" s="6">
        <f>IFERROR(INDEX(Heat_Map[Crisis Impact %],MATCH(HS_DB[[#This Row],[Reporter]],Heat_Map[Global],0),1),0)</f>
        <v>0</v>
      </c>
      <c r="AE71" s="8">
        <f>HS_DB[[#This Row],[Crisis Impact%]]*HS_DB[[#This Row],[Trade Value - USD]]</f>
        <v>0</v>
      </c>
      <c r="AF71" s="8">
        <f>HS_DB[[#This Row],[Crisis Impact%]]*HS_DB[[#This Row],[Net Weight -KG]]</f>
        <v>0</v>
      </c>
      <c r="AG71" s="6">
        <f>SUMIFS(HS_DB[Trade Value - USD],HS_DB[Products],HS_DB[[#This Row],[Products]])/SUM(HS_DB[Trade Value - USD])</f>
        <v>1.2966653739508774E-2</v>
      </c>
      <c r="AH71" s="8">
        <f>_xlfn.RANK.EQ(HS_DB[[#This Row],[Trade Value - USD]], HS_DB[Trade Value - USD], 0)
 + COUNTIFS(HS_DB[Trade Value - USD],HS_DB[[#This Row],[Trade Value - USD]],
            HS_DB[HS Code],"&lt;"&amp;HS_DB[[#This Row],[HS Code]])</f>
        <v>113</v>
      </c>
      <c r="AI71" s="9">
        <f>IFERROR(HS_DB[[#This Row],[Trade Value - USD]]/HS_DB[[#This Row],[Net Weight -KG]],0)</f>
        <v>1.2235658457454652</v>
      </c>
      <c r="AJ71" s="17" cm="1">
        <f t="array" ref="AJ71">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71" s="17" t="str">
        <f>IF(HS_DB[[#This Row],[HS Code Risk Score]]&gt;=40,"High",
 IF(HS_DB[[#This Row],[HS Code Risk Score]]&gt;=25,"Medium","Low"))</f>
        <v>Medium</v>
      </c>
      <c r="AL71" s="17" t="str">
        <f>IF(RANK(HS_DB[[#This Row],[HS Code Risk Score]],HS_DB[HS Code Risk Score])&lt;=10,"Yes","No")</f>
        <v>No</v>
      </c>
      <c r="AM71" s="8">
        <f>SUMIFS(HS_DB[Net Weight -KG],HS_DB[HS Code],HS_DB[[#This Row],[HS Code]])</f>
        <v>17243671.100000001</v>
      </c>
      <c r="AN71" s="8">
        <f>SUMIFS(HS_DB[Trade Value - USD],HS_DB[HS Code],HS_DB[[#This Row],[HS Code]])</f>
        <v>24442250</v>
      </c>
      <c r="AO71" s="6">
        <f>_xlfn.MAXIFS(HS_DB[Origin Share%],HS_DB[HS Code],HS_DB[[#This Row],[HS Code]])</f>
        <v>0.39900464236999494</v>
      </c>
      <c r="AP71" s="8" cm="1">
        <f t="array" ref="AP71">_xlfn.LET(
_xlpm.hs,HS_DB[[#This Row],[HS Code]],
COUNTA(_xlfn.UNIQUE(_xlfn._xlws.FILTER(HS_DB[Reporter],HS_DB[HS Code]=_xlpm.hs)))
)</f>
        <v>23</v>
      </c>
      <c r="AQ71" s="17" t="str">
        <f>IF(HS_DB[[#This Row],[Origin Count]]=1,"Single Source","Multiple Sources")</f>
        <v>Multiple Sources</v>
      </c>
      <c r="AR71" s="8">
        <f>HS_DB[[#This Row],[Annual Spend - USD]]*(HS_DB[[#This Row],[HS Code Risk Score]]/100)</f>
        <v>8310365.0000000009</v>
      </c>
      <c r="AS71" s="8">
        <f>RANK(HS_DB[[#This Row],[Risk Exposure - USD]],HS_DB[Risk Exposure - USD],0)</f>
        <v>73</v>
      </c>
      <c r="AT71" s="8" t="str">
        <f>IF(HS_DB[[#This Row],[Risk Exposure Rank]]&lt;=10,"High",
 IF(HS_DB[[#This Row],[Risk Exposure Rank]]&lt;=30,"Medium",
 "Low"))</f>
        <v>Low</v>
      </c>
      <c r="AU71" s="8" t="str">
        <f>IF(HS_DB[[#This Row],[Risk Exposure Rank]]&lt;=5,"Immediate Action",
 IF(HS_DB[[#This Row],[Risk Exposure Rank]]&lt;=15,"Monitor Closely",
 "Routine Control"))</f>
        <v>Routine Control</v>
      </c>
      <c r="AV71" s="8">
        <f>SUMIFS(HS_DB[Trade Value - USD],HS_DB[HS Code],HS_DB[[#This Row],[HS Code]])</f>
        <v>24442250</v>
      </c>
      <c r="AW71" s="6">
        <f>HS_DB[[#This Row],[Annual Spend - USD]]/HS_DB[[#This Row],[Total Market Size - USD]]</f>
        <v>1</v>
      </c>
      <c r="AX71" s="6" cm="1">
        <f t="array" ref="AX71">COUNTA(_xlfn.UNIQUE(_xlfn._xlws.FILTER(HS_DB[Partner],HS_DB[HS Code]=HS_DB[[#This Row],[HS Code]])))</f>
        <v>1</v>
      </c>
      <c r="AY71" s="8" t="str">
        <f>IF(HS_DB[[#This Row],[Competition Intensity]]&lt;=2,"Highly Concentrated",
 IF(HS_DB[[#This Row],[Competition Intensity]]&lt;=5,"Moderate",
 "Highly Competitive"))</f>
        <v>Highly Concentrated</v>
      </c>
      <c r="AZ71" s="8">
        <f>HS_DB[[#This Row],[Total Market Size - USD]]
*
(1+IFERROR(#REF!,0))
/
HS_DB[[#This Row],[Competition Intensity]]</f>
        <v>24442250</v>
      </c>
      <c r="BA71" s="8" t="str">
        <f>IF(HS_DB[[#This Row],[Commercial Opportunity Score]]&gt;=PERCENTILE(HS_DB[Commercial Opportunity Score],0.9),"High Opportunity",
 IF(HS_DB[[#This Row],[Commercial Opportunity Score]]&gt;=PERCENTILE(HS_DB[Commercial Opportunity Score],0.6),"Medium Opportunity",
 "Routine Market"))</f>
        <v>Medium Opportunity</v>
      </c>
      <c r="BB71" s="3" t="str">
        <f>IF(AND(HS_DB[[#This Row],[Product Rank]]&gt;0,HS_DB[[#This Row],[Product Rank]]&lt;=10),"Yes","No")</f>
        <v>No</v>
      </c>
      <c r="BC71" s="3" t="str">
        <f>IF(AND(HS_DB[[#This Row],[Origin Rank]]&gt;0,HS_DB[[#This Row],[Origin Rank]]&lt;=10),"Yes","No")</f>
        <v>Yes</v>
      </c>
    </row>
    <row r="72" spans="2:55" x14ac:dyDescent="0.3">
      <c r="B72" s="2">
        <f>HS_DB[[#This Row],[Commodity Code]]</f>
        <v>350510</v>
      </c>
      <c r="C72" s="2">
        <f>IFERROR(INDEX(HS_MD!C:C,MATCH(B72,HS_MD!B:B,0),1),"")</f>
        <v>15</v>
      </c>
      <c r="D72" s="17" t="str">
        <f>IFERROR(INDEX(HS_MD!D:D,MATCH(B72,HS_MD!B:B,0),1),"")</f>
        <v>Dextrins and modified starches</v>
      </c>
      <c r="E72" s="17" t="str">
        <f>IFERROR(INDEX(HS_MD!E:E,MATCH(B72,HS_MD!B:B,0),1),"")</f>
        <v>Modified Starch (Cold/Hot)</v>
      </c>
      <c r="F72" s="17" t="str">
        <f>IFERROR(INDEX(HS_MD!F:F,MATCH(B72,HS_MD!B:B,0),1),"")</f>
        <v>FUNCTIONAL INGREDIENTS</v>
      </c>
      <c r="G72" s="17" t="str">
        <f>IFERROR(INDEX(HS_MD!G:G,MATCH(B72,HS_MD!B:B,0),1),"")</f>
        <v>Modified Starches</v>
      </c>
      <c r="H72" s="17" t="str">
        <f>IFERROR(INDEX(HS_MD!H:H,MATCH(B72,HS_MD!B:B,0),1),"")</f>
        <v>Modified Starch</v>
      </c>
      <c r="I72" s="17" t="str">
        <f>IFERROR(INDEX(HS_MD!I:I,MATCH(B72,HS_MD!B:B,0),1),"")</f>
        <v>Sauces / Mayo / Ketchup</v>
      </c>
      <c r="J72" s="17">
        <f>IFERROR(INDEX(Heat_Map[Index],MATCH(HS_DB[[#This Row],[Reporter]],Heat_Map[Global],0),1),"")</f>
        <v>175</v>
      </c>
      <c r="K72" s="17" t="str">
        <f>IF(AND(HS_DB[[#This Row],[Origin Rank]]&gt;1,HS_DB[[#This Row],[Origin Rank]]&lt;=10),"Yes","No")</f>
        <v>Yes</v>
      </c>
      <c r="L72" s="2">
        <v>2024</v>
      </c>
      <c r="M72" s="2" t="s">
        <v>57</v>
      </c>
      <c r="N72" s="2" t="s">
        <v>34</v>
      </c>
      <c r="O72" s="2" t="s">
        <v>22</v>
      </c>
      <c r="P72" s="2" t="s">
        <v>23</v>
      </c>
      <c r="Q72" s="2" t="s">
        <v>24</v>
      </c>
      <c r="R72" s="2" t="s">
        <v>25</v>
      </c>
      <c r="S72" s="2">
        <v>350510</v>
      </c>
      <c r="T72" s="3">
        <v>3438996</v>
      </c>
      <c r="U72" s="3">
        <v>5252345</v>
      </c>
      <c r="V72" s="3">
        <v>0</v>
      </c>
      <c r="W72" s="3">
        <v>5252345</v>
      </c>
      <c r="X72" s="3" t="s">
        <v>58</v>
      </c>
      <c r="Y72" s="3">
        <v>5252345</v>
      </c>
      <c r="Z72" s="2" t="s">
        <v>58</v>
      </c>
      <c r="AA72" s="6">
        <f>SUMIFS(HS_DB[Trade Value - USD],HS_DB[Reporter],HS_DB[[#This Row],[Reporter]])/SUM(HS_DB[Trade Value - USD])</f>
        <v>4.7522902002533667E-2</v>
      </c>
      <c r="AB72" s="8" cm="1">
        <f t="array" ref="AB72">SUMPRODUCT(
(HS_DB[Reporter]=HS_DB[[#This Row],[Reporter]])*
(HS_DB[Trade Value - USD]&gt;HS_DB[[#This Row],[Trade Value - USD]])
)+1</f>
        <v>7</v>
      </c>
      <c r="AC72" s="8" t="str">
        <f>IFERROR(IF(INDEX(Heat_Map[Crisis Impact %],MATCH(HS_DB[[#This Row],[Reporter]],Heat_Map[Global],0),1)&gt;0,"Yes","No"),"No")</f>
        <v>Yes</v>
      </c>
      <c r="AD72" s="6">
        <f>IFERROR(INDEX(Heat_Map[Crisis Impact %],MATCH(HS_DB[[#This Row],[Reporter]],Heat_Map[Global],0),1),0)</f>
        <v>0.1</v>
      </c>
      <c r="AE72" s="8">
        <f>HS_DB[[#This Row],[Crisis Impact%]]*HS_DB[[#This Row],[Trade Value - USD]]</f>
        <v>343899.60000000003</v>
      </c>
      <c r="AF72" s="8">
        <f>HS_DB[[#This Row],[Crisis Impact%]]*HS_DB[[#This Row],[Net Weight -KG]]</f>
        <v>525234.5</v>
      </c>
      <c r="AG72" s="6">
        <f>SUMIFS(HS_DB[Trade Value - USD],HS_DB[Products],HS_DB[[#This Row],[Products]])/SUM(HS_DB[Trade Value - USD])</f>
        <v>1.2966653739508774E-2</v>
      </c>
      <c r="AH72" s="8">
        <f>_xlfn.RANK.EQ(HS_DB[[#This Row],[Trade Value - USD]], HS_DB[Trade Value - USD], 0)
 + COUNTIFS(HS_DB[Trade Value - USD],HS_DB[[#This Row],[Trade Value - USD]],
            HS_DB[HS Code],"&lt;"&amp;HS_DB[[#This Row],[HS Code]])</f>
        <v>40</v>
      </c>
      <c r="AI72" s="9">
        <f>IFERROR(HS_DB[[#This Row],[Trade Value - USD]]/HS_DB[[#This Row],[Net Weight -KG]],0)</f>
        <v>0.65475440017744457</v>
      </c>
      <c r="AJ72" s="17" cm="1">
        <f t="array" ref="AJ72">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72" s="17" t="str">
        <f>IF(HS_DB[[#This Row],[HS Code Risk Score]]&gt;=40,"High",
 IF(HS_DB[[#This Row],[HS Code Risk Score]]&gt;=25,"Medium","Low"))</f>
        <v>Medium</v>
      </c>
      <c r="AL72" s="17" t="str">
        <f>IF(RANK(HS_DB[[#This Row],[HS Code Risk Score]],HS_DB[HS Code Risk Score])&lt;=10,"Yes","No")</f>
        <v>No</v>
      </c>
      <c r="AM72" s="8">
        <f>SUMIFS(HS_DB[Net Weight -KG],HS_DB[HS Code],HS_DB[[#This Row],[HS Code]])</f>
        <v>17243671.100000001</v>
      </c>
      <c r="AN72" s="8">
        <f>SUMIFS(HS_DB[Trade Value - USD],HS_DB[HS Code],HS_DB[[#This Row],[HS Code]])</f>
        <v>24442250</v>
      </c>
      <c r="AO72" s="6">
        <f>_xlfn.MAXIFS(HS_DB[Origin Share%],HS_DB[HS Code],HS_DB[[#This Row],[HS Code]])</f>
        <v>0.39900464236999494</v>
      </c>
      <c r="AP72" s="8" cm="1">
        <f t="array" ref="AP72">_xlfn.LET(
_xlpm.hs,HS_DB[[#This Row],[HS Code]],
COUNTA(_xlfn.UNIQUE(_xlfn._xlws.FILTER(HS_DB[Reporter],HS_DB[HS Code]=_xlpm.hs)))
)</f>
        <v>23</v>
      </c>
      <c r="AQ72" s="17" t="str">
        <f>IF(HS_DB[[#This Row],[Origin Count]]=1,"Single Source","Multiple Sources")</f>
        <v>Multiple Sources</v>
      </c>
      <c r="AR72" s="8">
        <f>HS_DB[[#This Row],[Annual Spend - USD]]*(HS_DB[[#This Row],[HS Code Risk Score]]/100)</f>
        <v>8310365.0000000009</v>
      </c>
      <c r="AS72" s="8">
        <f>RANK(HS_DB[[#This Row],[Risk Exposure - USD]],HS_DB[Risk Exposure - USD],0)</f>
        <v>73</v>
      </c>
      <c r="AT72" s="8" t="str">
        <f>IF(HS_DB[[#This Row],[Risk Exposure Rank]]&lt;=10,"High",
 IF(HS_DB[[#This Row],[Risk Exposure Rank]]&lt;=30,"Medium",
 "Low"))</f>
        <v>Low</v>
      </c>
      <c r="AU72" s="8" t="str">
        <f>IF(HS_DB[[#This Row],[Risk Exposure Rank]]&lt;=5,"Immediate Action",
 IF(HS_DB[[#This Row],[Risk Exposure Rank]]&lt;=15,"Monitor Closely",
 "Routine Control"))</f>
        <v>Routine Control</v>
      </c>
      <c r="AV72" s="8">
        <f>SUMIFS(HS_DB[Trade Value - USD],HS_DB[HS Code],HS_DB[[#This Row],[HS Code]])</f>
        <v>24442250</v>
      </c>
      <c r="AW72" s="6">
        <f>HS_DB[[#This Row],[Annual Spend - USD]]/HS_DB[[#This Row],[Total Market Size - USD]]</f>
        <v>1</v>
      </c>
      <c r="AX72" s="6" cm="1">
        <f t="array" ref="AX72">COUNTA(_xlfn.UNIQUE(_xlfn._xlws.FILTER(HS_DB[Partner],HS_DB[HS Code]=HS_DB[[#This Row],[HS Code]])))</f>
        <v>1</v>
      </c>
      <c r="AY72" s="8" t="str">
        <f>IF(HS_DB[[#This Row],[Competition Intensity]]&lt;=2,"Highly Concentrated",
 IF(HS_DB[[#This Row],[Competition Intensity]]&lt;=5,"Moderate",
 "Highly Competitive"))</f>
        <v>Highly Concentrated</v>
      </c>
      <c r="AZ72" s="8">
        <f>HS_DB[[#This Row],[Total Market Size - USD]]
*
(1+IFERROR(#REF!,0))
/
HS_DB[[#This Row],[Competition Intensity]]</f>
        <v>24442250</v>
      </c>
      <c r="BA72" s="8" t="str">
        <f>IF(HS_DB[[#This Row],[Commercial Opportunity Score]]&gt;=PERCENTILE(HS_DB[Commercial Opportunity Score],0.9),"High Opportunity",
 IF(HS_DB[[#This Row],[Commercial Opportunity Score]]&gt;=PERCENTILE(HS_DB[Commercial Opportunity Score],0.6),"Medium Opportunity",
 "Routine Market"))</f>
        <v>Medium Opportunity</v>
      </c>
      <c r="BB72" s="3" t="str">
        <f>IF(AND(HS_DB[[#This Row],[Product Rank]]&gt;0,HS_DB[[#This Row],[Product Rank]]&lt;=10),"Yes","No")</f>
        <v>No</v>
      </c>
      <c r="BC72" s="3" t="str">
        <f>IF(AND(HS_DB[[#This Row],[Origin Rank]]&gt;0,HS_DB[[#This Row],[Origin Rank]]&lt;=10),"Yes","No")</f>
        <v>Yes</v>
      </c>
    </row>
    <row r="73" spans="2:55" x14ac:dyDescent="0.3">
      <c r="B73" s="2">
        <f>HS_DB[[#This Row],[Commodity Code]]</f>
        <v>350510</v>
      </c>
      <c r="C73" s="2">
        <f>IFERROR(INDEX(HS_MD!C:C,MATCH(B73,HS_MD!B:B,0),1),"")</f>
        <v>15</v>
      </c>
      <c r="D73" s="17" t="str">
        <f>IFERROR(INDEX(HS_MD!D:D,MATCH(B73,HS_MD!B:B,0),1),"")</f>
        <v>Dextrins and modified starches</v>
      </c>
      <c r="E73" s="17" t="str">
        <f>IFERROR(INDEX(HS_MD!E:E,MATCH(B73,HS_MD!B:B,0),1),"")</f>
        <v>Modified Starch (Cold/Hot)</v>
      </c>
      <c r="F73" s="17" t="str">
        <f>IFERROR(INDEX(HS_MD!F:F,MATCH(B73,HS_MD!B:B,0),1),"")</f>
        <v>FUNCTIONAL INGREDIENTS</v>
      </c>
      <c r="G73" s="17" t="str">
        <f>IFERROR(INDEX(HS_MD!G:G,MATCH(B73,HS_MD!B:B,0),1),"")</f>
        <v>Modified Starches</v>
      </c>
      <c r="H73" s="17" t="str">
        <f>IFERROR(INDEX(HS_MD!H:H,MATCH(B73,HS_MD!B:B,0),1),"")</f>
        <v>Modified Starch</v>
      </c>
      <c r="I73" s="17" t="str">
        <f>IFERROR(INDEX(HS_MD!I:I,MATCH(B73,HS_MD!B:B,0),1),"")</f>
        <v>Sauces / Mayo / Ketchup</v>
      </c>
      <c r="J73" s="17">
        <f>IFERROR(INDEX(Heat_Map[Index],MATCH(HS_DB[[#This Row],[Reporter]],Heat_Map[Global],0),1),"")</f>
        <v>179</v>
      </c>
      <c r="K73" s="17" t="str">
        <f>IF(AND(HS_DB[[#This Row],[Origin Rank]]&gt;1,HS_DB[[#This Row],[Origin Rank]]&lt;=10),"Yes","No")</f>
        <v>Yes</v>
      </c>
      <c r="L73" s="2">
        <v>2024</v>
      </c>
      <c r="M73" s="2" t="s">
        <v>57</v>
      </c>
      <c r="N73" s="2" t="s">
        <v>35</v>
      </c>
      <c r="O73" s="2" t="s">
        <v>22</v>
      </c>
      <c r="P73" s="2" t="s">
        <v>23</v>
      </c>
      <c r="Q73" s="2" t="s">
        <v>24</v>
      </c>
      <c r="R73" s="2" t="s">
        <v>25</v>
      </c>
      <c r="S73" s="2">
        <v>350510</v>
      </c>
      <c r="T73" s="3">
        <v>427212</v>
      </c>
      <c r="U73" s="3">
        <v>299750</v>
      </c>
      <c r="V73" s="3">
        <v>0</v>
      </c>
      <c r="W73" s="3">
        <v>299750</v>
      </c>
      <c r="X73" s="3" t="s">
        <v>58</v>
      </c>
      <c r="Y73" s="3">
        <v>299750</v>
      </c>
      <c r="Z73" s="2" t="s">
        <v>58</v>
      </c>
      <c r="AA73" s="6">
        <f>SUMIFS(HS_DB[Trade Value - USD],HS_DB[Reporter],HS_DB[[#This Row],[Reporter]])/SUM(HS_DB[Trade Value - USD])</f>
        <v>7.6648679233989533E-2</v>
      </c>
      <c r="AB73" s="8" cm="1">
        <f t="array" ref="AB73">SUMPRODUCT(
(HS_DB[Reporter]=HS_DB[[#This Row],[Reporter]])*
(HS_DB[Trade Value - USD]&gt;HS_DB[[#This Row],[Trade Value - USD]])
)+1</f>
        <v>4</v>
      </c>
      <c r="AC73" s="8" t="str">
        <f>IFERROR(IF(INDEX(Heat_Map[Crisis Impact %],MATCH(HS_DB[[#This Row],[Reporter]],Heat_Map[Global],0),1)&gt;0,"Yes","No"),"No")</f>
        <v>Yes</v>
      </c>
      <c r="AD73" s="6">
        <f>IFERROR(INDEX(Heat_Map[Crisis Impact %],MATCH(HS_DB[[#This Row],[Reporter]],Heat_Map[Global],0),1),0)</f>
        <v>0.44999999999999996</v>
      </c>
      <c r="AE73" s="8">
        <f>HS_DB[[#This Row],[Crisis Impact%]]*HS_DB[[#This Row],[Trade Value - USD]]</f>
        <v>192245.4</v>
      </c>
      <c r="AF73" s="8">
        <f>HS_DB[[#This Row],[Crisis Impact%]]*HS_DB[[#This Row],[Net Weight -KG]]</f>
        <v>134887.5</v>
      </c>
      <c r="AG73" s="6">
        <f>SUMIFS(HS_DB[Trade Value - USD],HS_DB[Products],HS_DB[[#This Row],[Products]])/SUM(HS_DB[Trade Value - USD])</f>
        <v>1.2966653739508774E-2</v>
      </c>
      <c r="AH73" s="8">
        <f>_xlfn.RANK.EQ(HS_DB[[#This Row],[Trade Value - USD]], HS_DB[Trade Value - USD], 0)
 + COUNTIFS(HS_DB[Trade Value - USD],HS_DB[[#This Row],[Trade Value - USD]],
            HS_DB[HS Code],"&lt;"&amp;HS_DB[[#This Row],[HS Code]])</f>
        <v>156</v>
      </c>
      <c r="AI73" s="9">
        <f>IFERROR(HS_DB[[#This Row],[Trade Value - USD]]/HS_DB[[#This Row],[Net Weight -KG]],0)</f>
        <v>1.4252276897414513</v>
      </c>
      <c r="AJ73" s="17" cm="1">
        <f t="array" ref="AJ73">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73" s="17" t="str">
        <f>IF(HS_DB[[#This Row],[HS Code Risk Score]]&gt;=40,"High",
 IF(HS_DB[[#This Row],[HS Code Risk Score]]&gt;=25,"Medium","Low"))</f>
        <v>Medium</v>
      </c>
      <c r="AL73" s="17" t="str">
        <f>IF(RANK(HS_DB[[#This Row],[HS Code Risk Score]],HS_DB[HS Code Risk Score])&lt;=10,"Yes","No")</f>
        <v>No</v>
      </c>
      <c r="AM73" s="8">
        <f>SUMIFS(HS_DB[Net Weight -KG],HS_DB[HS Code],HS_DB[[#This Row],[HS Code]])</f>
        <v>17243671.100000001</v>
      </c>
      <c r="AN73" s="8">
        <f>SUMIFS(HS_DB[Trade Value - USD],HS_DB[HS Code],HS_DB[[#This Row],[HS Code]])</f>
        <v>24442250</v>
      </c>
      <c r="AO73" s="6">
        <f>_xlfn.MAXIFS(HS_DB[Origin Share%],HS_DB[HS Code],HS_DB[[#This Row],[HS Code]])</f>
        <v>0.39900464236999494</v>
      </c>
      <c r="AP73" s="8" cm="1">
        <f t="array" ref="AP73">_xlfn.LET(
_xlpm.hs,HS_DB[[#This Row],[HS Code]],
COUNTA(_xlfn.UNIQUE(_xlfn._xlws.FILTER(HS_DB[Reporter],HS_DB[HS Code]=_xlpm.hs)))
)</f>
        <v>23</v>
      </c>
      <c r="AQ73" s="17" t="str">
        <f>IF(HS_DB[[#This Row],[Origin Count]]=1,"Single Source","Multiple Sources")</f>
        <v>Multiple Sources</v>
      </c>
      <c r="AR73" s="8">
        <f>HS_DB[[#This Row],[Annual Spend - USD]]*(HS_DB[[#This Row],[HS Code Risk Score]]/100)</f>
        <v>8310365.0000000009</v>
      </c>
      <c r="AS73" s="8">
        <f>RANK(HS_DB[[#This Row],[Risk Exposure - USD]],HS_DB[Risk Exposure - USD],0)</f>
        <v>73</v>
      </c>
      <c r="AT73" s="8" t="str">
        <f>IF(HS_DB[[#This Row],[Risk Exposure Rank]]&lt;=10,"High",
 IF(HS_DB[[#This Row],[Risk Exposure Rank]]&lt;=30,"Medium",
 "Low"))</f>
        <v>Low</v>
      </c>
      <c r="AU73" s="8" t="str">
        <f>IF(HS_DB[[#This Row],[Risk Exposure Rank]]&lt;=5,"Immediate Action",
 IF(HS_DB[[#This Row],[Risk Exposure Rank]]&lt;=15,"Monitor Closely",
 "Routine Control"))</f>
        <v>Routine Control</v>
      </c>
      <c r="AV73" s="8">
        <f>SUMIFS(HS_DB[Trade Value - USD],HS_DB[HS Code],HS_DB[[#This Row],[HS Code]])</f>
        <v>24442250</v>
      </c>
      <c r="AW73" s="6">
        <f>HS_DB[[#This Row],[Annual Spend - USD]]/HS_DB[[#This Row],[Total Market Size - USD]]</f>
        <v>1</v>
      </c>
      <c r="AX73" s="6" cm="1">
        <f t="array" ref="AX73">COUNTA(_xlfn.UNIQUE(_xlfn._xlws.FILTER(HS_DB[Partner],HS_DB[HS Code]=HS_DB[[#This Row],[HS Code]])))</f>
        <v>1</v>
      </c>
      <c r="AY73" s="8" t="str">
        <f>IF(HS_DB[[#This Row],[Competition Intensity]]&lt;=2,"Highly Concentrated",
 IF(HS_DB[[#This Row],[Competition Intensity]]&lt;=5,"Moderate",
 "Highly Competitive"))</f>
        <v>Highly Concentrated</v>
      </c>
      <c r="AZ73" s="8">
        <f>HS_DB[[#This Row],[Total Market Size - USD]]
*
(1+IFERROR(#REF!,0))
/
HS_DB[[#This Row],[Competition Intensity]]</f>
        <v>24442250</v>
      </c>
      <c r="BA73" s="8" t="str">
        <f>IF(HS_DB[[#This Row],[Commercial Opportunity Score]]&gt;=PERCENTILE(HS_DB[Commercial Opportunity Score],0.9),"High Opportunity",
 IF(HS_DB[[#This Row],[Commercial Opportunity Score]]&gt;=PERCENTILE(HS_DB[Commercial Opportunity Score],0.6),"Medium Opportunity",
 "Routine Market"))</f>
        <v>Medium Opportunity</v>
      </c>
      <c r="BB73" s="3" t="str">
        <f>IF(AND(HS_DB[[#This Row],[Product Rank]]&gt;0,HS_DB[[#This Row],[Product Rank]]&lt;=10),"Yes","No")</f>
        <v>No</v>
      </c>
      <c r="BC73" s="3" t="str">
        <f>IF(AND(HS_DB[[#This Row],[Origin Rank]]&gt;0,HS_DB[[#This Row],[Origin Rank]]&lt;=10),"Yes","No")</f>
        <v>Yes</v>
      </c>
    </row>
    <row r="74" spans="2:55" x14ac:dyDescent="0.3">
      <c r="B74" s="2">
        <f>HS_DB[[#This Row],[Commodity Code]]</f>
        <v>350510</v>
      </c>
      <c r="C74" s="2">
        <f>IFERROR(INDEX(HS_MD!C:C,MATCH(B74,HS_MD!B:B,0),1),"")</f>
        <v>15</v>
      </c>
      <c r="D74" s="17" t="str">
        <f>IFERROR(INDEX(HS_MD!D:D,MATCH(B74,HS_MD!B:B,0),1),"")</f>
        <v>Dextrins and modified starches</v>
      </c>
      <c r="E74" s="17" t="str">
        <f>IFERROR(INDEX(HS_MD!E:E,MATCH(B74,HS_MD!B:B,0),1),"")</f>
        <v>Modified Starch (Cold/Hot)</v>
      </c>
      <c r="F74" s="17" t="str">
        <f>IFERROR(INDEX(HS_MD!F:F,MATCH(B74,HS_MD!B:B,0),1),"")</f>
        <v>FUNCTIONAL INGREDIENTS</v>
      </c>
      <c r="G74" s="17" t="str">
        <f>IFERROR(INDEX(HS_MD!G:G,MATCH(B74,HS_MD!B:B,0),1),"")</f>
        <v>Modified Starches</v>
      </c>
      <c r="H74" s="17" t="str">
        <f>IFERROR(INDEX(HS_MD!H:H,MATCH(B74,HS_MD!B:B,0),1),"")</f>
        <v>Modified Starch</v>
      </c>
      <c r="I74" s="17" t="str">
        <f>IFERROR(INDEX(HS_MD!I:I,MATCH(B74,HS_MD!B:B,0),1),"")</f>
        <v>Sauces / Mayo / Ketchup</v>
      </c>
      <c r="J74" s="17">
        <f>IFERROR(INDEX(Heat_Map[Index],MATCH(HS_DB[[#This Row],[Reporter]],Heat_Map[Global],0),1),"")</f>
        <v>181</v>
      </c>
      <c r="K74" s="17" t="str">
        <f>IF(AND(HS_DB[[#This Row],[Origin Rank]]&gt;1,HS_DB[[#This Row],[Origin Rank]]&lt;=10),"Yes","No")</f>
        <v>Yes</v>
      </c>
      <c r="L74" s="2">
        <v>2024</v>
      </c>
      <c r="M74" s="2" t="s">
        <v>57</v>
      </c>
      <c r="N74" s="2" t="s">
        <v>36</v>
      </c>
      <c r="O74" s="2" t="s">
        <v>22</v>
      </c>
      <c r="P74" s="2" t="s">
        <v>23</v>
      </c>
      <c r="Q74" s="2" t="s">
        <v>24</v>
      </c>
      <c r="R74" s="2" t="s">
        <v>25</v>
      </c>
      <c r="S74" s="2">
        <v>350510</v>
      </c>
      <c r="T74" s="3">
        <v>39238</v>
      </c>
      <c r="U74" s="3">
        <v>9414</v>
      </c>
      <c r="V74" s="3">
        <v>0</v>
      </c>
      <c r="W74" s="3">
        <v>9414</v>
      </c>
      <c r="X74" s="3" t="s">
        <v>58</v>
      </c>
      <c r="Y74" s="3">
        <v>9414</v>
      </c>
      <c r="Z74" s="2" t="s">
        <v>58</v>
      </c>
      <c r="AA74" s="6">
        <f>SUMIFS(HS_DB[Trade Value - USD],HS_DB[Reporter],HS_DB[[#This Row],[Reporter]])/SUM(HS_DB[Trade Value - USD])</f>
        <v>1.3104801671892474E-3</v>
      </c>
      <c r="AB74" s="8" cm="1">
        <f t="array" ref="AB74">SUMPRODUCT(
(HS_DB[Reporter]=HS_DB[[#This Row],[Reporter]])*
(HS_DB[Trade Value - USD]&gt;HS_DB[[#This Row],[Trade Value - USD]])
)+1</f>
        <v>9</v>
      </c>
      <c r="AC74" s="8" t="str">
        <f>IFERROR(IF(INDEX(Heat_Map[Crisis Impact %],MATCH(HS_DB[[#This Row],[Reporter]],Heat_Map[Global],0),1)&gt;0,"Yes","No"),"No")</f>
        <v>No</v>
      </c>
      <c r="AD74" s="6">
        <f>IFERROR(INDEX(Heat_Map[Crisis Impact %],MATCH(HS_DB[[#This Row],[Reporter]],Heat_Map[Global],0),1),0)</f>
        <v>0</v>
      </c>
      <c r="AE74" s="8">
        <f>HS_DB[[#This Row],[Crisis Impact%]]*HS_DB[[#This Row],[Trade Value - USD]]</f>
        <v>0</v>
      </c>
      <c r="AF74" s="8">
        <f>HS_DB[[#This Row],[Crisis Impact%]]*HS_DB[[#This Row],[Net Weight -KG]]</f>
        <v>0</v>
      </c>
      <c r="AG74" s="6">
        <f>SUMIFS(HS_DB[Trade Value - USD],HS_DB[Products],HS_DB[[#This Row],[Products]])/SUM(HS_DB[Trade Value - USD])</f>
        <v>1.2966653739508774E-2</v>
      </c>
      <c r="AH74" s="8">
        <f>_xlfn.RANK.EQ(HS_DB[[#This Row],[Trade Value - USD]], HS_DB[Trade Value - USD], 0)
 + COUNTIFS(HS_DB[Trade Value - USD],HS_DB[[#This Row],[Trade Value - USD]],
            HS_DB[HS Code],"&lt;"&amp;HS_DB[[#This Row],[HS Code]])</f>
        <v>333</v>
      </c>
      <c r="AI74" s="9">
        <f>IFERROR(HS_DB[[#This Row],[Trade Value - USD]]/HS_DB[[#This Row],[Net Weight -KG]],0)</f>
        <v>4.168047588697684</v>
      </c>
      <c r="AJ74" s="17" cm="1">
        <f t="array" ref="AJ74">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74" s="17" t="str">
        <f>IF(HS_DB[[#This Row],[HS Code Risk Score]]&gt;=40,"High",
 IF(HS_DB[[#This Row],[HS Code Risk Score]]&gt;=25,"Medium","Low"))</f>
        <v>Medium</v>
      </c>
      <c r="AL74" s="17" t="str">
        <f>IF(RANK(HS_DB[[#This Row],[HS Code Risk Score]],HS_DB[HS Code Risk Score])&lt;=10,"Yes","No")</f>
        <v>No</v>
      </c>
      <c r="AM74" s="8">
        <f>SUMIFS(HS_DB[Net Weight -KG],HS_DB[HS Code],HS_DB[[#This Row],[HS Code]])</f>
        <v>17243671.100000001</v>
      </c>
      <c r="AN74" s="8">
        <f>SUMIFS(HS_DB[Trade Value - USD],HS_DB[HS Code],HS_DB[[#This Row],[HS Code]])</f>
        <v>24442250</v>
      </c>
      <c r="AO74" s="6">
        <f>_xlfn.MAXIFS(HS_DB[Origin Share%],HS_DB[HS Code],HS_DB[[#This Row],[HS Code]])</f>
        <v>0.39900464236999494</v>
      </c>
      <c r="AP74" s="8" cm="1">
        <f t="array" ref="AP74">_xlfn.LET(
_xlpm.hs,HS_DB[[#This Row],[HS Code]],
COUNTA(_xlfn.UNIQUE(_xlfn._xlws.FILTER(HS_DB[Reporter],HS_DB[HS Code]=_xlpm.hs)))
)</f>
        <v>23</v>
      </c>
      <c r="AQ74" s="17" t="str">
        <f>IF(HS_DB[[#This Row],[Origin Count]]=1,"Single Source","Multiple Sources")</f>
        <v>Multiple Sources</v>
      </c>
      <c r="AR74" s="8">
        <f>HS_DB[[#This Row],[Annual Spend - USD]]*(HS_DB[[#This Row],[HS Code Risk Score]]/100)</f>
        <v>8310365.0000000009</v>
      </c>
      <c r="AS74" s="8">
        <f>RANK(HS_DB[[#This Row],[Risk Exposure - USD]],HS_DB[Risk Exposure - USD],0)</f>
        <v>73</v>
      </c>
      <c r="AT74" s="8" t="str">
        <f>IF(HS_DB[[#This Row],[Risk Exposure Rank]]&lt;=10,"High",
 IF(HS_DB[[#This Row],[Risk Exposure Rank]]&lt;=30,"Medium",
 "Low"))</f>
        <v>Low</v>
      </c>
      <c r="AU74" s="8" t="str">
        <f>IF(HS_DB[[#This Row],[Risk Exposure Rank]]&lt;=5,"Immediate Action",
 IF(HS_DB[[#This Row],[Risk Exposure Rank]]&lt;=15,"Monitor Closely",
 "Routine Control"))</f>
        <v>Routine Control</v>
      </c>
      <c r="AV74" s="8">
        <f>SUMIFS(HS_DB[Trade Value - USD],HS_DB[HS Code],HS_DB[[#This Row],[HS Code]])</f>
        <v>24442250</v>
      </c>
      <c r="AW74" s="6">
        <f>HS_DB[[#This Row],[Annual Spend - USD]]/HS_DB[[#This Row],[Total Market Size - USD]]</f>
        <v>1</v>
      </c>
      <c r="AX74" s="6" cm="1">
        <f t="array" ref="AX74">COUNTA(_xlfn.UNIQUE(_xlfn._xlws.FILTER(HS_DB[Partner],HS_DB[HS Code]=HS_DB[[#This Row],[HS Code]])))</f>
        <v>1</v>
      </c>
      <c r="AY74" s="8" t="str">
        <f>IF(HS_DB[[#This Row],[Competition Intensity]]&lt;=2,"Highly Concentrated",
 IF(HS_DB[[#This Row],[Competition Intensity]]&lt;=5,"Moderate",
 "Highly Competitive"))</f>
        <v>Highly Concentrated</v>
      </c>
      <c r="AZ74" s="8">
        <f>HS_DB[[#This Row],[Total Market Size - USD]]
*
(1+IFERROR(#REF!,0))
/
HS_DB[[#This Row],[Competition Intensity]]</f>
        <v>24442250</v>
      </c>
      <c r="BA74" s="8" t="str">
        <f>IF(HS_DB[[#This Row],[Commercial Opportunity Score]]&gt;=PERCENTILE(HS_DB[Commercial Opportunity Score],0.9),"High Opportunity",
 IF(HS_DB[[#This Row],[Commercial Opportunity Score]]&gt;=PERCENTILE(HS_DB[Commercial Opportunity Score],0.6),"Medium Opportunity",
 "Routine Market"))</f>
        <v>Medium Opportunity</v>
      </c>
      <c r="BB74" s="3" t="str">
        <f>IF(AND(HS_DB[[#This Row],[Product Rank]]&gt;0,HS_DB[[#This Row],[Product Rank]]&lt;=10),"Yes","No")</f>
        <v>No</v>
      </c>
      <c r="BC74" s="3" t="str">
        <f>IF(AND(HS_DB[[#This Row],[Origin Rank]]&gt;0,HS_DB[[#This Row],[Origin Rank]]&lt;=10),"Yes","No")</f>
        <v>Yes</v>
      </c>
    </row>
    <row r="75" spans="2:55" x14ac:dyDescent="0.3">
      <c r="B75" s="2">
        <f>HS_DB[[#This Row],[Commodity Code]]</f>
        <v>350510</v>
      </c>
      <c r="C75" s="2">
        <f>IFERROR(INDEX(HS_MD!C:C,MATCH(B75,HS_MD!B:B,0),1),"")</f>
        <v>15</v>
      </c>
      <c r="D75" s="17" t="str">
        <f>IFERROR(INDEX(HS_MD!D:D,MATCH(B75,HS_MD!B:B,0),1),"")</f>
        <v>Dextrins and modified starches</v>
      </c>
      <c r="E75" s="17" t="str">
        <f>IFERROR(INDEX(HS_MD!E:E,MATCH(B75,HS_MD!B:B,0),1),"")</f>
        <v>Modified Starch (Cold/Hot)</v>
      </c>
      <c r="F75" s="17" t="str">
        <f>IFERROR(INDEX(HS_MD!F:F,MATCH(B75,HS_MD!B:B,0),1),"")</f>
        <v>FUNCTIONAL INGREDIENTS</v>
      </c>
      <c r="G75" s="17" t="str">
        <f>IFERROR(INDEX(HS_MD!G:G,MATCH(B75,HS_MD!B:B,0),1),"")</f>
        <v>Modified Starches</v>
      </c>
      <c r="H75" s="17" t="str">
        <f>IFERROR(INDEX(HS_MD!H:H,MATCH(B75,HS_MD!B:B,0),1),"")</f>
        <v>Modified Starch</v>
      </c>
      <c r="I75" s="17" t="str">
        <f>IFERROR(INDEX(HS_MD!I:I,MATCH(B75,HS_MD!B:B,0),1),"")</f>
        <v>Sauces / Mayo / Ketchup</v>
      </c>
      <c r="J75" s="17">
        <f>IFERROR(INDEX(Heat_Map[Index],MATCH(HS_DB[[#This Row],[Reporter]],Heat_Map[Global],0),1),"")</f>
        <v>182</v>
      </c>
      <c r="K75" s="17" t="str">
        <f>IF(AND(HS_DB[[#This Row],[Origin Rank]]&gt;1,HS_DB[[#This Row],[Origin Rank]]&lt;=10),"Yes","No")</f>
        <v>Yes</v>
      </c>
      <c r="L75" s="2">
        <v>2024</v>
      </c>
      <c r="M75" s="2" t="s">
        <v>57</v>
      </c>
      <c r="N75" s="2" t="s">
        <v>56</v>
      </c>
      <c r="O75" s="2" t="s">
        <v>22</v>
      </c>
      <c r="P75" s="2" t="s">
        <v>23</v>
      </c>
      <c r="Q75" s="2" t="s">
        <v>24</v>
      </c>
      <c r="R75" s="2" t="s">
        <v>25</v>
      </c>
      <c r="S75" s="2">
        <v>350510</v>
      </c>
      <c r="T75" s="3">
        <v>1198335</v>
      </c>
      <c r="U75" s="3">
        <v>708965</v>
      </c>
      <c r="V75" s="3">
        <v>0</v>
      </c>
      <c r="W75" s="3">
        <v>708965</v>
      </c>
      <c r="X75" s="3" t="s">
        <v>58</v>
      </c>
      <c r="Y75" s="3">
        <v>708965</v>
      </c>
      <c r="Z75" s="2" t="s">
        <v>58</v>
      </c>
      <c r="AA75" s="6">
        <f>SUMIFS(HS_DB[Trade Value - USD],HS_DB[Reporter],HS_DB[[#This Row],[Reporter]])/SUM(HS_DB[Trade Value - USD])</f>
        <v>9.425427433633813E-3</v>
      </c>
      <c r="AB75" s="8" cm="1">
        <f t="array" ref="AB75">SUMPRODUCT(
(HS_DB[Reporter]=HS_DB[[#This Row],[Reporter]])*
(HS_DB[Trade Value - USD]&gt;HS_DB[[#This Row],[Trade Value - USD]])
)+1</f>
        <v>5</v>
      </c>
      <c r="AC75" s="8" t="str">
        <f>IFERROR(IF(INDEX(Heat_Map[Crisis Impact %],MATCH(HS_DB[[#This Row],[Reporter]],Heat_Map[Global],0),1)&gt;0,"Yes","No"),"No")</f>
        <v>Yes</v>
      </c>
      <c r="AD75" s="6">
        <f>IFERROR(INDEX(Heat_Map[Crisis Impact %],MATCH(HS_DB[[#This Row],[Reporter]],Heat_Map[Global],0),1),0)</f>
        <v>4.0000000000000008E-2</v>
      </c>
      <c r="AE75" s="8">
        <f>HS_DB[[#This Row],[Crisis Impact%]]*HS_DB[[#This Row],[Trade Value - USD]]</f>
        <v>47933.400000000009</v>
      </c>
      <c r="AF75" s="8">
        <f>HS_DB[[#This Row],[Crisis Impact%]]*HS_DB[[#This Row],[Net Weight -KG]]</f>
        <v>28358.600000000006</v>
      </c>
      <c r="AG75" s="6">
        <f>SUMIFS(HS_DB[Trade Value - USD],HS_DB[Products],HS_DB[[#This Row],[Products]])/SUM(HS_DB[Trade Value - USD])</f>
        <v>1.2966653739508774E-2</v>
      </c>
      <c r="AH75" s="8">
        <f>_xlfn.RANK.EQ(HS_DB[[#This Row],[Trade Value - USD]], HS_DB[Trade Value - USD], 0)
 + COUNTIFS(HS_DB[Trade Value - USD],HS_DB[[#This Row],[Trade Value - USD]],
            HS_DB[HS Code],"&lt;"&amp;HS_DB[[#This Row],[HS Code]])</f>
        <v>93</v>
      </c>
      <c r="AI75" s="9">
        <f>IFERROR(HS_DB[[#This Row],[Trade Value - USD]]/HS_DB[[#This Row],[Net Weight -KG]],0)</f>
        <v>1.690259744839308</v>
      </c>
      <c r="AJ75" s="17" cm="1">
        <f t="array" ref="AJ75">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75" s="17" t="str">
        <f>IF(HS_DB[[#This Row],[HS Code Risk Score]]&gt;=40,"High",
 IF(HS_DB[[#This Row],[HS Code Risk Score]]&gt;=25,"Medium","Low"))</f>
        <v>Medium</v>
      </c>
      <c r="AL75" s="17" t="str">
        <f>IF(RANK(HS_DB[[#This Row],[HS Code Risk Score]],HS_DB[HS Code Risk Score])&lt;=10,"Yes","No")</f>
        <v>No</v>
      </c>
      <c r="AM75" s="8">
        <f>SUMIFS(HS_DB[Net Weight -KG],HS_DB[HS Code],HS_DB[[#This Row],[HS Code]])</f>
        <v>17243671.100000001</v>
      </c>
      <c r="AN75" s="8">
        <f>SUMIFS(HS_DB[Trade Value - USD],HS_DB[HS Code],HS_DB[[#This Row],[HS Code]])</f>
        <v>24442250</v>
      </c>
      <c r="AO75" s="6">
        <f>_xlfn.MAXIFS(HS_DB[Origin Share%],HS_DB[HS Code],HS_DB[[#This Row],[HS Code]])</f>
        <v>0.39900464236999494</v>
      </c>
      <c r="AP75" s="8" cm="1">
        <f t="array" ref="AP75">_xlfn.LET(
_xlpm.hs,HS_DB[[#This Row],[HS Code]],
COUNTA(_xlfn.UNIQUE(_xlfn._xlws.FILTER(HS_DB[Reporter],HS_DB[HS Code]=_xlpm.hs)))
)</f>
        <v>23</v>
      </c>
      <c r="AQ75" s="17" t="str">
        <f>IF(HS_DB[[#This Row],[Origin Count]]=1,"Single Source","Multiple Sources")</f>
        <v>Multiple Sources</v>
      </c>
      <c r="AR75" s="8">
        <f>HS_DB[[#This Row],[Annual Spend - USD]]*(HS_DB[[#This Row],[HS Code Risk Score]]/100)</f>
        <v>8310365.0000000009</v>
      </c>
      <c r="AS75" s="8">
        <f>RANK(HS_DB[[#This Row],[Risk Exposure - USD]],HS_DB[Risk Exposure - USD],0)</f>
        <v>73</v>
      </c>
      <c r="AT75" s="8" t="str">
        <f>IF(HS_DB[[#This Row],[Risk Exposure Rank]]&lt;=10,"High",
 IF(HS_DB[[#This Row],[Risk Exposure Rank]]&lt;=30,"Medium",
 "Low"))</f>
        <v>Low</v>
      </c>
      <c r="AU75" s="8" t="str">
        <f>IF(HS_DB[[#This Row],[Risk Exposure Rank]]&lt;=5,"Immediate Action",
 IF(HS_DB[[#This Row],[Risk Exposure Rank]]&lt;=15,"Monitor Closely",
 "Routine Control"))</f>
        <v>Routine Control</v>
      </c>
      <c r="AV75" s="8">
        <f>SUMIFS(HS_DB[Trade Value - USD],HS_DB[HS Code],HS_DB[[#This Row],[HS Code]])</f>
        <v>24442250</v>
      </c>
      <c r="AW75" s="6">
        <f>HS_DB[[#This Row],[Annual Spend - USD]]/HS_DB[[#This Row],[Total Market Size - USD]]</f>
        <v>1</v>
      </c>
      <c r="AX75" s="6" cm="1">
        <f t="array" ref="AX75">COUNTA(_xlfn.UNIQUE(_xlfn._xlws.FILTER(HS_DB[Partner],HS_DB[HS Code]=HS_DB[[#This Row],[HS Code]])))</f>
        <v>1</v>
      </c>
      <c r="AY75" s="8" t="str">
        <f>IF(HS_DB[[#This Row],[Competition Intensity]]&lt;=2,"Highly Concentrated",
 IF(HS_DB[[#This Row],[Competition Intensity]]&lt;=5,"Moderate",
 "Highly Competitive"))</f>
        <v>Highly Concentrated</v>
      </c>
      <c r="AZ75" s="8">
        <f>HS_DB[[#This Row],[Total Market Size - USD]]
*
(1+IFERROR(#REF!,0))
/
HS_DB[[#This Row],[Competition Intensity]]</f>
        <v>24442250</v>
      </c>
      <c r="BA75" s="8" t="str">
        <f>IF(HS_DB[[#This Row],[Commercial Opportunity Score]]&gt;=PERCENTILE(HS_DB[Commercial Opportunity Score],0.9),"High Opportunity",
 IF(HS_DB[[#This Row],[Commercial Opportunity Score]]&gt;=PERCENTILE(HS_DB[Commercial Opportunity Score],0.6),"Medium Opportunity",
 "Routine Market"))</f>
        <v>Medium Opportunity</v>
      </c>
      <c r="BB75" s="3" t="str">
        <f>IF(AND(HS_DB[[#This Row],[Product Rank]]&gt;0,HS_DB[[#This Row],[Product Rank]]&lt;=10),"Yes","No")</f>
        <v>No</v>
      </c>
      <c r="BC75" s="3" t="str">
        <f>IF(AND(HS_DB[[#This Row],[Origin Rank]]&gt;0,HS_DB[[#This Row],[Origin Rank]]&lt;=10),"Yes","No")</f>
        <v>Yes</v>
      </c>
    </row>
    <row r="76" spans="2:55" x14ac:dyDescent="0.3">
      <c r="B76" s="2">
        <f>HS_DB[[#This Row],[Commodity Code]]</f>
        <v>290719</v>
      </c>
      <c r="C76" s="2">
        <f>IFERROR(INDEX(HS_MD!C:C,MATCH(B76,HS_MD!B:B,0),1),"")</f>
        <v>24</v>
      </c>
      <c r="D76" s="17" t="str">
        <f>IFERROR(INDEX(HS_MD!D:D,MATCH(B76,HS_MD!B:B,0),1),"")</f>
        <v>Other phenols</v>
      </c>
      <c r="E76" s="17" t="str">
        <f>IFERROR(INDEX(HS_MD!E:E,MATCH(B76,HS_MD!B:B,0),1),"")</f>
        <v>BHT / BHA</v>
      </c>
      <c r="F76" s="17" t="str">
        <f>IFERROR(INDEX(HS_MD!F:F,MATCH(B76,HS_MD!B:B,0),1),"")</f>
        <v>Food Ingredients</v>
      </c>
      <c r="G76" s="17" t="str">
        <f>IFERROR(INDEX(HS_MD!G:G,MATCH(B76,HS_MD!B:B,0),1),"")</f>
        <v>Antioxidants</v>
      </c>
      <c r="H76" s="17" t="str">
        <f>IFERROR(INDEX(HS_MD!H:H,MATCH(B76,HS_MD!B:B,0),1),"")</f>
        <v>Synthetic Antioxidants</v>
      </c>
      <c r="I76" s="17" t="str">
        <f>IFERROR(INDEX(HS_MD!I:I,MATCH(B76,HS_MD!B:B,0),1),"")</f>
        <v>Oils / Snacks / Fats</v>
      </c>
      <c r="J76" s="17">
        <f>IFERROR(INDEX(Heat_Map[Index],MATCH(HS_DB[[#This Row],[Reporter]],Heat_Map[Global],0),1),"")</f>
        <v>17</v>
      </c>
      <c r="K76" s="17" t="str">
        <f>IF(AND(HS_DB[[#This Row],[Origin Rank]]&gt;1,HS_DB[[#This Row],[Origin Rank]]&lt;=10),"Yes","No")</f>
        <v>Yes</v>
      </c>
      <c r="L76" s="2">
        <v>2024</v>
      </c>
      <c r="M76" s="2" t="s">
        <v>57</v>
      </c>
      <c r="N76" s="2" t="s">
        <v>5</v>
      </c>
      <c r="O76" s="2" t="s">
        <v>22</v>
      </c>
      <c r="P76" s="2" t="s">
        <v>23</v>
      </c>
      <c r="Q76" s="2" t="s">
        <v>24</v>
      </c>
      <c r="R76" s="2" t="s">
        <v>25</v>
      </c>
      <c r="S76" s="2">
        <v>290719</v>
      </c>
      <c r="T76" s="3">
        <v>122998</v>
      </c>
      <c r="U76" s="3">
        <v>21000</v>
      </c>
      <c r="V76" s="3">
        <v>0</v>
      </c>
      <c r="W76" s="3">
        <v>21000</v>
      </c>
      <c r="X76" s="3" t="s">
        <v>58</v>
      </c>
      <c r="Y76" s="3">
        <v>21000</v>
      </c>
      <c r="Z76" s="2" t="s">
        <v>58</v>
      </c>
      <c r="AA76" s="6">
        <f>SUMIFS(HS_DB[Trade Value - USD],HS_DB[Reporter],HS_DB[[#This Row],[Reporter]])/SUM(HS_DB[Trade Value - USD])</f>
        <v>5.3992075088500962E-3</v>
      </c>
      <c r="AB76" s="8" cm="1">
        <f t="array" ref="AB76">SUMPRODUCT(
(HS_DB[Reporter]=HS_DB[[#This Row],[Reporter]])*
(HS_DB[Trade Value - USD]&gt;HS_DB[[#This Row],[Trade Value - USD]])
)+1</f>
        <v>9</v>
      </c>
      <c r="AC76" s="8" t="str">
        <f>IFERROR(IF(INDEX(Heat_Map[Crisis Impact %],MATCH(HS_DB[[#This Row],[Reporter]],Heat_Map[Global],0),1)&gt;0,"Yes","No"),"No")</f>
        <v>No</v>
      </c>
      <c r="AD76" s="6">
        <f>IFERROR(INDEX(Heat_Map[Crisis Impact %],MATCH(HS_DB[[#This Row],[Reporter]],Heat_Map[Global],0),1),0)</f>
        <v>0</v>
      </c>
      <c r="AE76" s="8">
        <f>HS_DB[[#This Row],[Crisis Impact%]]*HS_DB[[#This Row],[Trade Value - USD]]</f>
        <v>0</v>
      </c>
      <c r="AF76" s="8">
        <f>HS_DB[[#This Row],[Crisis Impact%]]*HS_DB[[#This Row],[Net Weight -KG]]</f>
        <v>0</v>
      </c>
      <c r="AG76" s="6">
        <f>SUMIFS(HS_DB[Trade Value - USD],HS_DB[Products],HS_DB[[#This Row],[Products]])/SUM(HS_DB[Trade Value - USD])</f>
        <v>6.5341993246368225E-4</v>
      </c>
      <c r="AH76" s="8">
        <f>_xlfn.RANK.EQ(HS_DB[[#This Row],[Trade Value - USD]], HS_DB[Trade Value - USD], 0)
 + COUNTIFS(HS_DB[Trade Value - USD],HS_DB[[#This Row],[Trade Value - USD]],
            HS_DB[HS Code],"&lt;"&amp;HS_DB[[#This Row],[HS Code]])</f>
        <v>260</v>
      </c>
      <c r="AI76" s="9">
        <f>IFERROR(HS_DB[[#This Row],[Trade Value - USD]]/HS_DB[[#This Row],[Net Weight -KG]],0)</f>
        <v>5.8570476190476191</v>
      </c>
      <c r="AJ76" s="17" cm="1">
        <f t="array" ref="AJ76">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76" s="17" t="str">
        <f>IF(HS_DB[[#This Row],[HS Code Risk Score]]&gt;=40,"High",
 IF(HS_DB[[#This Row],[HS Code Risk Score]]&gt;=25,"Medium","Low"))</f>
        <v>Medium</v>
      </c>
      <c r="AL76" s="17" t="str">
        <f>IF(RANK(HS_DB[[#This Row],[HS Code Risk Score]],HS_DB[HS Code Risk Score])&lt;=10,"Yes","No")</f>
        <v>No</v>
      </c>
      <c r="AM76" s="8">
        <f>SUMIFS(HS_DB[Net Weight -KG],HS_DB[HS Code],HS_DB[[#This Row],[HS Code]])</f>
        <v>219375.2</v>
      </c>
      <c r="AN76" s="8">
        <f>SUMIFS(HS_DB[Trade Value - USD],HS_DB[HS Code],HS_DB[[#This Row],[HS Code]])</f>
        <v>1231702</v>
      </c>
      <c r="AO76" s="6">
        <f>_xlfn.MAXIFS(HS_DB[Origin Share%],HS_DB[HS Code],HS_DB[[#This Row],[HS Code]])</f>
        <v>6.321329281187793E-2</v>
      </c>
      <c r="AP76" s="8" cm="1">
        <f t="array" ref="AP76">_xlfn.LET(
_xlpm.hs,HS_DB[[#This Row],[HS Code]],
COUNTA(_xlfn.UNIQUE(_xlfn._xlws.FILTER(HS_DB[Reporter],HS_DB[HS Code]=_xlpm.hs)))
)</f>
        <v>12</v>
      </c>
      <c r="AQ76" s="17" t="str">
        <f>IF(HS_DB[[#This Row],[Origin Count]]=1,"Single Source","Multiple Sources")</f>
        <v>Multiple Sources</v>
      </c>
      <c r="AR76" s="8">
        <f>HS_DB[[#This Row],[Annual Spend - USD]]*(HS_DB[[#This Row],[HS Code Risk Score]]/100)</f>
        <v>418778.68000000005</v>
      </c>
      <c r="AS76" s="8">
        <f>RANK(HS_DB[[#This Row],[Risk Exposure - USD]],HS_DB[Risk Exposure - USD],0)</f>
        <v>507</v>
      </c>
      <c r="AT76" s="8" t="str">
        <f>IF(HS_DB[[#This Row],[Risk Exposure Rank]]&lt;=10,"High",
 IF(HS_DB[[#This Row],[Risk Exposure Rank]]&lt;=30,"Medium",
 "Low"))</f>
        <v>Low</v>
      </c>
      <c r="AU76" s="8" t="str">
        <f>IF(HS_DB[[#This Row],[Risk Exposure Rank]]&lt;=5,"Immediate Action",
 IF(HS_DB[[#This Row],[Risk Exposure Rank]]&lt;=15,"Monitor Closely",
 "Routine Control"))</f>
        <v>Routine Control</v>
      </c>
      <c r="AV76" s="8">
        <f>SUMIFS(HS_DB[Trade Value - USD],HS_DB[HS Code],HS_DB[[#This Row],[HS Code]])</f>
        <v>1231702</v>
      </c>
      <c r="AW76" s="6">
        <f>HS_DB[[#This Row],[Annual Spend - USD]]/HS_DB[[#This Row],[Total Market Size - USD]]</f>
        <v>1</v>
      </c>
      <c r="AX76" s="6" cm="1">
        <f t="array" ref="AX76">COUNTA(_xlfn.UNIQUE(_xlfn._xlws.FILTER(HS_DB[Partner],HS_DB[HS Code]=HS_DB[[#This Row],[HS Code]])))</f>
        <v>1</v>
      </c>
      <c r="AY76" s="8" t="str">
        <f>IF(HS_DB[[#This Row],[Competition Intensity]]&lt;=2,"Highly Concentrated",
 IF(HS_DB[[#This Row],[Competition Intensity]]&lt;=5,"Moderate",
 "Highly Competitive"))</f>
        <v>Highly Concentrated</v>
      </c>
      <c r="AZ76" s="8">
        <f>HS_DB[[#This Row],[Total Market Size - USD]]
*
(1+IFERROR(#REF!,0))
/
HS_DB[[#This Row],[Competition Intensity]]</f>
        <v>1231702</v>
      </c>
      <c r="BA76" s="8" t="str">
        <f>IF(HS_DB[[#This Row],[Commercial Opportunity Score]]&gt;=PERCENTILE(HS_DB[Commercial Opportunity Score],0.9),"High Opportunity",
 IF(HS_DB[[#This Row],[Commercial Opportunity Score]]&gt;=PERCENTILE(HS_DB[Commercial Opportunity Score],0.6),"Medium Opportunity",
 "Routine Market"))</f>
        <v>Routine Market</v>
      </c>
      <c r="BB76" s="3" t="str">
        <f>IF(AND(HS_DB[[#This Row],[Product Rank]]&gt;0,HS_DB[[#This Row],[Product Rank]]&lt;=10),"Yes","No")</f>
        <v>No</v>
      </c>
      <c r="BC76" s="3" t="str">
        <f>IF(AND(HS_DB[[#This Row],[Origin Rank]]&gt;0,HS_DB[[#This Row],[Origin Rank]]&lt;=10),"Yes","No")</f>
        <v>Yes</v>
      </c>
    </row>
    <row r="77" spans="2:55" x14ac:dyDescent="0.3">
      <c r="B77" s="2">
        <f>HS_DB[[#This Row],[Commodity Code]]</f>
        <v>290719</v>
      </c>
      <c r="C77" s="2">
        <f>IFERROR(INDEX(HS_MD!C:C,MATCH(B77,HS_MD!B:B,0),1),"")</f>
        <v>24</v>
      </c>
      <c r="D77" s="17" t="str">
        <f>IFERROR(INDEX(HS_MD!D:D,MATCH(B77,HS_MD!B:B,0),1),"")</f>
        <v>Other phenols</v>
      </c>
      <c r="E77" s="17" t="str">
        <f>IFERROR(INDEX(HS_MD!E:E,MATCH(B77,HS_MD!B:B,0),1),"")</f>
        <v>BHT / BHA</v>
      </c>
      <c r="F77" s="17" t="str">
        <f>IFERROR(INDEX(HS_MD!F:F,MATCH(B77,HS_MD!B:B,0),1),"")</f>
        <v>Food Ingredients</v>
      </c>
      <c r="G77" s="17" t="str">
        <f>IFERROR(INDEX(HS_MD!G:G,MATCH(B77,HS_MD!B:B,0),1),"")</f>
        <v>Antioxidants</v>
      </c>
      <c r="H77" s="17" t="str">
        <f>IFERROR(INDEX(HS_MD!H:H,MATCH(B77,HS_MD!B:B,0),1),"")</f>
        <v>Synthetic Antioxidants</v>
      </c>
      <c r="I77" s="17" t="str">
        <f>IFERROR(INDEX(HS_MD!I:I,MATCH(B77,HS_MD!B:B,0),1),"")</f>
        <v>Oils / Snacks / Fats</v>
      </c>
      <c r="J77" s="17">
        <f>IFERROR(INDEX(Heat_Map[Index],MATCH(HS_DB[[#This Row],[Reporter]],Heat_Map[Global],0),1),"")</f>
        <v>36</v>
      </c>
      <c r="K77" s="17" t="str">
        <f>IF(AND(HS_DB[[#This Row],[Origin Rank]]&gt;1,HS_DB[[#This Row],[Origin Rank]]&lt;=10),"Yes","No")</f>
        <v>No</v>
      </c>
      <c r="L77" s="2">
        <v>2024</v>
      </c>
      <c r="M77" s="2" t="s">
        <v>57</v>
      </c>
      <c r="N77" s="2" t="s">
        <v>1</v>
      </c>
      <c r="O77" s="2" t="s">
        <v>22</v>
      </c>
      <c r="P77" s="2" t="s">
        <v>23</v>
      </c>
      <c r="Q77" s="2" t="s">
        <v>24</v>
      </c>
      <c r="R77" s="2" t="s">
        <v>25</v>
      </c>
      <c r="S77" s="2">
        <v>290719</v>
      </c>
      <c r="T77" s="3">
        <v>363168</v>
      </c>
      <c r="U77" s="3">
        <v>102210</v>
      </c>
      <c r="V77" s="3">
        <v>0</v>
      </c>
      <c r="W77" s="3">
        <v>102210</v>
      </c>
      <c r="X77" s="3" t="s">
        <v>58</v>
      </c>
      <c r="Y77" s="3">
        <v>102210</v>
      </c>
      <c r="Z77" s="2" t="s">
        <v>58</v>
      </c>
      <c r="AA77" s="6">
        <f>SUMIFS(HS_DB[Trade Value - USD],HS_DB[Reporter],HS_DB[[#This Row],[Reporter]])/SUM(HS_DB[Trade Value - USD])</f>
        <v>6.321329281187793E-2</v>
      </c>
      <c r="AB77" s="8" cm="1">
        <f t="array" ref="AB77">SUMPRODUCT(
(HS_DB[Reporter]=HS_DB[[#This Row],[Reporter]])*
(HS_DB[Trade Value - USD]&gt;HS_DB[[#This Row],[Trade Value - USD]])
)+1</f>
        <v>23</v>
      </c>
      <c r="AC77" s="8" t="str">
        <f>IFERROR(IF(INDEX(Heat_Map[Crisis Impact %],MATCH(HS_DB[[#This Row],[Reporter]],Heat_Map[Global],0),1)&gt;0,"Yes","No"),"No")</f>
        <v>Yes</v>
      </c>
      <c r="AD77" s="6">
        <f>IFERROR(INDEX(Heat_Map[Crisis Impact %],MATCH(HS_DB[[#This Row],[Reporter]],Heat_Map[Global],0),1),0)</f>
        <v>0.14000000000000001</v>
      </c>
      <c r="AE77" s="8">
        <f>HS_DB[[#This Row],[Crisis Impact%]]*HS_DB[[#This Row],[Trade Value - USD]]</f>
        <v>50843.520000000004</v>
      </c>
      <c r="AF77" s="8">
        <f>HS_DB[[#This Row],[Crisis Impact%]]*HS_DB[[#This Row],[Net Weight -KG]]</f>
        <v>14309.400000000001</v>
      </c>
      <c r="AG77" s="6">
        <f>SUMIFS(HS_DB[Trade Value - USD],HS_DB[Products],HS_DB[[#This Row],[Products]])/SUM(HS_DB[Trade Value - USD])</f>
        <v>6.5341993246368225E-4</v>
      </c>
      <c r="AH77" s="8">
        <f>_xlfn.RANK.EQ(HS_DB[[#This Row],[Trade Value - USD]], HS_DB[Trade Value - USD], 0)
 + COUNTIFS(HS_DB[Trade Value - USD],HS_DB[[#This Row],[Trade Value - USD]],
            HS_DB[HS Code],"&lt;"&amp;HS_DB[[#This Row],[HS Code]])</f>
        <v>172</v>
      </c>
      <c r="AI77" s="9">
        <f>IFERROR(HS_DB[[#This Row],[Trade Value - USD]]/HS_DB[[#This Row],[Net Weight -KG]],0)</f>
        <v>3.5531552685647196</v>
      </c>
      <c r="AJ77" s="17" cm="1">
        <f t="array" ref="AJ77">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77" s="17" t="str">
        <f>IF(HS_DB[[#This Row],[HS Code Risk Score]]&gt;=40,"High",
 IF(HS_DB[[#This Row],[HS Code Risk Score]]&gt;=25,"Medium","Low"))</f>
        <v>Medium</v>
      </c>
      <c r="AL77" s="17" t="str">
        <f>IF(RANK(HS_DB[[#This Row],[HS Code Risk Score]],HS_DB[HS Code Risk Score])&lt;=10,"Yes","No")</f>
        <v>No</v>
      </c>
      <c r="AM77" s="8">
        <f>SUMIFS(HS_DB[Net Weight -KG],HS_DB[HS Code],HS_DB[[#This Row],[HS Code]])</f>
        <v>219375.2</v>
      </c>
      <c r="AN77" s="8">
        <f>SUMIFS(HS_DB[Trade Value - USD],HS_DB[HS Code],HS_DB[[#This Row],[HS Code]])</f>
        <v>1231702</v>
      </c>
      <c r="AO77" s="6">
        <f>_xlfn.MAXIFS(HS_DB[Origin Share%],HS_DB[HS Code],HS_DB[[#This Row],[HS Code]])</f>
        <v>6.321329281187793E-2</v>
      </c>
      <c r="AP77" s="8" cm="1">
        <f t="array" ref="AP77">_xlfn.LET(
_xlpm.hs,HS_DB[[#This Row],[HS Code]],
COUNTA(_xlfn.UNIQUE(_xlfn._xlws.FILTER(HS_DB[Reporter],HS_DB[HS Code]=_xlpm.hs)))
)</f>
        <v>12</v>
      </c>
      <c r="AQ77" s="17" t="str">
        <f>IF(HS_DB[[#This Row],[Origin Count]]=1,"Single Source","Multiple Sources")</f>
        <v>Multiple Sources</v>
      </c>
      <c r="AR77" s="8">
        <f>HS_DB[[#This Row],[Annual Spend - USD]]*(HS_DB[[#This Row],[HS Code Risk Score]]/100)</f>
        <v>418778.68000000005</v>
      </c>
      <c r="AS77" s="8">
        <f>RANK(HS_DB[[#This Row],[Risk Exposure - USD]],HS_DB[Risk Exposure - USD],0)</f>
        <v>507</v>
      </c>
      <c r="AT77" s="8" t="str">
        <f>IF(HS_DB[[#This Row],[Risk Exposure Rank]]&lt;=10,"High",
 IF(HS_DB[[#This Row],[Risk Exposure Rank]]&lt;=30,"Medium",
 "Low"))</f>
        <v>Low</v>
      </c>
      <c r="AU77" s="8" t="str">
        <f>IF(HS_DB[[#This Row],[Risk Exposure Rank]]&lt;=5,"Immediate Action",
 IF(HS_DB[[#This Row],[Risk Exposure Rank]]&lt;=15,"Monitor Closely",
 "Routine Control"))</f>
        <v>Routine Control</v>
      </c>
      <c r="AV77" s="8">
        <f>SUMIFS(HS_DB[Trade Value - USD],HS_DB[HS Code],HS_DB[[#This Row],[HS Code]])</f>
        <v>1231702</v>
      </c>
      <c r="AW77" s="6">
        <f>HS_DB[[#This Row],[Annual Spend - USD]]/HS_DB[[#This Row],[Total Market Size - USD]]</f>
        <v>1</v>
      </c>
      <c r="AX77" s="6" cm="1">
        <f t="array" ref="AX77">COUNTA(_xlfn.UNIQUE(_xlfn._xlws.FILTER(HS_DB[Partner],HS_DB[HS Code]=HS_DB[[#This Row],[HS Code]])))</f>
        <v>1</v>
      </c>
      <c r="AY77" s="8" t="str">
        <f>IF(HS_DB[[#This Row],[Competition Intensity]]&lt;=2,"Highly Concentrated",
 IF(HS_DB[[#This Row],[Competition Intensity]]&lt;=5,"Moderate",
 "Highly Competitive"))</f>
        <v>Highly Concentrated</v>
      </c>
      <c r="AZ77" s="8">
        <f>HS_DB[[#This Row],[Total Market Size - USD]]
*
(1+IFERROR(#REF!,0))
/
HS_DB[[#This Row],[Competition Intensity]]</f>
        <v>1231702</v>
      </c>
      <c r="BA77" s="8" t="str">
        <f>IF(HS_DB[[#This Row],[Commercial Opportunity Score]]&gt;=PERCENTILE(HS_DB[Commercial Opportunity Score],0.9),"High Opportunity",
 IF(HS_DB[[#This Row],[Commercial Opportunity Score]]&gt;=PERCENTILE(HS_DB[Commercial Opportunity Score],0.6),"Medium Opportunity",
 "Routine Market"))</f>
        <v>Routine Market</v>
      </c>
      <c r="BB77" s="3" t="str">
        <f>IF(AND(HS_DB[[#This Row],[Product Rank]]&gt;0,HS_DB[[#This Row],[Product Rank]]&lt;=10),"Yes","No")</f>
        <v>No</v>
      </c>
      <c r="BC77" s="3" t="str">
        <f>IF(AND(HS_DB[[#This Row],[Origin Rank]]&gt;0,HS_DB[[#This Row],[Origin Rank]]&lt;=10),"Yes","No")</f>
        <v>No</v>
      </c>
    </row>
    <row r="78" spans="2:55" x14ac:dyDescent="0.3">
      <c r="B78" s="2">
        <f>HS_DB[[#This Row],[Commodity Code]]</f>
        <v>290719</v>
      </c>
      <c r="C78" s="2">
        <f>IFERROR(INDEX(HS_MD!C:C,MATCH(B78,HS_MD!B:B,0),1),"")</f>
        <v>24</v>
      </c>
      <c r="D78" s="17" t="str">
        <f>IFERROR(INDEX(HS_MD!D:D,MATCH(B78,HS_MD!B:B,0),1),"")</f>
        <v>Other phenols</v>
      </c>
      <c r="E78" s="17" t="str">
        <f>IFERROR(INDEX(HS_MD!E:E,MATCH(B78,HS_MD!B:B,0),1),"")</f>
        <v>BHT / BHA</v>
      </c>
      <c r="F78" s="17" t="str">
        <f>IFERROR(INDEX(HS_MD!F:F,MATCH(B78,HS_MD!B:B,0),1),"")</f>
        <v>Food Ingredients</v>
      </c>
      <c r="G78" s="17" t="str">
        <f>IFERROR(INDEX(HS_MD!G:G,MATCH(B78,HS_MD!B:B,0),1),"")</f>
        <v>Antioxidants</v>
      </c>
      <c r="H78" s="17" t="str">
        <f>IFERROR(INDEX(HS_MD!H:H,MATCH(B78,HS_MD!B:B,0),1),"")</f>
        <v>Synthetic Antioxidants</v>
      </c>
      <c r="I78" s="17" t="str">
        <f>IFERROR(INDEX(HS_MD!I:I,MATCH(B78,HS_MD!B:B,0),1),"")</f>
        <v>Oils / Snacks / Fats</v>
      </c>
      <c r="J78" s="17">
        <f>IFERROR(INDEX(Heat_Map[Index],MATCH(HS_DB[[#This Row],[Reporter]],Heat_Map[Global],0),1),"")</f>
        <v>59</v>
      </c>
      <c r="K78" s="17" t="str">
        <f>IF(AND(HS_DB[[#This Row],[Origin Rank]]&gt;1,HS_DB[[#This Row],[Origin Rank]]&lt;=10),"Yes","No")</f>
        <v>No</v>
      </c>
      <c r="L78" s="2">
        <v>2024</v>
      </c>
      <c r="M78" s="2" t="s">
        <v>57</v>
      </c>
      <c r="N78" s="2" t="s">
        <v>44</v>
      </c>
      <c r="O78" s="2" t="s">
        <v>22</v>
      </c>
      <c r="P78" s="2" t="s">
        <v>23</v>
      </c>
      <c r="Q78" s="2" t="s">
        <v>24</v>
      </c>
      <c r="R78" s="2" t="s">
        <v>25</v>
      </c>
      <c r="S78" s="2">
        <v>290719</v>
      </c>
      <c r="T78" s="3">
        <v>30206</v>
      </c>
      <c r="U78" s="3">
        <v>625</v>
      </c>
      <c r="V78" s="3">
        <v>0</v>
      </c>
      <c r="W78" s="3">
        <v>625</v>
      </c>
      <c r="X78" s="3" t="s">
        <v>58</v>
      </c>
      <c r="Y78" s="3">
        <v>625</v>
      </c>
      <c r="Z78" s="2" t="s">
        <v>58</v>
      </c>
      <c r="AA78" s="6">
        <f>SUMIFS(HS_DB[Trade Value - USD],HS_DB[Reporter],HS_DB[[#This Row],[Reporter]])/SUM(HS_DB[Trade Value - USD])</f>
        <v>1.6951290293147386E-2</v>
      </c>
      <c r="AB78" s="8" cm="1">
        <f t="array" ref="AB78">SUMPRODUCT(
(HS_DB[Reporter]=HS_DB[[#This Row],[Reporter]])*
(HS_DB[Trade Value - USD]&gt;HS_DB[[#This Row],[Trade Value - USD]])
)+1</f>
        <v>23</v>
      </c>
      <c r="AC78" s="8" t="str">
        <f>IFERROR(IF(INDEX(Heat_Map[Crisis Impact %],MATCH(HS_DB[[#This Row],[Reporter]],Heat_Map[Global],0),1)&gt;0,"Yes","No"),"No")</f>
        <v>No</v>
      </c>
      <c r="AD78" s="6">
        <f>IFERROR(INDEX(Heat_Map[Crisis Impact %],MATCH(HS_DB[[#This Row],[Reporter]],Heat_Map[Global],0),1),0)</f>
        <v>0</v>
      </c>
      <c r="AE78" s="8">
        <f>HS_DB[[#This Row],[Crisis Impact%]]*HS_DB[[#This Row],[Trade Value - USD]]</f>
        <v>0</v>
      </c>
      <c r="AF78" s="8">
        <f>HS_DB[[#This Row],[Crisis Impact%]]*HS_DB[[#This Row],[Net Weight -KG]]</f>
        <v>0</v>
      </c>
      <c r="AG78" s="6">
        <f>SUMIFS(HS_DB[Trade Value - USD],HS_DB[Products],HS_DB[[#This Row],[Products]])/SUM(HS_DB[Trade Value - USD])</f>
        <v>6.5341993246368225E-4</v>
      </c>
      <c r="AH78" s="8">
        <f>_xlfn.RANK.EQ(HS_DB[[#This Row],[Trade Value - USD]], HS_DB[Trade Value - USD], 0)
 + COUNTIFS(HS_DB[Trade Value - USD],HS_DB[[#This Row],[Trade Value - USD]],
            HS_DB[HS Code],"&lt;"&amp;HS_DB[[#This Row],[HS Code]])</f>
        <v>355</v>
      </c>
      <c r="AI78" s="9">
        <f>IFERROR(HS_DB[[#This Row],[Trade Value - USD]]/HS_DB[[#This Row],[Net Weight -KG]],0)</f>
        <v>48.329599999999999</v>
      </c>
      <c r="AJ78" s="17" cm="1">
        <f t="array" ref="AJ78">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78" s="17" t="str">
        <f>IF(HS_DB[[#This Row],[HS Code Risk Score]]&gt;=40,"High",
 IF(HS_DB[[#This Row],[HS Code Risk Score]]&gt;=25,"Medium","Low"))</f>
        <v>Medium</v>
      </c>
      <c r="AL78" s="17" t="str">
        <f>IF(RANK(HS_DB[[#This Row],[HS Code Risk Score]],HS_DB[HS Code Risk Score])&lt;=10,"Yes","No")</f>
        <v>No</v>
      </c>
      <c r="AM78" s="8">
        <f>SUMIFS(HS_DB[Net Weight -KG],HS_DB[HS Code],HS_DB[[#This Row],[HS Code]])</f>
        <v>219375.2</v>
      </c>
      <c r="AN78" s="8">
        <f>SUMIFS(HS_DB[Trade Value - USD],HS_DB[HS Code],HS_DB[[#This Row],[HS Code]])</f>
        <v>1231702</v>
      </c>
      <c r="AO78" s="6">
        <f>_xlfn.MAXIFS(HS_DB[Origin Share%],HS_DB[HS Code],HS_DB[[#This Row],[HS Code]])</f>
        <v>6.321329281187793E-2</v>
      </c>
      <c r="AP78" s="8" cm="1">
        <f t="array" ref="AP78">_xlfn.LET(
_xlpm.hs,HS_DB[[#This Row],[HS Code]],
COUNTA(_xlfn.UNIQUE(_xlfn._xlws.FILTER(HS_DB[Reporter],HS_DB[HS Code]=_xlpm.hs)))
)</f>
        <v>12</v>
      </c>
      <c r="AQ78" s="17" t="str">
        <f>IF(HS_DB[[#This Row],[Origin Count]]=1,"Single Source","Multiple Sources")</f>
        <v>Multiple Sources</v>
      </c>
      <c r="AR78" s="8">
        <f>HS_DB[[#This Row],[Annual Spend - USD]]*(HS_DB[[#This Row],[HS Code Risk Score]]/100)</f>
        <v>418778.68000000005</v>
      </c>
      <c r="AS78" s="8">
        <f>RANK(HS_DB[[#This Row],[Risk Exposure - USD]],HS_DB[Risk Exposure - USD],0)</f>
        <v>507</v>
      </c>
      <c r="AT78" s="8" t="str">
        <f>IF(HS_DB[[#This Row],[Risk Exposure Rank]]&lt;=10,"High",
 IF(HS_DB[[#This Row],[Risk Exposure Rank]]&lt;=30,"Medium",
 "Low"))</f>
        <v>Low</v>
      </c>
      <c r="AU78" s="8" t="str">
        <f>IF(HS_DB[[#This Row],[Risk Exposure Rank]]&lt;=5,"Immediate Action",
 IF(HS_DB[[#This Row],[Risk Exposure Rank]]&lt;=15,"Monitor Closely",
 "Routine Control"))</f>
        <v>Routine Control</v>
      </c>
      <c r="AV78" s="8">
        <f>SUMIFS(HS_DB[Trade Value - USD],HS_DB[HS Code],HS_DB[[#This Row],[HS Code]])</f>
        <v>1231702</v>
      </c>
      <c r="AW78" s="6">
        <f>HS_DB[[#This Row],[Annual Spend - USD]]/HS_DB[[#This Row],[Total Market Size - USD]]</f>
        <v>1</v>
      </c>
      <c r="AX78" s="6" cm="1">
        <f t="array" ref="AX78">COUNTA(_xlfn.UNIQUE(_xlfn._xlws.FILTER(HS_DB[Partner],HS_DB[HS Code]=HS_DB[[#This Row],[HS Code]])))</f>
        <v>1</v>
      </c>
      <c r="AY78" s="8" t="str">
        <f>IF(HS_DB[[#This Row],[Competition Intensity]]&lt;=2,"Highly Concentrated",
 IF(HS_DB[[#This Row],[Competition Intensity]]&lt;=5,"Moderate",
 "Highly Competitive"))</f>
        <v>Highly Concentrated</v>
      </c>
      <c r="AZ78" s="8">
        <f>HS_DB[[#This Row],[Total Market Size - USD]]
*
(1+IFERROR(#REF!,0))
/
HS_DB[[#This Row],[Competition Intensity]]</f>
        <v>1231702</v>
      </c>
      <c r="BA78" s="8" t="str">
        <f>IF(HS_DB[[#This Row],[Commercial Opportunity Score]]&gt;=PERCENTILE(HS_DB[Commercial Opportunity Score],0.9),"High Opportunity",
 IF(HS_DB[[#This Row],[Commercial Opportunity Score]]&gt;=PERCENTILE(HS_DB[Commercial Opportunity Score],0.6),"Medium Opportunity",
 "Routine Market"))</f>
        <v>Routine Market</v>
      </c>
      <c r="BB78" s="3" t="str">
        <f>IF(AND(HS_DB[[#This Row],[Product Rank]]&gt;0,HS_DB[[#This Row],[Product Rank]]&lt;=10),"Yes","No")</f>
        <v>No</v>
      </c>
      <c r="BC78" s="3" t="str">
        <f>IF(AND(HS_DB[[#This Row],[Origin Rank]]&gt;0,HS_DB[[#This Row],[Origin Rank]]&lt;=10),"Yes","No")</f>
        <v>No</v>
      </c>
    </row>
    <row r="79" spans="2:55" x14ac:dyDescent="0.3">
      <c r="B79" s="2">
        <f>HS_DB[[#This Row],[Commodity Code]]</f>
        <v>290719</v>
      </c>
      <c r="C79" s="2">
        <f>IFERROR(INDEX(HS_MD!C:C,MATCH(B79,HS_MD!B:B,0),1),"")</f>
        <v>24</v>
      </c>
      <c r="D79" s="17" t="str">
        <f>IFERROR(INDEX(HS_MD!D:D,MATCH(B79,HS_MD!B:B,0),1),"")</f>
        <v>Other phenols</v>
      </c>
      <c r="E79" s="17" t="str">
        <f>IFERROR(INDEX(HS_MD!E:E,MATCH(B79,HS_MD!B:B,0),1),"")</f>
        <v>BHT / BHA</v>
      </c>
      <c r="F79" s="17" t="str">
        <f>IFERROR(INDEX(HS_MD!F:F,MATCH(B79,HS_MD!B:B,0),1),"")</f>
        <v>Food Ingredients</v>
      </c>
      <c r="G79" s="17" t="str">
        <f>IFERROR(INDEX(HS_MD!G:G,MATCH(B79,HS_MD!B:B,0),1),"")</f>
        <v>Antioxidants</v>
      </c>
      <c r="H79" s="17" t="str">
        <f>IFERROR(INDEX(HS_MD!H:H,MATCH(B79,HS_MD!B:B,0),1),"")</f>
        <v>Synthetic Antioxidants</v>
      </c>
      <c r="I79" s="17" t="str">
        <f>IFERROR(INDEX(HS_MD!I:I,MATCH(B79,HS_MD!B:B,0),1),"")</f>
        <v>Oils / Snacks / Fats</v>
      </c>
      <c r="J79" s="17">
        <f>IFERROR(INDEX(Heat_Map[Index],MATCH(HS_DB[[#This Row],[Reporter]],Heat_Map[Global],0),1),"")</f>
        <v>63</v>
      </c>
      <c r="K79" s="17" t="str">
        <f>IF(AND(HS_DB[[#This Row],[Origin Rank]]&gt;1,HS_DB[[#This Row],[Origin Rank]]&lt;=10),"Yes","No")</f>
        <v>No</v>
      </c>
      <c r="L79" s="2">
        <v>2024</v>
      </c>
      <c r="M79" s="2" t="s">
        <v>57</v>
      </c>
      <c r="N79" s="2" t="s">
        <v>2</v>
      </c>
      <c r="O79" s="2" t="s">
        <v>22</v>
      </c>
      <c r="P79" s="2" t="s">
        <v>23</v>
      </c>
      <c r="Q79" s="2" t="s">
        <v>24</v>
      </c>
      <c r="R79" s="2" t="s">
        <v>25</v>
      </c>
      <c r="S79" s="2">
        <v>290719</v>
      </c>
      <c r="T79" s="3">
        <v>84854</v>
      </c>
      <c r="U79" s="3">
        <v>15533.2</v>
      </c>
      <c r="V79" s="3">
        <v>0</v>
      </c>
      <c r="W79" s="3">
        <v>15533</v>
      </c>
      <c r="X79" s="3" t="s">
        <v>58</v>
      </c>
      <c r="Y79" s="3">
        <v>0</v>
      </c>
      <c r="Z79" s="2" t="s">
        <v>26</v>
      </c>
      <c r="AA79" s="6">
        <f>SUMIFS(HS_DB[Trade Value - USD],HS_DB[Reporter],HS_DB[[#This Row],[Reporter]])/SUM(HS_DB[Trade Value - USD])</f>
        <v>1.1674623358397021E-2</v>
      </c>
      <c r="AB79" s="8" cm="1">
        <f t="array" ref="AB79">SUMPRODUCT(
(HS_DB[Reporter]=HS_DB[[#This Row],[Reporter]])*
(HS_DB[Trade Value - USD]&gt;HS_DB[[#This Row],[Trade Value - USD]])
)+1</f>
        <v>22</v>
      </c>
      <c r="AC79" s="8" t="str">
        <f>IFERROR(IF(INDEX(Heat_Map[Crisis Impact %],MATCH(HS_DB[[#This Row],[Reporter]],Heat_Map[Global],0),1)&gt;0,"Yes","No"),"No")</f>
        <v>No</v>
      </c>
      <c r="AD79" s="6">
        <f>IFERROR(INDEX(Heat_Map[Crisis Impact %],MATCH(HS_DB[[#This Row],[Reporter]],Heat_Map[Global],0),1),0)</f>
        <v>0</v>
      </c>
      <c r="AE79" s="8">
        <f>HS_DB[[#This Row],[Crisis Impact%]]*HS_DB[[#This Row],[Trade Value - USD]]</f>
        <v>0</v>
      </c>
      <c r="AF79" s="8">
        <f>HS_DB[[#This Row],[Crisis Impact%]]*HS_DB[[#This Row],[Net Weight -KG]]</f>
        <v>0</v>
      </c>
      <c r="AG79" s="6">
        <f>SUMIFS(HS_DB[Trade Value - USD],HS_DB[Products],HS_DB[[#This Row],[Products]])/SUM(HS_DB[Trade Value - USD])</f>
        <v>6.5341993246368225E-4</v>
      </c>
      <c r="AH79" s="8">
        <f>_xlfn.RANK.EQ(HS_DB[[#This Row],[Trade Value - USD]], HS_DB[Trade Value - USD], 0)
 + COUNTIFS(HS_DB[Trade Value - USD],HS_DB[[#This Row],[Trade Value - USD]],
            HS_DB[HS Code],"&lt;"&amp;HS_DB[[#This Row],[HS Code]])</f>
        <v>288</v>
      </c>
      <c r="AI79" s="9">
        <f>IFERROR(HS_DB[[#This Row],[Trade Value - USD]]/HS_DB[[#This Row],[Net Weight -KG]],0)</f>
        <v>5.4627507532253494</v>
      </c>
      <c r="AJ79" s="17" cm="1">
        <f t="array" ref="AJ79">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79" s="17" t="str">
        <f>IF(HS_DB[[#This Row],[HS Code Risk Score]]&gt;=40,"High",
 IF(HS_DB[[#This Row],[HS Code Risk Score]]&gt;=25,"Medium","Low"))</f>
        <v>Medium</v>
      </c>
      <c r="AL79" s="17" t="str">
        <f>IF(RANK(HS_DB[[#This Row],[HS Code Risk Score]],HS_DB[HS Code Risk Score])&lt;=10,"Yes","No")</f>
        <v>No</v>
      </c>
      <c r="AM79" s="8">
        <f>SUMIFS(HS_DB[Net Weight -KG],HS_DB[HS Code],HS_DB[[#This Row],[HS Code]])</f>
        <v>219375.2</v>
      </c>
      <c r="AN79" s="8">
        <f>SUMIFS(HS_DB[Trade Value - USD],HS_DB[HS Code],HS_DB[[#This Row],[HS Code]])</f>
        <v>1231702</v>
      </c>
      <c r="AO79" s="6">
        <f>_xlfn.MAXIFS(HS_DB[Origin Share%],HS_DB[HS Code],HS_DB[[#This Row],[HS Code]])</f>
        <v>6.321329281187793E-2</v>
      </c>
      <c r="AP79" s="8" cm="1">
        <f t="array" ref="AP79">_xlfn.LET(
_xlpm.hs,HS_DB[[#This Row],[HS Code]],
COUNTA(_xlfn.UNIQUE(_xlfn._xlws.FILTER(HS_DB[Reporter],HS_DB[HS Code]=_xlpm.hs)))
)</f>
        <v>12</v>
      </c>
      <c r="AQ79" s="17" t="str">
        <f>IF(HS_DB[[#This Row],[Origin Count]]=1,"Single Source","Multiple Sources")</f>
        <v>Multiple Sources</v>
      </c>
      <c r="AR79" s="8">
        <f>HS_DB[[#This Row],[Annual Spend - USD]]*(HS_DB[[#This Row],[HS Code Risk Score]]/100)</f>
        <v>418778.68000000005</v>
      </c>
      <c r="AS79" s="8">
        <f>RANK(HS_DB[[#This Row],[Risk Exposure - USD]],HS_DB[Risk Exposure - USD],0)</f>
        <v>507</v>
      </c>
      <c r="AT79" s="8" t="str">
        <f>IF(HS_DB[[#This Row],[Risk Exposure Rank]]&lt;=10,"High",
 IF(HS_DB[[#This Row],[Risk Exposure Rank]]&lt;=30,"Medium",
 "Low"))</f>
        <v>Low</v>
      </c>
      <c r="AU79" s="8" t="str">
        <f>IF(HS_DB[[#This Row],[Risk Exposure Rank]]&lt;=5,"Immediate Action",
 IF(HS_DB[[#This Row],[Risk Exposure Rank]]&lt;=15,"Monitor Closely",
 "Routine Control"))</f>
        <v>Routine Control</v>
      </c>
      <c r="AV79" s="8">
        <f>SUMIFS(HS_DB[Trade Value - USD],HS_DB[HS Code],HS_DB[[#This Row],[HS Code]])</f>
        <v>1231702</v>
      </c>
      <c r="AW79" s="6">
        <f>HS_DB[[#This Row],[Annual Spend - USD]]/HS_DB[[#This Row],[Total Market Size - USD]]</f>
        <v>1</v>
      </c>
      <c r="AX79" s="6" cm="1">
        <f t="array" ref="AX79">COUNTA(_xlfn.UNIQUE(_xlfn._xlws.FILTER(HS_DB[Partner],HS_DB[HS Code]=HS_DB[[#This Row],[HS Code]])))</f>
        <v>1</v>
      </c>
      <c r="AY79" s="8" t="str">
        <f>IF(HS_DB[[#This Row],[Competition Intensity]]&lt;=2,"Highly Concentrated",
 IF(HS_DB[[#This Row],[Competition Intensity]]&lt;=5,"Moderate",
 "Highly Competitive"))</f>
        <v>Highly Concentrated</v>
      </c>
      <c r="AZ79" s="8">
        <f>HS_DB[[#This Row],[Total Market Size - USD]]
*
(1+IFERROR(#REF!,0))
/
HS_DB[[#This Row],[Competition Intensity]]</f>
        <v>1231702</v>
      </c>
      <c r="BA79" s="8" t="str">
        <f>IF(HS_DB[[#This Row],[Commercial Opportunity Score]]&gt;=PERCENTILE(HS_DB[Commercial Opportunity Score],0.9),"High Opportunity",
 IF(HS_DB[[#This Row],[Commercial Opportunity Score]]&gt;=PERCENTILE(HS_DB[Commercial Opportunity Score],0.6),"Medium Opportunity",
 "Routine Market"))</f>
        <v>Routine Market</v>
      </c>
      <c r="BB79" s="3" t="str">
        <f>IF(AND(HS_DB[[#This Row],[Product Rank]]&gt;0,HS_DB[[#This Row],[Product Rank]]&lt;=10),"Yes","No")</f>
        <v>No</v>
      </c>
      <c r="BC79" s="3" t="str">
        <f>IF(AND(HS_DB[[#This Row],[Origin Rank]]&gt;0,HS_DB[[#This Row],[Origin Rank]]&lt;=10),"Yes","No")</f>
        <v>No</v>
      </c>
    </row>
    <row r="80" spans="2:55" x14ac:dyDescent="0.3">
      <c r="B80" s="2">
        <f>HS_DB[[#This Row],[Commodity Code]]</f>
        <v>290719</v>
      </c>
      <c r="C80" s="2">
        <f>IFERROR(INDEX(HS_MD!C:C,MATCH(B80,HS_MD!B:B,0),1),"")</f>
        <v>24</v>
      </c>
      <c r="D80" s="17" t="str">
        <f>IFERROR(INDEX(HS_MD!D:D,MATCH(B80,HS_MD!B:B,0),1),"")</f>
        <v>Other phenols</v>
      </c>
      <c r="E80" s="17" t="str">
        <f>IFERROR(INDEX(HS_MD!E:E,MATCH(B80,HS_MD!B:B,0),1),"")</f>
        <v>BHT / BHA</v>
      </c>
      <c r="F80" s="17" t="str">
        <f>IFERROR(INDEX(HS_MD!F:F,MATCH(B80,HS_MD!B:B,0),1),"")</f>
        <v>Food Ingredients</v>
      </c>
      <c r="G80" s="17" t="str">
        <f>IFERROR(INDEX(HS_MD!G:G,MATCH(B80,HS_MD!B:B,0),1),"")</f>
        <v>Antioxidants</v>
      </c>
      <c r="H80" s="17" t="str">
        <f>IFERROR(INDEX(HS_MD!H:H,MATCH(B80,HS_MD!B:B,0),1),"")</f>
        <v>Synthetic Antioxidants</v>
      </c>
      <c r="I80" s="17" t="str">
        <f>IFERROR(INDEX(HS_MD!I:I,MATCH(B80,HS_MD!B:B,0),1),"")</f>
        <v>Oils / Snacks / Fats</v>
      </c>
      <c r="J80" s="17">
        <f>IFERROR(INDEX(Heat_Map[Index],MATCH(HS_DB[[#This Row],[Reporter]],Heat_Map[Global],0),1),"")</f>
        <v>65</v>
      </c>
      <c r="K80" s="17" t="str">
        <f>IF(AND(HS_DB[[#This Row],[Origin Rank]]&gt;1,HS_DB[[#This Row],[Origin Rank]]&lt;=10),"Yes","No")</f>
        <v>Yes</v>
      </c>
      <c r="L80" s="2">
        <v>2024</v>
      </c>
      <c r="M80" s="2" t="s">
        <v>57</v>
      </c>
      <c r="N80" s="2" t="s">
        <v>45</v>
      </c>
      <c r="O80" s="2" t="s">
        <v>22</v>
      </c>
      <c r="P80" s="2" t="s">
        <v>23</v>
      </c>
      <c r="Q80" s="2" t="s">
        <v>24</v>
      </c>
      <c r="R80" s="2" t="s">
        <v>25</v>
      </c>
      <c r="S80" s="2">
        <v>290719</v>
      </c>
      <c r="T80" s="3">
        <v>1515</v>
      </c>
      <c r="U80" s="3">
        <v>1</v>
      </c>
      <c r="V80" s="3">
        <v>0</v>
      </c>
      <c r="W80" s="3">
        <v>1</v>
      </c>
      <c r="X80" s="3" t="s">
        <v>58</v>
      </c>
      <c r="Y80" s="3">
        <v>1</v>
      </c>
      <c r="Z80" s="2" t="s">
        <v>58</v>
      </c>
      <c r="AA80" s="6">
        <f>SUMIFS(HS_DB[Trade Value - USD],HS_DB[Reporter],HS_DB[[#This Row],[Reporter]])/SUM(HS_DB[Trade Value - USD])</f>
        <v>7.8962835084717131E-4</v>
      </c>
      <c r="AB80" s="8" cm="1">
        <f t="array" ref="AB80">SUMPRODUCT(
(HS_DB[Reporter]=HS_DB[[#This Row],[Reporter]])*
(HS_DB[Trade Value - USD]&gt;HS_DB[[#This Row],[Trade Value - USD]])
)+1</f>
        <v>7</v>
      </c>
      <c r="AC80" s="8" t="str">
        <f>IFERROR(IF(INDEX(Heat_Map[Crisis Impact %],MATCH(HS_DB[[#This Row],[Reporter]],Heat_Map[Global],0),1)&gt;0,"Yes","No"),"No")</f>
        <v>No</v>
      </c>
      <c r="AD80" s="6">
        <f>IFERROR(INDEX(Heat_Map[Crisis Impact %],MATCH(HS_DB[[#This Row],[Reporter]],Heat_Map[Global],0),1),0)</f>
        <v>0</v>
      </c>
      <c r="AE80" s="8">
        <f>HS_DB[[#This Row],[Crisis Impact%]]*HS_DB[[#This Row],[Trade Value - USD]]</f>
        <v>0</v>
      </c>
      <c r="AF80" s="8">
        <f>HS_DB[[#This Row],[Crisis Impact%]]*HS_DB[[#This Row],[Net Weight -KG]]</f>
        <v>0</v>
      </c>
      <c r="AG80" s="6">
        <f>SUMIFS(HS_DB[Trade Value - USD],HS_DB[Products],HS_DB[[#This Row],[Products]])/SUM(HS_DB[Trade Value - USD])</f>
        <v>6.5341993246368225E-4</v>
      </c>
      <c r="AH80" s="8">
        <f>_xlfn.RANK.EQ(HS_DB[[#This Row],[Trade Value - USD]], HS_DB[Trade Value - USD], 0)
 + COUNTIFS(HS_DB[Trade Value - USD],HS_DB[[#This Row],[Trade Value - USD]],
            HS_DB[HS Code],"&lt;"&amp;HS_DB[[#This Row],[HS Code]])</f>
        <v>475</v>
      </c>
      <c r="AI80" s="9">
        <f>IFERROR(HS_DB[[#This Row],[Trade Value - USD]]/HS_DB[[#This Row],[Net Weight -KG]],0)</f>
        <v>1515</v>
      </c>
      <c r="AJ80" s="17" cm="1">
        <f t="array" ref="AJ80">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80" s="17" t="str">
        <f>IF(HS_DB[[#This Row],[HS Code Risk Score]]&gt;=40,"High",
 IF(HS_DB[[#This Row],[HS Code Risk Score]]&gt;=25,"Medium","Low"))</f>
        <v>Medium</v>
      </c>
      <c r="AL80" s="17" t="str">
        <f>IF(RANK(HS_DB[[#This Row],[HS Code Risk Score]],HS_DB[HS Code Risk Score])&lt;=10,"Yes","No")</f>
        <v>No</v>
      </c>
      <c r="AM80" s="8">
        <f>SUMIFS(HS_DB[Net Weight -KG],HS_DB[HS Code],HS_DB[[#This Row],[HS Code]])</f>
        <v>219375.2</v>
      </c>
      <c r="AN80" s="8">
        <f>SUMIFS(HS_DB[Trade Value - USD],HS_DB[HS Code],HS_DB[[#This Row],[HS Code]])</f>
        <v>1231702</v>
      </c>
      <c r="AO80" s="6">
        <f>_xlfn.MAXIFS(HS_DB[Origin Share%],HS_DB[HS Code],HS_DB[[#This Row],[HS Code]])</f>
        <v>6.321329281187793E-2</v>
      </c>
      <c r="AP80" s="8" cm="1">
        <f t="array" ref="AP80">_xlfn.LET(
_xlpm.hs,HS_DB[[#This Row],[HS Code]],
COUNTA(_xlfn.UNIQUE(_xlfn._xlws.FILTER(HS_DB[Reporter],HS_DB[HS Code]=_xlpm.hs)))
)</f>
        <v>12</v>
      </c>
      <c r="AQ80" s="17" t="str">
        <f>IF(HS_DB[[#This Row],[Origin Count]]=1,"Single Source","Multiple Sources")</f>
        <v>Multiple Sources</v>
      </c>
      <c r="AR80" s="8">
        <f>HS_DB[[#This Row],[Annual Spend - USD]]*(HS_DB[[#This Row],[HS Code Risk Score]]/100)</f>
        <v>418778.68000000005</v>
      </c>
      <c r="AS80" s="8">
        <f>RANK(HS_DB[[#This Row],[Risk Exposure - USD]],HS_DB[Risk Exposure - USD],0)</f>
        <v>507</v>
      </c>
      <c r="AT80" s="8" t="str">
        <f>IF(HS_DB[[#This Row],[Risk Exposure Rank]]&lt;=10,"High",
 IF(HS_DB[[#This Row],[Risk Exposure Rank]]&lt;=30,"Medium",
 "Low"))</f>
        <v>Low</v>
      </c>
      <c r="AU80" s="8" t="str">
        <f>IF(HS_DB[[#This Row],[Risk Exposure Rank]]&lt;=5,"Immediate Action",
 IF(HS_DB[[#This Row],[Risk Exposure Rank]]&lt;=15,"Monitor Closely",
 "Routine Control"))</f>
        <v>Routine Control</v>
      </c>
      <c r="AV80" s="8">
        <f>SUMIFS(HS_DB[Trade Value - USD],HS_DB[HS Code],HS_DB[[#This Row],[HS Code]])</f>
        <v>1231702</v>
      </c>
      <c r="AW80" s="6">
        <f>HS_DB[[#This Row],[Annual Spend - USD]]/HS_DB[[#This Row],[Total Market Size - USD]]</f>
        <v>1</v>
      </c>
      <c r="AX80" s="6" cm="1">
        <f t="array" ref="AX80">COUNTA(_xlfn.UNIQUE(_xlfn._xlws.FILTER(HS_DB[Partner],HS_DB[HS Code]=HS_DB[[#This Row],[HS Code]])))</f>
        <v>1</v>
      </c>
      <c r="AY80" s="8" t="str">
        <f>IF(HS_DB[[#This Row],[Competition Intensity]]&lt;=2,"Highly Concentrated",
 IF(HS_DB[[#This Row],[Competition Intensity]]&lt;=5,"Moderate",
 "Highly Competitive"))</f>
        <v>Highly Concentrated</v>
      </c>
      <c r="AZ80" s="8">
        <f>HS_DB[[#This Row],[Total Market Size - USD]]
*
(1+IFERROR(#REF!,0))
/
HS_DB[[#This Row],[Competition Intensity]]</f>
        <v>1231702</v>
      </c>
      <c r="BA80" s="8" t="str">
        <f>IF(HS_DB[[#This Row],[Commercial Opportunity Score]]&gt;=PERCENTILE(HS_DB[Commercial Opportunity Score],0.9),"High Opportunity",
 IF(HS_DB[[#This Row],[Commercial Opportunity Score]]&gt;=PERCENTILE(HS_DB[Commercial Opportunity Score],0.6),"Medium Opportunity",
 "Routine Market"))</f>
        <v>Routine Market</v>
      </c>
      <c r="BB80" s="3" t="str">
        <f>IF(AND(HS_DB[[#This Row],[Product Rank]]&gt;0,HS_DB[[#This Row],[Product Rank]]&lt;=10),"Yes","No")</f>
        <v>No</v>
      </c>
      <c r="BC80" s="3" t="str">
        <f>IF(AND(HS_DB[[#This Row],[Origin Rank]]&gt;0,HS_DB[[#This Row],[Origin Rank]]&lt;=10),"Yes","No")</f>
        <v>Yes</v>
      </c>
    </row>
    <row r="81" spans="2:55" x14ac:dyDescent="0.3">
      <c r="B81" s="2">
        <f>HS_DB[[#This Row],[Commodity Code]]</f>
        <v>290719</v>
      </c>
      <c r="C81" s="2">
        <f>IFERROR(INDEX(HS_MD!C:C,MATCH(B81,HS_MD!B:B,0),1),"")</f>
        <v>24</v>
      </c>
      <c r="D81" s="17" t="str">
        <f>IFERROR(INDEX(HS_MD!D:D,MATCH(B81,HS_MD!B:B,0),1),"")</f>
        <v>Other phenols</v>
      </c>
      <c r="E81" s="17" t="str">
        <f>IFERROR(INDEX(HS_MD!E:E,MATCH(B81,HS_MD!B:B,0),1),"")</f>
        <v>BHT / BHA</v>
      </c>
      <c r="F81" s="17" t="str">
        <f>IFERROR(INDEX(HS_MD!F:F,MATCH(B81,HS_MD!B:B,0),1),"")</f>
        <v>Food Ingredients</v>
      </c>
      <c r="G81" s="17" t="str">
        <f>IFERROR(INDEX(HS_MD!G:G,MATCH(B81,HS_MD!B:B,0),1),"")</f>
        <v>Antioxidants</v>
      </c>
      <c r="H81" s="17" t="str">
        <f>IFERROR(INDEX(HS_MD!H:H,MATCH(B81,HS_MD!B:B,0),1),"")</f>
        <v>Synthetic Antioxidants</v>
      </c>
      <c r="I81" s="17" t="str">
        <f>IFERROR(INDEX(HS_MD!I:I,MATCH(B81,HS_MD!B:B,0),1),"")</f>
        <v>Oils / Snacks / Fats</v>
      </c>
      <c r="J81" s="17">
        <f>IFERROR(INDEX(Heat_Map[Index],MATCH(HS_DB[[#This Row],[Reporter]],Heat_Map[Global],0),1),"")</f>
        <v>81</v>
      </c>
      <c r="K81" s="17" t="str">
        <f>IF(AND(HS_DB[[#This Row],[Origin Rank]]&gt;1,HS_DB[[#This Row],[Origin Rank]]&lt;=10),"Yes","No")</f>
        <v>No</v>
      </c>
      <c r="L81" s="2">
        <v>2024</v>
      </c>
      <c r="M81" s="2" t="s">
        <v>57</v>
      </c>
      <c r="N81" s="2" t="s">
        <v>49</v>
      </c>
      <c r="O81" s="2" t="s">
        <v>22</v>
      </c>
      <c r="P81" s="2" t="s">
        <v>23</v>
      </c>
      <c r="Q81" s="2" t="s">
        <v>24</v>
      </c>
      <c r="R81" s="2" t="s">
        <v>25</v>
      </c>
      <c r="S81" s="2">
        <v>290719</v>
      </c>
      <c r="T81" s="3">
        <v>38649</v>
      </c>
      <c r="U81" s="3">
        <v>4500</v>
      </c>
      <c r="V81" s="3">
        <v>0</v>
      </c>
      <c r="W81" s="3">
        <v>4500</v>
      </c>
      <c r="X81" s="3" t="s">
        <v>58</v>
      </c>
      <c r="Y81" s="3">
        <v>4500</v>
      </c>
      <c r="Z81" s="2" t="s">
        <v>58</v>
      </c>
      <c r="AA81" s="6">
        <f>SUMIFS(HS_DB[Trade Value - USD],HS_DB[Reporter],HS_DB[[#This Row],[Reporter]])/SUM(HS_DB[Trade Value - USD])</f>
        <v>1.1178535358665947E-2</v>
      </c>
      <c r="AB81" s="8" cm="1">
        <f t="array" ref="AB81">SUMPRODUCT(
(HS_DB[Reporter]=HS_DB[[#This Row],[Reporter]])*
(HS_DB[Trade Value - USD]&gt;HS_DB[[#This Row],[Trade Value - USD]])
)+1</f>
        <v>17</v>
      </c>
      <c r="AC81" s="8" t="str">
        <f>IFERROR(IF(INDEX(Heat_Map[Crisis Impact %],MATCH(HS_DB[[#This Row],[Reporter]],Heat_Map[Global],0),1)&gt;0,"Yes","No"),"No")</f>
        <v>No</v>
      </c>
      <c r="AD81" s="6">
        <f>IFERROR(INDEX(Heat_Map[Crisis Impact %],MATCH(HS_DB[[#This Row],[Reporter]],Heat_Map[Global],0),1),0)</f>
        <v>0</v>
      </c>
      <c r="AE81" s="8">
        <f>HS_DB[[#This Row],[Crisis Impact%]]*HS_DB[[#This Row],[Trade Value - USD]]</f>
        <v>0</v>
      </c>
      <c r="AF81" s="8">
        <f>HS_DB[[#This Row],[Crisis Impact%]]*HS_DB[[#This Row],[Net Weight -KG]]</f>
        <v>0</v>
      </c>
      <c r="AG81" s="6">
        <f>SUMIFS(HS_DB[Trade Value - USD],HS_DB[Products],HS_DB[[#This Row],[Products]])/SUM(HS_DB[Trade Value - USD])</f>
        <v>6.5341993246368225E-4</v>
      </c>
      <c r="AH81" s="8">
        <f>_xlfn.RANK.EQ(HS_DB[[#This Row],[Trade Value - USD]], HS_DB[Trade Value - USD], 0)
 + COUNTIFS(HS_DB[Trade Value - USD],HS_DB[[#This Row],[Trade Value - USD]],
            HS_DB[HS Code],"&lt;"&amp;HS_DB[[#This Row],[HS Code]])</f>
        <v>334</v>
      </c>
      <c r="AI81" s="9">
        <f>IFERROR(HS_DB[[#This Row],[Trade Value - USD]]/HS_DB[[#This Row],[Net Weight -KG]],0)</f>
        <v>8.5886666666666667</v>
      </c>
      <c r="AJ81" s="17" cm="1">
        <f t="array" ref="AJ81">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81" s="17" t="str">
        <f>IF(HS_DB[[#This Row],[HS Code Risk Score]]&gt;=40,"High",
 IF(HS_DB[[#This Row],[HS Code Risk Score]]&gt;=25,"Medium","Low"))</f>
        <v>Medium</v>
      </c>
      <c r="AL81" s="17" t="str">
        <f>IF(RANK(HS_DB[[#This Row],[HS Code Risk Score]],HS_DB[HS Code Risk Score])&lt;=10,"Yes","No")</f>
        <v>No</v>
      </c>
      <c r="AM81" s="8">
        <f>SUMIFS(HS_DB[Net Weight -KG],HS_DB[HS Code],HS_DB[[#This Row],[HS Code]])</f>
        <v>219375.2</v>
      </c>
      <c r="AN81" s="8">
        <f>SUMIFS(HS_DB[Trade Value - USD],HS_DB[HS Code],HS_DB[[#This Row],[HS Code]])</f>
        <v>1231702</v>
      </c>
      <c r="AO81" s="6">
        <f>_xlfn.MAXIFS(HS_DB[Origin Share%],HS_DB[HS Code],HS_DB[[#This Row],[HS Code]])</f>
        <v>6.321329281187793E-2</v>
      </c>
      <c r="AP81" s="8" cm="1">
        <f t="array" ref="AP81">_xlfn.LET(
_xlpm.hs,HS_DB[[#This Row],[HS Code]],
COUNTA(_xlfn.UNIQUE(_xlfn._xlws.FILTER(HS_DB[Reporter],HS_DB[HS Code]=_xlpm.hs)))
)</f>
        <v>12</v>
      </c>
      <c r="AQ81" s="17" t="str">
        <f>IF(HS_DB[[#This Row],[Origin Count]]=1,"Single Source","Multiple Sources")</f>
        <v>Multiple Sources</v>
      </c>
      <c r="AR81" s="8">
        <f>HS_DB[[#This Row],[Annual Spend - USD]]*(HS_DB[[#This Row],[HS Code Risk Score]]/100)</f>
        <v>418778.68000000005</v>
      </c>
      <c r="AS81" s="8">
        <f>RANK(HS_DB[[#This Row],[Risk Exposure - USD]],HS_DB[Risk Exposure - USD],0)</f>
        <v>507</v>
      </c>
      <c r="AT81" s="8" t="str">
        <f>IF(HS_DB[[#This Row],[Risk Exposure Rank]]&lt;=10,"High",
 IF(HS_DB[[#This Row],[Risk Exposure Rank]]&lt;=30,"Medium",
 "Low"))</f>
        <v>Low</v>
      </c>
      <c r="AU81" s="8" t="str">
        <f>IF(HS_DB[[#This Row],[Risk Exposure Rank]]&lt;=5,"Immediate Action",
 IF(HS_DB[[#This Row],[Risk Exposure Rank]]&lt;=15,"Monitor Closely",
 "Routine Control"))</f>
        <v>Routine Control</v>
      </c>
      <c r="AV81" s="8">
        <f>SUMIFS(HS_DB[Trade Value - USD],HS_DB[HS Code],HS_DB[[#This Row],[HS Code]])</f>
        <v>1231702</v>
      </c>
      <c r="AW81" s="6">
        <f>HS_DB[[#This Row],[Annual Spend - USD]]/HS_DB[[#This Row],[Total Market Size - USD]]</f>
        <v>1</v>
      </c>
      <c r="AX81" s="6" cm="1">
        <f t="array" ref="AX81">COUNTA(_xlfn.UNIQUE(_xlfn._xlws.FILTER(HS_DB[Partner],HS_DB[HS Code]=HS_DB[[#This Row],[HS Code]])))</f>
        <v>1</v>
      </c>
      <c r="AY81" s="8" t="str">
        <f>IF(HS_DB[[#This Row],[Competition Intensity]]&lt;=2,"Highly Concentrated",
 IF(HS_DB[[#This Row],[Competition Intensity]]&lt;=5,"Moderate",
 "Highly Competitive"))</f>
        <v>Highly Concentrated</v>
      </c>
      <c r="AZ81" s="8">
        <f>HS_DB[[#This Row],[Total Market Size - USD]]
*
(1+IFERROR(#REF!,0))
/
HS_DB[[#This Row],[Competition Intensity]]</f>
        <v>1231702</v>
      </c>
      <c r="BA81" s="8" t="str">
        <f>IF(HS_DB[[#This Row],[Commercial Opportunity Score]]&gt;=PERCENTILE(HS_DB[Commercial Opportunity Score],0.9),"High Opportunity",
 IF(HS_DB[[#This Row],[Commercial Opportunity Score]]&gt;=PERCENTILE(HS_DB[Commercial Opportunity Score],0.6),"Medium Opportunity",
 "Routine Market"))</f>
        <v>Routine Market</v>
      </c>
      <c r="BB81" s="3" t="str">
        <f>IF(AND(HS_DB[[#This Row],[Product Rank]]&gt;0,HS_DB[[#This Row],[Product Rank]]&lt;=10),"Yes","No")</f>
        <v>No</v>
      </c>
      <c r="BC81" s="3" t="str">
        <f>IF(AND(HS_DB[[#This Row],[Origin Rank]]&gt;0,HS_DB[[#This Row],[Origin Rank]]&lt;=10),"Yes","No")</f>
        <v>No</v>
      </c>
    </row>
    <row r="82" spans="2:55" x14ac:dyDescent="0.3">
      <c r="B82" s="2">
        <f>HS_DB[[#This Row],[Commodity Code]]</f>
        <v>290719</v>
      </c>
      <c r="C82" s="2">
        <f>IFERROR(INDEX(HS_MD!C:C,MATCH(B82,HS_MD!B:B,0),1),"")</f>
        <v>24</v>
      </c>
      <c r="D82" s="17" t="str">
        <f>IFERROR(INDEX(HS_MD!D:D,MATCH(B82,HS_MD!B:B,0),1),"")</f>
        <v>Other phenols</v>
      </c>
      <c r="E82" s="17" t="str">
        <f>IFERROR(INDEX(HS_MD!E:E,MATCH(B82,HS_MD!B:B,0),1),"")</f>
        <v>BHT / BHA</v>
      </c>
      <c r="F82" s="17" t="str">
        <f>IFERROR(INDEX(HS_MD!F:F,MATCH(B82,HS_MD!B:B,0),1),"")</f>
        <v>Food Ingredients</v>
      </c>
      <c r="G82" s="17" t="str">
        <f>IFERROR(INDEX(HS_MD!G:G,MATCH(B82,HS_MD!B:B,0),1),"")</f>
        <v>Antioxidants</v>
      </c>
      <c r="H82" s="17" t="str">
        <f>IFERROR(INDEX(HS_MD!H:H,MATCH(B82,HS_MD!B:B,0),1),"")</f>
        <v>Synthetic Antioxidants</v>
      </c>
      <c r="I82" s="17" t="str">
        <f>IFERROR(INDEX(HS_MD!I:I,MATCH(B82,HS_MD!B:B,0),1),"")</f>
        <v>Oils / Snacks / Fats</v>
      </c>
      <c r="J82" s="17">
        <f>IFERROR(INDEX(Heat_Map[Index],MATCH(HS_DB[[#This Row],[Reporter]],Heat_Map[Global],0),1),"")</f>
        <v>118</v>
      </c>
      <c r="K82" s="17" t="str">
        <f>IF(AND(HS_DB[[#This Row],[Origin Rank]]&gt;1,HS_DB[[#This Row],[Origin Rank]]&lt;=10),"Yes","No")</f>
        <v>No</v>
      </c>
      <c r="L82" s="2">
        <v>2024</v>
      </c>
      <c r="M82" s="2" t="s">
        <v>57</v>
      </c>
      <c r="N82" s="2" t="s">
        <v>53</v>
      </c>
      <c r="O82" s="2" t="s">
        <v>22</v>
      </c>
      <c r="P82" s="2" t="s">
        <v>23</v>
      </c>
      <c r="Q82" s="2" t="s">
        <v>24</v>
      </c>
      <c r="R82" s="2" t="s">
        <v>25</v>
      </c>
      <c r="S82" s="2">
        <v>290719</v>
      </c>
      <c r="T82" s="3">
        <v>3217</v>
      </c>
      <c r="U82" s="3">
        <v>307</v>
      </c>
      <c r="V82" s="3">
        <v>0</v>
      </c>
      <c r="W82" s="3">
        <v>307</v>
      </c>
      <c r="X82" s="3" t="s">
        <v>58</v>
      </c>
      <c r="Y82" s="3">
        <v>307</v>
      </c>
      <c r="Z82" s="2" t="s">
        <v>58</v>
      </c>
      <c r="AA82" s="6">
        <f>SUMIFS(HS_DB[Trade Value - USD],HS_DB[Reporter],HS_DB[[#This Row],[Reporter]])/SUM(HS_DB[Trade Value - USD])</f>
        <v>1.4561232389604124E-2</v>
      </c>
      <c r="AB82" s="8" cm="1">
        <f t="array" ref="AB82">SUMPRODUCT(
(HS_DB[Reporter]=HS_DB[[#This Row],[Reporter]])*
(HS_DB[Trade Value - USD]&gt;HS_DB[[#This Row],[Trade Value - USD]])
)+1</f>
        <v>29</v>
      </c>
      <c r="AC82" s="8" t="str">
        <f>IFERROR(IF(INDEX(Heat_Map[Crisis Impact %],MATCH(HS_DB[[#This Row],[Reporter]],Heat_Map[Global],0),1)&gt;0,"Yes","No"),"No")</f>
        <v>No</v>
      </c>
      <c r="AD82" s="6">
        <f>IFERROR(INDEX(Heat_Map[Crisis Impact %],MATCH(HS_DB[[#This Row],[Reporter]],Heat_Map[Global],0),1),0)</f>
        <v>0</v>
      </c>
      <c r="AE82" s="8">
        <f>HS_DB[[#This Row],[Crisis Impact%]]*HS_DB[[#This Row],[Trade Value - USD]]</f>
        <v>0</v>
      </c>
      <c r="AF82" s="8">
        <f>HS_DB[[#This Row],[Crisis Impact%]]*HS_DB[[#This Row],[Net Weight -KG]]</f>
        <v>0</v>
      </c>
      <c r="AG82" s="6">
        <f>SUMIFS(HS_DB[Trade Value - USD],HS_DB[Products],HS_DB[[#This Row],[Products]])/SUM(HS_DB[Trade Value - USD])</f>
        <v>6.5341993246368225E-4</v>
      </c>
      <c r="AH82" s="8">
        <f>_xlfn.RANK.EQ(HS_DB[[#This Row],[Trade Value - USD]], HS_DB[Trade Value - USD], 0)
 + COUNTIFS(HS_DB[Trade Value - USD],HS_DB[[#This Row],[Trade Value - USD]],
            HS_DB[HS Code],"&lt;"&amp;HS_DB[[#This Row],[HS Code]])</f>
        <v>456</v>
      </c>
      <c r="AI82" s="9">
        <f>IFERROR(HS_DB[[#This Row],[Trade Value - USD]]/HS_DB[[#This Row],[Net Weight -KG]],0)</f>
        <v>10.478827361563518</v>
      </c>
      <c r="AJ82" s="17" cm="1">
        <f t="array" ref="AJ82">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82" s="17" t="str">
        <f>IF(HS_DB[[#This Row],[HS Code Risk Score]]&gt;=40,"High",
 IF(HS_DB[[#This Row],[HS Code Risk Score]]&gt;=25,"Medium","Low"))</f>
        <v>Medium</v>
      </c>
      <c r="AL82" s="17" t="str">
        <f>IF(RANK(HS_DB[[#This Row],[HS Code Risk Score]],HS_DB[HS Code Risk Score])&lt;=10,"Yes","No")</f>
        <v>No</v>
      </c>
      <c r="AM82" s="8">
        <f>SUMIFS(HS_DB[Net Weight -KG],HS_DB[HS Code],HS_DB[[#This Row],[HS Code]])</f>
        <v>219375.2</v>
      </c>
      <c r="AN82" s="8">
        <f>SUMIFS(HS_DB[Trade Value - USD],HS_DB[HS Code],HS_DB[[#This Row],[HS Code]])</f>
        <v>1231702</v>
      </c>
      <c r="AO82" s="6">
        <f>_xlfn.MAXIFS(HS_DB[Origin Share%],HS_DB[HS Code],HS_DB[[#This Row],[HS Code]])</f>
        <v>6.321329281187793E-2</v>
      </c>
      <c r="AP82" s="8" cm="1">
        <f t="array" ref="AP82">_xlfn.LET(
_xlpm.hs,HS_DB[[#This Row],[HS Code]],
COUNTA(_xlfn.UNIQUE(_xlfn._xlws.FILTER(HS_DB[Reporter],HS_DB[HS Code]=_xlpm.hs)))
)</f>
        <v>12</v>
      </c>
      <c r="AQ82" s="17" t="str">
        <f>IF(HS_DB[[#This Row],[Origin Count]]=1,"Single Source","Multiple Sources")</f>
        <v>Multiple Sources</v>
      </c>
      <c r="AR82" s="8">
        <f>HS_DB[[#This Row],[Annual Spend - USD]]*(HS_DB[[#This Row],[HS Code Risk Score]]/100)</f>
        <v>418778.68000000005</v>
      </c>
      <c r="AS82" s="8">
        <f>RANK(HS_DB[[#This Row],[Risk Exposure - USD]],HS_DB[Risk Exposure - USD],0)</f>
        <v>507</v>
      </c>
      <c r="AT82" s="8" t="str">
        <f>IF(HS_DB[[#This Row],[Risk Exposure Rank]]&lt;=10,"High",
 IF(HS_DB[[#This Row],[Risk Exposure Rank]]&lt;=30,"Medium",
 "Low"))</f>
        <v>Low</v>
      </c>
      <c r="AU82" s="8" t="str">
        <f>IF(HS_DB[[#This Row],[Risk Exposure Rank]]&lt;=5,"Immediate Action",
 IF(HS_DB[[#This Row],[Risk Exposure Rank]]&lt;=15,"Monitor Closely",
 "Routine Control"))</f>
        <v>Routine Control</v>
      </c>
      <c r="AV82" s="8">
        <f>SUMIFS(HS_DB[Trade Value - USD],HS_DB[HS Code],HS_DB[[#This Row],[HS Code]])</f>
        <v>1231702</v>
      </c>
      <c r="AW82" s="6">
        <f>HS_DB[[#This Row],[Annual Spend - USD]]/HS_DB[[#This Row],[Total Market Size - USD]]</f>
        <v>1</v>
      </c>
      <c r="AX82" s="6" cm="1">
        <f t="array" ref="AX82">COUNTA(_xlfn.UNIQUE(_xlfn._xlws.FILTER(HS_DB[Partner],HS_DB[HS Code]=HS_DB[[#This Row],[HS Code]])))</f>
        <v>1</v>
      </c>
      <c r="AY82" s="8" t="str">
        <f>IF(HS_DB[[#This Row],[Competition Intensity]]&lt;=2,"Highly Concentrated",
 IF(HS_DB[[#This Row],[Competition Intensity]]&lt;=5,"Moderate",
 "Highly Competitive"))</f>
        <v>Highly Concentrated</v>
      </c>
      <c r="AZ82" s="8">
        <f>HS_DB[[#This Row],[Total Market Size - USD]]
*
(1+IFERROR(#REF!,0))
/
HS_DB[[#This Row],[Competition Intensity]]</f>
        <v>1231702</v>
      </c>
      <c r="BA82" s="8" t="str">
        <f>IF(HS_DB[[#This Row],[Commercial Opportunity Score]]&gt;=PERCENTILE(HS_DB[Commercial Opportunity Score],0.9),"High Opportunity",
 IF(HS_DB[[#This Row],[Commercial Opportunity Score]]&gt;=PERCENTILE(HS_DB[Commercial Opportunity Score],0.6),"Medium Opportunity",
 "Routine Market"))</f>
        <v>Routine Market</v>
      </c>
      <c r="BB82" s="3" t="str">
        <f>IF(AND(HS_DB[[#This Row],[Product Rank]]&gt;0,HS_DB[[#This Row],[Product Rank]]&lt;=10),"Yes","No")</f>
        <v>No</v>
      </c>
      <c r="BC82" s="3" t="str">
        <f>IF(AND(HS_DB[[#This Row],[Origin Rank]]&gt;0,HS_DB[[#This Row],[Origin Rank]]&lt;=10),"Yes","No")</f>
        <v>No</v>
      </c>
    </row>
    <row r="83" spans="2:55" x14ac:dyDescent="0.3">
      <c r="B83" s="2">
        <f>HS_DB[[#This Row],[Commodity Code]]</f>
        <v>290719</v>
      </c>
      <c r="C83" s="2">
        <f>IFERROR(INDEX(HS_MD!C:C,MATCH(B83,HS_MD!B:B,0),1),"")</f>
        <v>24</v>
      </c>
      <c r="D83" s="17" t="str">
        <f>IFERROR(INDEX(HS_MD!D:D,MATCH(B83,HS_MD!B:B,0),1),"")</f>
        <v>Other phenols</v>
      </c>
      <c r="E83" s="17" t="str">
        <f>IFERROR(INDEX(HS_MD!E:E,MATCH(B83,HS_MD!B:B,0),1),"")</f>
        <v>BHT / BHA</v>
      </c>
      <c r="F83" s="17" t="str">
        <f>IFERROR(INDEX(HS_MD!F:F,MATCH(B83,HS_MD!B:B,0),1),"")</f>
        <v>Food Ingredients</v>
      </c>
      <c r="G83" s="17" t="str">
        <f>IFERROR(INDEX(HS_MD!G:G,MATCH(B83,HS_MD!B:B,0),1),"")</f>
        <v>Antioxidants</v>
      </c>
      <c r="H83" s="17" t="str">
        <f>IFERROR(INDEX(HS_MD!H:H,MATCH(B83,HS_MD!B:B,0),1),"")</f>
        <v>Synthetic Antioxidants</v>
      </c>
      <c r="I83" s="17" t="str">
        <f>IFERROR(INDEX(HS_MD!I:I,MATCH(B83,HS_MD!B:B,0),1),"")</f>
        <v>Oils / Snacks / Fats</v>
      </c>
      <c r="J83" s="17">
        <f>IFERROR(INDEX(Heat_Map[Index],MATCH(HS_DB[[#This Row],[Reporter]],Heat_Map[Global],0),1),"")</f>
        <v>75</v>
      </c>
      <c r="K83" s="17" t="str">
        <f>IF(AND(HS_DB[[#This Row],[Origin Rank]]&gt;1,HS_DB[[#This Row],[Origin Rank]]&lt;=10),"Yes","No")</f>
        <v>No</v>
      </c>
      <c r="L83" s="2">
        <v>2024</v>
      </c>
      <c r="M83" s="2" t="s">
        <v>57</v>
      </c>
      <c r="N83" s="2" t="s">
        <v>8</v>
      </c>
      <c r="O83" s="2" t="s">
        <v>22</v>
      </c>
      <c r="P83" s="2" t="s">
        <v>23</v>
      </c>
      <c r="Q83" s="2" t="s">
        <v>24</v>
      </c>
      <c r="R83" s="2" t="s">
        <v>25</v>
      </c>
      <c r="S83" s="2">
        <v>290719</v>
      </c>
      <c r="T83" s="3">
        <v>297132</v>
      </c>
      <c r="U83" s="3">
        <v>53679</v>
      </c>
      <c r="V83" s="3">
        <v>0</v>
      </c>
      <c r="W83" s="3">
        <v>53679</v>
      </c>
      <c r="X83" s="3" t="s">
        <v>58</v>
      </c>
      <c r="Y83" s="3">
        <v>53679</v>
      </c>
      <c r="Z83" s="2" t="s">
        <v>58</v>
      </c>
      <c r="AA83" s="6">
        <f>SUMIFS(HS_DB[Trade Value - USD],HS_DB[Reporter],HS_DB[[#This Row],[Reporter]])/SUM(HS_DB[Trade Value - USD])</f>
        <v>2.2441761060335613E-2</v>
      </c>
      <c r="AB83" s="8" cm="1">
        <f t="array" ref="AB83">SUMPRODUCT(
(HS_DB[Reporter]=HS_DB[[#This Row],[Reporter]])*
(HS_DB[Trade Value - USD]&gt;HS_DB[[#This Row],[Trade Value - USD]])
)+1</f>
        <v>19</v>
      </c>
      <c r="AC83" s="8" t="str">
        <f>IFERROR(IF(INDEX(Heat_Map[Crisis Impact %],MATCH(HS_DB[[#This Row],[Reporter]],Heat_Map[Global],0),1)&gt;0,"Yes","No"),"No")</f>
        <v>No</v>
      </c>
      <c r="AD83" s="6">
        <f>IFERROR(INDEX(Heat_Map[Crisis Impact %],MATCH(HS_DB[[#This Row],[Reporter]],Heat_Map[Global],0),1),0)</f>
        <v>0</v>
      </c>
      <c r="AE83" s="8">
        <f>HS_DB[[#This Row],[Crisis Impact%]]*HS_DB[[#This Row],[Trade Value - USD]]</f>
        <v>0</v>
      </c>
      <c r="AF83" s="8">
        <f>HS_DB[[#This Row],[Crisis Impact%]]*HS_DB[[#This Row],[Net Weight -KG]]</f>
        <v>0</v>
      </c>
      <c r="AG83" s="6">
        <f>SUMIFS(HS_DB[Trade Value - USD],HS_DB[Products],HS_DB[[#This Row],[Products]])/SUM(HS_DB[Trade Value - USD])</f>
        <v>6.5341993246368225E-4</v>
      </c>
      <c r="AH83" s="8">
        <f>_xlfn.RANK.EQ(HS_DB[[#This Row],[Trade Value - USD]], HS_DB[Trade Value - USD], 0)
 + COUNTIFS(HS_DB[Trade Value - USD],HS_DB[[#This Row],[Trade Value - USD]],
            HS_DB[HS Code],"&lt;"&amp;HS_DB[[#This Row],[HS Code]])</f>
        <v>189</v>
      </c>
      <c r="AI83" s="9">
        <f>IFERROR(HS_DB[[#This Row],[Trade Value - USD]]/HS_DB[[#This Row],[Net Weight -KG]],0)</f>
        <v>5.5353490191695078</v>
      </c>
      <c r="AJ83" s="17" cm="1">
        <f t="array" ref="AJ83">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83" s="17" t="str">
        <f>IF(HS_DB[[#This Row],[HS Code Risk Score]]&gt;=40,"High",
 IF(HS_DB[[#This Row],[HS Code Risk Score]]&gt;=25,"Medium","Low"))</f>
        <v>Medium</v>
      </c>
      <c r="AL83" s="17" t="str">
        <f>IF(RANK(HS_DB[[#This Row],[HS Code Risk Score]],HS_DB[HS Code Risk Score])&lt;=10,"Yes","No")</f>
        <v>No</v>
      </c>
      <c r="AM83" s="8">
        <f>SUMIFS(HS_DB[Net Weight -KG],HS_DB[HS Code],HS_DB[[#This Row],[HS Code]])</f>
        <v>219375.2</v>
      </c>
      <c r="AN83" s="8">
        <f>SUMIFS(HS_DB[Trade Value - USD],HS_DB[HS Code],HS_DB[[#This Row],[HS Code]])</f>
        <v>1231702</v>
      </c>
      <c r="AO83" s="6">
        <f>_xlfn.MAXIFS(HS_DB[Origin Share%],HS_DB[HS Code],HS_DB[[#This Row],[HS Code]])</f>
        <v>6.321329281187793E-2</v>
      </c>
      <c r="AP83" s="8" cm="1">
        <f t="array" ref="AP83">_xlfn.LET(
_xlpm.hs,HS_DB[[#This Row],[HS Code]],
COUNTA(_xlfn.UNIQUE(_xlfn._xlws.FILTER(HS_DB[Reporter],HS_DB[HS Code]=_xlpm.hs)))
)</f>
        <v>12</v>
      </c>
      <c r="AQ83" s="17" t="str">
        <f>IF(HS_DB[[#This Row],[Origin Count]]=1,"Single Source","Multiple Sources")</f>
        <v>Multiple Sources</v>
      </c>
      <c r="AR83" s="8">
        <f>HS_DB[[#This Row],[Annual Spend - USD]]*(HS_DB[[#This Row],[HS Code Risk Score]]/100)</f>
        <v>418778.68000000005</v>
      </c>
      <c r="AS83" s="8">
        <f>RANK(HS_DB[[#This Row],[Risk Exposure - USD]],HS_DB[Risk Exposure - USD],0)</f>
        <v>507</v>
      </c>
      <c r="AT83" s="8" t="str">
        <f>IF(HS_DB[[#This Row],[Risk Exposure Rank]]&lt;=10,"High",
 IF(HS_DB[[#This Row],[Risk Exposure Rank]]&lt;=30,"Medium",
 "Low"))</f>
        <v>Low</v>
      </c>
      <c r="AU83" s="8" t="str">
        <f>IF(HS_DB[[#This Row],[Risk Exposure Rank]]&lt;=5,"Immediate Action",
 IF(HS_DB[[#This Row],[Risk Exposure Rank]]&lt;=15,"Monitor Closely",
 "Routine Control"))</f>
        <v>Routine Control</v>
      </c>
      <c r="AV83" s="8">
        <f>SUMIFS(HS_DB[Trade Value - USD],HS_DB[HS Code],HS_DB[[#This Row],[HS Code]])</f>
        <v>1231702</v>
      </c>
      <c r="AW83" s="6">
        <f>HS_DB[[#This Row],[Annual Spend - USD]]/HS_DB[[#This Row],[Total Market Size - USD]]</f>
        <v>1</v>
      </c>
      <c r="AX83" s="6" cm="1">
        <f t="array" ref="AX83">COUNTA(_xlfn.UNIQUE(_xlfn._xlws.FILTER(HS_DB[Partner],HS_DB[HS Code]=HS_DB[[#This Row],[HS Code]])))</f>
        <v>1</v>
      </c>
      <c r="AY83" s="8" t="str">
        <f>IF(HS_DB[[#This Row],[Competition Intensity]]&lt;=2,"Highly Concentrated",
 IF(HS_DB[[#This Row],[Competition Intensity]]&lt;=5,"Moderate",
 "Highly Competitive"))</f>
        <v>Highly Concentrated</v>
      </c>
      <c r="AZ83" s="8">
        <f>HS_DB[[#This Row],[Total Market Size - USD]]
*
(1+IFERROR(#REF!,0))
/
HS_DB[[#This Row],[Competition Intensity]]</f>
        <v>1231702</v>
      </c>
      <c r="BA83" s="8" t="str">
        <f>IF(HS_DB[[#This Row],[Commercial Opportunity Score]]&gt;=PERCENTILE(HS_DB[Commercial Opportunity Score],0.9),"High Opportunity",
 IF(HS_DB[[#This Row],[Commercial Opportunity Score]]&gt;=PERCENTILE(HS_DB[Commercial Opportunity Score],0.6),"Medium Opportunity",
 "Routine Market"))</f>
        <v>Routine Market</v>
      </c>
      <c r="BB83" s="3" t="str">
        <f>IF(AND(HS_DB[[#This Row],[Product Rank]]&gt;0,HS_DB[[#This Row],[Product Rank]]&lt;=10),"Yes","No")</f>
        <v>No</v>
      </c>
      <c r="BC83" s="3" t="str">
        <f>IF(AND(HS_DB[[#This Row],[Origin Rank]]&gt;0,HS_DB[[#This Row],[Origin Rank]]&lt;=10),"Yes","No")</f>
        <v>No</v>
      </c>
    </row>
    <row r="84" spans="2:55" x14ac:dyDescent="0.3">
      <c r="B84" s="2">
        <f>HS_DB[[#This Row],[Commodity Code]]</f>
        <v>290719</v>
      </c>
      <c r="C84" s="2">
        <f>IFERROR(INDEX(HS_MD!C:C,MATCH(B84,HS_MD!B:B,0),1),"")</f>
        <v>24</v>
      </c>
      <c r="D84" s="17" t="str">
        <f>IFERROR(INDEX(HS_MD!D:D,MATCH(B84,HS_MD!B:B,0),1),"")</f>
        <v>Other phenols</v>
      </c>
      <c r="E84" s="17" t="str">
        <f>IFERROR(INDEX(HS_MD!E:E,MATCH(B84,HS_MD!B:B,0),1),"")</f>
        <v>BHT / BHA</v>
      </c>
      <c r="F84" s="17" t="str">
        <f>IFERROR(INDEX(HS_MD!F:F,MATCH(B84,HS_MD!B:B,0),1),"")</f>
        <v>Food Ingredients</v>
      </c>
      <c r="G84" s="17" t="str">
        <f>IFERROR(INDEX(HS_MD!G:G,MATCH(B84,HS_MD!B:B,0),1),"")</f>
        <v>Antioxidants</v>
      </c>
      <c r="H84" s="17" t="str">
        <f>IFERROR(INDEX(HS_MD!H:H,MATCH(B84,HS_MD!B:B,0),1),"")</f>
        <v>Synthetic Antioxidants</v>
      </c>
      <c r="I84" s="17" t="str">
        <f>IFERROR(INDEX(HS_MD!I:I,MATCH(B84,HS_MD!B:B,0),1),"")</f>
        <v>Oils / Snacks / Fats</v>
      </c>
      <c r="J84" s="17">
        <f>IFERROR(INDEX(Heat_Map[Index],MATCH(HS_DB[[#This Row],[Reporter]],Heat_Map[Global],0),1),"")</f>
        <v>159</v>
      </c>
      <c r="K84" s="17" t="str">
        <f>IF(AND(HS_DB[[#This Row],[Origin Rank]]&gt;1,HS_DB[[#This Row],[Origin Rank]]&lt;=10),"Yes","No")</f>
        <v>No</v>
      </c>
      <c r="L84" s="2">
        <v>2024</v>
      </c>
      <c r="M84" s="2" t="s">
        <v>57</v>
      </c>
      <c r="N84" s="2" t="s">
        <v>30</v>
      </c>
      <c r="O84" s="2" t="s">
        <v>22</v>
      </c>
      <c r="P84" s="2" t="s">
        <v>23</v>
      </c>
      <c r="Q84" s="2" t="s">
        <v>24</v>
      </c>
      <c r="R84" s="2" t="s">
        <v>25</v>
      </c>
      <c r="S84" s="2">
        <v>290719</v>
      </c>
      <c r="T84" s="3">
        <v>6620</v>
      </c>
      <c r="U84" s="3">
        <v>511</v>
      </c>
      <c r="V84" s="3">
        <v>0</v>
      </c>
      <c r="W84" s="3">
        <v>511</v>
      </c>
      <c r="X84" s="3" t="s">
        <v>58</v>
      </c>
      <c r="Y84" s="3">
        <v>511</v>
      </c>
      <c r="Z84" s="2" t="s">
        <v>58</v>
      </c>
      <c r="AA84" s="6">
        <f>SUMIFS(HS_DB[Trade Value - USD],HS_DB[Reporter],HS_DB[[#This Row],[Reporter]])/SUM(HS_DB[Trade Value - USD])</f>
        <v>6.110186869383482E-3</v>
      </c>
      <c r="AB84" s="8" cm="1">
        <f t="array" ref="AB84">SUMPRODUCT(
(HS_DB[Reporter]=HS_DB[[#This Row],[Reporter]])*
(HS_DB[Trade Value - USD]&gt;HS_DB[[#This Row],[Trade Value - USD]])
)+1</f>
        <v>21</v>
      </c>
      <c r="AC84" s="8" t="str">
        <f>IFERROR(IF(INDEX(Heat_Map[Crisis Impact %],MATCH(HS_DB[[#This Row],[Reporter]],Heat_Map[Global],0),1)&gt;0,"Yes","No"),"No")</f>
        <v>No</v>
      </c>
      <c r="AD84" s="6">
        <f>IFERROR(INDEX(Heat_Map[Crisis Impact %],MATCH(HS_DB[[#This Row],[Reporter]],Heat_Map[Global],0),1),0)</f>
        <v>0</v>
      </c>
      <c r="AE84" s="8">
        <f>HS_DB[[#This Row],[Crisis Impact%]]*HS_DB[[#This Row],[Trade Value - USD]]</f>
        <v>0</v>
      </c>
      <c r="AF84" s="8">
        <f>HS_DB[[#This Row],[Crisis Impact%]]*HS_DB[[#This Row],[Net Weight -KG]]</f>
        <v>0</v>
      </c>
      <c r="AG84" s="6">
        <f>SUMIFS(HS_DB[Trade Value - USD],HS_DB[Products],HS_DB[[#This Row],[Products]])/SUM(HS_DB[Trade Value - USD])</f>
        <v>6.5341993246368225E-4</v>
      </c>
      <c r="AH84" s="8">
        <f>_xlfn.RANK.EQ(HS_DB[[#This Row],[Trade Value - USD]], HS_DB[Trade Value - USD], 0)
 + COUNTIFS(HS_DB[Trade Value - USD],HS_DB[[#This Row],[Trade Value - USD]],
            HS_DB[HS Code],"&lt;"&amp;HS_DB[[#This Row],[HS Code]])</f>
        <v>429</v>
      </c>
      <c r="AI84" s="9">
        <f>IFERROR(HS_DB[[#This Row],[Trade Value - USD]]/HS_DB[[#This Row],[Net Weight -KG]],0)</f>
        <v>12.954990215264187</v>
      </c>
      <c r="AJ84" s="17" cm="1">
        <f t="array" ref="AJ84">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84" s="17" t="str">
        <f>IF(HS_DB[[#This Row],[HS Code Risk Score]]&gt;=40,"High",
 IF(HS_DB[[#This Row],[HS Code Risk Score]]&gt;=25,"Medium","Low"))</f>
        <v>Medium</v>
      </c>
      <c r="AL84" s="17" t="str">
        <f>IF(RANK(HS_DB[[#This Row],[HS Code Risk Score]],HS_DB[HS Code Risk Score])&lt;=10,"Yes","No")</f>
        <v>No</v>
      </c>
      <c r="AM84" s="8">
        <f>SUMIFS(HS_DB[Net Weight -KG],HS_DB[HS Code],HS_DB[[#This Row],[HS Code]])</f>
        <v>219375.2</v>
      </c>
      <c r="AN84" s="8">
        <f>SUMIFS(HS_DB[Trade Value - USD],HS_DB[HS Code],HS_DB[[#This Row],[HS Code]])</f>
        <v>1231702</v>
      </c>
      <c r="AO84" s="6">
        <f>_xlfn.MAXIFS(HS_DB[Origin Share%],HS_DB[HS Code],HS_DB[[#This Row],[HS Code]])</f>
        <v>6.321329281187793E-2</v>
      </c>
      <c r="AP84" s="8" cm="1">
        <f t="array" ref="AP84">_xlfn.LET(
_xlpm.hs,HS_DB[[#This Row],[HS Code]],
COUNTA(_xlfn.UNIQUE(_xlfn._xlws.FILTER(HS_DB[Reporter],HS_DB[HS Code]=_xlpm.hs)))
)</f>
        <v>12</v>
      </c>
      <c r="AQ84" s="17" t="str">
        <f>IF(HS_DB[[#This Row],[Origin Count]]=1,"Single Source","Multiple Sources")</f>
        <v>Multiple Sources</v>
      </c>
      <c r="AR84" s="8">
        <f>HS_DB[[#This Row],[Annual Spend - USD]]*(HS_DB[[#This Row],[HS Code Risk Score]]/100)</f>
        <v>418778.68000000005</v>
      </c>
      <c r="AS84" s="8">
        <f>RANK(HS_DB[[#This Row],[Risk Exposure - USD]],HS_DB[Risk Exposure - USD],0)</f>
        <v>507</v>
      </c>
      <c r="AT84" s="8" t="str">
        <f>IF(HS_DB[[#This Row],[Risk Exposure Rank]]&lt;=10,"High",
 IF(HS_DB[[#This Row],[Risk Exposure Rank]]&lt;=30,"Medium",
 "Low"))</f>
        <v>Low</v>
      </c>
      <c r="AU84" s="8" t="str">
        <f>IF(HS_DB[[#This Row],[Risk Exposure Rank]]&lt;=5,"Immediate Action",
 IF(HS_DB[[#This Row],[Risk Exposure Rank]]&lt;=15,"Monitor Closely",
 "Routine Control"))</f>
        <v>Routine Control</v>
      </c>
      <c r="AV84" s="8">
        <f>SUMIFS(HS_DB[Trade Value - USD],HS_DB[HS Code],HS_DB[[#This Row],[HS Code]])</f>
        <v>1231702</v>
      </c>
      <c r="AW84" s="6">
        <f>HS_DB[[#This Row],[Annual Spend - USD]]/HS_DB[[#This Row],[Total Market Size - USD]]</f>
        <v>1</v>
      </c>
      <c r="AX84" s="6" cm="1">
        <f t="array" ref="AX84">COUNTA(_xlfn.UNIQUE(_xlfn._xlws.FILTER(HS_DB[Partner],HS_DB[HS Code]=HS_DB[[#This Row],[HS Code]])))</f>
        <v>1</v>
      </c>
      <c r="AY84" s="8" t="str">
        <f>IF(HS_DB[[#This Row],[Competition Intensity]]&lt;=2,"Highly Concentrated",
 IF(HS_DB[[#This Row],[Competition Intensity]]&lt;=5,"Moderate",
 "Highly Competitive"))</f>
        <v>Highly Concentrated</v>
      </c>
      <c r="AZ84" s="8">
        <f>HS_DB[[#This Row],[Total Market Size - USD]]
*
(1+IFERROR(#REF!,0))
/
HS_DB[[#This Row],[Competition Intensity]]</f>
        <v>1231702</v>
      </c>
      <c r="BA84" s="8" t="str">
        <f>IF(HS_DB[[#This Row],[Commercial Opportunity Score]]&gt;=PERCENTILE(HS_DB[Commercial Opportunity Score],0.9),"High Opportunity",
 IF(HS_DB[[#This Row],[Commercial Opportunity Score]]&gt;=PERCENTILE(HS_DB[Commercial Opportunity Score],0.6),"Medium Opportunity",
 "Routine Market"))</f>
        <v>Routine Market</v>
      </c>
      <c r="BB84" s="3" t="str">
        <f>IF(AND(HS_DB[[#This Row],[Product Rank]]&gt;0,HS_DB[[#This Row],[Product Rank]]&lt;=10),"Yes","No")</f>
        <v>No</v>
      </c>
      <c r="BC84" s="3" t="str">
        <f>IF(AND(HS_DB[[#This Row],[Origin Rank]]&gt;0,HS_DB[[#This Row],[Origin Rank]]&lt;=10),"Yes","No")</f>
        <v>No</v>
      </c>
    </row>
    <row r="85" spans="2:55" x14ac:dyDescent="0.3">
      <c r="B85" s="2">
        <f>HS_DB[[#This Row],[Commodity Code]]</f>
        <v>290719</v>
      </c>
      <c r="C85" s="2">
        <f>IFERROR(INDEX(HS_MD!C:C,MATCH(B85,HS_MD!B:B,0),1),"")</f>
        <v>24</v>
      </c>
      <c r="D85" s="17" t="str">
        <f>IFERROR(INDEX(HS_MD!D:D,MATCH(B85,HS_MD!B:B,0),1),"")</f>
        <v>Other phenols</v>
      </c>
      <c r="E85" s="17" t="str">
        <f>IFERROR(INDEX(HS_MD!E:E,MATCH(B85,HS_MD!B:B,0),1),"")</f>
        <v>BHT / BHA</v>
      </c>
      <c r="F85" s="17" t="str">
        <f>IFERROR(INDEX(HS_MD!F:F,MATCH(B85,HS_MD!B:B,0),1),"")</f>
        <v>Food Ingredients</v>
      </c>
      <c r="G85" s="17" t="str">
        <f>IFERROR(INDEX(HS_MD!G:G,MATCH(B85,HS_MD!B:B,0),1),"")</f>
        <v>Antioxidants</v>
      </c>
      <c r="H85" s="17" t="str">
        <f>IFERROR(INDEX(HS_MD!H:H,MATCH(B85,HS_MD!B:B,0),1),"")</f>
        <v>Synthetic Antioxidants</v>
      </c>
      <c r="I85" s="17" t="str">
        <f>IFERROR(INDEX(HS_MD!I:I,MATCH(B85,HS_MD!B:B,0),1),"")</f>
        <v>Oils / Snacks / Fats</v>
      </c>
      <c r="J85" s="17">
        <f>IFERROR(INDEX(Heat_Map[Index],MATCH(HS_DB[[#This Row],[Reporter]],Heat_Map[Global],0),1),"")</f>
        <v>164</v>
      </c>
      <c r="K85" s="17" t="str">
        <f>IF(AND(HS_DB[[#This Row],[Origin Rank]]&gt;1,HS_DB[[#This Row],[Origin Rank]]&lt;=10),"Yes","No")</f>
        <v>Yes</v>
      </c>
      <c r="L85" s="2">
        <v>2024</v>
      </c>
      <c r="M85" s="2" t="s">
        <v>57</v>
      </c>
      <c r="N85" s="2" t="s">
        <v>32</v>
      </c>
      <c r="O85" s="2" t="s">
        <v>22</v>
      </c>
      <c r="P85" s="2" t="s">
        <v>23</v>
      </c>
      <c r="Q85" s="2" t="s">
        <v>24</v>
      </c>
      <c r="R85" s="2" t="s">
        <v>25</v>
      </c>
      <c r="S85" s="2">
        <v>290719</v>
      </c>
      <c r="T85" s="3">
        <v>164849</v>
      </c>
      <c r="U85" s="3">
        <v>584</v>
      </c>
      <c r="V85" s="3">
        <v>0</v>
      </c>
      <c r="W85" s="3">
        <v>584</v>
      </c>
      <c r="X85" s="3" t="s">
        <v>58</v>
      </c>
      <c r="Y85" s="3">
        <v>584</v>
      </c>
      <c r="Z85" s="2" t="s">
        <v>58</v>
      </c>
      <c r="AA85" s="6">
        <f>SUMIFS(HS_DB[Trade Value - USD],HS_DB[Reporter],HS_DB[[#This Row],[Reporter]])/SUM(HS_DB[Trade Value - USD])</f>
        <v>1.1630298885271862E-3</v>
      </c>
      <c r="AB85" s="8" cm="1">
        <f t="array" ref="AB85">SUMPRODUCT(
(HS_DB[Reporter]=HS_DB[[#This Row],[Reporter]])*
(HS_DB[Trade Value - USD]&gt;HS_DB[[#This Row],[Trade Value - USD]])
)+1</f>
        <v>3</v>
      </c>
      <c r="AC85" s="8" t="str">
        <f>IFERROR(IF(INDEX(Heat_Map[Crisis Impact %],MATCH(HS_DB[[#This Row],[Reporter]],Heat_Map[Global],0),1)&gt;0,"Yes","No"),"No")</f>
        <v>No</v>
      </c>
      <c r="AD85" s="6">
        <f>IFERROR(INDEX(Heat_Map[Crisis Impact %],MATCH(HS_DB[[#This Row],[Reporter]],Heat_Map[Global],0),1),0)</f>
        <v>0</v>
      </c>
      <c r="AE85" s="8">
        <f>HS_DB[[#This Row],[Crisis Impact%]]*HS_DB[[#This Row],[Trade Value - USD]]</f>
        <v>0</v>
      </c>
      <c r="AF85" s="8">
        <f>HS_DB[[#This Row],[Crisis Impact%]]*HS_DB[[#This Row],[Net Weight -KG]]</f>
        <v>0</v>
      </c>
      <c r="AG85" s="6">
        <f>SUMIFS(HS_DB[Trade Value - USD],HS_DB[Products],HS_DB[[#This Row],[Products]])/SUM(HS_DB[Trade Value - USD])</f>
        <v>6.5341993246368225E-4</v>
      </c>
      <c r="AH85" s="8">
        <f>_xlfn.RANK.EQ(HS_DB[[#This Row],[Trade Value - USD]], HS_DB[Trade Value - USD], 0)
 + COUNTIFS(HS_DB[Trade Value - USD],HS_DB[[#This Row],[Trade Value - USD]],
            HS_DB[HS Code],"&lt;"&amp;HS_DB[[#This Row],[HS Code]])</f>
        <v>235</v>
      </c>
      <c r="AI85" s="9">
        <f>IFERROR(HS_DB[[#This Row],[Trade Value - USD]]/HS_DB[[#This Row],[Net Weight -KG]],0)</f>
        <v>282.27568493150687</v>
      </c>
      <c r="AJ85" s="17" cm="1">
        <f t="array" ref="AJ85">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85" s="17" t="str">
        <f>IF(HS_DB[[#This Row],[HS Code Risk Score]]&gt;=40,"High",
 IF(HS_DB[[#This Row],[HS Code Risk Score]]&gt;=25,"Medium","Low"))</f>
        <v>Medium</v>
      </c>
      <c r="AL85" s="17" t="str">
        <f>IF(RANK(HS_DB[[#This Row],[HS Code Risk Score]],HS_DB[HS Code Risk Score])&lt;=10,"Yes","No")</f>
        <v>No</v>
      </c>
      <c r="AM85" s="8">
        <f>SUMIFS(HS_DB[Net Weight -KG],HS_DB[HS Code],HS_DB[[#This Row],[HS Code]])</f>
        <v>219375.2</v>
      </c>
      <c r="AN85" s="8">
        <f>SUMIFS(HS_DB[Trade Value - USD],HS_DB[HS Code],HS_DB[[#This Row],[HS Code]])</f>
        <v>1231702</v>
      </c>
      <c r="AO85" s="6">
        <f>_xlfn.MAXIFS(HS_DB[Origin Share%],HS_DB[HS Code],HS_DB[[#This Row],[HS Code]])</f>
        <v>6.321329281187793E-2</v>
      </c>
      <c r="AP85" s="8" cm="1">
        <f t="array" ref="AP85">_xlfn.LET(
_xlpm.hs,HS_DB[[#This Row],[HS Code]],
COUNTA(_xlfn.UNIQUE(_xlfn._xlws.FILTER(HS_DB[Reporter],HS_DB[HS Code]=_xlpm.hs)))
)</f>
        <v>12</v>
      </c>
      <c r="AQ85" s="17" t="str">
        <f>IF(HS_DB[[#This Row],[Origin Count]]=1,"Single Source","Multiple Sources")</f>
        <v>Multiple Sources</v>
      </c>
      <c r="AR85" s="8">
        <f>HS_DB[[#This Row],[Annual Spend - USD]]*(HS_DB[[#This Row],[HS Code Risk Score]]/100)</f>
        <v>418778.68000000005</v>
      </c>
      <c r="AS85" s="8">
        <f>RANK(HS_DB[[#This Row],[Risk Exposure - USD]],HS_DB[Risk Exposure - USD],0)</f>
        <v>507</v>
      </c>
      <c r="AT85" s="8" t="str">
        <f>IF(HS_DB[[#This Row],[Risk Exposure Rank]]&lt;=10,"High",
 IF(HS_DB[[#This Row],[Risk Exposure Rank]]&lt;=30,"Medium",
 "Low"))</f>
        <v>Low</v>
      </c>
      <c r="AU85" s="8" t="str">
        <f>IF(HS_DB[[#This Row],[Risk Exposure Rank]]&lt;=5,"Immediate Action",
 IF(HS_DB[[#This Row],[Risk Exposure Rank]]&lt;=15,"Monitor Closely",
 "Routine Control"))</f>
        <v>Routine Control</v>
      </c>
      <c r="AV85" s="8">
        <f>SUMIFS(HS_DB[Trade Value - USD],HS_DB[HS Code],HS_DB[[#This Row],[HS Code]])</f>
        <v>1231702</v>
      </c>
      <c r="AW85" s="6">
        <f>HS_DB[[#This Row],[Annual Spend - USD]]/HS_DB[[#This Row],[Total Market Size - USD]]</f>
        <v>1</v>
      </c>
      <c r="AX85" s="6" cm="1">
        <f t="array" ref="AX85">COUNTA(_xlfn.UNIQUE(_xlfn._xlws.FILTER(HS_DB[Partner],HS_DB[HS Code]=HS_DB[[#This Row],[HS Code]])))</f>
        <v>1</v>
      </c>
      <c r="AY85" s="8" t="str">
        <f>IF(HS_DB[[#This Row],[Competition Intensity]]&lt;=2,"Highly Concentrated",
 IF(HS_DB[[#This Row],[Competition Intensity]]&lt;=5,"Moderate",
 "Highly Competitive"))</f>
        <v>Highly Concentrated</v>
      </c>
      <c r="AZ85" s="8">
        <f>HS_DB[[#This Row],[Total Market Size - USD]]
*
(1+IFERROR(#REF!,0))
/
HS_DB[[#This Row],[Competition Intensity]]</f>
        <v>1231702</v>
      </c>
      <c r="BA85" s="8" t="str">
        <f>IF(HS_DB[[#This Row],[Commercial Opportunity Score]]&gt;=PERCENTILE(HS_DB[Commercial Opportunity Score],0.9),"High Opportunity",
 IF(HS_DB[[#This Row],[Commercial Opportunity Score]]&gt;=PERCENTILE(HS_DB[Commercial Opportunity Score],0.6),"Medium Opportunity",
 "Routine Market"))</f>
        <v>Routine Market</v>
      </c>
      <c r="BB85" s="3" t="str">
        <f>IF(AND(HS_DB[[#This Row],[Product Rank]]&gt;0,HS_DB[[#This Row],[Product Rank]]&lt;=10),"Yes","No")</f>
        <v>No</v>
      </c>
      <c r="BC85" s="3" t="str">
        <f>IF(AND(HS_DB[[#This Row],[Origin Rank]]&gt;0,HS_DB[[#This Row],[Origin Rank]]&lt;=10),"Yes","No")</f>
        <v>Yes</v>
      </c>
    </row>
    <row r="86" spans="2:55" x14ac:dyDescent="0.3">
      <c r="B86" s="2">
        <f>HS_DB[[#This Row],[Commodity Code]]</f>
        <v>290719</v>
      </c>
      <c r="C86" s="2">
        <f>IFERROR(INDEX(HS_MD!C:C,MATCH(B86,HS_MD!B:B,0),1),"")</f>
        <v>24</v>
      </c>
      <c r="D86" s="17" t="str">
        <f>IFERROR(INDEX(HS_MD!D:D,MATCH(B86,HS_MD!B:B,0),1),"")</f>
        <v>Other phenols</v>
      </c>
      <c r="E86" s="17" t="str">
        <f>IFERROR(INDEX(HS_MD!E:E,MATCH(B86,HS_MD!B:B,0),1),"")</f>
        <v>BHT / BHA</v>
      </c>
      <c r="F86" s="17" t="str">
        <f>IFERROR(INDEX(HS_MD!F:F,MATCH(B86,HS_MD!B:B,0),1),"")</f>
        <v>Food Ingredients</v>
      </c>
      <c r="G86" s="17" t="str">
        <f>IFERROR(INDEX(HS_MD!G:G,MATCH(B86,HS_MD!B:B,0),1),"")</f>
        <v>Antioxidants</v>
      </c>
      <c r="H86" s="17" t="str">
        <f>IFERROR(INDEX(HS_MD!H:H,MATCH(B86,HS_MD!B:B,0),1),"")</f>
        <v>Synthetic Antioxidants</v>
      </c>
      <c r="I86" s="17" t="str">
        <f>IFERROR(INDEX(HS_MD!I:I,MATCH(B86,HS_MD!B:B,0),1),"")</f>
        <v>Oils / Snacks / Fats</v>
      </c>
      <c r="J86" s="17">
        <f>IFERROR(INDEX(Heat_Map[Index],MATCH(HS_DB[[#This Row],[Reporter]],Heat_Map[Global],0),1),"")</f>
        <v>175</v>
      </c>
      <c r="K86" s="17" t="str">
        <f>IF(AND(HS_DB[[#This Row],[Origin Rank]]&gt;1,HS_DB[[#This Row],[Origin Rank]]&lt;=10),"Yes","No")</f>
        <v>No</v>
      </c>
      <c r="L86" s="2">
        <v>2024</v>
      </c>
      <c r="M86" s="2" t="s">
        <v>57</v>
      </c>
      <c r="N86" s="2" t="s">
        <v>34</v>
      </c>
      <c r="O86" s="2" t="s">
        <v>22</v>
      </c>
      <c r="P86" s="2" t="s">
        <v>23</v>
      </c>
      <c r="Q86" s="2" t="s">
        <v>24</v>
      </c>
      <c r="R86" s="2" t="s">
        <v>25</v>
      </c>
      <c r="S86" s="2">
        <v>290719</v>
      </c>
      <c r="T86" s="3">
        <v>88591</v>
      </c>
      <c r="U86" s="3">
        <v>18400</v>
      </c>
      <c r="V86" s="3">
        <v>0</v>
      </c>
      <c r="W86" s="3">
        <v>18400</v>
      </c>
      <c r="X86" s="3" t="s">
        <v>58</v>
      </c>
      <c r="Y86" s="3">
        <v>18400</v>
      </c>
      <c r="Z86" s="2" t="s">
        <v>58</v>
      </c>
      <c r="AA86" s="6">
        <f>SUMIFS(HS_DB[Trade Value - USD],HS_DB[Reporter],HS_DB[[#This Row],[Reporter]])/SUM(HS_DB[Trade Value - USD])</f>
        <v>4.7522902002533667E-2</v>
      </c>
      <c r="AB86" s="8" cm="1">
        <f t="array" ref="AB86">SUMPRODUCT(
(HS_DB[Reporter]=HS_DB[[#This Row],[Reporter]])*
(HS_DB[Trade Value - USD]&gt;HS_DB[[#This Row],[Trade Value - USD]])
)+1</f>
        <v>26</v>
      </c>
      <c r="AC86" s="8" t="str">
        <f>IFERROR(IF(INDEX(Heat_Map[Crisis Impact %],MATCH(HS_DB[[#This Row],[Reporter]],Heat_Map[Global],0),1)&gt;0,"Yes","No"),"No")</f>
        <v>Yes</v>
      </c>
      <c r="AD86" s="6">
        <f>IFERROR(INDEX(Heat_Map[Crisis Impact %],MATCH(HS_DB[[#This Row],[Reporter]],Heat_Map[Global],0),1),0)</f>
        <v>0.1</v>
      </c>
      <c r="AE86" s="8">
        <f>HS_DB[[#This Row],[Crisis Impact%]]*HS_DB[[#This Row],[Trade Value - USD]]</f>
        <v>8859.1</v>
      </c>
      <c r="AF86" s="8">
        <f>HS_DB[[#This Row],[Crisis Impact%]]*HS_DB[[#This Row],[Net Weight -KG]]</f>
        <v>1840</v>
      </c>
      <c r="AG86" s="6">
        <f>SUMIFS(HS_DB[Trade Value - USD],HS_DB[Products],HS_DB[[#This Row],[Products]])/SUM(HS_DB[Trade Value - USD])</f>
        <v>6.5341993246368225E-4</v>
      </c>
      <c r="AH86" s="8">
        <f>_xlfn.RANK.EQ(HS_DB[[#This Row],[Trade Value - USD]], HS_DB[Trade Value - USD], 0)
 + COUNTIFS(HS_DB[Trade Value - USD],HS_DB[[#This Row],[Trade Value - USD]],
            HS_DB[HS Code],"&lt;"&amp;HS_DB[[#This Row],[HS Code]])</f>
        <v>283</v>
      </c>
      <c r="AI86" s="9">
        <f>IFERROR(HS_DB[[#This Row],[Trade Value - USD]]/HS_DB[[#This Row],[Net Weight -KG]],0)</f>
        <v>4.8147282608695656</v>
      </c>
      <c r="AJ86" s="17" cm="1">
        <f t="array" ref="AJ86">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86" s="17" t="str">
        <f>IF(HS_DB[[#This Row],[HS Code Risk Score]]&gt;=40,"High",
 IF(HS_DB[[#This Row],[HS Code Risk Score]]&gt;=25,"Medium","Low"))</f>
        <v>Medium</v>
      </c>
      <c r="AL86" s="17" t="str">
        <f>IF(RANK(HS_DB[[#This Row],[HS Code Risk Score]],HS_DB[HS Code Risk Score])&lt;=10,"Yes","No")</f>
        <v>No</v>
      </c>
      <c r="AM86" s="8">
        <f>SUMIFS(HS_DB[Net Weight -KG],HS_DB[HS Code],HS_DB[[#This Row],[HS Code]])</f>
        <v>219375.2</v>
      </c>
      <c r="AN86" s="8">
        <f>SUMIFS(HS_DB[Trade Value - USD],HS_DB[HS Code],HS_DB[[#This Row],[HS Code]])</f>
        <v>1231702</v>
      </c>
      <c r="AO86" s="6">
        <f>_xlfn.MAXIFS(HS_DB[Origin Share%],HS_DB[HS Code],HS_DB[[#This Row],[HS Code]])</f>
        <v>6.321329281187793E-2</v>
      </c>
      <c r="AP86" s="8" cm="1">
        <f t="array" ref="AP86">_xlfn.LET(
_xlpm.hs,HS_DB[[#This Row],[HS Code]],
COUNTA(_xlfn.UNIQUE(_xlfn._xlws.FILTER(HS_DB[Reporter],HS_DB[HS Code]=_xlpm.hs)))
)</f>
        <v>12</v>
      </c>
      <c r="AQ86" s="17" t="str">
        <f>IF(HS_DB[[#This Row],[Origin Count]]=1,"Single Source","Multiple Sources")</f>
        <v>Multiple Sources</v>
      </c>
      <c r="AR86" s="8">
        <f>HS_DB[[#This Row],[Annual Spend - USD]]*(HS_DB[[#This Row],[HS Code Risk Score]]/100)</f>
        <v>418778.68000000005</v>
      </c>
      <c r="AS86" s="8">
        <f>RANK(HS_DB[[#This Row],[Risk Exposure - USD]],HS_DB[Risk Exposure - USD],0)</f>
        <v>507</v>
      </c>
      <c r="AT86" s="8" t="str">
        <f>IF(HS_DB[[#This Row],[Risk Exposure Rank]]&lt;=10,"High",
 IF(HS_DB[[#This Row],[Risk Exposure Rank]]&lt;=30,"Medium",
 "Low"))</f>
        <v>Low</v>
      </c>
      <c r="AU86" s="8" t="str">
        <f>IF(HS_DB[[#This Row],[Risk Exposure Rank]]&lt;=5,"Immediate Action",
 IF(HS_DB[[#This Row],[Risk Exposure Rank]]&lt;=15,"Monitor Closely",
 "Routine Control"))</f>
        <v>Routine Control</v>
      </c>
      <c r="AV86" s="8">
        <f>SUMIFS(HS_DB[Trade Value - USD],HS_DB[HS Code],HS_DB[[#This Row],[HS Code]])</f>
        <v>1231702</v>
      </c>
      <c r="AW86" s="6">
        <f>HS_DB[[#This Row],[Annual Spend - USD]]/HS_DB[[#This Row],[Total Market Size - USD]]</f>
        <v>1</v>
      </c>
      <c r="AX86" s="6" cm="1">
        <f t="array" ref="AX86">COUNTA(_xlfn.UNIQUE(_xlfn._xlws.FILTER(HS_DB[Partner],HS_DB[HS Code]=HS_DB[[#This Row],[HS Code]])))</f>
        <v>1</v>
      </c>
      <c r="AY86" s="8" t="str">
        <f>IF(HS_DB[[#This Row],[Competition Intensity]]&lt;=2,"Highly Concentrated",
 IF(HS_DB[[#This Row],[Competition Intensity]]&lt;=5,"Moderate",
 "Highly Competitive"))</f>
        <v>Highly Concentrated</v>
      </c>
      <c r="AZ86" s="8">
        <f>HS_DB[[#This Row],[Total Market Size - USD]]
*
(1+IFERROR(#REF!,0))
/
HS_DB[[#This Row],[Competition Intensity]]</f>
        <v>1231702</v>
      </c>
      <c r="BA86" s="8" t="str">
        <f>IF(HS_DB[[#This Row],[Commercial Opportunity Score]]&gt;=PERCENTILE(HS_DB[Commercial Opportunity Score],0.9),"High Opportunity",
 IF(HS_DB[[#This Row],[Commercial Opportunity Score]]&gt;=PERCENTILE(HS_DB[Commercial Opportunity Score],0.6),"Medium Opportunity",
 "Routine Market"))</f>
        <v>Routine Market</v>
      </c>
      <c r="BB86" s="3" t="str">
        <f>IF(AND(HS_DB[[#This Row],[Product Rank]]&gt;0,HS_DB[[#This Row],[Product Rank]]&lt;=10),"Yes","No")</f>
        <v>No</v>
      </c>
      <c r="BC86" s="3" t="str">
        <f>IF(AND(HS_DB[[#This Row],[Origin Rank]]&gt;0,HS_DB[[#This Row],[Origin Rank]]&lt;=10),"Yes","No")</f>
        <v>No</v>
      </c>
    </row>
    <row r="87" spans="2:55" x14ac:dyDescent="0.3">
      <c r="B87" s="2">
        <f>HS_DB[[#This Row],[Commodity Code]]</f>
        <v>290719</v>
      </c>
      <c r="C87" s="2">
        <f>IFERROR(INDEX(HS_MD!C:C,MATCH(B87,HS_MD!B:B,0),1),"")</f>
        <v>24</v>
      </c>
      <c r="D87" s="17" t="str">
        <f>IFERROR(INDEX(HS_MD!D:D,MATCH(B87,HS_MD!B:B,0),1),"")</f>
        <v>Other phenols</v>
      </c>
      <c r="E87" s="17" t="str">
        <f>IFERROR(INDEX(HS_MD!E:E,MATCH(B87,HS_MD!B:B,0),1),"")</f>
        <v>BHT / BHA</v>
      </c>
      <c r="F87" s="17" t="str">
        <f>IFERROR(INDEX(HS_MD!F:F,MATCH(B87,HS_MD!B:B,0),1),"")</f>
        <v>Food Ingredients</v>
      </c>
      <c r="G87" s="17" t="str">
        <f>IFERROR(INDEX(HS_MD!G:G,MATCH(B87,HS_MD!B:B,0),1),"")</f>
        <v>Antioxidants</v>
      </c>
      <c r="H87" s="17" t="str">
        <f>IFERROR(INDEX(HS_MD!H:H,MATCH(B87,HS_MD!B:B,0),1),"")</f>
        <v>Synthetic Antioxidants</v>
      </c>
      <c r="I87" s="17" t="str">
        <f>IFERROR(INDEX(HS_MD!I:I,MATCH(B87,HS_MD!B:B,0),1),"")</f>
        <v>Oils / Snacks / Fats</v>
      </c>
      <c r="J87" s="17">
        <f>IFERROR(INDEX(Heat_Map[Index],MATCH(HS_DB[[#This Row],[Reporter]],Heat_Map[Global],0),1),"")</f>
        <v>182</v>
      </c>
      <c r="K87" s="17" t="str">
        <f>IF(AND(HS_DB[[#This Row],[Origin Rank]]&gt;1,HS_DB[[#This Row],[Origin Rank]]&lt;=10),"Yes","No")</f>
        <v>No</v>
      </c>
      <c r="L87" s="2">
        <v>2024</v>
      </c>
      <c r="M87" s="2" t="s">
        <v>57</v>
      </c>
      <c r="N87" s="2" t="s">
        <v>56</v>
      </c>
      <c r="O87" s="2" t="s">
        <v>22</v>
      </c>
      <c r="P87" s="2" t="s">
        <v>23</v>
      </c>
      <c r="Q87" s="2" t="s">
        <v>24</v>
      </c>
      <c r="R87" s="2" t="s">
        <v>25</v>
      </c>
      <c r="S87" s="2">
        <v>290719</v>
      </c>
      <c r="T87" s="3">
        <v>29903</v>
      </c>
      <c r="U87" s="3">
        <v>2025</v>
      </c>
      <c r="V87" s="3">
        <v>0</v>
      </c>
      <c r="W87" s="3">
        <v>2025</v>
      </c>
      <c r="X87" s="3" t="s">
        <v>58</v>
      </c>
      <c r="Y87" s="3">
        <v>2025</v>
      </c>
      <c r="Z87" s="2" t="s">
        <v>58</v>
      </c>
      <c r="AA87" s="6">
        <f>SUMIFS(HS_DB[Trade Value - USD],HS_DB[Reporter],HS_DB[[#This Row],[Reporter]])/SUM(HS_DB[Trade Value - USD])</f>
        <v>9.425427433633813E-3</v>
      </c>
      <c r="AB87" s="8" cm="1">
        <f t="array" ref="AB87">SUMPRODUCT(
(HS_DB[Reporter]=HS_DB[[#This Row],[Reporter]])*
(HS_DB[Trade Value - USD]&gt;HS_DB[[#This Row],[Trade Value - USD]])
)+1</f>
        <v>19</v>
      </c>
      <c r="AC87" s="8" t="str">
        <f>IFERROR(IF(INDEX(Heat_Map[Crisis Impact %],MATCH(HS_DB[[#This Row],[Reporter]],Heat_Map[Global],0),1)&gt;0,"Yes","No"),"No")</f>
        <v>Yes</v>
      </c>
      <c r="AD87" s="6">
        <f>IFERROR(INDEX(Heat_Map[Crisis Impact %],MATCH(HS_DB[[#This Row],[Reporter]],Heat_Map[Global],0),1),0)</f>
        <v>4.0000000000000008E-2</v>
      </c>
      <c r="AE87" s="8">
        <f>HS_DB[[#This Row],[Crisis Impact%]]*HS_DB[[#This Row],[Trade Value - USD]]</f>
        <v>1196.1200000000003</v>
      </c>
      <c r="AF87" s="8">
        <f>HS_DB[[#This Row],[Crisis Impact%]]*HS_DB[[#This Row],[Net Weight -KG]]</f>
        <v>81.000000000000014</v>
      </c>
      <c r="AG87" s="6">
        <f>SUMIFS(HS_DB[Trade Value - USD],HS_DB[Products],HS_DB[[#This Row],[Products]])/SUM(HS_DB[Trade Value - USD])</f>
        <v>6.5341993246368225E-4</v>
      </c>
      <c r="AH87" s="8">
        <f>_xlfn.RANK.EQ(HS_DB[[#This Row],[Trade Value - USD]], HS_DB[Trade Value - USD], 0)
 + COUNTIFS(HS_DB[Trade Value - USD],HS_DB[[#This Row],[Trade Value - USD]],
            HS_DB[HS Code],"&lt;"&amp;HS_DB[[#This Row],[HS Code]])</f>
        <v>356</v>
      </c>
      <c r="AI87" s="9">
        <f>IFERROR(HS_DB[[#This Row],[Trade Value - USD]]/HS_DB[[#This Row],[Net Weight -KG]],0)</f>
        <v>14.766913580246914</v>
      </c>
      <c r="AJ87" s="17" cm="1">
        <f t="array" ref="AJ87">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87" s="17" t="str">
        <f>IF(HS_DB[[#This Row],[HS Code Risk Score]]&gt;=40,"High",
 IF(HS_DB[[#This Row],[HS Code Risk Score]]&gt;=25,"Medium","Low"))</f>
        <v>Medium</v>
      </c>
      <c r="AL87" s="17" t="str">
        <f>IF(RANK(HS_DB[[#This Row],[HS Code Risk Score]],HS_DB[HS Code Risk Score])&lt;=10,"Yes","No")</f>
        <v>No</v>
      </c>
      <c r="AM87" s="8">
        <f>SUMIFS(HS_DB[Net Weight -KG],HS_DB[HS Code],HS_DB[[#This Row],[HS Code]])</f>
        <v>219375.2</v>
      </c>
      <c r="AN87" s="8">
        <f>SUMIFS(HS_DB[Trade Value - USD],HS_DB[HS Code],HS_DB[[#This Row],[HS Code]])</f>
        <v>1231702</v>
      </c>
      <c r="AO87" s="6">
        <f>_xlfn.MAXIFS(HS_DB[Origin Share%],HS_DB[HS Code],HS_DB[[#This Row],[HS Code]])</f>
        <v>6.321329281187793E-2</v>
      </c>
      <c r="AP87" s="8" cm="1">
        <f t="array" ref="AP87">_xlfn.LET(
_xlpm.hs,HS_DB[[#This Row],[HS Code]],
COUNTA(_xlfn.UNIQUE(_xlfn._xlws.FILTER(HS_DB[Reporter],HS_DB[HS Code]=_xlpm.hs)))
)</f>
        <v>12</v>
      </c>
      <c r="AQ87" s="17" t="str">
        <f>IF(HS_DB[[#This Row],[Origin Count]]=1,"Single Source","Multiple Sources")</f>
        <v>Multiple Sources</v>
      </c>
      <c r="AR87" s="8">
        <f>HS_DB[[#This Row],[Annual Spend - USD]]*(HS_DB[[#This Row],[HS Code Risk Score]]/100)</f>
        <v>418778.68000000005</v>
      </c>
      <c r="AS87" s="8">
        <f>RANK(HS_DB[[#This Row],[Risk Exposure - USD]],HS_DB[Risk Exposure - USD],0)</f>
        <v>507</v>
      </c>
      <c r="AT87" s="8" t="str">
        <f>IF(HS_DB[[#This Row],[Risk Exposure Rank]]&lt;=10,"High",
 IF(HS_DB[[#This Row],[Risk Exposure Rank]]&lt;=30,"Medium",
 "Low"))</f>
        <v>Low</v>
      </c>
      <c r="AU87" s="8" t="str">
        <f>IF(HS_DB[[#This Row],[Risk Exposure Rank]]&lt;=5,"Immediate Action",
 IF(HS_DB[[#This Row],[Risk Exposure Rank]]&lt;=15,"Monitor Closely",
 "Routine Control"))</f>
        <v>Routine Control</v>
      </c>
      <c r="AV87" s="8">
        <f>SUMIFS(HS_DB[Trade Value - USD],HS_DB[HS Code],HS_DB[[#This Row],[HS Code]])</f>
        <v>1231702</v>
      </c>
      <c r="AW87" s="6">
        <f>HS_DB[[#This Row],[Annual Spend - USD]]/HS_DB[[#This Row],[Total Market Size - USD]]</f>
        <v>1</v>
      </c>
      <c r="AX87" s="6" cm="1">
        <f t="array" ref="AX87">COUNTA(_xlfn.UNIQUE(_xlfn._xlws.FILTER(HS_DB[Partner],HS_DB[HS Code]=HS_DB[[#This Row],[HS Code]])))</f>
        <v>1</v>
      </c>
      <c r="AY87" s="8" t="str">
        <f>IF(HS_DB[[#This Row],[Competition Intensity]]&lt;=2,"Highly Concentrated",
 IF(HS_DB[[#This Row],[Competition Intensity]]&lt;=5,"Moderate",
 "Highly Competitive"))</f>
        <v>Highly Concentrated</v>
      </c>
      <c r="AZ87" s="8">
        <f>HS_DB[[#This Row],[Total Market Size - USD]]
*
(1+IFERROR(#REF!,0))
/
HS_DB[[#This Row],[Competition Intensity]]</f>
        <v>1231702</v>
      </c>
      <c r="BA87" s="8" t="str">
        <f>IF(HS_DB[[#This Row],[Commercial Opportunity Score]]&gt;=PERCENTILE(HS_DB[Commercial Opportunity Score],0.9),"High Opportunity",
 IF(HS_DB[[#This Row],[Commercial Opportunity Score]]&gt;=PERCENTILE(HS_DB[Commercial Opportunity Score],0.6),"Medium Opportunity",
 "Routine Market"))</f>
        <v>Routine Market</v>
      </c>
      <c r="BB87" s="3" t="str">
        <f>IF(AND(HS_DB[[#This Row],[Product Rank]]&gt;0,HS_DB[[#This Row],[Product Rank]]&lt;=10),"Yes","No")</f>
        <v>No</v>
      </c>
      <c r="BC87" s="3" t="str">
        <f>IF(AND(HS_DB[[#This Row],[Origin Rank]]&gt;0,HS_DB[[#This Row],[Origin Rank]]&lt;=10),"Yes","No")</f>
        <v>No</v>
      </c>
    </row>
    <row r="88" spans="2:55" x14ac:dyDescent="0.3">
      <c r="B88" s="2">
        <f>HS_DB[[#This Row],[Commodity Code]]</f>
        <v>291631</v>
      </c>
      <c r="C88" s="2">
        <f>IFERROR(INDEX(HS_MD!C:C,MATCH(B88,HS_MD!B:B,0),1),"")</f>
        <v>11</v>
      </c>
      <c r="D88" s="17" t="str">
        <f>IFERROR(INDEX(HS_MD!D:D,MATCH(B88,HS_MD!B:B,0),1),"")</f>
        <v>Benzoic acid and salts</v>
      </c>
      <c r="E88" s="17" t="str">
        <f>IFERROR(INDEX(HS_MD!E:E,MATCH(B88,HS_MD!B:B,0),1),"")</f>
        <v>Sodium Benzoate</v>
      </c>
      <c r="F88" s="17" t="str">
        <f>IFERROR(INDEX(HS_MD!F:F,MATCH(B88,HS_MD!B:B,0),1),"")</f>
        <v>PRESERVATIVES</v>
      </c>
      <c r="G88" s="17" t="str">
        <f>IFERROR(INDEX(HS_MD!G:G,MATCH(B88,HS_MD!B:B,0),1),"")</f>
        <v>Organic Preservatives</v>
      </c>
      <c r="H88" s="17" t="str">
        <f>IFERROR(INDEX(HS_MD!H:H,MATCH(B88,HS_MD!B:B,0),1),"")</f>
        <v>Sodium Benzoate</v>
      </c>
      <c r="I88" s="17" t="str">
        <f>IFERROR(INDEX(HS_MD!I:I,MATCH(B88,HS_MD!B:B,0),1),"")</f>
        <v>Beverages / Sauces</v>
      </c>
      <c r="J88" s="17">
        <f>IFERROR(INDEX(Heat_Map[Index],MATCH(HS_DB[[#This Row],[Reporter]],Heat_Map[Global],0),1),"")</f>
        <v>36</v>
      </c>
      <c r="K88" s="17" t="str">
        <f>IF(AND(HS_DB[[#This Row],[Origin Rank]]&gt;1,HS_DB[[#This Row],[Origin Rank]]&lt;=10),"Yes","No")</f>
        <v>No</v>
      </c>
      <c r="L88" s="2">
        <v>2024</v>
      </c>
      <c r="M88" s="2" t="s">
        <v>57</v>
      </c>
      <c r="N88" s="2" t="s">
        <v>1</v>
      </c>
      <c r="O88" s="2" t="s">
        <v>22</v>
      </c>
      <c r="P88" s="2" t="s">
        <v>23</v>
      </c>
      <c r="Q88" s="2" t="s">
        <v>24</v>
      </c>
      <c r="R88" s="2" t="s">
        <v>25</v>
      </c>
      <c r="S88" s="2">
        <v>291631</v>
      </c>
      <c r="T88" s="3">
        <v>2196771</v>
      </c>
      <c r="U88" s="3">
        <v>2152975</v>
      </c>
      <c r="V88" s="3">
        <v>0</v>
      </c>
      <c r="W88" s="3">
        <v>2152975</v>
      </c>
      <c r="X88" s="3" t="s">
        <v>58</v>
      </c>
      <c r="Y88" s="3">
        <v>2152975</v>
      </c>
      <c r="Z88" s="2" t="s">
        <v>58</v>
      </c>
      <c r="AA88" s="6">
        <f>SUMIFS(HS_DB[Trade Value - USD],HS_DB[Reporter],HS_DB[[#This Row],[Reporter]])/SUM(HS_DB[Trade Value - USD])</f>
        <v>6.321329281187793E-2</v>
      </c>
      <c r="AB88" s="8" cm="1">
        <f t="array" ref="AB88">SUMPRODUCT(
(HS_DB[Reporter]=HS_DB[[#This Row],[Reporter]])*
(HS_DB[Trade Value - USD]&gt;HS_DB[[#This Row],[Trade Value - USD]])
)+1</f>
        <v>14</v>
      </c>
      <c r="AC88" s="8" t="str">
        <f>IFERROR(IF(INDEX(Heat_Map[Crisis Impact %],MATCH(HS_DB[[#This Row],[Reporter]],Heat_Map[Global],0),1)&gt;0,"Yes","No"),"No")</f>
        <v>Yes</v>
      </c>
      <c r="AD88" s="6">
        <f>IFERROR(INDEX(Heat_Map[Crisis Impact %],MATCH(HS_DB[[#This Row],[Reporter]],Heat_Map[Global],0),1),0)</f>
        <v>0.14000000000000001</v>
      </c>
      <c r="AE88" s="8">
        <f>HS_DB[[#This Row],[Crisis Impact%]]*HS_DB[[#This Row],[Trade Value - USD]]</f>
        <v>307547.94</v>
      </c>
      <c r="AF88" s="8">
        <f>HS_DB[[#This Row],[Crisis Impact%]]*HS_DB[[#This Row],[Net Weight -KG]]</f>
        <v>301416.5</v>
      </c>
      <c r="AG88" s="6">
        <f>SUMIFS(HS_DB[Trade Value - USD],HS_DB[Products],HS_DB[[#This Row],[Products]])/SUM(HS_DB[Trade Value - USD])</f>
        <v>3.8638694465253989E-3</v>
      </c>
      <c r="AH88" s="8">
        <f>_xlfn.RANK.EQ(HS_DB[[#This Row],[Trade Value - USD]], HS_DB[Trade Value - USD], 0)
 + COUNTIFS(HS_DB[Trade Value - USD],HS_DB[[#This Row],[Trade Value - USD]],
            HS_DB[HS Code],"&lt;"&amp;HS_DB[[#This Row],[HS Code]])</f>
        <v>60</v>
      </c>
      <c r="AI88" s="9">
        <f>IFERROR(HS_DB[[#This Row],[Trade Value - USD]]/HS_DB[[#This Row],[Net Weight -KG]],0)</f>
        <v>1.0203420847896516</v>
      </c>
      <c r="AJ88" s="17" cm="1">
        <f t="array" ref="AJ88">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88" s="17" t="str">
        <f>IF(HS_DB[[#This Row],[HS Code Risk Score]]&gt;=40,"High",
 IF(HS_DB[[#This Row],[HS Code Risk Score]]&gt;=25,"Medium","Low"))</f>
        <v>Medium</v>
      </c>
      <c r="AL88" s="17" t="str">
        <f>IF(RANK(HS_DB[[#This Row],[HS Code Risk Score]],HS_DB[HS Code Risk Score])&lt;=10,"Yes","No")</f>
        <v>No</v>
      </c>
      <c r="AM88" s="8">
        <f>SUMIFS(HS_DB[Net Weight -KG],HS_DB[HS Code],HS_DB[[#This Row],[HS Code]])</f>
        <v>3013305.6999999997</v>
      </c>
      <c r="AN88" s="8">
        <f>SUMIFS(HS_DB[Trade Value - USD],HS_DB[HS Code],HS_DB[[#This Row],[HS Code]])</f>
        <v>7283426</v>
      </c>
      <c r="AO88" s="6">
        <f>_xlfn.MAXIFS(HS_DB[Origin Share%],HS_DB[HS Code],HS_DB[[#This Row],[HS Code]])</f>
        <v>6.321329281187793E-2</v>
      </c>
      <c r="AP88" s="8" cm="1">
        <f t="array" ref="AP88">_xlfn.LET(
_xlpm.hs,HS_DB[[#This Row],[HS Code]],
COUNTA(_xlfn.UNIQUE(_xlfn._xlws.FILTER(HS_DB[Reporter],HS_DB[HS Code]=_xlpm.hs)))
)</f>
        <v>14</v>
      </c>
      <c r="AQ88" s="17" t="str">
        <f>IF(HS_DB[[#This Row],[Origin Count]]=1,"Single Source","Multiple Sources")</f>
        <v>Multiple Sources</v>
      </c>
      <c r="AR88" s="8">
        <f>HS_DB[[#This Row],[Annual Spend - USD]]*(HS_DB[[#This Row],[HS Code Risk Score]]/100)</f>
        <v>2476364.8400000003</v>
      </c>
      <c r="AS88" s="8">
        <f>RANK(HS_DB[[#This Row],[Risk Exposure - USD]],HS_DB[Risk Exposure - USD],0)</f>
        <v>355</v>
      </c>
      <c r="AT88" s="8" t="str">
        <f>IF(HS_DB[[#This Row],[Risk Exposure Rank]]&lt;=10,"High",
 IF(HS_DB[[#This Row],[Risk Exposure Rank]]&lt;=30,"Medium",
 "Low"))</f>
        <v>Low</v>
      </c>
      <c r="AU88" s="8" t="str">
        <f>IF(HS_DB[[#This Row],[Risk Exposure Rank]]&lt;=5,"Immediate Action",
 IF(HS_DB[[#This Row],[Risk Exposure Rank]]&lt;=15,"Monitor Closely",
 "Routine Control"))</f>
        <v>Routine Control</v>
      </c>
      <c r="AV88" s="8">
        <f>SUMIFS(HS_DB[Trade Value - USD],HS_DB[HS Code],HS_DB[[#This Row],[HS Code]])</f>
        <v>7283426</v>
      </c>
      <c r="AW88" s="6">
        <f>HS_DB[[#This Row],[Annual Spend - USD]]/HS_DB[[#This Row],[Total Market Size - USD]]</f>
        <v>1</v>
      </c>
      <c r="AX88" s="6" cm="1">
        <f t="array" ref="AX88">COUNTA(_xlfn.UNIQUE(_xlfn._xlws.FILTER(HS_DB[Partner],HS_DB[HS Code]=HS_DB[[#This Row],[HS Code]])))</f>
        <v>1</v>
      </c>
      <c r="AY88" s="8" t="str">
        <f>IF(HS_DB[[#This Row],[Competition Intensity]]&lt;=2,"Highly Concentrated",
 IF(HS_DB[[#This Row],[Competition Intensity]]&lt;=5,"Moderate",
 "Highly Competitive"))</f>
        <v>Highly Concentrated</v>
      </c>
      <c r="AZ88" s="8">
        <f>HS_DB[[#This Row],[Total Market Size - USD]]
*
(1+IFERROR(#REF!,0))
/
HS_DB[[#This Row],[Competition Intensity]]</f>
        <v>7283426</v>
      </c>
      <c r="BA88" s="8" t="str">
        <f>IF(HS_DB[[#This Row],[Commercial Opportunity Score]]&gt;=PERCENTILE(HS_DB[Commercial Opportunity Score],0.9),"High Opportunity",
 IF(HS_DB[[#This Row],[Commercial Opportunity Score]]&gt;=PERCENTILE(HS_DB[Commercial Opportunity Score],0.6),"Medium Opportunity",
 "Routine Market"))</f>
        <v>Routine Market</v>
      </c>
      <c r="BB88" s="3" t="str">
        <f>IF(AND(HS_DB[[#This Row],[Product Rank]]&gt;0,HS_DB[[#This Row],[Product Rank]]&lt;=10),"Yes","No")</f>
        <v>No</v>
      </c>
      <c r="BC88" s="3" t="str">
        <f>IF(AND(HS_DB[[#This Row],[Origin Rank]]&gt;0,HS_DB[[#This Row],[Origin Rank]]&lt;=10),"Yes","No")</f>
        <v>No</v>
      </c>
    </row>
    <row r="89" spans="2:55" x14ac:dyDescent="0.3">
      <c r="B89" s="2">
        <f>HS_DB[[#This Row],[Commodity Code]]</f>
        <v>291631</v>
      </c>
      <c r="C89" s="2">
        <f>IFERROR(INDEX(HS_MD!C:C,MATCH(B89,HS_MD!B:B,0),1),"")</f>
        <v>11</v>
      </c>
      <c r="D89" s="17" t="str">
        <f>IFERROR(INDEX(HS_MD!D:D,MATCH(B89,HS_MD!B:B,0),1),"")</f>
        <v>Benzoic acid and salts</v>
      </c>
      <c r="E89" s="17" t="str">
        <f>IFERROR(INDEX(HS_MD!E:E,MATCH(B89,HS_MD!B:B,0),1),"")</f>
        <v>Sodium Benzoate</v>
      </c>
      <c r="F89" s="17" t="str">
        <f>IFERROR(INDEX(HS_MD!F:F,MATCH(B89,HS_MD!B:B,0),1),"")</f>
        <v>PRESERVATIVES</v>
      </c>
      <c r="G89" s="17" t="str">
        <f>IFERROR(INDEX(HS_MD!G:G,MATCH(B89,HS_MD!B:B,0),1),"")</f>
        <v>Organic Preservatives</v>
      </c>
      <c r="H89" s="17" t="str">
        <f>IFERROR(INDEX(HS_MD!H:H,MATCH(B89,HS_MD!B:B,0),1),"")</f>
        <v>Sodium Benzoate</v>
      </c>
      <c r="I89" s="17" t="str">
        <f>IFERROR(INDEX(HS_MD!I:I,MATCH(B89,HS_MD!B:B,0),1),"")</f>
        <v>Beverages / Sauces</v>
      </c>
      <c r="J89" s="17">
        <f>IFERROR(INDEX(Heat_Map[Index],MATCH(HS_DB[[#This Row],[Reporter]],Heat_Map[Global],0),1),"")</f>
        <v>54</v>
      </c>
      <c r="K89" s="17" t="str">
        <f>IF(AND(HS_DB[[#This Row],[Origin Rank]]&gt;1,HS_DB[[#This Row],[Origin Rank]]&lt;=10),"Yes","No")</f>
        <v>No</v>
      </c>
      <c r="L89" s="2">
        <v>2024</v>
      </c>
      <c r="M89" s="2" t="s">
        <v>57</v>
      </c>
      <c r="N89" s="2" t="s">
        <v>43</v>
      </c>
      <c r="O89" s="2" t="s">
        <v>22</v>
      </c>
      <c r="P89" s="2" t="s">
        <v>23</v>
      </c>
      <c r="Q89" s="2" t="s">
        <v>24</v>
      </c>
      <c r="R89" s="2" t="s">
        <v>25</v>
      </c>
      <c r="S89" s="2">
        <v>291631</v>
      </c>
      <c r="T89" s="3">
        <v>23752</v>
      </c>
      <c r="U89" s="3">
        <v>13000</v>
      </c>
      <c r="V89" s="3">
        <v>0</v>
      </c>
      <c r="W89" s="3">
        <v>13000</v>
      </c>
      <c r="X89" s="3" t="s">
        <v>58</v>
      </c>
      <c r="Y89" s="3">
        <v>13000</v>
      </c>
      <c r="Z89" s="2" t="s">
        <v>58</v>
      </c>
      <c r="AA89" s="6">
        <f>SUMIFS(HS_DB[Trade Value - USD],HS_DB[Reporter],HS_DB[[#This Row],[Reporter]])/SUM(HS_DB[Trade Value - USD])</f>
        <v>1.2600474981673635E-5</v>
      </c>
      <c r="AB89" s="8" cm="1">
        <f t="array" ref="AB89">SUMPRODUCT(
(HS_DB[Reporter]=HS_DB[[#This Row],[Reporter]])*
(HS_DB[Trade Value - USD]&gt;HS_DB[[#This Row],[Trade Value - USD]])
)+1</f>
        <v>1</v>
      </c>
      <c r="AC89" s="8" t="str">
        <f>IFERROR(IF(INDEX(Heat_Map[Crisis Impact %],MATCH(HS_DB[[#This Row],[Reporter]],Heat_Map[Global],0),1)&gt;0,"Yes","No"),"No")</f>
        <v>No</v>
      </c>
      <c r="AD89" s="6">
        <f>IFERROR(INDEX(Heat_Map[Crisis Impact %],MATCH(HS_DB[[#This Row],[Reporter]],Heat_Map[Global],0),1),0)</f>
        <v>0</v>
      </c>
      <c r="AE89" s="8">
        <f>HS_DB[[#This Row],[Crisis Impact%]]*HS_DB[[#This Row],[Trade Value - USD]]</f>
        <v>0</v>
      </c>
      <c r="AF89" s="8">
        <f>HS_DB[[#This Row],[Crisis Impact%]]*HS_DB[[#This Row],[Net Weight -KG]]</f>
        <v>0</v>
      </c>
      <c r="AG89" s="6">
        <f>SUMIFS(HS_DB[Trade Value - USD],HS_DB[Products],HS_DB[[#This Row],[Products]])/SUM(HS_DB[Trade Value - USD])</f>
        <v>3.8638694465253989E-3</v>
      </c>
      <c r="AH89" s="8">
        <f>_xlfn.RANK.EQ(HS_DB[[#This Row],[Trade Value - USD]], HS_DB[Trade Value - USD], 0)
 + COUNTIFS(HS_DB[Trade Value - USD],HS_DB[[#This Row],[Trade Value - USD]],
            HS_DB[HS Code],"&lt;"&amp;HS_DB[[#This Row],[HS Code]])</f>
        <v>371</v>
      </c>
      <c r="AI89" s="9">
        <f>IFERROR(HS_DB[[#This Row],[Trade Value - USD]]/HS_DB[[#This Row],[Net Weight -KG]],0)</f>
        <v>1.827076923076923</v>
      </c>
      <c r="AJ89" s="17" cm="1">
        <f t="array" ref="AJ89">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89" s="17" t="str">
        <f>IF(HS_DB[[#This Row],[HS Code Risk Score]]&gt;=40,"High",
 IF(HS_DB[[#This Row],[HS Code Risk Score]]&gt;=25,"Medium","Low"))</f>
        <v>Medium</v>
      </c>
      <c r="AL89" s="17" t="str">
        <f>IF(RANK(HS_DB[[#This Row],[HS Code Risk Score]],HS_DB[HS Code Risk Score])&lt;=10,"Yes","No")</f>
        <v>No</v>
      </c>
      <c r="AM89" s="8">
        <f>SUMIFS(HS_DB[Net Weight -KG],HS_DB[HS Code],HS_DB[[#This Row],[HS Code]])</f>
        <v>3013305.6999999997</v>
      </c>
      <c r="AN89" s="8">
        <f>SUMIFS(HS_DB[Trade Value - USD],HS_DB[HS Code],HS_DB[[#This Row],[HS Code]])</f>
        <v>7283426</v>
      </c>
      <c r="AO89" s="6">
        <f>_xlfn.MAXIFS(HS_DB[Origin Share%],HS_DB[HS Code],HS_DB[[#This Row],[HS Code]])</f>
        <v>6.321329281187793E-2</v>
      </c>
      <c r="AP89" s="8" cm="1">
        <f t="array" ref="AP89">_xlfn.LET(
_xlpm.hs,HS_DB[[#This Row],[HS Code]],
COUNTA(_xlfn.UNIQUE(_xlfn._xlws.FILTER(HS_DB[Reporter],HS_DB[HS Code]=_xlpm.hs)))
)</f>
        <v>14</v>
      </c>
      <c r="AQ89" s="17" t="str">
        <f>IF(HS_DB[[#This Row],[Origin Count]]=1,"Single Source","Multiple Sources")</f>
        <v>Multiple Sources</v>
      </c>
      <c r="AR89" s="8">
        <f>HS_DB[[#This Row],[Annual Spend - USD]]*(HS_DB[[#This Row],[HS Code Risk Score]]/100)</f>
        <v>2476364.8400000003</v>
      </c>
      <c r="AS89" s="8">
        <f>RANK(HS_DB[[#This Row],[Risk Exposure - USD]],HS_DB[Risk Exposure - USD],0)</f>
        <v>355</v>
      </c>
      <c r="AT89" s="8" t="str">
        <f>IF(HS_DB[[#This Row],[Risk Exposure Rank]]&lt;=10,"High",
 IF(HS_DB[[#This Row],[Risk Exposure Rank]]&lt;=30,"Medium",
 "Low"))</f>
        <v>Low</v>
      </c>
      <c r="AU89" s="8" t="str">
        <f>IF(HS_DB[[#This Row],[Risk Exposure Rank]]&lt;=5,"Immediate Action",
 IF(HS_DB[[#This Row],[Risk Exposure Rank]]&lt;=15,"Monitor Closely",
 "Routine Control"))</f>
        <v>Routine Control</v>
      </c>
      <c r="AV89" s="8">
        <f>SUMIFS(HS_DB[Trade Value - USD],HS_DB[HS Code],HS_DB[[#This Row],[HS Code]])</f>
        <v>7283426</v>
      </c>
      <c r="AW89" s="6">
        <f>HS_DB[[#This Row],[Annual Spend - USD]]/HS_DB[[#This Row],[Total Market Size - USD]]</f>
        <v>1</v>
      </c>
      <c r="AX89" s="6" cm="1">
        <f t="array" ref="AX89">COUNTA(_xlfn.UNIQUE(_xlfn._xlws.FILTER(HS_DB[Partner],HS_DB[HS Code]=HS_DB[[#This Row],[HS Code]])))</f>
        <v>1</v>
      </c>
      <c r="AY89" s="8" t="str">
        <f>IF(HS_DB[[#This Row],[Competition Intensity]]&lt;=2,"Highly Concentrated",
 IF(HS_DB[[#This Row],[Competition Intensity]]&lt;=5,"Moderate",
 "Highly Competitive"))</f>
        <v>Highly Concentrated</v>
      </c>
      <c r="AZ89" s="8">
        <f>HS_DB[[#This Row],[Total Market Size - USD]]
*
(1+IFERROR(#REF!,0))
/
HS_DB[[#This Row],[Competition Intensity]]</f>
        <v>7283426</v>
      </c>
      <c r="BA89" s="8" t="str">
        <f>IF(HS_DB[[#This Row],[Commercial Opportunity Score]]&gt;=PERCENTILE(HS_DB[Commercial Opportunity Score],0.9),"High Opportunity",
 IF(HS_DB[[#This Row],[Commercial Opportunity Score]]&gt;=PERCENTILE(HS_DB[Commercial Opportunity Score],0.6),"Medium Opportunity",
 "Routine Market"))</f>
        <v>Routine Market</v>
      </c>
      <c r="BB89" s="3" t="str">
        <f>IF(AND(HS_DB[[#This Row],[Product Rank]]&gt;0,HS_DB[[#This Row],[Product Rank]]&lt;=10),"Yes","No")</f>
        <v>No</v>
      </c>
      <c r="BC89" s="3" t="str">
        <f>IF(AND(HS_DB[[#This Row],[Origin Rank]]&gt;0,HS_DB[[#This Row],[Origin Rank]]&lt;=10),"Yes","No")</f>
        <v>Yes</v>
      </c>
    </row>
    <row r="90" spans="2:55" x14ac:dyDescent="0.3">
      <c r="B90" s="2">
        <f>HS_DB[[#This Row],[Commodity Code]]</f>
        <v>291631</v>
      </c>
      <c r="C90" s="2">
        <f>IFERROR(INDEX(HS_MD!C:C,MATCH(B90,HS_MD!B:B,0),1),"")</f>
        <v>11</v>
      </c>
      <c r="D90" s="17" t="str">
        <f>IFERROR(INDEX(HS_MD!D:D,MATCH(B90,HS_MD!B:B,0),1),"")</f>
        <v>Benzoic acid and salts</v>
      </c>
      <c r="E90" s="17" t="str">
        <f>IFERROR(INDEX(HS_MD!E:E,MATCH(B90,HS_MD!B:B,0),1),"")</f>
        <v>Sodium Benzoate</v>
      </c>
      <c r="F90" s="17" t="str">
        <f>IFERROR(INDEX(HS_MD!F:F,MATCH(B90,HS_MD!B:B,0),1),"")</f>
        <v>PRESERVATIVES</v>
      </c>
      <c r="G90" s="17" t="str">
        <f>IFERROR(INDEX(HS_MD!G:G,MATCH(B90,HS_MD!B:B,0),1),"")</f>
        <v>Organic Preservatives</v>
      </c>
      <c r="H90" s="17" t="str">
        <f>IFERROR(INDEX(HS_MD!H:H,MATCH(B90,HS_MD!B:B,0),1),"")</f>
        <v>Sodium Benzoate</v>
      </c>
      <c r="I90" s="17" t="str">
        <f>IFERROR(INDEX(HS_MD!I:I,MATCH(B90,HS_MD!B:B,0),1),"")</f>
        <v>Beverages / Sauces</v>
      </c>
      <c r="J90" s="17">
        <f>IFERROR(INDEX(Heat_Map[Index],MATCH(HS_DB[[#This Row],[Reporter]],Heat_Map[Global],0),1),"")</f>
        <v>59</v>
      </c>
      <c r="K90" s="17" t="str">
        <f>IF(AND(HS_DB[[#This Row],[Origin Rank]]&gt;1,HS_DB[[#This Row],[Origin Rank]]&lt;=10),"Yes","No")</f>
        <v>Yes</v>
      </c>
      <c r="L90" s="2">
        <v>2024</v>
      </c>
      <c r="M90" s="2" t="s">
        <v>57</v>
      </c>
      <c r="N90" s="2" t="s">
        <v>44</v>
      </c>
      <c r="O90" s="2" t="s">
        <v>22</v>
      </c>
      <c r="P90" s="2" t="s">
        <v>23</v>
      </c>
      <c r="Q90" s="2" t="s">
        <v>24</v>
      </c>
      <c r="R90" s="2" t="s">
        <v>25</v>
      </c>
      <c r="S90" s="2">
        <v>291631</v>
      </c>
      <c r="T90" s="3">
        <v>454200</v>
      </c>
      <c r="U90" s="3">
        <v>160148</v>
      </c>
      <c r="V90" s="3">
        <v>0</v>
      </c>
      <c r="W90" s="3">
        <v>160148</v>
      </c>
      <c r="X90" s="3" t="s">
        <v>58</v>
      </c>
      <c r="Y90" s="3">
        <v>160148</v>
      </c>
      <c r="Z90" s="2" t="s">
        <v>58</v>
      </c>
      <c r="AA90" s="6">
        <f>SUMIFS(HS_DB[Trade Value - USD],HS_DB[Reporter],HS_DB[[#This Row],[Reporter]])/SUM(HS_DB[Trade Value - USD])</f>
        <v>1.6951290293147386E-2</v>
      </c>
      <c r="AB90" s="8" cm="1">
        <f t="array" ref="AB90">SUMPRODUCT(
(HS_DB[Reporter]=HS_DB[[#This Row],[Reporter]])*
(HS_DB[Trade Value - USD]&gt;HS_DB[[#This Row],[Trade Value - USD]])
)+1</f>
        <v>10</v>
      </c>
      <c r="AC90" s="8" t="str">
        <f>IFERROR(IF(INDEX(Heat_Map[Crisis Impact %],MATCH(HS_DB[[#This Row],[Reporter]],Heat_Map[Global],0),1)&gt;0,"Yes","No"),"No")</f>
        <v>No</v>
      </c>
      <c r="AD90" s="6">
        <f>IFERROR(INDEX(Heat_Map[Crisis Impact %],MATCH(HS_DB[[#This Row],[Reporter]],Heat_Map[Global],0),1),0)</f>
        <v>0</v>
      </c>
      <c r="AE90" s="8">
        <f>HS_DB[[#This Row],[Crisis Impact%]]*HS_DB[[#This Row],[Trade Value - USD]]</f>
        <v>0</v>
      </c>
      <c r="AF90" s="8">
        <f>HS_DB[[#This Row],[Crisis Impact%]]*HS_DB[[#This Row],[Net Weight -KG]]</f>
        <v>0</v>
      </c>
      <c r="AG90" s="6">
        <f>SUMIFS(HS_DB[Trade Value - USD],HS_DB[Products],HS_DB[[#This Row],[Products]])/SUM(HS_DB[Trade Value - USD])</f>
        <v>3.8638694465253989E-3</v>
      </c>
      <c r="AH90" s="8">
        <f>_xlfn.RANK.EQ(HS_DB[[#This Row],[Trade Value - USD]], HS_DB[Trade Value - USD], 0)
 + COUNTIFS(HS_DB[Trade Value - USD],HS_DB[[#This Row],[Trade Value - USD]],
            HS_DB[HS Code],"&lt;"&amp;HS_DB[[#This Row],[HS Code]])</f>
        <v>154</v>
      </c>
      <c r="AI90" s="9">
        <f>IFERROR(HS_DB[[#This Row],[Trade Value - USD]]/HS_DB[[#This Row],[Net Weight -KG]],0)</f>
        <v>2.8361265829108073</v>
      </c>
      <c r="AJ90" s="17" cm="1">
        <f t="array" ref="AJ90">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90" s="17" t="str">
        <f>IF(HS_DB[[#This Row],[HS Code Risk Score]]&gt;=40,"High",
 IF(HS_DB[[#This Row],[HS Code Risk Score]]&gt;=25,"Medium","Low"))</f>
        <v>Medium</v>
      </c>
      <c r="AL90" s="17" t="str">
        <f>IF(RANK(HS_DB[[#This Row],[HS Code Risk Score]],HS_DB[HS Code Risk Score])&lt;=10,"Yes","No")</f>
        <v>No</v>
      </c>
      <c r="AM90" s="8">
        <f>SUMIFS(HS_DB[Net Weight -KG],HS_DB[HS Code],HS_DB[[#This Row],[HS Code]])</f>
        <v>3013305.6999999997</v>
      </c>
      <c r="AN90" s="8">
        <f>SUMIFS(HS_DB[Trade Value - USD],HS_DB[HS Code],HS_DB[[#This Row],[HS Code]])</f>
        <v>7283426</v>
      </c>
      <c r="AO90" s="6">
        <f>_xlfn.MAXIFS(HS_DB[Origin Share%],HS_DB[HS Code],HS_DB[[#This Row],[HS Code]])</f>
        <v>6.321329281187793E-2</v>
      </c>
      <c r="AP90" s="8" cm="1">
        <f t="array" ref="AP90">_xlfn.LET(
_xlpm.hs,HS_DB[[#This Row],[HS Code]],
COUNTA(_xlfn.UNIQUE(_xlfn._xlws.FILTER(HS_DB[Reporter],HS_DB[HS Code]=_xlpm.hs)))
)</f>
        <v>14</v>
      </c>
      <c r="AQ90" s="17" t="str">
        <f>IF(HS_DB[[#This Row],[Origin Count]]=1,"Single Source","Multiple Sources")</f>
        <v>Multiple Sources</v>
      </c>
      <c r="AR90" s="8">
        <f>HS_DB[[#This Row],[Annual Spend - USD]]*(HS_DB[[#This Row],[HS Code Risk Score]]/100)</f>
        <v>2476364.8400000003</v>
      </c>
      <c r="AS90" s="8">
        <f>RANK(HS_DB[[#This Row],[Risk Exposure - USD]],HS_DB[Risk Exposure - USD],0)</f>
        <v>355</v>
      </c>
      <c r="AT90" s="8" t="str">
        <f>IF(HS_DB[[#This Row],[Risk Exposure Rank]]&lt;=10,"High",
 IF(HS_DB[[#This Row],[Risk Exposure Rank]]&lt;=30,"Medium",
 "Low"))</f>
        <v>Low</v>
      </c>
      <c r="AU90" s="8" t="str">
        <f>IF(HS_DB[[#This Row],[Risk Exposure Rank]]&lt;=5,"Immediate Action",
 IF(HS_DB[[#This Row],[Risk Exposure Rank]]&lt;=15,"Monitor Closely",
 "Routine Control"))</f>
        <v>Routine Control</v>
      </c>
      <c r="AV90" s="8">
        <f>SUMIFS(HS_DB[Trade Value - USD],HS_DB[HS Code],HS_DB[[#This Row],[HS Code]])</f>
        <v>7283426</v>
      </c>
      <c r="AW90" s="6">
        <f>HS_DB[[#This Row],[Annual Spend - USD]]/HS_DB[[#This Row],[Total Market Size - USD]]</f>
        <v>1</v>
      </c>
      <c r="AX90" s="6" cm="1">
        <f t="array" ref="AX90">COUNTA(_xlfn.UNIQUE(_xlfn._xlws.FILTER(HS_DB[Partner],HS_DB[HS Code]=HS_DB[[#This Row],[HS Code]])))</f>
        <v>1</v>
      </c>
      <c r="AY90" s="8" t="str">
        <f>IF(HS_DB[[#This Row],[Competition Intensity]]&lt;=2,"Highly Concentrated",
 IF(HS_DB[[#This Row],[Competition Intensity]]&lt;=5,"Moderate",
 "Highly Competitive"))</f>
        <v>Highly Concentrated</v>
      </c>
      <c r="AZ90" s="8">
        <f>HS_DB[[#This Row],[Total Market Size - USD]]
*
(1+IFERROR(#REF!,0))
/
HS_DB[[#This Row],[Competition Intensity]]</f>
        <v>7283426</v>
      </c>
      <c r="BA90" s="8" t="str">
        <f>IF(HS_DB[[#This Row],[Commercial Opportunity Score]]&gt;=PERCENTILE(HS_DB[Commercial Opportunity Score],0.9),"High Opportunity",
 IF(HS_DB[[#This Row],[Commercial Opportunity Score]]&gt;=PERCENTILE(HS_DB[Commercial Opportunity Score],0.6),"Medium Opportunity",
 "Routine Market"))</f>
        <v>Routine Market</v>
      </c>
      <c r="BB90" s="3" t="str">
        <f>IF(AND(HS_DB[[#This Row],[Product Rank]]&gt;0,HS_DB[[#This Row],[Product Rank]]&lt;=10),"Yes","No")</f>
        <v>No</v>
      </c>
      <c r="BC90" s="3" t="str">
        <f>IF(AND(HS_DB[[#This Row],[Origin Rank]]&gt;0,HS_DB[[#This Row],[Origin Rank]]&lt;=10),"Yes","No")</f>
        <v>Yes</v>
      </c>
    </row>
    <row r="91" spans="2:55" x14ac:dyDescent="0.3">
      <c r="B91" s="2">
        <f>HS_DB[[#This Row],[Commodity Code]]</f>
        <v>291631</v>
      </c>
      <c r="C91" s="2">
        <f>IFERROR(INDEX(HS_MD!C:C,MATCH(B91,HS_MD!B:B,0),1),"")</f>
        <v>11</v>
      </c>
      <c r="D91" s="17" t="str">
        <f>IFERROR(INDEX(HS_MD!D:D,MATCH(B91,HS_MD!B:B,0),1),"")</f>
        <v>Benzoic acid and salts</v>
      </c>
      <c r="E91" s="17" t="str">
        <f>IFERROR(INDEX(HS_MD!E:E,MATCH(B91,HS_MD!B:B,0),1),"")</f>
        <v>Sodium Benzoate</v>
      </c>
      <c r="F91" s="17" t="str">
        <f>IFERROR(INDEX(HS_MD!F:F,MATCH(B91,HS_MD!B:B,0),1),"")</f>
        <v>PRESERVATIVES</v>
      </c>
      <c r="G91" s="17" t="str">
        <f>IFERROR(INDEX(HS_MD!G:G,MATCH(B91,HS_MD!B:B,0),1),"")</f>
        <v>Organic Preservatives</v>
      </c>
      <c r="H91" s="17" t="str">
        <f>IFERROR(INDEX(HS_MD!H:H,MATCH(B91,HS_MD!B:B,0),1),"")</f>
        <v>Sodium Benzoate</v>
      </c>
      <c r="I91" s="17" t="str">
        <f>IFERROR(INDEX(HS_MD!I:I,MATCH(B91,HS_MD!B:B,0),1),"")</f>
        <v>Beverages / Sauces</v>
      </c>
      <c r="J91" s="17">
        <f>IFERROR(INDEX(Heat_Map[Index],MATCH(HS_DB[[#This Row],[Reporter]],Heat_Map[Global],0),1),"")</f>
        <v>63</v>
      </c>
      <c r="K91" s="17" t="str">
        <f>IF(AND(HS_DB[[#This Row],[Origin Rank]]&gt;1,HS_DB[[#This Row],[Origin Rank]]&lt;=10),"Yes","No")</f>
        <v>No</v>
      </c>
      <c r="L91" s="2">
        <v>2024</v>
      </c>
      <c r="M91" s="2" t="s">
        <v>57</v>
      </c>
      <c r="N91" s="2" t="s">
        <v>2</v>
      </c>
      <c r="O91" s="2" t="s">
        <v>22</v>
      </c>
      <c r="P91" s="2" t="s">
        <v>23</v>
      </c>
      <c r="Q91" s="2" t="s">
        <v>24</v>
      </c>
      <c r="R91" s="2" t="s">
        <v>25</v>
      </c>
      <c r="S91" s="2">
        <v>291631</v>
      </c>
      <c r="T91" s="3">
        <v>56365</v>
      </c>
      <c r="U91" s="3">
        <v>12621.9</v>
      </c>
      <c r="V91" s="3">
        <v>0</v>
      </c>
      <c r="W91" s="3">
        <v>12622</v>
      </c>
      <c r="X91" s="3" t="s">
        <v>58</v>
      </c>
      <c r="Y91" s="3">
        <v>0</v>
      </c>
      <c r="Z91" s="2" t="s">
        <v>26</v>
      </c>
      <c r="AA91" s="6">
        <f>SUMIFS(HS_DB[Trade Value - USD],HS_DB[Reporter],HS_DB[[#This Row],[Reporter]])/SUM(HS_DB[Trade Value - USD])</f>
        <v>1.1674623358397021E-2</v>
      </c>
      <c r="AB91" s="8" cm="1">
        <f t="array" ref="AB91">SUMPRODUCT(
(HS_DB[Reporter]=HS_DB[[#This Row],[Reporter]])*
(HS_DB[Trade Value - USD]&gt;HS_DB[[#This Row],[Trade Value - USD]])
)+1</f>
        <v>26</v>
      </c>
      <c r="AC91" s="8" t="str">
        <f>IFERROR(IF(INDEX(Heat_Map[Crisis Impact %],MATCH(HS_DB[[#This Row],[Reporter]],Heat_Map[Global],0),1)&gt;0,"Yes","No"),"No")</f>
        <v>No</v>
      </c>
      <c r="AD91" s="6">
        <f>IFERROR(INDEX(Heat_Map[Crisis Impact %],MATCH(HS_DB[[#This Row],[Reporter]],Heat_Map[Global],0),1),0)</f>
        <v>0</v>
      </c>
      <c r="AE91" s="8">
        <f>HS_DB[[#This Row],[Crisis Impact%]]*HS_DB[[#This Row],[Trade Value - USD]]</f>
        <v>0</v>
      </c>
      <c r="AF91" s="8">
        <f>HS_DB[[#This Row],[Crisis Impact%]]*HS_DB[[#This Row],[Net Weight -KG]]</f>
        <v>0</v>
      </c>
      <c r="AG91" s="6">
        <f>SUMIFS(HS_DB[Trade Value - USD],HS_DB[Products],HS_DB[[#This Row],[Products]])/SUM(HS_DB[Trade Value - USD])</f>
        <v>3.8638694465253989E-3</v>
      </c>
      <c r="AH91" s="8">
        <f>_xlfn.RANK.EQ(HS_DB[[#This Row],[Trade Value - USD]], HS_DB[Trade Value - USD], 0)
 + COUNTIFS(HS_DB[Trade Value - USD],HS_DB[[#This Row],[Trade Value - USD]],
            HS_DB[HS Code],"&lt;"&amp;HS_DB[[#This Row],[HS Code]])</f>
        <v>318</v>
      </c>
      <c r="AI91" s="9">
        <f>IFERROR(HS_DB[[#This Row],[Trade Value - USD]]/HS_DB[[#This Row],[Net Weight -KG]],0)</f>
        <v>4.4656509717237505</v>
      </c>
      <c r="AJ91" s="17" cm="1">
        <f t="array" ref="AJ91">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91" s="17" t="str">
        <f>IF(HS_DB[[#This Row],[HS Code Risk Score]]&gt;=40,"High",
 IF(HS_DB[[#This Row],[HS Code Risk Score]]&gt;=25,"Medium","Low"))</f>
        <v>Medium</v>
      </c>
      <c r="AL91" s="17" t="str">
        <f>IF(RANK(HS_DB[[#This Row],[HS Code Risk Score]],HS_DB[HS Code Risk Score])&lt;=10,"Yes","No")</f>
        <v>No</v>
      </c>
      <c r="AM91" s="8">
        <f>SUMIFS(HS_DB[Net Weight -KG],HS_DB[HS Code],HS_DB[[#This Row],[HS Code]])</f>
        <v>3013305.6999999997</v>
      </c>
      <c r="AN91" s="8">
        <f>SUMIFS(HS_DB[Trade Value - USD],HS_DB[HS Code],HS_DB[[#This Row],[HS Code]])</f>
        <v>7283426</v>
      </c>
      <c r="AO91" s="6">
        <f>_xlfn.MAXIFS(HS_DB[Origin Share%],HS_DB[HS Code],HS_DB[[#This Row],[HS Code]])</f>
        <v>6.321329281187793E-2</v>
      </c>
      <c r="AP91" s="8" cm="1">
        <f t="array" ref="AP91">_xlfn.LET(
_xlpm.hs,HS_DB[[#This Row],[HS Code]],
COUNTA(_xlfn.UNIQUE(_xlfn._xlws.FILTER(HS_DB[Reporter],HS_DB[HS Code]=_xlpm.hs)))
)</f>
        <v>14</v>
      </c>
      <c r="AQ91" s="17" t="str">
        <f>IF(HS_DB[[#This Row],[Origin Count]]=1,"Single Source","Multiple Sources")</f>
        <v>Multiple Sources</v>
      </c>
      <c r="AR91" s="8">
        <f>HS_DB[[#This Row],[Annual Spend - USD]]*(HS_DB[[#This Row],[HS Code Risk Score]]/100)</f>
        <v>2476364.8400000003</v>
      </c>
      <c r="AS91" s="8">
        <f>RANK(HS_DB[[#This Row],[Risk Exposure - USD]],HS_DB[Risk Exposure - USD],0)</f>
        <v>355</v>
      </c>
      <c r="AT91" s="8" t="str">
        <f>IF(HS_DB[[#This Row],[Risk Exposure Rank]]&lt;=10,"High",
 IF(HS_DB[[#This Row],[Risk Exposure Rank]]&lt;=30,"Medium",
 "Low"))</f>
        <v>Low</v>
      </c>
      <c r="AU91" s="8" t="str">
        <f>IF(HS_DB[[#This Row],[Risk Exposure Rank]]&lt;=5,"Immediate Action",
 IF(HS_DB[[#This Row],[Risk Exposure Rank]]&lt;=15,"Monitor Closely",
 "Routine Control"))</f>
        <v>Routine Control</v>
      </c>
      <c r="AV91" s="8">
        <f>SUMIFS(HS_DB[Trade Value - USD],HS_DB[HS Code],HS_DB[[#This Row],[HS Code]])</f>
        <v>7283426</v>
      </c>
      <c r="AW91" s="6">
        <f>HS_DB[[#This Row],[Annual Spend - USD]]/HS_DB[[#This Row],[Total Market Size - USD]]</f>
        <v>1</v>
      </c>
      <c r="AX91" s="6" cm="1">
        <f t="array" ref="AX91">COUNTA(_xlfn.UNIQUE(_xlfn._xlws.FILTER(HS_DB[Partner],HS_DB[HS Code]=HS_DB[[#This Row],[HS Code]])))</f>
        <v>1</v>
      </c>
      <c r="AY91" s="8" t="str">
        <f>IF(HS_DB[[#This Row],[Competition Intensity]]&lt;=2,"Highly Concentrated",
 IF(HS_DB[[#This Row],[Competition Intensity]]&lt;=5,"Moderate",
 "Highly Competitive"))</f>
        <v>Highly Concentrated</v>
      </c>
      <c r="AZ91" s="8">
        <f>HS_DB[[#This Row],[Total Market Size - USD]]
*
(1+IFERROR(#REF!,0))
/
HS_DB[[#This Row],[Competition Intensity]]</f>
        <v>7283426</v>
      </c>
      <c r="BA91" s="8" t="str">
        <f>IF(HS_DB[[#This Row],[Commercial Opportunity Score]]&gt;=PERCENTILE(HS_DB[Commercial Opportunity Score],0.9),"High Opportunity",
 IF(HS_DB[[#This Row],[Commercial Opportunity Score]]&gt;=PERCENTILE(HS_DB[Commercial Opportunity Score],0.6),"Medium Opportunity",
 "Routine Market"))</f>
        <v>Routine Market</v>
      </c>
      <c r="BB91" s="3" t="str">
        <f>IF(AND(HS_DB[[#This Row],[Product Rank]]&gt;0,HS_DB[[#This Row],[Product Rank]]&lt;=10),"Yes","No")</f>
        <v>No</v>
      </c>
      <c r="BC91" s="3" t="str">
        <f>IF(AND(HS_DB[[#This Row],[Origin Rank]]&gt;0,HS_DB[[#This Row],[Origin Rank]]&lt;=10),"Yes","No")</f>
        <v>No</v>
      </c>
    </row>
    <row r="92" spans="2:55" x14ac:dyDescent="0.3">
      <c r="B92" s="2">
        <f>HS_DB[[#This Row],[Commodity Code]]</f>
        <v>291631</v>
      </c>
      <c r="C92" s="2">
        <f>IFERROR(INDEX(HS_MD!C:C,MATCH(B92,HS_MD!B:B,0),1),"")</f>
        <v>11</v>
      </c>
      <c r="D92" s="17" t="str">
        <f>IFERROR(INDEX(HS_MD!D:D,MATCH(B92,HS_MD!B:B,0),1),"")</f>
        <v>Benzoic acid and salts</v>
      </c>
      <c r="E92" s="17" t="str">
        <f>IFERROR(INDEX(HS_MD!E:E,MATCH(B92,HS_MD!B:B,0),1),"")</f>
        <v>Sodium Benzoate</v>
      </c>
      <c r="F92" s="17" t="str">
        <f>IFERROR(INDEX(HS_MD!F:F,MATCH(B92,HS_MD!B:B,0),1),"")</f>
        <v>PRESERVATIVES</v>
      </c>
      <c r="G92" s="17" t="str">
        <f>IFERROR(INDEX(HS_MD!G:G,MATCH(B92,HS_MD!B:B,0),1),"")</f>
        <v>Organic Preservatives</v>
      </c>
      <c r="H92" s="17" t="str">
        <f>IFERROR(INDEX(HS_MD!H:H,MATCH(B92,HS_MD!B:B,0),1),"")</f>
        <v>Sodium Benzoate</v>
      </c>
      <c r="I92" s="17" t="str">
        <f>IFERROR(INDEX(HS_MD!I:I,MATCH(B92,HS_MD!B:B,0),1),"")</f>
        <v>Beverages / Sauces</v>
      </c>
      <c r="J92" s="17">
        <f>IFERROR(INDEX(Heat_Map[Index],MATCH(HS_DB[[#This Row],[Reporter]],Heat_Map[Global],0),1),"")</f>
        <v>79</v>
      </c>
      <c r="K92" s="17" t="str">
        <f>IF(AND(HS_DB[[#This Row],[Origin Rank]]&gt;1,HS_DB[[#This Row],[Origin Rank]]&lt;=10),"Yes","No")</f>
        <v>Yes</v>
      </c>
      <c r="L92" s="2">
        <v>2024</v>
      </c>
      <c r="M92" s="2" t="s">
        <v>57</v>
      </c>
      <c r="N92" s="2" t="s">
        <v>48</v>
      </c>
      <c r="O92" s="2" t="s">
        <v>22</v>
      </c>
      <c r="P92" s="2" t="s">
        <v>23</v>
      </c>
      <c r="Q92" s="2" t="s">
        <v>24</v>
      </c>
      <c r="R92" s="2" t="s">
        <v>25</v>
      </c>
      <c r="S92" s="2">
        <v>291631</v>
      </c>
      <c r="T92" s="3">
        <v>416498</v>
      </c>
      <c r="U92" s="3">
        <v>101429</v>
      </c>
      <c r="V92" s="3">
        <v>0</v>
      </c>
      <c r="W92" s="3">
        <v>101429</v>
      </c>
      <c r="X92" s="3" t="s">
        <v>58</v>
      </c>
      <c r="Y92" s="3">
        <v>101429</v>
      </c>
      <c r="Z92" s="2" t="s">
        <v>58</v>
      </c>
      <c r="AA92" s="6">
        <f>SUMIFS(HS_DB[Trade Value - USD],HS_DB[Reporter],HS_DB[[#This Row],[Reporter]])/SUM(HS_DB[Trade Value - USD])</f>
        <v>4.9588465845200368E-3</v>
      </c>
      <c r="AB92" s="8" cm="1">
        <f t="array" ref="AB92">SUMPRODUCT(
(HS_DB[Reporter]=HS_DB[[#This Row],[Reporter]])*
(HS_DB[Trade Value - USD]&gt;HS_DB[[#This Row],[Trade Value - USD]])
)+1</f>
        <v>9</v>
      </c>
      <c r="AC92" s="8" t="str">
        <f>IFERROR(IF(INDEX(Heat_Map[Crisis Impact %],MATCH(HS_DB[[#This Row],[Reporter]],Heat_Map[Global],0),1)&gt;0,"Yes","No"),"No")</f>
        <v>No</v>
      </c>
      <c r="AD92" s="6">
        <f>IFERROR(INDEX(Heat_Map[Crisis Impact %],MATCH(HS_DB[[#This Row],[Reporter]],Heat_Map[Global],0),1),0)</f>
        <v>0</v>
      </c>
      <c r="AE92" s="8">
        <f>HS_DB[[#This Row],[Crisis Impact%]]*HS_DB[[#This Row],[Trade Value - USD]]</f>
        <v>0</v>
      </c>
      <c r="AF92" s="8">
        <f>HS_DB[[#This Row],[Crisis Impact%]]*HS_DB[[#This Row],[Net Weight -KG]]</f>
        <v>0</v>
      </c>
      <c r="AG92" s="6">
        <f>SUMIFS(HS_DB[Trade Value - USD],HS_DB[Products],HS_DB[[#This Row],[Products]])/SUM(HS_DB[Trade Value - USD])</f>
        <v>3.8638694465253989E-3</v>
      </c>
      <c r="AH92" s="8">
        <f>_xlfn.RANK.EQ(HS_DB[[#This Row],[Trade Value - USD]], HS_DB[Trade Value - USD], 0)
 + COUNTIFS(HS_DB[Trade Value - USD],HS_DB[[#This Row],[Trade Value - USD]],
            HS_DB[HS Code],"&lt;"&amp;HS_DB[[#This Row],[HS Code]])</f>
        <v>159</v>
      </c>
      <c r="AI92" s="9">
        <f>IFERROR(HS_DB[[#This Row],[Trade Value - USD]]/HS_DB[[#This Row],[Net Weight -KG]],0)</f>
        <v>4.1063009592917217</v>
      </c>
      <c r="AJ92" s="17" cm="1">
        <f t="array" ref="AJ92">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92" s="17" t="str">
        <f>IF(HS_DB[[#This Row],[HS Code Risk Score]]&gt;=40,"High",
 IF(HS_DB[[#This Row],[HS Code Risk Score]]&gt;=25,"Medium","Low"))</f>
        <v>Medium</v>
      </c>
      <c r="AL92" s="17" t="str">
        <f>IF(RANK(HS_DB[[#This Row],[HS Code Risk Score]],HS_DB[HS Code Risk Score])&lt;=10,"Yes","No")</f>
        <v>No</v>
      </c>
      <c r="AM92" s="8">
        <f>SUMIFS(HS_DB[Net Weight -KG],HS_DB[HS Code],HS_DB[[#This Row],[HS Code]])</f>
        <v>3013305.6999999997</v>
      </c>
      <c r="AN92" s="8">
        <f>SUMIFS(HS_DB[Trade Value - USD],HS_DB[HS Code],HS_DB[[#This Row],[HS Code]])</f>
        <v>7283426</v>
      </c>
      <c r="AO92" s="6">
        <f>_xlfn.MAXIFS(HS_DB[Origin Share%],HS_DB[HS Code],HS_DB[[#This Row],[HS Code]])</f>
        <v>6.321329281187793E-2</v>
      </c>
      <c r="AP92" s="8" cm="1">
        <f t="array" ref="AP92">_xlfn.LET(
_xlpm.hs,HS_DB[[#This Row],[HS Code]],
COUNTA(_xlfn.UNIQUE(_xlfn._xlws.FILTER(HS_DB[Reporter],HS_DB[HS Code]=_xlpm.hs)))
)</f>
        <v>14</v>
      </c>
      <c r="AQ92" s="17" t="str">
        <f>IF(HS_DB[[#This Row],[Origin Count]]=1,"Single Source","Multiple Sources")</f>
        <v>Multiple Sources</v>
      </c>
      <c r="AR92" s="8">
        <f>HS_DB[[#This Row],[Annual Spend - USD]]*(HS_DB[[#This Row],[HS Code Risk Score]]/100)</f>
        <v>2476364.8400000003</v>
      </c>
      <c r="AS92" s="8">
        <f>RANK(HS_DB[[#This Row],[Risk Exposure - USD]],HS_DB[Risk Exposure - USD],0)</f>
        <v>355</v>
      </c>
      <c r="AT92" s="8" t="str">
        <f>IF(HS_DB[[#This Row],[Risk Exposure Rank]]&lt;=10,"High",
 IF(HS_DB[[#This Row],[Risk Exposure Rank]]&lt;=30,"Medium",
 "Low"))</f>
        <v>Low</v>
      </c>
      <c r="AU92" s="8" t="str">
        <f>IF(HS_DB[[#This Row],[Risk Exposure Rank]]&lt;=5,"Immediate Action",
 IF(HS_DB[[#This Row],[Risk Exposure Rank]]&lt;=15,"Monitor Closely",
 "Routine Control"))</f>
        <v>Routine Control</v>
      </c>
      <c r="AV92" s="8">
        <f>SUMIFS(HS_DB[Trade Value - USD],HS_DB[HS Code],HS_DB[[#This Row],[HS Code]])</f>
        <v>7283426</v>
      </c>
      <c r="AW92" s="6">
        <f>HS_DB[[#This Row],[Annual Spend - USD]]/HS_DB[[#This Row],[Total Market Size - USD]]</f>
        <v>1</v>
      </c>
      <c r="AX92" s="6" cm="1">
        <f t="array" ref="AX92">COUNTA(_xlfn.UNIQUE(_xlfn._xlws.FILTER(HS_DB[Partner],HS_DB[HS Code]=HS_DB[[#This Row],[HS Code]])))</f>
        <v>1</v>
      </c>
      <c r="AY92" s="8" t="str">
        <f>IF(HS_DB[[#This Row],[Competition Intensity]]&lt;=2,"Highly Concentrated",
 IF(HS_DB[[#This Row],[Competition Intensity]]&lt;=5,"Moderate",
 "Highly Competitive"))</f>
        <v>Highly Concentrated</v>
      </c>
      <c r="AZ92" s="8">
        <f>HS_DB[[#This Row],[Total Market Size - USD]]
*
(1+IFERROR(#REF!,0))
/
HS_DB[[#This Row],[Competition Intensity]]</f>
        <v>7283426</v>
      </c>
      <c r="BA92" s="8" t="str">
        <f>IF(HS_DB[[#This Row],[Commercial Opportunity Score]]&gt;=PERCENTILE(HS_DB[Commercial Opportunity Score],0.9),"High Opportunity",
 IF(HS_DB[[#This Row],[Commercial Opportunity Score]]&gt;=PERCENTILE(HS_DB[Commercial Opportunity Score],0.6),"Medium Opportunity",
 "Routine Market"))</f>
        <v>Routine Market</v>
      </c>
      <c r="BB92" s="3" t="str">
        <f>IF(AND(HS_DB[[#This Row],[Product Rank]]&gt;0,HS_DB[[#This Row],[Product Rank]]&lt;=10),"Yes","No")</f>
        <v>No</v>
      </c>
      <c r="BC92" s="3" t="str">
        <f>IF(AND(HS_DB[[#This Row],[Origin Rank]]&gt;0,HS_DB[[#This Row],[Origin Rank]]&lt;=10),"Yes","No")</f>
        <v>Yes</v>
      </c>
    </row>
    <row r="93" spans="2:55" x14ac:dyDescent="0.3">
      <c r="B93" s="2">
        <f>HS_DB[[#This Row],[Commodity Code]]</f>
        <v>291631</v>
      </c>
      <c r="C93" s="2">
        <f>IFERROR(INDEX(HS_MD!C:C,MATCH(B93,HS_MD!B:B,0),1),"")</f>
        <v>11</v>
      </c>
      <c r="D93" s="17" t="str">
        <f>IFERROR(INDEX(HS_MD!D:D,MATCH(B93,HS_MD!B:B,0),1),"")</f>
        <v>Benzoic acid and salts</v>
      </c>
      <c r="E93" s="17" t="str">
        <f>IFERROR(INDEX(HS_MD!E:E,MATCH(B93,HS_MD!B:B,0),1),"")</f>
        <v>Sodium Benzoate</v>
      </c>
      <c r="F93" s="17" t="str">
        <f>IFERROR(INDEX(HS_MD!F:F,MATCH(B93,HS_MD!B:B,0),1),"")</f>
        <v>PRESERVATIVES</v>
      </c>
      <c r="G93" s="17" t="str">
        <f>IFERROR(INDEX(HS_MD!G:G,MATCH(B93,HS_MD!B:B,0),1),"")</f>
        <v>Organic Preservatives</v>
      </c>
      <c r="H93" s="17" t="str">
        <f>IFERROR(INDEX(HS_MD!H:H,MATCH(B93,HS_MD!B:B,0),1),"")</f>
        <v>Sodium Benzoate</v>
      </c>
      <c r="I93" s="17" t="str">
        <f>IFERROR(INDEX(HS_MD!I:I,MATCH(B93,HS_MD!B:B,0),1),"")</f>
        <v>Beverages / Sauces</v>
      </c>
      <c r="J93" s="17">
        <f>IFERROR(INDEX(Heat_Map[Index],MATCH(HS_DB[[#This Row],[Reporter]],Heat_Map[Global],0),1),"")</f>
        <v>81</v>
      </c>
      <c r="K93" s="17" t="str">
        <f>IF(AND(HS_DB[[#This Row],[Origin Rank]]&gt;1,HS_DB[[#This Row],[Origin Rank]]&lt;=10),"Yes","No")</f>
        <v>No</v>
      </c>
      <c r="L93" s="2">
        <v>2024</v>
      </c>
      <c r="M93" s="2" t="s">
        <v>57</v>
      </c>
      <c r="N93" s="2" t="s">
        <v>49</v>
      </c>
      <c r="O93" s="2" t="s">
        <v>22</v>
      </c>
      <c r="P93" s="2" t="s">
        <v>23</v>
      </c>
      <c r="Q93" s="2" t="s">
        <v>24</v>
      </c>
      <c r="R93" s="2" t="s">
        <v>25</v>
      </c>
      <c r="S93" s="2">
        <v>291631</v>
      </c>
      <c r="T93" s="3">
        <v>34439</v>
      </c>
      <c r="U93" s="3">
        <v>8300</v>
      </c>
      <c r="V93" s="3">
        <v>0</v>
      </c>
      <c r="W93" s="3">
        <v>8300</v>
      </c>
      <c r="X93" s="3" t="s">
        <v>58</v>
      </c>
      <c r="Y93" s="3">
        <v>8300</v>
      </c>
      <c r="Z93" s="2" t="s">
        <v>58</v>
      </c>
      <c r="AA93" s="6">
        <f>SUMIFS(HS_DB[Trade Value - USD],HS_DB[Reporter],HS_DB[[#This Row],[Reporter]])/SUM(HS_DB[Trade Value - USD])</f>
        <v>1.1178535358665947E-2</v>
      </c>
      <c r="AB93" s="8" cm="1">
        <f t="array" ref="AB93">SUMPRODUCT(
(HS_DB[Reporter]=HS_DB[[#This Row],[Reporter]])*
(HS_DB[Trade Value - USD]&gt;HS_DB[[#This Row],[Trade Value - USD]])
)+1</f>
        <v>19</v>
      </c>
      <c r="AC93" s="8" t="str">
        <f>IFERROR(IF(INDEX(Heat_Map[Crisis Impact %],MATCH(HS_DB[[#This Row],[Reporter]],Heat_Map[Global],0),1)&gt;0,"Yes","No"),"No")</f>
        <v>No</v>
      </c>
      <c r="AD93" s="6">
        <f>IFERROR(INDEX(Heat_Map[Crisis Impact %],MATCH(HS_DB[[#This Row],[Reporter]],Heat_Map[Global],0),1),0)</f>
        <v>0</v>
      </c>
      <c r="AE93" s="8">
        <f>HS_DB[[#This Row],[Crisis Impact%]]*HS_DB[[#This Row],[Trade Value - USD]]</f>
        <v>0</v>
      </c>
      <c r="AF93" s="8">
        <f>HS_DB[[#This Row],[Crisis Impact%]]*HS_DB[[#This Row],[Net Weight -KG]]</f>
        <v>0</v>
      </c>
      <c r="AG93" s="6">
        <f>SUMIFS(HS_DB[Trade Value - USD],HS_DB[Products],HS_DB[[#This Row],[Products]])/SUM(HS_DB[Trade Value - USD])</f>
        <v>3.8638694465253989E-3</v>
      </c>
      <c r="AH93" s="8">
        <f>_xlfn.RANK.EQ(HS_DB[[#This Row],[Trade Value - USD]], HS_DB[Trade Value - USD], 0)
 + COUNTIFS(HS_DB[Trade Value - USD],HS_DB[[#This Row],[Trade Value - USD]],
            HS_DB[HS Code],"&lt;"&amp;HS_DB[[#This Row],[HS Code]])</f>
        <v>345</v>
      </c>
      <c r="AI93" s="9">
        <f>IFERROR(HS_DB[[#This Row],[Trade Value - USD]]/HS_DB[[#This Row],[Net Weight -KG]],0)</f>
        <v>4.1492771084337345</v>
      </c>
      <c r="AJ93" s="17" cm="1">
        <f t="array" ref="AJ93">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93" s="17" t="str">
        <f>IF(HS_DB[[#This Row],[HS Code Risk Score]]&gt;=40,"High",
 IF(HS_DB[[#This Row],[HS Code Risk Score]]&gt;=25,"Medium","Low"))</f>
        <v>Medium</v>
      </c>
      <c r="AL93" s="17" t="str">
        <f>IF(RANK(HS_DB[[#This Row],[HS Code Risk Score]],HS_DB[HS Code Risk Score])&lt;=10,"Yes","No")</f>
        <v>No</v>
      </c>
      <c r="AM93" s="8">
        <f>SUMIFS(HS_DB[Net Weight -KG],HS_DB[HS Code],HS_DB[[#This Row],[HS Code]])</f>
        <v>3013305.6999999997</v>
      </c>
      <c r="AN93" s="8">
        <f>SUMIFS(HS_DB[Trade Value - USD],HS_DB[HS Code],HS_DB[[#This Row],[HS Code]])</f>
        <v>7283426</v>
      </c>
      <c r="AO93" s="6">
        <f>_xlfn.MAXIFS(HS_DB[Origin Share%],HS_DB[HS Code],HS_DB[[#This Row],[HS Code]])</f>
        <v>6.321329281187793E-2</v>
      </c>
      <c r="AP93" s="8" cm="1">
        <f t="array" ref="AP93">_xlfn.LET(
_xlpm.hs,HS_DB[[#This Row],[HS Code]],
COUNTA(_xlfn.UNIQUE(_xlfn._xlws.FILTER(HS_DB[Reporter],HS_DB[HS Code]=_xlpm.hs)))
)</f>
        <v>14</v>
      </c>
      <c r="AQ93" s="17" t="str">
        <f>IF(HS_DB[[#This Row],[Origin Count]]=1,"Single Source","Multiple Sources")</f>
        <v>Multiple Sources</v>
      </c>
      <c r="AR93" s="8">
        <f>HS_DB[[#This Row],[Annual Spend - USD]]*(HS_DB[[#This Row],[HS Code Risk Score]]/100)</f>
        <v>2476364.8400000003</v>
      </c>
      <c r="AS93" s="8">
        <f>RANK(HS_DB[[#This Row],[Risk Exposure - USD]],HS_DB[Risk Exposure - USD],0)</f>
        <v>355</v>
      </c>
      <c r="AT93" s="8" t="str">
        <f>IF(HS_DB[[#This Row],[Risk Exposure Rank]]&lt;=10,"High",
 IF(HS_DB[[#This Row],[Risk Exposure Rank]]&lt;=30,"Medium",
 "Low"))</f>
        <v>Low</v>
      </c>
      <c r="AU93" s="8" t="str">
        <f>IF(HS_DB[[#This Row],[Risk Exposure Rank]]&lt;=5,"Immediate Action",
 IF(HS_DB[[#This Row],[Risk Exposure Rank]]&lt;=15,"Monitor Closely",
 "Routine Control"))</f>
        <v>Routine Control</v>
      </c>
      <c r="AV93" s="8">
        <f>SUMIFS(HS_DB[Trade Value - USD],HS_DB[HS Code],HS_DB[[#This Row],[HS Code]])</f>
        <v>7283426</v>
      </c>
      <c r="AW93" s="6">
        <f>HS_DB[[#This Row],[Annual Spend - USD]]/HS_DB[[#This Row],[Total Market Size - USD]]</f>
        <v>1</v>
      </c>
      <c r="AX93" s="6" cm="1">
        <f t="array" ref="AX93">COUNTA(_xlfn.UNIQUE(_xlfn._xlws.FILTER(HS_DB[Partner],HS_DB[HS Code]=HS_DB[[#This Row],[HS Code]])))</f>
        <v>1</v>
      </c>
      <c r="AY93" s="8" t="str">
        <f>IF(HS_DB[[#This Row],[Competition Intensity]]&lt;=2,"Highly Concentrated",
 IF(HS_DB[[#This Row],[Competition Intensity]]&lt;=5,"Moderate",
 "Highly Competitive"))</f>
        <v>Highly Concentrated</v>
      </c>
      <c r="AZ93" s="8">
        <f>HS_DB[[#This Row],[Total Market Size - USD]]
*
(1+IFERROR(#REF!,0))
/
HS_DB[[#This Row],[Competition Intensity]]</f>
        <v>7283426</v>
      </c>
      <c r="BA93" s="8" t="str">
        <f>IF(HS_DB[[#This Row],[Commercial Opportunity Score]]&gt;=PERCENTILE(HS_DB[Commercial Opportunity Score],0.9),"High Opportunity",
 IF(HS_DB[[#This Row],[Commercial Opportunity Score]]&gt;=PERCENTILE(HS_DB[Commercial Opportunity Score],0.6),"Medium Opportunity",
 "Routine Market"))</f>
        <v>Routine Market</v>
      </c>
      <c r="BB93" s="3" t="str">
        <f>IF(AND(HS_DB[[#This Row],[Product Rank]]&gt;0,HS_DB[[#This Row],[Product Rank]]&lt;=10),"Yes","No")</f>
        <v>No</v>
      </c>
      <c r="BC93" s="3" t="str">
        <f>IF(AND(HS_DB[[#This Row],[Origin Rank]]&gt;0,HS_DB[[#This Row],[Origin Rank]]&lt;=10),"Yes","No")</f>
        <v>No</v>
      </c>
    </row>
    <row r="94" spans="2:55" x14ac:dyDescent="0.3">
      <c r="B94" s="2">
        <f>HS_DB[[#This Row],[Commodity Code]]</f>
        <v>291631</v>
      </c>
      <c r="C94" s="2">
        <f>IFERROR(INDEX(HS_MD!C:C,MATCH(B94,HS_MD!B:B,0),1),"")</f>
        <v>11</v>
      </c>
      <c r="D94" s="17" t="str">
        <f>IFERROR(INDEX(HS_MD!D:D,MATCH(B94,HS_MD!B:B,0),1),"")</f>
        <v>Benzoic acid and salts</v>
      </c>
      <c r="E94" s="17" t="str">
        <f>IFERROR(INDEX(HS_MD!E:E,MATCH(B94,HS_MD!B:B,0),1),"")</f>
        <v>Sodium Benzoate</v>
      </c>
      <c r="F94" s="17" t="str">
        <f>IFERROR(INDEX(HS_MD!F:F,MATCH(B94,HS_MD!B:B,0),1),"")</f>
        <v>PRESERVATIVES</v>
      </c>
      <c r="G94" s="17" t="str">
        <f>IFERROR(INDEX(HS_MD!G:G,MATCH(B94,HS_MD!B:B,0),1),"")</f>
        <v>Organic Preservatives</v>
      </c>
      <c r="H94" s="17" t="str">
        <f>IFERROR(INDEX(HS_MD!H:H,MATCH(B94,HS_MD!B:B,0),1),"")</f>
        <v>Sodium Benzoate</v>
      </c>
      <c r="I94" s="17" t="str">
        <f>IFERROR(INDEX(HS_MD!I:I,MATCH(B94,HS_MD!B:B,0),1),"")</f>
        <v>Beverages / Sauces</v>
      </c>
      <c r="J94" s="17">
        <f>IFERROR(INDEX(Heat_Map[Index],MATCH(HS_DB[[#This Row],[Reporter]],Heat_Map[Global],0),1),"")</f>
        <v>118</v>
      </c>
      <c r="K94" s="17" t="str">
        <f>IF(AND(HS_DB[[#This Row],[Origin Rank]]&gt;1,HS_DB[[#This Row],[Origin Rank]]&lt;=10),"Yes","No")</f>
        <v>Yes</v>
      </c>
      <c r="L94" s="2">
        <v>2024</v>
      </c>
      <c r="M94" s="2" t="s">
        <v>57</v>
      </c>
      <c r="N94" s="2" t="s">
        <v>53</v>
      </c>
      <c r="O94" s="2" t="s">
        <v>22</v>
      </c>
      <c r="P94" s="2" t="s">
        <v>23</v>
      </c>
      <c r="Q94" s="2" t="s">
        <v>24</v>
      </c>
      <c r="R94" s="2" t="s">
        <v>25</v>
      </c>
      <c r="S94" s="2">
        <v>291631</v>
      </c>
      <c r="T94" s="3">
        <v>1113641</v>
      </c>
      <c r="U94" s="3">
        <v>422850</v>
      </c>
      <c r="V94" s="3">
        <v>0</v>
      </c>
      <c r="W94" s="3">
        <v>422850</v>
      </c>
      <c r="X94" s="3" t="s">
        <v>58</v>
      </c>
      <c r="Y94" s="3">
        <v>422850</v>
      </c>
      <c r="Z94" s="2" t="s">
        <v>58</v>
      </c>
      <c r="AA94" s="6">
        <f>SUMIFS(HS_DB[Trade Value - USD],HS_DB[Reporter],HS_DB[[#This Row],[Reporter]])/SUM(HS_DB[Trade Value - USD])</f>
        <v>1.4561232389604124E-2</v>
      </c>
      <c r="AB94" s="8" cm="1">
        <f t="array" ref="AB94">SUMPRODUCT(
(HS_DB[Reporter]=HS_DB[[#This Row],[Reporter]])*
(HS_DB[Trade Value - USD]&gt;HS_DB[[#This Row],[Trade Value - USD]])
)+1</f>
        <v>6</v>
      </c>
      <c r="AC94" s="8" t="str">
        <f>IFERROR(IF(INDEX(Heat_Map[Crisis Impact %],MATCH(HS_DB[[#This Row],[Reporter]],Heat_Map[Global],0),1)&gt;0,"Yes","No"),"No")</f>
        <v>No</v>
      </c>
      <c r="AD94" s="6">
        <f>IFERROR(INDEX(Heat_Map[Crisis Impact %],MATCH(HS_DB[[#This Row],[Reporter]],Heat_Map[Global],0),1),0)</f>
        <v>0</v>
      </c>
      <c r="AE94" s="8">
        <f>HS_DB[[#This Row],[Crisis Impact%]]*HS_DB[[#This Row],[Trade Value - USD]]</f>
        <v>0</v>
      </c>
      <c r="AF94" s="8">
        <f>HS_DB[[#This Row],[Crisis Impact%]]*HS_DB[[#This Row],[Net Weight -KG]]</f>
        <v>0</v>
      </c>
      <c r="AG94" s="6">
        <f>SUMIFS(HS_DB[Trade Value - USD],HS_DB[Products],HS_DB[[#This Row],[Products]])/SUM(HS_DB[Trade Value - USD])</f>
        <v>3.8638694465253989E-3</v>
      </c>
      <c r="AH94" s="8">
        <f>_xlfn.RANK.EQ(HS_DB[[#This Row],[Trade Value - USD]], HS_DB[Trade Value - USD], 0)
 + COUNTIFS(HS_DB[Trade Value - USD],HS_DB[[#This Row],[Trade Value - USD]],
            HS_DB[HS Code],"&lt;"&amp;HS_DB[[#This Row],[HS Code]])</f>
        <v>98</v>
      </c>
      <c r="AI94" s="9">
        <f>IFERROR(HS_DB[[#This Row],[Trade Value - USD]]/HS_DB[[#This Row],[Net Weight -KG]],0)</f>
        <v>2.6336549603878443</v>
      </c>
      <c r="AJ94" s="17" cm="1">
        <f t="array" ref="AJ94">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94" s="17" t="str">
        <f>IF(HS_DB[[#This Row],[HS Code Risk Score]]&gt;=40,"High",
 IF(HS_DB[[#This Row],[HS Code Risk Score]]&gt;=25,"Medium","Low"))</f>
        <v>Medium</v>
      </c>
      <c r="AL94" s="17" t="str">
        <f>IF(RANK(HS_DB[[#This Row],[HS Code Risk Score]],HS_DB[HS Code Risk Score])&lt;=10,"Yes","No")</f>
        <v>No</v>
      </c>
      <c r="AM94" s="8">
        <f>SUMIFS(HS_DB[Net Weight -KG],HS_DB[HS Code],HS_DB[[#This Row],[HS Code]])</f>
        <v>3013305.6999999997</v>
      </c>
      <c r="AN94" s="8">
        <f>SUMIFS(HS_DB[Trade Value - USD],HS_DB[HS Code],HS_DB[[#This Row],[HS Code]])</f>
        <v>7283426</v>
      </c>
      <c r="AO94" s="6">
        <f>_xlfn.MAXIFS(HS_DB[Origin Share%],HS_DB[HS Code],HS_DB[[#This Row],[HS Code]])</f>
        <v>6.321329281187793E-2</v>
      </c>
      <c r="AP94" s="8" cm="1">
        <f t="array" ref="AP94">_xlfn.LET(
_xlpm.hs,HS_DB[[#This Row],[HS Code]],
COUNTA(_xlfn.UNIQUE(_xlfn._xlws.FILTER(HS_DB[Reporter],HS_DB[HS Code]=_xlpm.hs)))
)</f>
        <v>14</v>
      </c>
      <c r="AQ94" s="17" t="str">
        <f>IF(HS_DB[[#This Row],[Origin Count]]=1,"Single Source","Multiple Sources")</f>
        <v>Multiple Sources</v>
      </c>
      <c r="AR94" s="8">
        <f>HS_DB[[#This Row],[Annual Spend - USD]]*(HS_DB[[#This Row],[HS Code Risk Score]]/100)</f>
        <v>2476364.8400000003</v>
      </c>
      <c r="AS94" s="8">
        <f>RANK(HS_DB[[#This Row],[Risk Exposure - USD]],HS_DB[Risk Exposure - USD],0)</f>
        <v>355</v>
      </c>
      <c r="AT94" s="8" t="str">
        <f>IF(HS_DB[[#This Row],[Risk Exposure Rank]]&lt;=10,"High",
 IF(HS_DB[[#This Row],[Risk Exposure Rank]]&lt;=30,"Medium",
 "Low"))</f>
        <v>Low</v>
      </c>
      <c r="AU94" s="8" t="str">
        <f>IF(HS_DB[[#This Row],[Risk Exposure Rank]]&lt;=5,"Immediate Action",
 IF(HS_DB[[#This Row],[Risk Exposure Rank]]&lt;=15,"Monitor Closely",
 "Routine Control"))</f>
        <v>Routine Control</v>
      </c>
      <c r="AV94" s="8">
        <f>SUMIFS(HS_DB[Trade Value - USD],HS_DB[HS Code],HS_DB[[#This Row],[HS Code]])</f>
        <v>7283426</v>
      </c>
      <c r="AW94" s="6">
        <f>HS_DB[[#This Row],[Annual Spend - USD]]/HS_DB[[#This Row],[Total Market Size - USD]]</f>
        <v>1</v>
      </c>
      <c r="AX94" s="6" cm="1">
        <f t="array" ref="AX94">COUNTA(_xlfn.UNIQUE(_xlfn._xlws.FILTER(HS_DB[Partner],HS_DB[HS Code]=HS_DB[[#This Row],[HS Code]])))</f>
        <v>1</v>
      </c>
      <c r="AY94" s="8" t="str">
        <f>IF(HS_DB[[#This Row],[Competition Intensity]]&lt;=2,"Highly Concentrated",
 IF(HS_DB[[#This Row],[Competition Intensity]]&lt;=5,"Moderate",
 "Highly Competitive"))</f>
        <v>Highly Concentrated</v>
      </c>
      <c r="AZ94" s="8">
        <f>HS_DB[[#This Row],[Total Market Size - USD]]
*
(1+IFERROR(#REF!,0))
/
HS_DB[[#This Row],[Competition Intensity]]</f>
        <v>7283426</v>
      </c>
      <c r="BA94" s="8" t="str">
        <f>IF(HS_DB[[#This Row],[Commercial Opportunity Score]]&gt;=PERCENTILE(HS_DB[Commercial Opportunity Score],0.9),"High Opportunity",
 IF(HS_DB[[#This Row],[Commercial Opportunity Score]]&gt;=PERCENTILE(HS_DB[Commercial Opportunity Score],0.6),"Medium Opportunity",
 "Routine Market"))</f>
        <v>Routine Market</v>
      </c>
      <c r="BB94" s="3" t="str">
        <f>IF(AND(HS_DB[[#This Row],[Product Rank]]&gt;0,HS_DB[[#This Row],[Product Rank]]&lt;=10),"Yes","No")</f>
        <v>No</v>
      </c>
      <c r="BC94" s="3" t="str">
        <f>IF(AND(HS_DB[[#This Row],[Origin Rank]]&gt;0,HS_DB[[#This Row],[Origin Rank]]&lt;=10),"Yes","No")</f>
        <v>Yes</v>
      </c>
    </row>
    <row r="95" spans="2:55" x14ac:dyDescent="0.3">
      <c r="B95" s="2">
        <f>HS_DB[[#This Row],[Commodity Code]]</f>
        <v>291631</v>
      </c>
      <c r="C95" s="2">
        <f>IFERROR(INDEX(HS_MD!C:C,MATCH(B95,HS_MD!B:B,0),1),"")</f>
        <v>11</v>
      </c>
      <c r="D95" s="17" t="str">
        <f>IFERROR(INDEX(HS_MD!D:D,MATCH(B95,HS_MD!B:B,0),1),"")</f>
        <v>Benzoic acid and salts</v>
      </c>
      <c r="E95" s="17" t="str">
        <f>IFERROR(INDEX(HS_MD!E:E,MATCH(B95,HS_MD!B:B,0),1),"")</f>
        <v>Sodium Benzoate</v>
      </c>
      <c r="F95" s="17" t="str">
        <f>IFERROR(INDEX(HS_MD!F:F,MATCH(B95,HS_MD!B:B,0),1),"")</f>
        <v>PRESERVATIVES</v>
      </c>
      <c r="G95" s="17" t="str">
        <f>IFERROR(INDEX(HS_MD!G:G,MATCH(B95,HS_MD!B:B,0),1),"")</f>
        <v>Organic Preservatives</v>
      </c>
      <c r="H95" s="17" t="str">
        <f>IFERROR(INDEX(HS_MD!H:H,MATCH(B95,HS_MD!B:B,0),1),"")</f>
        <v>Sodium Benzoate</v>
      </c>
      <c r="I95" s="17" t="str">
        <f>IFERROR(INDEX(HS_MD!I:I,MATCH(B95,HS_MD!B:B,0),1),"")</f>
        <v>Beverages / Sauces</v>
      </c>
      <c r="J95" s="17">
        <f>IFERROR(INDEX(Heat_Map[Index],MATCH(HS_DB[[#This Row],[Reporter]],Heat_Map[Global],0),1),"")</f>
        <v>146</v>
      </c>
      <c r="K95" s="17" t="str">
        <f>IF(AND(HS_DB[[#This Row],[Origin Rank]]&gt;1,HS_DB[[#This Row],[Origin Rank]]&lt;=10),"Yes","No")</f>
        <v>No</v>
      </c>
      <c r="L95" s="2">
        <v>2024</v>
      </c>
      <c r="M95" s="2" t="s">
        <v>57</v>
      </c>
      <c r="N95" s="2" t="s">
        <v>27</v>
      </c>
      <c r="O95" s="2" t="s">
        <v>22</v>
      </c>
      <c r="P95" s="2" t="s">
        <v>23</v>
      </c>
      <c r="Q95" s="2" t="s">
        <v>24</v>
      </c>
      <c r="R95" s="2" t="s">
        <v>25</v>
      </c>
      <c r="S95" s="2">
        <v>291631</v>
      </c>
      <c r="T95" s="3">
        <v>7680</v>
      </c>
      <c r="U95" s="3">
        <v>4075</v>
      </c>
      <c r="V95" s="3">
        <v>0</v>
      </c>
      <c r="W95" s="3">
        <v>4075</v>
      </c>
      <c r="X95" s="3" t="s">
        <v>58</v>
      </c>
      <c r="Y95" s="3">
        <v>4075</v>
      </c>
      <c r="Z95" s="2" t="s">
        <v>58</v>
      </c>
      <c r="AA95" s="6">
        <f>SUMIFS(HS_DB[Trade Value - USD],HS_DB[Reporter],HS_DB[[#This Row],[Reporter]])/SUM(HS_DB[Trade Value - USD])</f>
        <v>9.709938116315122E-3</v>
      </c>
      <c r="AB95" s="8" cm="1">
        <f t="array" ref="AB95">SUMPRODUCT(
(HS_DB[Reporter]=HS_DB[[#This Row],[Reporter]])*
(HS_DB[Trade Value - USD]&gt;HS_DB[[#This Row],[Trade Value - USD]])
)+1</f>
        <v>12</v>
      </c>
      <c r="AC95" s="8" t="str">
        <f>IFERROR(IF(INDEX(Heat_Map[Crisis Impact %],MATCH(HS_DB[[#This Row],[Reporter]],Heat_Map[Global],0),1)&gt;0,"Yes","No"),"No")</f>
        <v>No</v>
      </c>
      <c r="AD95" s="6">
        <f>IFERROR(INDEX(Heat_Map[Crisis Impact %],MATCH(HS_DB[[#This Row],[Reporter]],Heat_Map[Global],0),1),0)</f>
        <v>0</v>
      </c>
      <c r="AE95" s="8">
        <f>HS_DB[[#This Row],[Crisis Impact%]]*HS_DB[[#This Row],[Trade Value - USD]]</f>
        <v>0</v>
      </c>
      <c r="AF95" s="8">
        <f>HS_DB[[#This Row],[Crisis Impact%]]*HS_DB[[#This Row],[Net Weight -KG]]</f>
        <v>0</v>
      </c>
      <c r="AG95" s="6">
        <f>SUMIFS(HS_DB[Trade Value - USD],HS_DB[Products],HS_DB[[#This Row],[Products]])/SUM(HS_DB[Trade Value - USD])</f>
        <v>3.8638694465253989E-3</v>
      </c>
      <c r="AH95" s="8">
        <f>_xlfn.RANK.EQ(HS_DB[[#This Row],[Trade Value - USD]], HS_DB[Trade Value - USD], 0)
 + COUNTIFS(HS_DB[Trade Value - USD],HS_DB[[#This Row],[Trade Value - USD]],
            HS_DB[HS Code],"&lt;"&amp;HS_DB[[#This Row],[HS Code]])</f>
        <v>423</v>
      </c>
      <c r="AI95" s="9">
        <f>IFERROR(HS_DB[[#This Row],[Trade Value - USD]]/HS_DB[[#This Row],[Net Weight -KG]],0)</f>
        <v>1.8846625766871166</v>
      </c>
      <c r="AJ95" s="17" cm="1">
        <f t="array" ref="AJ95">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95" s="17" t="str">
        <f>IF(HS_DB[[#This Row],[HS Code Risk Score]]&gt;=40,"High",
 IF(HS_DB[[#This Row],[HS Code Risk Score]]&gt;=25,"Medium","Low"))</f>
        <v>Medium</v>
      </c>
      <c r="AL95" s="17" t="str">
        <f>IF(RANK(HS_DB[[#This Row],[HS Code Risk Score]],HS_DB[HS Code Risk Score])&lt;=10,"Yes","No")</f>
        <v>No</v>
      </c>
      <c r="AM95" s="8">
        <f>SUMIFS(HS_DB[Net Weight -KG],HS_DB[HS Code],HS_DB[[#This Row],[HS Code]])</f>
        <v>3013305.6999999997</v>
      </c>
      <c r="AN95" s="8">
        <f>SUMIFS(HS_DB[Trade Value - USD],HS_DB[HS Code],HS_DB[[#This Row],[HS Code]])</f>
        <v>7283426</v>
      </c>
      <c r="AO95" s="6">
        <f>_xlfn.MAXIFS(HS_DB[Origin Share%],HS_DB[HS Code],HS_DB[[#This Row],[HS Code]])</f>
        <v>6.321329281187793E-2</v>
      </c>
      <c r="AP95" s="8" cm="1">
        <f t="array" ref="AP95">_xlfn.LET(
_xlpm.hs,HS_DB[[#This Row],[HS Code]],
COUNTA(_xlfn.UNIQUE(_xlfn._xlws.FILTER(HS_DB[Reporter],HS_DB[HS Code]=_xlpm.hs)))
)</f>
        <v>14</v>
      </c>
      <c r="AQ95" s="17" t="str">
        <f>IF(HS_DB[[#This Row],[Origin Count]]=1,"Single Source","Multiple Sources")</f>
        <v>Multiple Sources</v>
      </c>
      <c r="AR95" s="8">
        <f>HS_DB[[#This Row],[Annual Spend - USD]]*(HS_DB[[#This Row],[HS Code Risk Score]]/100)</f>
        <v>2476364.8400000003</v>
      </c>
      <c r="AS95" s="8">
        <f>RANK(HS_DB[[#This Row],[Risk Exposure - USD]],HS_DB[Risk Exposure - USD],0)</f>
        <v>355</v>
      </c>
      <c r="AT95" s="8" t="str">
        <f>IF(HS_DB[[#This Row],[Risk Exposure Rank]]&lt;=10,"High",
 IF(HS_DB[[#This Row],[Risk Exposure Rank]]&lt;=30,"Medium",
 "Low"))</f>
        <v>Low</v>
      </c>
      <c r="AU95" s="8" t="str">
        <f>IF(HS_DB[[#This Row],[Risk Exposure Rank]]&lt;=5,"Immediate Action",
 IF(HS_DB[[#This Row],[Risk Exposure Rank]]&lt;=15,"Monitor Closely",
 "Routine Control"))</f>
        <v>Routine Control</v>
      </c>
      <c r="AV95" s="8">
        <f>SUMIFS(HS_DB[Trade Value - USD],HS_DB[HS Code],HS_DB[[#This Row],[HS Code]])</f>
        <v>7283426</v>
      </c>
      <c r="AW95" s="6">
        <f>HS_DB[[#This Row],[Annual Spend - USD]]/HS_DB[[#This Row],[Total Market Size - USD]]</f>
        <v>1</v>
      </c>
      <c r="AX95" s="6" cm="1">
        <f t="array" ref="AX95">COUNTA(_xlfn.UNIQUE(_xlfn._xlws.FILTER(HS_DB[Partner],HS_DB[HS Code]=HS_DB[[#This Row],[HS Code]])))</f>
        <v>1</v>
      </c>
      <c r="AY95" s="8" t="str">
        <f>IF(HS_DB[[#This Row],[Competition Intensity]]&lt;=2,"Highly Concentrated",
 IF(HS_DB[[#This Row],[Competition Intensity]]&lt;=5,"Moderate",
 "Highly Competitive"))</f>
        <v>Highly Concentrated</v>
      </c>
      <c r="AZ95" s="8">
        <f>HS_DB[[#This Row],[Total Market Size - USD]]
*
(1+IFERROR(#REF!,0))
/
HS_DB[[#This Row],[Competition Intensity]]</f>
        <v>7283426</v>
      </c>
      <c r="BA95" s="8" t="str">
        <f>IF(HS_DB[[#This Row],[Commercial Opportunity Score]]&gt;=PERCENTILE(HS_DB[Commercial Opportunity Score],0.9),"High Opportunity",
 IF(HS_DB[[#This Row],[Commercial Opportunity Score]]&gt;=PERCENTILE(HS_DB[Commercial Opportunity Score],0.6),"Medium Opportunity",
 "Routine Market"))</f>
        <v>Routine Market</v>
      </c>
      <c r="BB95" s="3" t="str">
        <f>IF(AND(HS_DB[[#This Row],[Product Rank]]&gt;0,HS_DB[[#This Row],[Product Rank]]&lt;=10),"Yes","No")</f>
        <v>No</v>
      </c>
      <c r="BC95" s="3" t="str">
        <f>IF(AND(HS_DB[[#This Row],[Origin Rank]]&gt;0,HS_DB[[#This Row],[Origin Rank]]&lt;=10),"Yes","No")</f>
        <v>No</v>
      </c>
    </row>
    <row r="96" spans="2:55" x14ac:dyDescent="0.3">
      <c r="B96" s="2">
        <f>HS_DB[[#This Row],[Commodity Code]]</f>
        <v>291631</v>
      </c>
      <c r="C96" s="2">
        <f>IFERROR(INDEX(HS_MD!C:C,MATCH(B96,HS_MD!B:B,0),1),"")</f>
        <v>11</v>
      </c>
      <c r="D96" s="17" t="str">
        <f>IFERROR(INDEX(HS_MD!D:D,MATCH(B96,HS_MD!B:B,0),1),"")</f>
        <v>Benzoic acid and salts</v>
      </c>
      <c r="E96" s="17" t="str">
        <f>IFERROR(INDEX(HS_MD!E:E,MATCH(B96,HS_MD!B:B,0),1),"")</f>
        <v>Sodium Benzoate</v>
      </c>
      <c r="F96" s="17" t="str">
        <f>IFERROR(INDEX(HS_MD!F:F,MATCH(B96,HS_MD!B:B,0),1),"")</f>
        <v>PRESERVATIVES</v>
      </c>
      <c r="G96" s="17" t="str">
        <f>IFERROR(INDEX(HS_MD!G:G,MATCH(B96,HS_MD!B:B,0),1),"")</f>
        <v>Organic Preservatives</v>
      </c>
      <c r="H96" s="17" t="str">
        <f>IFERROR(INDEX(HS_MD!H:H,MATCH(B96,HS_MD!B:B,0),1),"")</f>
        <v>Sodium Benzoate</v>
      </c>
      <c r="I96" s="17" t="str">
        <f>IFERROR(INDEX(HS_MD!I:I,MATCH(B96,HS_MD!B:B,0),1),"")</f>
        <v>Beverages / Sauces</v>
      </c>
      <c r="J96" s="17">
        <f>IFERROR(INDEX(Heat_Map[Index],MATCH(HS_DB[[#This Row],[Reporter]],Heat_Map[Global],0),1),"")</f>
        <v>75</v>
      </c>
      <c r="K96" s="17" t="str">
        <f>IF(AND(HS_DB[[#This Row],[Origin Rank]]&gt;1,HS_DB[[#This Row],[Origin Rank]]&lt;=10),"Yes","No")</f>
        <v>Yes</v>
      </c>
      <c r="L96" s="2">
        <v>2024</v>
      </c>
      <c r="M96" s="2" t="s">
        <v>57</v>
      </c>
      <c r="N96" s="2" t="s">
        <v>8</v>
      </c>
      <c r="O96" s="2" t="s">
        <v>22</v>
      </c>
      <c r="P96" s="2" t="s">
        <v>23</v>
      </c>
      <c r="Q96" s="2" t="s">
        <v>24</v>
      </c>
      <c r="R96" s="2" t="s">
        <v>25</v>
      </c>
      <c r="S96" s="2">
        <v>291631</v>
      </c>
      <c r="T96" s="3">
        <v>2761310</v>
      </c>
      <c r="U96" s="3">
        <v>82817</v>
      </c>
      <c r="V96" s="3">
        <v>0</v>
      </c>
      <c r="W96" s="3">
        <v>82817</v>
      </c>
      <c r="X96" s="3" t="s">
        <v>58</v>
      </c>
      <c r="Y96" s="3">
        <v>82817</v>
      </c>
      <c r="Z96" s="2" t="s">
        <v>58</v>
      </c>
      <c r="AA96" s="6">
        <f>SUMIFS(HS_DB[Trade Value - USD],HS_DB[Reporter],HS_DB[[#This Row],[Reporter]])/SUM(HS_DB[Trade Value - USD])</f>
        <v>2.2441761060335613E-2</v>
      </c>
      <c r="AB96" s="8" cm="1">
        <f t="array" ref="AB96">SUMPRODUCT(
(HS_DB[Reporter]=HS_DB[[#This Row],[Reporter]])*
(HS_DB[Trade Value - USD]&gt;HS_DB[[#This Row],[Trade Value - USD]])
)+1</f>
        <v>4</v>
      </c>
      <c r="AC96" s="8" t="str">
        <f>IFERROR(IF(INDEX(Heat_Map[Crisis Impact %],MATCH(HS_DB[[#This Row],[Reporter]],Heat_Map[Global],0),1)&gt;0,"Yes","No"),"No")</f>
        <v>No</v>
      </c>
      <c r="AD96" s="6">
        <f>IFERROR(INDEX(Heat_Map[Crisis Impact %],MATCH(HS_DB[[#This Row],[Reporter]],Heat_Map[Global],0),1),0)</f>
        <v>0</v>
      </c>
      <c r="AE96" s="8">
        <f>HS_DB[[#This Row],[Crisis Impact%]]*HS_DB[[#This Row],[Trade Value - USD]]</f>
        <v>0</v>
      </c>
      <c r="AF96" s="8">
        <f>HS_DB[[#This Row],[Crisis Impact%]]*HS_DB[[#This Row],[Net Weight -KG]]</f>
        <v>0</v>
      </c>
      <c r="AG96" s="6">
        <f>SUMIFS(HS_DB[Trade Value - USD],HS_DB[Products],HS_DB[[#This Row],[Products]])/SUM(HS_DB[Trade Value - USD])</f>
        <v>3.8638694465253989E-3</v>
      </c>
      <c r="AH96" s="8">
        <f>_xlfn.RANK.EQ(HS_DB[[#This Row],[Trade Value - USD]], HS_DB[Trade Value - USD], 0)
 + COUNTIFS(HS_DB[Trade Value - USD],HS_DB[[#This Row],[Trade Value - USD]],
            HS_DB[HS Code],"&lt;"&amp;HS_DB[[#This Row],[HS Code]])</f>
        <v>49</v>
      </c>
      <c r="AI96" s="9">
        <f>IFERROR(HS_DB[[#This Row],[Trade Value - USD]]/HS_DB[[#This Row],[Net Weight -KG]],0)</f>
        <v>33.342308946230844</v>
      </c>
      <c r="AJ96" s="17" cm="1">
        <f t="array" ref="AJ96">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96" s="17" t="str">
        <f>IF(HS_DB[[#This Row],[HS Code Risk Score]]&gt;=40,"High",
 IF(HS_DB[[#This Row],[HS Code Risk Score]]&gt;=25,"Medium","Low"))</f>
        <v>Medium</v>
      </c>
      <c r="AL96" s="17" t="str">
        <f>IF(RANK(HS_DB[[#This Row],[HS Code Risk Score]],HS_DB[HS Code Risk Score])&lt;=10,"Yes","No")</f>
        <v>No</v>
      </c>
      <c r="AM96" s="8">
        <f>SUMIFS(HS_DB[Net Weight -KG],HS_DB[HS Code],HS_DB[[#This Row],[HS Code]])</f>
        <v>3013305.6999999997</v>
      </c>
      <c r="AN96" s="8">
        <f>SUMIFS(HS_DB[Trade Value - USD],HS_DB[HS Code],HS_DB[[#This Row],[HS Code]])</f>
        <v>7283426</v>
      </c>
      <c r="AO96" s="6">
        <f>_xlfn.MAXIFS(HS_DB[Origin Share%],HS_DB[HS Code],HS_DB[[#This Row],[HS Code]])</f>
        <v>6.321329281187793E-2</v>
      </c>
      <c r="AP96" s="8" cm="1">
        <f t="array" ref="AP96">_xlfn.LET(
_xlpm.hs,HS_DB[[#This Row],[HS Code]],
COUNTA(_xlfn.UNIQUE(_xlfn._xlws.FILTER(HS_DB[Reporter],HS_DB[HS Code]=_xlpm.hs)))
)</f>
        <v>14</v>
      </c>
      <c r="AQ96" s="17" t="str">
        <f>IF(HS_DB[[#This Row],[Origin Count]]=1,"Single Source","Multiple Sources")</f>
        <v>Multiple Sources</v>
      </c>
      <c r="AR96" s="8">
        <f>HS_DB[[#This Row],[Annual Spend - USD]]*(HS_DB[[#This Row],[HS Code Risk Score]]/100)</f>
        <v>2476364.8400000003</v>
      </c>
      <c r="AS96" s="8">
        <f>RANK(HS_DB[[#This Row],[Risk Exposure - USD]],HS_DB[Risk Exposure - USD],0)</f>
        <v>355</v>
      </c>
      <c r="AT96" s="8" t="str">
        <f>IF(HS_DB[[#This Row],[Risk Exposure Rank]]&lt;=10,"High",
 IF(HS_DB[[#This Row],[Risk Exposure Rank]]&lt;=30,"Medium",
 "Low"))</f>
        <v>Low</v>
      </c>
      <c r="AU96" s="8" t="str">
        <f>IF(HS_DB[[#This Row],[Risk Exposure Rank]]&lt;=5,"Immediate Action",
 IF(HS_DB[[#This Row],[Risk Exposure Rank]]&lt;=15,"Monitor Closely",
 "Routine Control"))</f>
        <v>Routine Control</v>
      </c>
      <c r="AV96" s="8">
        <f>SUMIFS(HS_DB[Trade Value - USD],HS_DB[HS Code],HS_DB[[#This Row],[HS Code]])</f>
        <v>7283426</v>
      </c>
      <c r="AW96" s="6">
        <f>HS_DB[[#This Row],[Annual Spend - USD]]/HS_DB[[#This Row],[Total Market Size - USD]]</f>
        <v>1</v>
      </c>
      <c r="AX96" s="6" cm="1">
        <f t="array" ref="AX96">COUNTA(_xlfn.UNIQUE(_xlfn._xlws.FILTER(HS_DB[Partner],HS_DB[HS Code]=HS_DB[[#This Row],[HS Code]])))</f>
        <v>1</v>
      </c>
      <c r="AY96" s="8" t="str">
        <f>IF(HS_DB[[#This Row],[Competition Intensity]]&lt;=2,"Highly Concentrated",
 IF(HS_DB[[#This Row],[Competition Intensity]]&lt;=5,"Moderate",
 "Highly Competitive"))</f>
        <v>Highly Concentrated</v>
      </c>
      <c r="AZ96" s="8">
        <f>HS_DB[[#This Row],[Total Market Size - USD]]
*
(1+IFERROR(#REF!,0))
/
HS_DB[[#This Row],[Competition Intensity]]</f>
        <v>7283426</v>
      </c>
      <c r="BA96" s="8" t="str">
        <f>IF(HS_DB[[#This Row],[Commercial Opportunity Score]]&gt;=PERCENTILE(HS_DB[Commercial Opportunity Score],0.9),"High Opportunity",
 IF(HS_DB[[#This Row],[Commercial Opportunity Score]]&gt;=PERCENTILE(HS_DB[Commercial Opportunity Score],0.6),"Medium Opportunity",
 "Routine Market"))</f>
        <v>Routine Market</v>
      </c>
      <c r="BB96" s="3" t="str">
        <f>IF(AND(HS_DB[[#This Row],[Product Rank]]&gt;0,HS_DB[[#This Row],[Product Rank]]&lt;=10),"Yes","No")</f>
        <v>No</v>
      </c>
      <c r="BC96" s="3" t="str">
        <f>IF(AND(HS_DB[[#This Row],[Origin Rank]]&gt;0,HS_DB[[#This Row],[Origin Rank]]&lt;=10),"Yes","No")</f>
        <v>Yes</v>
      </c>
    </row>
    <row r="97" spans="2:55" x14ac:dyDescent="0.3">
      <c r="B97" s="2">
        <f>HS_DB[[#This Row],[Commodity Code]]</f>
        <v>291631</v>
      </c>
      <c r="C97" s="2">
        <f>IFERROR(INDEX(HS_MD!C:C,MATCH(B97,HS_MD!B:B,0),1),"")</f>
        <v>11</v>
      </c>
      <c r="D97" s="17" t="str">
        <f>IFERROR(INDEX(HS_MD!D:D,MATCH(B97,HS_MD!B:B,0),1),"")</f>
        <v>Benzoic acid and salts</v>
      </c>
      <c r="E97" s="17" t="str">
        <f>IFERROR(INDEX(HS_MD!E:E,MATCH(B97,HS_MD!B:B,0),1),"")</f>
        <v>Sodium Benzoate</v>
      </c>
      <c r="F97" s="17" t="str">
        <f>IFERROR(INDEX(HS_MD!F:F,MATCH(B97,HS_MD!B:B,0),1),"")</f>
        <v>PRESERVATIVES</v>
      </c>
      <c r="G97" s="17" t="str">
        <f>IFERROR(INDEX(HS_MD!G:G,MATCH(B97,HS_MD!B:B,0),1),"")</f>
        <v>Organic Preservatives</v>
      </c>
      <c r="H97" s="17" t="str">
        <f>IFERROR(INDEX(HS_MD!H:H,MATCH(B97,HS_MD!B:B,0),1),"")</f>
        <v>Sodium Benzoate</v>
      </c>
      <c r="I97" s="17" t="str">
        <f>IFERROR(INDEX(HS_MD!I:I,MATCH(B97,HS_MD!B:B,0),1),"")</f>
        <v>Beverages / Sauces</v>
      </c>
      <c r="J97" s="17">
        <f>IFERROR(INDEX(Heat_Map[Index],MATCH(HS_DB[[#This Row],[Reporter]],Heat_Map[Global],0),1),"")</f>
        <v>159</v>
      </c>
      <c r="K97" s="17" t="str">
        <f>IF(AND(HS_DB[[#This Row],[Origin Rank]]&gt;1,HS_DB[[#This Row],[Origin Rank]]&lt;=10),"Yes","No")</f>
        <v>No</v>
      </c>
      <c r="L97" s="2">
        <v>2024</v>
      </c>
      <c r="M97" s="2" t="s">
        <v>57</v>
      </c>
      <c r="N97" s="2" t="s">
        <v>30</v>
      </c>
      <c r="O97" s="2" t="s">
        <v>22</v>
      </c>
      <c r="P97" s="2" t="s">
        <v>23</v>
      </c>
      <c r="Q97" s="2" t="s">
        <v>24</v>
      </c>
      <c r="R97" s="2" t="s">
        <v>25</v>
      </c>
      <c r="S97" s="2">
        <v>291631</v>
      </c>
      <c r="T97" s="3">
        <v>31671</v>
      </c>
      <c r="U97" s="3">
        <v>10174.799999999999</v>
      </c>
      <c r="V97" s="3">
        <v>0</v>
      </c>
      <c r="W97" s="3">
        <v>10175</v>
      </c>
      <c r="X97" s="3" t="s">
        <v>58</v>
      </c>
      <c r="Y97" s="3">
        <v>10175</v>
      </c>
      <c r="Z97" s="2" t="s">
        <v>58</v>
      </c>
      <c r="AA97" s="6">
        <f>SUMIFS(HS_DB[Trade Value - USD],HS_DB[Reporter],HS_DB[[#This Row],[Reporter]])/SUM(HS_DB[Trade Value - USD])</f>
        <v>6.110186869383482E-3</v>
      </c>
      <c r="AB97" s="8" cm="1">
        <f t="array" ref="AB97">SUMPRODUCT(
(HS_DB[Reporter]=HS_DB[[#This Row],[Reporter]])*
(HS_DB[Trade Value - USD]&gt;HS_DB[[#This Row],[Trade Value - USD]])
)+1</f>
        <v>14</v>
      </c>
      <c r="AC97" s="8" t="str">
        <f>IFERROR(IF(INDEX(Heat_Map[Crisis Impact %],MATCH(HS_DB[[#This Row],[Reporter]],Heat_Map[Global],0),1)&gt;0,"Yes","No"),"No")</f>
        <v>No</v>
      </c>
      <c r="AD97" s="6">
        <f>IFERROR(INDEX(Heat_Map[Crisis Impact %],MATCH(HS_DB[[#This Row],[Reporter]],Heat_Map[Global],0),1),0)</f>
        <v>0</v>
      </c>
      <c r="AE97" s="8">
        <f>HS_DB[[#This Row],[Crisis Impact%]]*HS_DB[[#This Row],[Trade Value - USD]]</f>
        <v>0</v>
      </c>
      <c r="AF97" s="8">
        <f>HS_DB[[#This Row],[Crisis Impact%]]*HS_DB[[#This Row],[Net Weight -KG]]</f>
        <v>0</v>
      </c>
      <c r="AG97" s="6">
        <f>SUMIFS(HS_DB[Trade Value - USD],HS_DB[Products],HS_DB[[#This Row],[Products]])/SUM(HS_DB[Trade Value - USD])</f>
        <v>3.8638694465253989E-3</v>
      </c>
      <c r="AH97" s="8">
        <f>_xlfn.RANK.EQ(HS_DB[[#This Row],[Trade Value - USD]], HS_DB[Trade Value - USD], 0)
 + COUNTIFS(HS_DB[Trade Value - USD],HS_DB[[#This Row],[Trade Value - USD]],
            HS_DB[HS Code],"&lt;"&amp;HS_DB[[#This Row],[HS Code]])</f>
        <v>353</v>
      </c>
      <c r="AI97" s="9">
        <f>IFERROR(HS_DB[[#This Row],[Trade Value - USD]]/HS_DB[[#This Row],[Net Weight -KG]],0)</f>
        <v>3.1126901757282699</v>
      </c>
      <c r="AJ97" s="17" cm="1">
        <f t="array" ref="AJ97">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97" s="17" t="str">
        <f>IF(HS_DB[[#This Row],[HS Code Risk Score]]&gt;=40,"High",
 IF(HS_DB[[#This Row],[HS Code Risk Score]]&gt;=25,"Medium","Low"))</f>
        <v>Medium</v>
      </c>
      <c r="AL97" s="17" t="str">
        <f>IF(RANK(HS_DB[[#This Row],[HS Code Risk Score]],HS_DB[HS Code Risk Score])&lt;=10,"Yes","No")</f>
        <v>No</v>
      </c>
      <c r="AM97" s="8">
        <f>SUMIFS(HS_DB[Net Weight -KG],HS_DB[HS Code],HS_DB[[#This Row],[HS Code]])</f>
        <v>3013305.6999999997</v>
      </c>
      <c r="AN97" s="8">
        <f>SUMIFS(HS_DB[Trade Value - USD],HS_DB[HS Code],HS_DB[[#This Row],[HS Code]])</f>
        <v>7283426</v>
      </c>
      <c r="AO97" s="6">
        <f>_xlfn.MAXIFS(HS_DB[Origin Share%],HS_DB[HS Code],HS_DB[[#This Row],[HS Code]])</f>
        <v>6.321329281187793E-2</v>
      </c>
      <c r="AP97" s="8" cm="1">
        <f t="array" ref="AP97">_xlfn.LET(
_xlpm.hs,HS_DB[[#This Row],[HS Code]],
COUNTA(_xlfn.UNIQUE(_xlfn._xlws.FILTER(HS_DB[Reporter],HS_DB[HS Code]=_xlpm.hs)))
)</f>
        <v>14</v>
      </c>
      <c r="AQ97" s="17" t="str">
        <f>IF(HS_DB[[#This Row],[Origin Count]]=1,"Single Source","Multiple Sources")</f>
        <v>Multiple Sources</v>
      </c>
      <c r="AR97" s="8">
        <f>HS_DB[[#This Row],[Annual Spend - USD]]*(HS_DB[[#This Row],[HS Code Risk Score]]/100)</f>
        <v>2476364.8400000003</v>
      </c>
      <c r="AS97" s="8">
        <f>RANK(HS_DB[[#This Row],[Risk Exposure - USD]],HS_DB[Risk Exposure - USD],0)</f>
        <v>355</v>
      </c>
      <c r="AT97" s="8" t="str">
        <f>IF(HS_DB[[#This Row],[Risk Exposure Rank]]&lt;=10,"High",
 IF(HS_DB[[#This Row],[Risk Exposure Rank]]&lt;=30,"Medium",
 "Low"))</f>
        <v>Low</v>
      </c>
      <c r="AU97" s="8" t="str">
        <f>IF(HS_DB[[#This Row],[Risk Exposure Rank]]&lt;=5,"Immediate Action",
 IF(HS_DB[[#This Row],[Risk Exposure Rank]]&lt;=15,"Monitor Closely",
 "Routine Control"))</f>
        <v>Routine Control</v>
      </c>
      <c r="AV97" s="8">
        <f>SUMIFS(HS_DB[Trade Value - USD],HS_DB[HS Code],HS_DB[[#This Row],[HS Code]])</f>
        <v>7283426</v>
      </c>
      <c r="AW97" s="6">
        <f>HS_DB[[#This Row],[Annual Spend - USD]]/HS_DB[[#This Row],[Total Market Size - USD]]</f>
        <v>1</v>
      </c>
      <c r="AX97" s="6" cm="1">
        <f t="array" ref="AX97">COUNTA(_xlfn.UNIQUE(_xlfn._xlws.FILTER(HS_DB[Partner],HS_DB[HS Code]=HS_DB[[#This Row],[HS Code]])))</f>
        <v>1</v>
      </c>
      <c r="AY97" s="8" t="str">
        <f>IF(HS_DB[[#This Row],[Competition Intensity]]&lt;=2,"Highly Concentrated",
 IF(HS_DB[[#This Row],[Competition Intensity]]&lt;=5,"Moderate",
 "Highly Competitive"))</f>
        <v>Highly Concentrated</v>
      </c>
      <c r="AZ97" s="8">
        <f>HS_DB[[#This Row],[Total Market Size - USD]]
*
(1+IFERROR(#REF!,0))
/
HS_DB[[#This Row],[Competition Intensity]]</f>
        <v>7283426</v>
      </c>
      <c r="BA97" s="8" t="str">
        <f>IF(HS_DB[[#This Row],[Commercial Opportunity Score]]&gt;=PERCENTILE(HS_DB[Commercial Opportunity Score],0.9),"High Opportunity",
 IF(HS_DB[[#This Row],[Commercial Opportunity Score]]&gt;=PERCENTILE(HS_DB[Commercial Opportunity Score],0.6),"Medium Opportunity",
 "Routine Market"))</f>
        <v>Routine Market</v>
      </c>
      <c r="BB97" s="3" t="str">
        <f>IF(AND(HS_DB[[#This Row],[Product Rank]]&gt;0,HS_DB[[#This Row],[Product Rank]]&lt;=10),"Yes","No")</f>
        <v>No</v>
      </c>
      <c r="BC97" s="3" t="str">
        <f>IF(AND(HS_DB[[#This Row],[Origin Rank]]&gt;0,HS_DB[[#This Row],[Origin Rank]]&lt;=10),"Yes","No")</f>
        <v>No</v>
      </c>
    </row>
    <row r="98" spans="2:55" x14ac:dyDescent="0.3">
      <c r="B98" s="2">
        <f>HS_DB[[#This Row],[Commodity Code]]</f>
        <v>291631</v>
      </c>
      <c r="C98" s="2">
        <f>IFERROR(INDEX(HS_MD!C:C,MATCH(B98,HS_MD!B:B,0),1),"")</f>
        <v>11</v>
      </c>
      <c r="D98" s="17" t="str">
        <f>IFERROR(INDEX(HS_MD!D:D,MATCH(B98,HS_MD!B:B,0),1),"")</f>
        <v>Benzoic acid and salts</v>
      </c>
      <c r="E98" s="17" t="str">
        <f>IFERROR(INDEX(HS_MD!E:E,MATCH(B98,HS_MD!B:B,0),1),"")</f>
        <v>Sodium Benzoate</v>
      </c>
      <c r="F98" s="17" t="str">
        <f>IFERROR(INDEX(HS_MD!F:F,MATCH(B98,HS_MD!B:B,0),1),"")</f>
        <v>PRESERVATIVES</v>
      </c>
      <c r="G98" s="17" t="str">
        <f>IFERROR(INDEX(HS_MD!G:G,MATCH(B98,HS_MD!B:B,0),1),"")</f>
        <v>Organic Preservatives</v>
      </c>
      <c r="H98" s="17" t="str">
        <f>IFERROR(INDEX(HS_MD!H:H,MATCH(B98,HS_MD!B:B,0),1),"")</f>
        <v>Sodium Benzoate</v>
      </c>
      <c r="I98" s="17" t="str">
        <f>IFERROR(INDEX(HS_MD!I:I,MATCH(B98,HS_MD!B:B,0),1),"")</f>
        <v>Beverages / Sauces</v>
      </c>
      <c r="J98" s="17">
        <f>IFERROR(INDEX(Heat_Map[Index],MATCH(HS_DB[[#This Row],[Reporter]],Heat_Map[Global],0),1),"")</f>
        <v>164</v>
      </c>
      <c r="K98" s="17" t="str">
        <f>IF(AND(HS_DB[[#This Row],[Origin Rank]]&gt;1,HS_DB[[#This Row],[Origin Rank]]&lt;=10),"Yes","No")</f>
        <v>Yes</v>
      </c>
      <c r="L98" s="2">
        <v>2024</v>
      </c>
      <c r="M98" s="2" t="s">
        <v>57</v>
      </c>
      <c r="N98" s="2" t="s">
        <v>32</v>
      </c>
      <c r="O98" s="2" t="s">
        <v>22</v>
      </c>
      <c r="P98" s="2" t="s">
        <v>23</v>
      </c>
      <c r="Q98" s="2" t="s">
        <v>24</v>
      </c>
      <c r="R98" s="2" t="s">
        <v>25</v>
      </c>
      <c r="S98" s="2">
        <v>291631</v>
      </c>
      <c r="T98" s="3">
        <v>1338</v>
      </c>
      <c r="U98" s="3">
        <v>25</v>
      </c>
      <c r="V98" s="3">
        <v>0</v>
      </c>
      <c r="W98" s="3">
        <v>25</v>
      </c>
      <c r="X98" s="3" t="s">
        <v>58</v>
      </c>
      <c r="Y98" s="3">
        <v>25</v>
      </c>
      <c r="Z98" s="2" t="s">
        <v>58</v>
      </c>
      <c r="AA98" s="6">
        <f>SUMIFS(HS_DB[Trade Value - USD],HS_DB[Reporter],HS_DB[[#This Row],[Reporter]])/SUM(HS_DB[Trade Value - USD])</f>
        <v>1.1630298885271862E-3</v>
      </c>
      <c r="AB98" s="8" cm="1">
        <f t="array" ref="AB98">SUMPRODUCT(
(HS_DB[Reporter]=HS_DB[[#This Row],[Reporter]])*
(HS_DB[Trade Value - USD]&gt;HS_DB[[#This Row],[Trade Value - USD]])
)+1</f>
        <v>9</v>
      </c>
      <c r="AC98" s="8" t="str">
        <f>IFERROR(IF(INDEX(Heat_Map[Crisis Impact %],MATCH(HS_DB[[#This Row],[Reporter]],Heat_Map[Global],0),1)&gt;0,"Yes","No"),"No")</f>
        <v>No</v>
      </c>
      <c r="AD98" s="6">
        <f>IFERROR(INDEX(Heat_Map[Crisis Impact %],MATCH(HS_DB[[#This Row],[Reporter]],Heat_Map[Global],0),1),0)</f>
        <v>0</v>
      </c>
      <c r="AE98" s="8">
        <f>HS_DB[[#This Row],[Crisis Impact%]]*HS_DB[[#This Row],[Trade Value - USD]]</f>
        <v>0</v>
      </c>
      <c r="AF98" s="8">
        <f>HS_DB[[#This Row],[Crisis Impact%]]*HS_DB[[#This Row],[Net Weight -KG]]</f>
        <v>0</v>
      </c>
      <c r="AG98" s="6">
        <f>SUMIFS(HS_DB[Trade Value - USD],HS_DB[Products],HS_DB[[#This Row],[Products]])/SUM(HS_DB[Trade Value - USD])</f>
        <v>3.8638694465253989E-3</v>
      </c>
      <c r="AH98" s="8">
        <f>_xlfn.RANK.EQ(HS_DB[[#This Row],[Trade Value - USD]], HS_DB[Trade Value - USD], 0)
 + COUNTIFS(HS_DB[Trade Value - USD],HS_DB[[#This Row],[Trade Value - USD]],
            HS_DB[HS Code],"&lt;"&amp;HS_DB[[#This Row],[HS Code]])</f>
        <v>479</v>
      </c>
      <c r="AI98" s="9">
        <f>IFERROR(HS_DB[[#This Row],[Trade Value - USD]]/HS_DB[[#This Row],[Net Weight -KG]],0)</f>
        <v>53.52</v>
      </c>
      <c r="AJ98" s="17" cm="1">
        <f t="array" ref="AJ98">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98" s="17" t="str">
        <f>IF(HS_DB[[#This Row],[HS Code Risk Score]]&gt;=40,"High",
 IF(HS_DB[[#This Row],[HS Code Risk Score]]&gt;=25,"Medium","Low"))</f>
        <v>Medium</v>
      </c>
      <c r="AL98" s="17" t="str">
        <f>IF(RANK(HS_DB[[#This Row],[HS Code Risk Score]],HS_DB[HS Code Risk Score])&lt;=10,"Yes","No")</f>
        <v>No</v>
      </c>
      <c r="AM98" s="8">
        <f>SUMIFS(HS_DB[Net Weight -KG],HS_DB[HS Code],HS_DB[[#This Row],[HS Code]])</f>
        <v>3013305.6999999997</v>
      </c>
      <c r="AN98" s="8">
        <f>SUMIFS(HS_DB[Trade Value - USD],HS_DB[HS Code],HS_DB[[#This Row],[HS Code]])</f>
        <v>7283426</v>
      </c>
      <c r="AO98" s="6">
        <f>_xlfn.MAXIFS(HS_DB[Origin Share%],HS_DB[HS Code],HS_DB[[#This Row],[HS Code]])</f>
        <v>6.321329281187793E-2</v>
      </c>
      <c r="AP98" s="8" cm="1">
        <f t="array" ref="AP98">_xlfn.LET(
_xlpm.hs,HS_DB[[#This Row],[HS Code]],
COUNTA(_xlfn.UNIQUE(_xlfn._xlws.FILTER(HS_DB[Reporter],HS_DB[HS Code]=_xlpm.hs)))
)</f>
        <v>14</v>
      </c>
      <c r="AQ98" s="17" t="str">
        <f>IF(HS_DB[[#This Row],[Origin Count]]=1,"Single Source","Multiple Sources")</f>
        <v>Multiple Sources</v>
      </c>
      <c r="AR98" s="8">
        <f>HS_DB[[#This Row],[Annual Spend - USD]]*(HS_DB[[#This Row],[HS Code Risk Score]]/100)</f>
        <v>2476364.8400000003</v>
      </c>
      <c r="AS98" s="8">
        <f>RANK(HS_DB[[#This Row],[Risk Exposure - USD]],HS_DB[Risk Exposure - USD],0)</f>
        <v>355</v>
      </c>
      <c r="AT98" s="8" t="str">
        <f>IF(HS_DB[[#This Row],[Risk Exposure Rank]]&lt;=10,"High",
 IF(HS_DB[[#This Row],[Risk Exposure Rank]]&lt;=30,"Medium",
 "Low"))</f>
        <v>Low</v>
      </c>
      <c r="AU98" s="8" t="str">
        <f>IF(HS_DB[[#This Row],[Risk Exposure Rank]]&lt;=5,"Immediate Action",
 IF(HS_DB[[#This Row],[Risk Exposure Rank]]&lt;=15,"Monitor Closely",
 "Routine Control"))</f>
        <v>Routine Control</v>
      </c>
      <c r="AV98" s="8">
        <f>SUMIFS(HS_DB[Trade Value - USD],HS_DB[HS Code],HS_DB[[#This Row],[HS Code]])</f>
        <v>7283426</v>
      </c>
      <c r="AW98" s="6">
        <f>HS_DB[[#This Row],[Annual Spend - USD]]/HS_DB[[#This Row],[Total Market Size - USD]]</f>
        <v>1</v>
      </c>
      <c r="AX98" s="6" cm="1">
        <f t="array" ref="AX98">COUNTA(_xlfn.UNIQUE(_xlfn._xlws.FILTER(HS_DB[Partner],HS_DB[HS Code]=HS_DB[[#This Row],[HS Code]])))</f>
        <v>1</v>
      </c>
      <c r="AY98" s="8" t="str">
        <f>IF(HS_DB[[#This Row],[Competition Intensity]]&lt;=2,"Highly Concentrated",
 IF(HS_DB[[#This Row],[Competition Intensity]]&lt;=5,"Moderate",
 "Highly Competitive"))</f>
        <v>Highly Concentrated</v>
      </c>
      <c r="AZ98" s="8">
        <f>HS_DB[[#This Row],[Total Market Size - USD]]
*
(1+IFERROR(#REF!,0))
/
HS_DB[[#This Row],[Competition Intensity]]</f>
        <v>7283426</v>
      </c>
      <c r="BA98" s="8" t="str">
        <f>IF(HS_DB[[#This Row],[Commercial Opportunity Score]]&gt;=PERCENTILE(HS_DB[Commercial Opportunity Score],0.9),"High Opportunity",
 IF(HS_DB[[#This Row],[Commercial Opportunity Score]]&gt;=PERCENTILE(HS_DB[Commercial Opportunity Score],0.6),"Medium Opportunity",
 "Routine Market"))</f>
        <v>Routine Market</v>
      </c>
      <c r="BB98" s="3" t="str">
        <f>IF(AND(HS_DB[[#This Row],[Product Rank]]&gt;0,HS_DB[[#This Row],[Product Rank]]&lt;=10),"Yes","No")</f>
        <v>No</v>
      </c>
      <c r="BC98" s="3" t="str">
        <f>IF(AND(HS_DB[[#This Row],[Origin Rank]]&gt;0,HS_DB[[#This Row],[Origin Rank]]&lt;=10),"Yes","No")</f>
        <v>Yes</v>
      </c>
    </row>
    <row r="99" spans="2:55" x14ac:dyDescent="0.3">
      <c r="B99" s="2">
        <f>HS_DB[[#This Row],[Commodity Code]]</f>
        <v>291631</v>
      </c>
      <c r="C99" s="2">
        <f>IFERROR(INDEX(HS_MD!C:C,MATCH(B99,HS_MD!B:B,0),1),"")</f>
        <v>11</v>
      </c>
      <c r="D99" s="17" t="str">
        <f>IFERROR(INDEX(HS_MD!D:D,MATCH(B99,HS_MD!B:B,0),1),"")</f>
        <v>Benzoic acid and salts</v>
      </c>
      <c r="E99" s="17" t="str">
        <f>IFERROR(INDEX(HS_MD!E:E,MATCH(B99,HS_MD!B:B,0),1),"")</f>
        <v>Sodium Benzoate</v>
      </c>
      <c r="F99" s="17" t="str">
        <f>IFERROR(INDEX(HS_MD!F:F,MATCH(B99,HS_MD!B:B,0),1),"")</f>
        <v>PRESERVATIVES</v>
      </c>
      <c r="G99" s="17" t="str">
        <f>IFERROR(INDEX(HS_MD!G:G,MATCH(B99,HS_MD!B:B,0),1),"")</f>
        <v>Organic Preservatives</v>
      </c>
      <c r="H99" s="17" t="str">
        <f>IFERROR(INDEX(HS_MD!H:H,MATCH(B99,HS_MD!B:B,0),1),"")</f>
        <v>Sodium Benzoate</v>
      </c>
      <c r="I99" s="17" t="str">
        <f>IFERROR(INDEX(HS_MD!I:I,MATCH(B99,HS_MD!B:B,0),1),"")</f>
        <v>Beverages / Sauces</v>
      </c>
      <c r="J99" s="17">
        <f>IFERROR(INDEX(Heat_Map[Index],MATCH(HS_DB[[#This Row],[Reporter]],Heat_Map[Global],0),1),"")</f>
        <v>175</v>
      </c>
      <c r="K99" s="17" t="str">
        <f>IF(AND(HS_DB[[#This Row],[Origin Rank]]&gt;1,HS_DB[[#This Row],[Origin Rank]]&lt;=10),"Yes","No")</f>
        <v>No</v>
      </c>
      <c r="L99" s="2">
        <v>2024</v>
      </c>
      <c r="M99" s="2" t="s">
        <v>57</v>
      </c>
      <c r="N99" s="2" t="s">
        <v>34</v>
      </c>
      <c r="O99" s="2" t="s">
        <v>22</v>
      </c>
      <c r="P99" s="2" t="s">
        <v>23</v>
      </c>
      <c r="Q99" s="2" t="s">
        <v>24</v>
      </c>
      <c r="R99" s="2" t="s">
        <v>25</v>
      </c>
      <c r="S99" s="2">
        <v>291631</v>
      </c>
      <c r="T99" s="3">
        <v>175245</v>
      </c>
      <c r="U99" s="3">
        <v>43728</v>
      </c>
      <c r="V99" s="3">
        <v>0</v>
      </c>
      <c r="W99" s="3">
        <v>43728</v>
      </c>
      <c r="X99" s="3" t="s">
        <v>58</v>
      </c>
      <c r="Y99" s="3">
        <v>43728</v>
      </c>
      <c r="Z99" s="2" t="s">
        <v>58</v>
      </c>
      <c r="AA99" s="6">
        <f>SUMIFS(HS_DB[Trade Value - USD],HS_DB[Reporter],HS_DB[[#This Row],[Reporter]])/SUM(HS_DB[Trade Value - USD])</f>
        <v>4.7522902002533667E-2</v>
      </c>
      <c r="AB99" s="8" cm="1">
        <f t="array" ref="AB99">SUMPRODUCT(
(HS_DB[Reporter]=HS_DB[[#This Row],[Reporter]])*
(HS_DB[Trade Value - USD]&gt;HS_DB[[#This Row],[Trade Value - USD]])
)+1</f>
        <v>22</v>
      </c>
      <c r="AC99" s="8" t="str">
        <f>IFERROR(IF(INDEX(Heat_Map[Crisis Impact %],MATCH(HS_DB[[#This Row],[Reporter]],Heat_Map[Global],0),1)&gt;0,"Yes","No"),"No")</f>
        <v>Yes</v>
      </c>
      <c r="AD99" s="6">
        <f>IFERROR(INDEX(Heat_Map[Crisis Impact %],MATCH(HS_DB[[#This Row],[Reporter]],Heat_Map[Global],0),1),0)</f>
        <v>0.1</v>
      </c>
      <c r="AE99" s="8">
        <f>HS_DB[[#This Row],[Crisis Impact%]]*HS_DB[[#This Row],[Trade Value - USD]]</f>
        <v>17524.5</v>
      </c>
      <c r="AF99" s="8">
        <f>HS_DB[[#This Row],[Crisis Impact%]]*HS_DB[[#This Row],[Net Weight -KG]]</f>
        <v>4372.8</v>
      </c>
      <c r="AG99" s="6">
        <f>SUMIFS(HS_DB[Trade Value - USD],HS_DB[Products],HS_DB[[#This Row],[Products]])/SUM(HS_DB[Trade Value - USD])</f>
        <v>3.8638694465253989E-3</v>
      </c>
      <c r="AH99" s="8">
        <f>_xlfn.RANK.EQ(HS_DB[[#This Row],[Trade Value - USD]], HS_DB[Trade Value - USD], 0)
 + COUNTIFS(HS_DB[Trade Value - USD],HS_DB[[#This Row],[Trade Value - USD]],
            HS_DB[HS Code],"&lt;"&amp;HS_DB[[#This Row],[HS Code]])</f>
        <v>229</v>
      </c>
      <c r="AI99" s="9">
        <f>IFERROR(HS_DB[[#This Row],[Trade Value - USD]]/HS_DB[[#This Row],[Net Weight -KG]],0)</f>
        <v>4.007615257958288</v>
      </c>
      <c r="AJ99" s="17" cm="1">
        <f t="array" ref="AJ99">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99" s="17" t="str">
        <f>IF(HS_DB[[#This Row],[HS Code Risk Score]]&gt;=40,"High",
 IF(HS_DB[[#This Row],[HS Code Risk Score]]&gt;=25,"Medium","Low"))</f>
        <v>Medium</v>
      </c>
      <c r="AL99" s="17" t="str">
        <f>IF(RANK(HS_DB[[#This Row],[HS Code Risk Score]],HS_DB[HS Code Risk Score])&lt;=10,"Yes","No")</f>
        <v>No</v>
      </c>
      <c r="AM99" s="8">
        <f>SUMIFS(HS_DB[Net Weight -KG],HS_DB[HS Code],HS_DB[[#This Row],[HS Code]])</f>
        <v>3013305.6999999997</v>
      </c>
      <c r="AN99" s="8">
        <f>SUMIFS(HS_DB[Trade Value - USD],HS_DB[HS Code],HS_DB[[#This Row],[HS Code]])</f>
        <v>7283426</v>
      </c>
      <c r="AO99" s="6">
        <f>_xlfn.MAXIFS(HS_DB[Origin Share%],HS_DB[HS Code],HS_DB[[#This Row],[HS Code]])</f>
        <v>6.321329281187793E-2</v>
      </c>
      <c r="AP99" s="8" cm="1">
        <f t="array" ref="AP99">_xlfn.LET(
_xlpm.hs,HS_DB[[#This Row],[HS Code]],
COUNTA(_xlfn.UNIQUE(_xlfn._xlws.FILTER(HS_DB[Reporter],HS_DB[HS Code]=_xlpm.hs)))
)</f>
        <v>14</v>
      </c>
      <c r="AQ99" s="17" t="str">
        <f>IF(HS_DB[[#This Row],[Origin Count]]=1,"Single Source","Multiple Sources")</f>
        <v>Multiple Sources</v>
      </c>
      <c r="AR99" s="8">
        <f>HS_DB[[#This Row],[Annual Spend - USD]]*(HS_DB[[#This Row],[HS Code Risk Score]]/100)</f>
        <v>2476364.8400000003</v>
      </c>
      <c r="AS99" s="8">
        <f>RANK(HS_DB[[#This Row],[Risk Exposure - USD]],HS_DB[Risk Exposure - USD],0)</f>
        <v>355</v>
      </c>
      <c r="AT99" s="8" t="str">
        <f>IF(HS_DB[[#This Row],[Risk Exposure Rank]]&lt;=10,"High",
 IF(HS_DB[[#This Row],[Risk Exposure Rank]]&lt;=30,"Medium",
 "Low"))</f>
        <v>Low</v>
      </c>
      <c r="AU99" s="8" t="str">
        <f>IF(HS_DB[[#This Row],[Risk Exposure Rank]]&lt;=5,"Immediate Action",
 IF(HS_DB[[#This Row],[Risk Exposure Rank]]&lt;=15,"Monitor Closely",
 "Routine Control"))</f>
        <v>Routine Control</v>
      </c>
      <c r="AV99" s="8">
        <f>SUMIFS(HS_DB[Trade Value - USD],HS_DB[HS Code],HS_DB[[#This Row],[HS Code]])</f>
        <v>7283426</v>
      </c>
      <c r="AW99" s="6">
        <f>HS_DB[[#This Row],[Annual Spend - USD]]/HS_DB[[#This Row],[Total Market Size - USD]]</f>
        <v>1</v>
      </c>
      <c r="AX99" s="6" cm="1">
        <f t="array" ref="AX99">COUNTA(_xlfn.UNIQUE(_xlfn._xlws.FILTER(HS_DB[Partner],HS_DB[HS Code]=HS_DB[[#This Row],[HS Code]])))</f>
        <v>1</v>
      </c>
      <c r="AY99" s="8" t="str">
        <f>IF(HS_DB[[#This Row],[Competition Intensity]]&lt;=2,"Highly Concentrated",
 IF(HS_DB[[#This Row],[Competition Intensity]]&lt;=5,"Moderate",
 "Highly Competitive"))</f>
        <v>Highly Concentrated</v>
      </c>
      <c r="AZ99" s="8">
        <f>HS_DB[[#This Row],[Total Market Size - USD]]
*
(1+IFERROR(#REF!,0))
/
HS_DB[[#This Row],[Competition Intensity]]</f>
        <v>7283426</v>
      </c>
      <c r="BA99" s="8" t="str">
        <f>IF(HS_DB[[#This Row],[Commercial Opportunity Score]]&gt;=PERCENTILE(HS_DB[Commercial Opportunity Score],0.9),"High Opportunity",
 IF(HS_DB[[#This Row],[Commercial Opportunity Score]]&gt;=PERCENTILE(HS_DB[Commercial Opportunity Score],0.6),"Medium Opportunity",
 "Routine Market"))</f>
        <v>Routine Market</v>
      </c>
      <c r="BB99" s="3" t="str">
        <f>IF(AND(HS_DB[[#This Row],[Product Rank]]&gt;0,HS_DB[[#This Row],[Product Rank]]&lt;=10),"Yes","No")</f>
        <v>No</v>
      </c>
      <c r="BC99" s="3" t="str">
        <f>IF(AND(HS_DB[[#This Row],[Origin Rank]]&gt;0,HS_DB[[#This Row],[Origin Rank]]&lt;=10),"Yes","No")</f>
        <v>No</v>
      </c>
    </row>
    <row r="100" spans="2:55" x14ac:dyDescent="0.3">
      <c r="B100" s="2">
        <f>HS_DB[[#This Row],[Commodity Code]]</f>
        <v>291631</v>
      </c>
      <c r="C100" s="2">
        <f>IFERROR(INDEX(HS_MD!C:C,MATCH(B100,HS_MD!B:B,0),1),"")</f>
        <v>11</v>
      </c>
      <c r="D100" s="17" t="str">
        <f>IFERROR(INDEX(HS_MD!D:D,MATCH(B100,HS_MD!B:B,0),1),"")</f>
        <v>Benzoic acid and salts</v>
      </c>
      <c r="E100" s="17" t="str">
        <f>IFERROR(INDEX(HS_MD!E:E,MATCH(B100,HS_MD!B:B,0),1),"")</f>
        <v>Sodium Benzoate</v>
      </c>
      <c r="F100" s="17" t="str">
        <f>IFERROR(INDEX(HS_MD!F:F,MATCH(B100,HS_MD!B:B,0),1),"")</f>
        <v>PRESERVATIVES</v>
      </c>
      <c r="G100" s="17" t="str">
        <f>IFERROR(INDEX(HS_MD!G:G,MATCH(B100,HS_MD!B:B,0),1),"")</f>
        <v>Organic Preservatives</v>
      </c>
      <c r="H100" s="17" t="str">
        <f>IFERROR(INDEX(HS_MD!H:H,MATCH(B100,HS_MD!B:B,0),1),"")</f>
        <v>Sodium Benzoate</v>
      </c>
      <c r="I100" s="17" t="str">
        <f>IFERROR(INDEX(HS_MD!I:I,MATCH(B100,HS_MD!B:B,0),1),"")</f>
        <v>Beverages / Sauces</v>
      </c>
      <c r="J100" s="17">
        <f>IFERROR(INDEX(Heat_Map[Index],MATCH(HS_DB[[#This Row],[Reporter]],Heat_Map[Global],0),1),"")</f>
        <v>181</v>
      </c>
      <c r="K100" s="17" t="str">
        <f>IF(AND(HS_DB[[#This Row],[Origin Rank]]&gt;1,HS_DB[[#This Row],[Origin Rank]]&lt;=10),"Yes","No")</f>
        <v>No</v>
      </c>
      <c r="L100" s="2">
        <v>2024</v>
      </c>
      <c r="M100" s="2" t="s">
        <v>57</v>
      </c>
      <c r="N100" s="2" t="s">
        <v>36</v>
      </c>
      <c r="O100" s="2" t="s">
        <v>22</v>
      </c>
      <c r="P100" s="2" t="s">
        <v>23</v>
      </c>
      <c r="Q100" s="2" t="s">
        <v>24</v>
      </c>
      <c r="R100" s="2" t="s">
        <v>25</v>
      </c>
      <c r="S100" s="2">
        <v>291631</v>
      </c>
      <c r="T100" s="3">
        <v>6866</v>
      </c>
      <c r="U100" s="3">
        <v>962</v>
      </c>
      <c r="V100" s="3">
        <v>0</v>
      </c>
      <c r="W100" s="3">
        <v>962</v>
      </c>
      <c r="X100" s="3" t="s">
        <v>58</v>
      </c>
      <c r="Y100" s="3">
        <v>962</v>
      </c>
      <c r="Z100" s="2" t="s">
        <v>58</v>
      </c>
      <c r="AA100" s="6">
        <f>SUMIFS(HS_DB[Trade Value - USD],HS_DB[Reporter],HS_DB[[#This Row],[Reporter]])/SUM(HS_DB[Trade Value - USD])</f>
        <v>1.3104801671892474E-3</v>
      </c>
      <c r="AB100" s="8" cm="1">
        <f t="array" ref="AB100">SUMPRODUCT(
(HS_DB[Reporter]=HS_DB[[#This Row],[Reporter]])*
(HS_DB[Trade Value - USD]&gt;HS_DB[[#This Row],[Trade Value - USD]])
)+1</f>
        <v>15</v>
      </c>
      <c r="AC100" s="8" t="str">
        <f>IFERROR(IF(INDEX(Heat_Map[Crisis Impact %],MATCH(HS_DB[[#This Row],[Reporter]],Heat_Map[Global],0),1)&gt;0,"Yes","No"),"No")</f>
        <v>No</v>
      </c>
      <c r="AD100" s="6">
        <f>IFERROR(INDEX(Heat_Map[Crisis Impact %],MATCH(HS_DB[[#This Row],[Reporter]],Heat_Map[Global],0),1),0)</f>
        <v>0</v>
      </c>
      <c r="AE100" s="8">
        <f>HS_DB[[#This Row],[Crisis Impact%]]*HS_DB[[#This Row],[Trade Value - USD]]</f>
        <v>0</v>
      </c>
      <c r="AF100" s="8">
        <f>HS_DB[[#This Row],[Crisis Impact%]]*HS_DB[[#This Row],[Net Weight -KG]]</f>
        <v>0</v>
      </c>
      <c r="AG100" s="6">
        <f>SUMIFS(HS_DB[Trade Value - USD],HS_DB[Products],HS_DB[[#This Row],[Products]])/SUM(HS_DB[Trade Value - USD])</f>
        <v>3.8638694465253989E-3</v>
      </c>
      <c r="AH100" s="8">
        <f>_xlfn.RANK.EQ(HS_DB[[#This Row],[Trade Value - USD]], HS_DB[Trade Value - USD], 0)
 + COUNTIFS(HS_DB[Trade Value - USD],HS_DB[[#This Row],[Trade Value - USD]],
            HS_DB[HS Code],"&lt;"&amp;HS_DB[[#This Row],[HS Code]])</f>
        <v>425</v>
      </c>
      <c r="AI100" s="9">
        <f>IFERROR(HS_DB[[#This Row],[Trade Value - USD]]/HS_DB[[#This Row],[Net Weight -KG]],0)</f>
        <v>7.1372141372141371</v>
      </c>
      <c r="AJ100" s="17" cm="1">
        <f t="array" ref="AJ100">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00" s="17" t="str">
        <f>IF(HS_DB[[#This Row],[HS Code Risk Score]]&gt;=40,"High",
 IF(HS_DB[[#This Row],[HS Code Risk Score]]&gt;=25,"Medium","Low"))</f>
        <v>Medium</v>
      </c>
      <c r="AL100" s="17" t="str">
        <f>IF(RANK(HS_DB[[#This Row],[HS Code Risk Score]],HS_DB[HS Code Risk Score])&lt;=10,"Yes","No")</f>
        <v>No</v>
      </c>
      <c r="AM100" s="8">
        <f>SUMIFS(HS_DB[Net Weight -KG],HS_DB[HS Code],HS_DB[[#This Row],[HS Code]])</f>
        <v>3013305.6999999997</v>
      </c>
      <c r="AN100" s="8">
        <f>SUMIFS(HS_DB[Trade Value - USD],HS_DB[HS Code],HS_DB[[#This Row],[HS Code]])</f>
        <v>7283426</v>
      </c>
      <c r="AO100" s="6">
        <f>_xlfn.MAXIFS(HS_DB[Origin Share%],HS_DB[HS Code],HS_DB[[#This Row],[HS Code]])</f>
        <v>6.321329281187793E-2</v>
      </c>
      <c r="AP100" s="8" cm="1">
        <f t="array" ref="AP100">_xlfn.LET(
_xlpm.hs,HS_DB[[#This Row],[HS Code]],
COUNTA(_xlfn.UNIQUE(_xlfn._xlws.FILTER(HS_DB[Reporter],HS_DB[HS Code]=_xlpm.hs)))
)</f>
        <v>14</v>
      </c>
      <c r="AQ100" s="17" t="str">
        <f>IF(HS_DB[[#This Row],[Origin Count]]=1,"Single Source","Multiple Sources")</f>
        <v>Multiple Sources</v>
      </c>
      <c r="AR100" s="8">
        <f>HS_DB[[#This Row],[Annual Spend - USD]]*(HS_DB[[#This Row],[HS Code Risk Score]]/100)</f>
        <v>2476364.8400000003</v>
      </c>
      <c r="AS100" s="8">
        <f>RANK(HS_DB[[#This Row],[Risk Exposure - USD]],HS_DB[Risk Exposure - USD],0)</f>
        <v>355</v>
      </c>
      <c r="AT100" s="8" t="str">
        <f>IF(HS_DB[[#This Row],[Risk Exposure Rank]]&lt;=10,"High",
 IF(HS_DB[[#This Row],[Risk Exposure Rank]]&lt;=30,"Medium",
 "Low"))</f>
        <v>Low</v>
      </c>
      <c r="AU100" s="8" t="str">
        <f>IF(HS_DB[[#This Row],[Risk Exposure Rank]]&lt;=5,"Immediate Action",
 IF(HS_DB[[#This Row],[Risk Exposure Rank]]&lt;=15,"Monitor Closely",
 "Routine Control"))</f>
        <v>Routine Control</v>
      </c>
      <c r="AV100" s="8">
        <f>SUMIFS(HS_DB[Trade Value - USD],HS_DB[HS Code],HS_DB[[#This Row],[HS Code]])</f>
        <v>7283426</v>
      </c>
      <c r="AW100" s="6">
        <f>HS_DB[[#This Row],[Annual Spend - USD]]/HS_DB[[#This Row],[Total Market Size - USD]]</f>
        <v>1</v>
      </c>
      <c r="AX100" s="6" cm="1">
        <f t="array" ref="AX100">COUNTA(_xlfn.UNIQUE(_xlfn._xlws.FILTER(HS_DB[Partner],HS_DB[HS Code]=HS_DB[[#This Row],[HS Code]])))</f>
        <v>1</v>
      </c>
      <c r="AY100" s="8" t="str">
        <f>IF(HS_DB[[#This Row],[Competition Intensity]]&lt;=2,"Highly Concentrated",
 IF(HS_DB[[#This Row],[Competition Intensity]]&lt;=5,"Moderate",
 "Highly Competitive"))</f>
        <v>Highly Concentrated</v>
      </c>
      <c r="AZ100" s="8">
        <f>HS_DB[[#This Row],[Total Market Size - USD]]
*
(1+IFERROR(#REF!,0))
/
HS_DB[[#This Row],[Competition Intensity]]</f>
        <v>7283426</v>
      </c>
      <c r="BA100" s="8" t="str">
        <f>IF(HS_DB[[#This Row],[Commercial Opportunity Score]]&gt;=PERCENTILE(HS_DB[Commercial Opportunity Score],0.9),"High Opportunity",
 IF(HS_DB[[#This Row],[Commercial Opportunity Score]]&gt;=PERCENTILE(HS_DB[Commercial Opportunity Score],0.6),"Medium Opportunity",
 "Routine Market"))</f>
        <v>Routine Market</v>
      </c>
      <c r="BB100" s="3" t="str">
        <f>IF(AND(HS_DB[[#This Row],[Product Rank]]&gt;0,HS_DB[[#This Row],[Product Rank]]&lt;=10),"Yes","No")</f>
        <v>No</v>
      </c>
      <c r="BC100" s="3" t="str">
        <f>IF(AND(HS_DB[[#This Row],[Origin Rank]]&gt;0,HS_DB[[#This Row],[Origin Rank]]&lt;=10),"Yes","No")</f>
        <v>No</v>
      </c>
    </row>
    <row r="101" spans="2:55" x14ac:dyDescent="0.3">
      <c r="B101" s="2">
        <f>HS_DB[[#This Row],[Commodity Code]]</f>
        <v>291631</v>
      </c>
      <c r="C101" s="2">
        <f>IFERROR(INDEX(HS_MD!C:C,MATCH(B101,HS_MD!B:B,0),1),"")</f>
        <v>11</v>
      </c>
      <c r="D101" s="17" t="str">
        <f>IFERROR(INDEX(HS_MD!D:D,MATCH(B101,HS_MD!B:B,0),1),"")</f>
        <v>Benzoic acid and salts</v>
      </c>
      <c r="E101" s="17" t="str">
        <f>IFERROR(INDEX(HS_MD!E:E,MATCH(B101,HS_MD!B:B,0),1),"")</f>
        <v>Sodium Benzoate</v>
      </c>
      <c r="F101" s="17" t="str">
        <f>IFERROR(INDEX(HS_MD!F:F,MATCH(B101,HS_MD!B:B,0),1),"")</f>
        <v>PRESERVATIVES</v>
      </c>
      <c r="G101" s="17" t="str">
        <f>IFERROR(INDEX(HS_MD!G:G,MATCH(B101,HS_MD!B:B,0),1),"")</f>
        <v>Organic Preservatives</v>
      </c>
      <c r="H101" s="17" t="str">
        <f>IFERROR(INDEX(HS_MD!H:H,MATCH(B101,HS_MD!B:B,0),1),"")</f>
        <v>Sodium Benzoate</v>
      </c>
      <c r="I101" s="17" t="str">
        <f>IFERROR(INDEX(HS_MD!I:I,MATCH(B101,HS_MD!B:B,0),1),"")</f>
        <v>Beverages / Sauces</v>
      </c>
      <c r="J101" s="17">
        <f>IFERROR(INDEX(Heat_Map[Index],MATCH(HS_DB[[#This Row],[Reporter]],Heat_Map[Global],0),1),"")</f>
        <v>182</v>
      </c>
      <c r="K101" s="17" t="str">
        <f>IF(AND(HS_DB[[#This Row],[Origin Rank]]&gt;1,HS_DB[[#This Row],[Origin Rank]]&lt;=10),"Yes","No")</f>
        <v>No</v>
      </c>
      <c r="L101" s="2">
        <v>2024</v>
      </c>
      <c r="M101" s="2" t="s">
        <v>57</v>
      </c>
      <c r="N101" s="2" t="s">
        <v>56</v>
      </c>
      <c r="O101" s="2" t="s">
        <v>22</v>
      </c>
      <c r="P101" s="2" t="s">
        <v>23</v>
      </c>
      <c r="Q101" s="2" t="s">
        <v>24</v>
      </c>
      <c r="R101" s="2" t="s">
        <v>25</v>
      </c>
      <c r="S101" s="2">
        <v>291631</v>
      </c>
      <c r="T101" s="3">
        <v>3650</v>
      </c>
      <c r="U101" s="3">
        <v>200</v>
      </c>
      <c r="V101" s="3">
        <v>0</v>
      </c>
      <c r="W101" s="3">
        <v>200</v>
      </c>
      <c r="X101" s="3" t="s">
        <v>58</v>
      </c>
      <c r="Y101" s="3">
        <v>200</v>
      </c>
      <c r="Z101" s="2" t="s">
        <v>58</v>
      </c>
      <c r="AA101" s="6">
        <f>SUMIFS(HS_DB[Trade Value - USD],HS_DB[Reporter],HS_DB[[#This Row],[Reporter]])/SUM(HS_DB[Trade Value - USD])</f>
        <v>9.425427433633813E-3</v>
      </c>
      <c r="AB101" s="8" cm="1">
        <f t="array" ref="AB101">SUMPRODUCT(
(HS_DB[Reporter]=HS_DB[[#This Row],[Reporter]])*
(HS_DB[Trade Value - USD]&gt;HS_DB[[#This Row],[Trade Value - USD]])
)+1</f>
        <v>25</v>
      </c>
      <c r="AC101" s="8" t="str">
        <f>IFERROR(IF(INDEX(Heat_Map[Crisis Impact %],MATCH(HS_DB[[#This Row],[Reporter]],Heat_Map[Global],0),1)&gt;0,"Yes","No"),"No")</f>
        <v>Yes</v>
      </c>
      <c r="AD101" s="6">
        <f>IFERROR(INDEX(Heat_Map[Crisis Impact %],MATCH(HS_DB[[#This Row],[Reporter]],Heat_Map[Global],0),1),0)</f>
        <v>4.0000000000000008E-2</v>
      </c>
      <c r="AE101" s="8">
        <f>HS_DB[[#This Row],[Crisis Impact%]]*HS_DB[[#This Row],[Trade Value - USD]]</f>
        <v>146.00000000000003</v>
      </c>
      <c r="AF101" s="8">
        <f>HS_DB[[#This Row],[Crisis Impact%]]*HS_DB[[#This Row],[Net Weight -KG]]</f>
        <v>8.0000000000000018</v>
      </c>
      <c r="AG101" s="6">
        <f>SUMIFS(HS_DB[Trade Value - USD],HS_DB[Products],HS_DB[[#This Row],[Products]])/SUM(HS_DB[Trade Value - USD])</f>
        <v>3.8638694465253989E-3</v>
      </c>
      <c r="AH101" s="8">
        <f>_xlfn.RANK.EQ(HS_DB[[#This Row],[Trade Value - USD]], HS_DB[Trade Value - USD], 0)
 + COUNTIFS(HS_DB[Trade Value - USD],HS_DB[[#This Row],[Trade Value - USD]],
            HS_DB[HS Code],"&lt;"&amp;HS_DB[[#This Row],[HS Code]])</f>
        <v>450</v>
      </c>
      <c r="AI101" s="9">
        <f>IFERROR(HS_DB[[#This Row],[Trade Value - USD]]/HS_DB[[#This Row],[Net Weight -KG]],0)</f>
        <v>18.25</v>
      </c>
      <c r="AJ101" s="17" cm="1">
        <f t="array" ref="AJ101">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01" s="17" t="str">
        <f>IF(HS_DB[[#This Row],[HS Code Risk Score]]&gt;=40,"High",
 IF(HS_DB[[#This Row],[HS Code Risk Score]]&gt;=25,"Medium","Low"))</f>
        <v>Medium</v>
      </c>
      <c r="AL101" s="17" t="str">
        <f>IF(RANK(HS_DB[[#This Row],[HS Code Risk Score]],HS_DB[HS Code Risk Score])&lt;=10,"Yes","No")</f>
        <v>No</v>
      </c>
      <c r="AM101" s="8">
        <f>SUMIFS(HS_DB[Net Weight -KG],HS_DB[HS Code],HS_DB[[#This Row],[HS Code]])</f>
        <v>3013305.6999999997</v>
      </c>
      <c r="AN101" s="8">
        <f>SUMIFS(HS_DB[Trade Value - USD],HS_DB[HS Code],HS_DB[[#This Row],[HS Code]])</f>
        <v>7283426</v>
      </c>
      <c r="AO101" s="6">
        <f>_xlfn.MAXIFS(HS_DB[Origin Share%],HS_DB[HS Code],HS_DB[[#This Row],[HS Code]])</f>
        <v>6.321329281187793E-2</v>
      </c>
      <c r="AP101" s="8" cm="1">
        <f t="array" ref="AP101">_xlfn.LET(
_xlpm.hs,HS_DB[[#This Row],[HS Code]],
COUNTA(_xlfn.UNIQUE(_xlfn._xlws.FILTER(HS_DB[Reporter],HS_DB[HS Code]=_xlpm.hs)))
)</f>
        <v>14</v>
      </c>
      <c r="AQ101" s="17" t="str">
        <f>IF(HS_DB[[#This Row],[Origin Count]]=1,"Single Source","Multiple Sources")</f>
        <v>Multiple Sources</v>
      </c>
      <c r="AR101" s="8">
        <f>HS_DB[[#This Row],[Annual Spend - USD]]*(HS_DB[[#This Row],[HS Code Risk Score]]/100)</f>
        <v>2476364.8400000003</v>
      </c>
      <c r="AS101" s="8">
        <f>RANK(HS_DB[[#This Row],[Risk Exposure - USD]],HS_DB[Risk Exposure - USD],0)</f>
        <v>355</v>
      </c>
      <c r="AT101" s="8" t="str">
        <f>IF(HS_DB[[#This Row],[Risk Exposure Rank]]&lt;=10,"High",
 IF(HS_DB[[#This Row],[Risk Exposure Rank]]&lt;=30,"Medium",
 "Low"))</f>
        <v>Low</v>
      </c>
      <c r="AU101" s="8" t="str">
        <f>IF(HS_DB[[#This Row],[Risk Exposure Rank]]&lt;=5,"Immediate Action",
 IF(HS_DB[[#This Row],[Risk Exposure Rank]]&lt;=15,"Monitor Closely",
 "Routine Control"))</f>
        <v>Routine Control</v>
      </c>
      <c r="AV101" s="8">
        <f>SUMIFS(HS_DB[Trade Value - USD],HS_DB[HS Code],HS_DB[[#This Row],[HS Code]])</f>
        <v>7283426</v>
      </c>
      <c r="AW101" s="6">
        <f>HS_DB[[#This Row],[Annual Spend - USD]]/HS_DB[[#This Row],[Total Market Size - USD]]</f>
        <v>1</v>
      </c>
      <c r="AX101" s="6" cm="1">
        <f t="array" ref="AX101">COUNTA(_xlfn.UNIQUE(_xlfn._xlws.FILTER(HS_DB[Partner],HS_DB[HS Code]=HS_DB[[#This Row],[HS Code]])))</f>
        <v>1</v>
      </c>
      <c r="AY101" s="8" t="str">
        <f>IF(HS_DB[[#This Row],[Competition Intensity]]&lt;=2,"Highly Concentrated",
 IF(HS_DB[[#This Row],[Competition Intensity]]&lt;=5,"Moderate",
 "Highly Competitive"))</f>
        <v>Highly Concentrated</v>
      </c>
      <c r="AZ101" s="8">
        <f>HS_DB[[#This Row],[Total Market Size - USD]]
*
(1+IFERROR(#REF!,0))
/
HS_DB[[#This Row],[Competition Intensity]]</f>
        <v>7283426</v>
      </c>
      <c r="BA101" s="8" t="str">
        <f>IF(HS_DB[[#This Row],[Commercial Opportunity Score]]&gt;=PERCENTILE(HS_DB[Commercial Opportunity Score],0.9),"High Opportunity",
 IF(HS_DB[[#This Row],[Commercial Opportunity Score]]&gt;=PERCENTILE(HS_DB[Commercial Opportunity Score],0.6),"Medium Opportunity",
 "Routine Market"))</f>
        <v>Routine Market</v>
      </c>
      <c r="BB101" s="3" t="str">
        <f>IF(AND(HS_DB[[#This Row],[Product Rank]]&gt;0,HS_DB[[#This Row],[Product Rank]]&lt;=10),"Yes","No")</f>
        <v>No</v>
      </c>
      <c r="BC101" s="3" t="str">
        <f>IF(AND(HS_DB[[#This Row],[Origin Rank]]&gt;0,HS_DB[[#This Row],[Origin Rank]]&lt;=10),"Yes","No")</f>
        <v>No</v>
      </c>
    </row>
    <row r="102" spans="2:55" x14ac:dyDescent="0.3">
      <c r="B102" s="2">
        <f>HS_DB[[#This Row],[Commodity Code]]</f>
        <v>391231</v>
      </c>
      <c r="C102" s="2">
        <f>IFERROR(INDEX(HS_MD!C:C,MATCH(B102,HS_MD!B:B,0),1),"")</f>
        <v>2</v>
      </c>
      <c r="D102" s="17" t="str">
        <f>IFERROR(INDEX(HS_MD!D:D,MATCH(B102,HS_MD!B:B,0),1),"")</f>
        <v>Cellulose ethers</v>
      </c>
      <c r="E102" s="17" t="str">
        <f>IFERROR(INDEX(HS_MD!E:E,MATCH(B102,HS_MD!B:B,0),1),"")</f>
        <v>CMC (Carboxymethyl Cellulose)</v>
      </c>
      <c r="F102" s="17" t="str">
        <f>IFERROR(INDEX(HS_MD!F:F,MATCH(B102,HS_MD!B:B,0),1),"")</f>
        <v>FUNCTIONAL INGREDIENTS</v>
      </c>
      <c r="G102" s="17" t="str">
        <f>IFERROR(INDEX(HS_MD!G:G,MATCH(B102,HS_MD!B:B,0),1),"")</f>
        <v>Hydrocolloids</v>
      </c>
      <c r="H102" s="17" t="str">
        <f>IFERROR(INDEX(HS_MD!H:H,MATCH(B102,HS_MD!B:B,0),1),"")</f>
        <v>Cellulose Derivatives</v>
      </c>
      <c r="I102" s="17" t="str">
        <f>IFERROR(INDEX(HS_MD!I:I,MATCH(B102,HS_MD!B:B,0),1),"")</f>
        <v>Sauces / Beverages / Ice Cream</v>
      </c>
      <c r="J102" s="17">
        <f>IFERROR(INDEX(Heat_Map[Index],MATCH(HS_DB[[#This Row],[Reporter]],Heat_Map[Global],0),1),"")</f>
        <v>17</v>
      </c>
      <c r="K102" s="17" t="str">
        <f>IF(AND(HS_DB[[#This Row],[Origin Rank]]&gt;1,HS_DB[[#This Row],[Origin Rank]]&lt;=10),"Yes","No")</f>
        <v>No</v>
      </c>
      <c r="L102" s="2">
        <v>2024</v>
      </c>
      <c r="M102" s="2" t="s">
        <v>57</v>
      </c>
      <c r="N102" s="2" t="s">
        <v>5</v>
      </c>
      <c r="O102" s="2" t="s">
        <v>22</v>
      </c>
      <c r="P102" s="2" t="s">
        <v>23</v>
      </c>
      <c r="Q102" s="2" t="s">
        <v>24</v>
      </c>
      <c r="R102" s="2" t="s">
        <v>25</v>
      </c>
      <c r="S102" s="2">
        <v>391231</v>
      </c>
      <c r="T102" s="3">
        <v>6406</v>
      </c>
      <c r="U102" s="3">
        <v>1720.3</v>
      </c>
      <c r="V102" s="3">
        <v>0</v>
      </c>
      <c r="W102" s="3">
        <v>1720</v>
      </c>
      <c r="X102" s="3" t="s">
        <v>58</v>
      </c>
      <c r="Y102" s="3">
        <v>1720</v>
      </c>
      <c r="Z102" s="3" t="s">
        <v>58</v>
      </c>
      <c r="AA102" s="6">
        <f>SUMIFS(HS_DB[Trade Value - USD],HS_DB[Reporter],HS_DB[[#This Row],[Reporter]])/SUM(HS_DB[Trade Value - USD])</f>
        <v>5.3992075088500962E-3</v>
      </c>
      <c r="AB102" s="8" cm="1">
        <f t="array" ref="AB102">SUMPRODUCT(
(HS_DB[Reporter]=HS_DB[[#This Row],[Reporter]])*
(HS_DB[Trade Value - USD]&gt;HS_DB[[#This Row],[Trade Value - USD]])
)+1</f>
        <v>20</v>
      </c>
      <c r="AC102" s="8" t="str">
        <f>IFERROR(IF(INDEX(Heat_Map[Crisis Impact %],MATCH(HS_DB[[#This Row],[Reporter]],Heat_Map[Global],0),1)&gt;0,"Yes","No"),"No")</f>
        <v>No</v>
      </c>
      <c r="AD102" s="6">
        <f>IFERROR(INDEX(Heat_Map[Crisis Impact %],MATCH(HS_DB[[#This Row],[Reporter]],Heat_Map[Global],0),1),0)</f>
        <v>0</v>
      </c>
      <c r="AE102" s="8">
        <f>HS_DB[[#This Row],[Crisis Impact%]]*HS_DB[[#This Row],[Trade Value - USD]]</f>
        <v>0</v>
      </c>
      <c r="AF102" s="8">
        <f>HS_DB[[#This Row],[Crisis Impact%]]*HS_DB[[#This Row],[Net Weight -KG]]</f>
        <v>0</v>
      </c>
      <c r="AG102" s="6">
        <f>SUMIFS(HS_DB[Trade Value - USD],HS_DB[Products],HS_DB[[#This Row],[Products]])/SUM(HS_DB[Trade Value - USD])</f>
        <v>8.3692639177155963E-3</v>
      </c>
      <c r="AH102" s="8">
        <f>_xlfn.RANK.EQ(HS_DB[[#This Row],[Trade Value - USD]], HS_DB[Trade Value - USD], 0)
 + COUNTIFS(HS_DB[Trade Value - USD],HS_DB[[#This Row],[Trade Value - USD]],
            HS_DB[HS Code],"&lt;"&amp;HS_DB[[#This Row],[HS Code]])</f>
        <v>430</v>
      </c>
      <c r="AI102" s="9">
        <f>IFERROR(HS_DB[[#This Row],[Trade Value - USD]]/HS_DB[[#This Row],[Net Weight -KG]],0)</f>
        <v>3.7237691100389467</v>
      </c>
      <c r="AJ102" s="17" cm="1">
        <f t="array" ref="AJ102">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02" s="17" t="str">
        <f>IF(HS_DB[[#This Row],[HS Code Risk Score]]&gt;=40,"High",
 IF(HS_DB[[#This Row],[HS Code Risk Score]]&gt;=25,"Medium","Low"))</f>
        <v>Medium</v>
      </c>
      <c r="AL102" s="17" t="str">
        <f>IF(RANK(HS_DB[[#This Row],[HS Code Risk Score]],HS_DB[HS Code Risk Score])&lt;=10,"Yes","No")</f>
        <v>No</v>
      </c>
      <c r="AM102" s="8">
        <f>SUMIFS(HS_DB[Net Weight -KG],HS_DB[HS Code],HS_DB[[#This Row],[HS Code]])</f>
        <v>6842762.2999999998</v>
      </c>
      <c r="AN102" s="8">
        <f>SUMIFS(HS_DB[Trade Value - USD],HS_DB[HS Code],HS_DB[[#This Row],[HS Code]])</f>
        <v>15776132</v>
      </c>
      <c r="AO102" s="6">
        <f>_xlfn.MAXIFS(HS_DB[Origin Share%],HS_DB[HS Code],HS_DB[[#This Row],[HS Code]])</f>
        <v>6.321329281187793E-2</v>
      </c>
      <c r="AP102" s="8" cm="1">
        <f t="array" ref="AP102">_xlfn.LET(
_xlpm.hs,HS_DB[[#This Row],[HS Code]],
COUNTA(_xlfn.UNIQUE(_xlfn._xlws.FILTER(HS_DB[Reporter],HS_DB[HS Code]=_xlpm.hs)))
)</f>
        <v>17</v>
      </c>
      <c r="AQ102" s="17" t="str">
        <f>IF(HS_DB[[#This Row],[Origin Count]]=1,"Single Source","Multiple Sources")</f>
        <v>Multiple Sources</v>
      </c>
      <c r="AR102" s="8">
        <f>HS_DB[[#This Row],[Annual Spend - USD]]*(HS_DB[[#This Row],[HS Code Risk Score]]/100)</f>
        <v>5363884.8800000008</v>
      </c>
      <c r="AS102" s="8">
        <f>RANK(HS_DB[[#This Row],[Risk Exposure - USD]],HS_DB[Risk Exposure - USD],0)</f>
        <v>144</v>
      </c>
      <c r="AT102" s="8" t="str">
        <f>IF(HS_DB[[#This Row],[Risk Exposure Rank]]&lt;=10,"High",
 IF(HS_DB[[#This Row],[Risk Exposure Rank]]&lt;=30,"Medium",
 "Low"))</f>
        <v>Low</v>
      </c>
      <c r="AU102" s="8" t="str">
        <f>IF(HS_DB[[#This Row],[Risk Exposure Rank]]&lt;=5,"Immediate Action",
 IF(HS_DB[[#This Row],[Risk Exposure Rank]]&lt;=15,"Monitor Closely",
 "Routine Control"))</f>
        <v>Routine Control</v>
      </c>
      <c r="AV102" s="8">
        <f>SUMIFS(HS_DB[Trade Value - USD],HS_DB[HS Code],HS_DB[[#This Row],[HS Code]])</f>
        <v>15776132</v>
      </c>
      <c r="AW102" s="6">
        <f>HS_DB[[#This Row],[Annual Spend - USD]]/HS_DB[[#This Row],[Total Market Size - USD]]</f>
        <v>1</v>
      </c>
      <c r="AX102" s="6" cm="1">
        <f t="array" ref="AX102">COUNTA(_xlfn.UNIQUE(_xlfn._xlws.FILTER(HS_DB[Partner],HS_DB[HS Code]=HS_DB[[#This Row],[HS Code]])))</f>
        <v>1</v>
      </c>
      <c r="AY102" s="8" t="str">
        <f>IF(HS_DB[[#This Row],[Competition Intensity]]&lt;=2,"Highly Concentrated",
 IF(HS_DB[[#This Row],[Competition Intensity]]&lt;=5,"Moderate",
 "Highly Competitive"))</f>
        <v>Highly Concentrated</v>
      </c>
      <c r="AZ102" s="8">
        <f>HS_DB[[#This Row],[Total Market Size - USD]]
*
(1+IFERROR(#REF!,0))
/
HS_DB[[#This Row],[Competition Intensity]]</f>
        <v>15776132</v>
      </c>
      <c r="BA102" s="8" t="str">
        <f>IF(HS_DB[[#This Row],[Commercial Opportunity Score]]&gt;=PERCENTILE(HS_DB[Commercial Opportunity Score],0.9),"High Opportunity",
 IF(HS_DB[[#This Row],[Commercial Opportunity Score]]&gt;=PERCENTILE(HS_DB[Commercial Opportunity Score],0.6),"Medium Opportunity",
 "Routine Market"))</f>
        <v>Medium Opportunity</v>
      </c>
      <c r="BB102" s="3" t="str">
        <f>IF(AND(HS_DB[[#This Row],[Product Rank]]&gt;0,HS_DB[[#This Row],[Product Rank]]&lt;=10),"Yes","No")</f>
        <v>No</v>
      </c>
      <c r="BC102" s="3" t="str">
        <f>IF(AND(HS_DB[[#This Row],[Origin Rank]]&gt;0,HS_DB[[#This Row],[Origin Rank]]&lt;=10),"Yes","No")</f>
        <v>No</v>
      </c>
    </row>
    <row r="103" spans="2:55" x14ac:dyDescent="0.3">
      <c r="B103" s="2">
        <f>HS_DB[[#This Row],[Commodity Code]]</f>
        <v>391231</v>
      </c>
      <c r="C103" s="2">
        <f>IFERROR(INDEX(HS_MD!C:C,MATCH(B103,HS_MD!B:B,0),1),"")</f>
        <v>2</v>
      </c>
      <c r="D103" s="17" t="str">
        <f>IFERROR(INDEX(HS_MD!D:D,MATCH(B103,HS_MD!B:B,0),1),"")</f>
        <v>Cellulose ethers</v>
      </c>
      <c r="E103" s="17" t="str">
        <f>IFERROR(INDEX(HS_MD!E:E,MATCH(B103,HS_MD!B:B,0),1),"")</f>
        <v>CMC (Carboxymethyl Cellulose)</v>
      </c>
      <c r="F103" s="17" t="str">
        <f>IFERROR(INDEX(HS_MD!F:F,MATCH(B103,HS_MD!B:B,0),1),"")</f>
        <v>FUNCTIONAL INGREDIENTS</v>
      </c>
      <c r="G103" s="17" t="str">
        <f>IFERROR(INDEX(HS_MD!G:G,MATCH(B103,HS_MD!B:B,0),1),"")</f>
        <v>Hydrocolloids</v>
      </c>
      <c r="H103" s="17" t="str">
        <f>IFERROR(INDEX(HS_MD!H:H,MATCH(B103,HS_MD!B:B,0),1),"")</f>
        <v>Cellulose Derivatives</v>
      </c>
      <c r="I103" s="17" t="str">
        <f>IFERROR(INDEX(HS_MD!I:I,MATCH(B103,HS_MD!B:B,0),1),"")</f>
        <v>Sauces / Beverages / Ice Cream</v>
      </c>
      <c r="J103" s="17">
        <f>IFERROR(INDEX(Heat_Map[Index],MATCH(HS_DB[[#This Row],[Reporter]],Heat_Map[Global],0),1),"")</f>
        <v>26</v>
      </c>
      <c r="K103" s="17" t="str">
        <f>IF(AND(HS_DB[[#This Row],[Origin Rank]]&gt;1,HS_DB[[#This Row],[Origin Rank]]&lt;=10),"Yes","No")</f>
        <v>Yes</v>
      </c>
      <c r="L103" s="2">
        <v>2024</v>
      </c>
      <c r="M103" s="2" t="s">
        <v>57</v>
      </c>
      <c r="N103" s="2" t="s">
        <v>141</v>
      </c>
      <c r="O103" s="2" t="s">
        <v>22</v>
      </c>
      <c r="P103" s="2" t="s">
        <v>23</v>
      </c>
      <c r="Q103" s="2" t="s">
        <v>24</v>
      </c>
      <c r="R103" s="2" t="s">
        <v>25</v>
      </c>
      <c r="S103" s="2">
        <v>391231</v>
      </c>
      <c r="T103" s="3">
        <v>1941</v>
      </c>
      <c r="U103" s="3">
        <v>75</v>
      </c>
      <c r="V103" s="3">
        <v>0</v>
      </c>
      <c r="W103" s="3">
        <v>75</v>
      </c>
      <c r="X103" s="3" t="s">
        <v>58</v>
      </c>
      <c r="Y103" s="3">
        <v>75</v>
      </c>
      <c r="Z103" s="3" t="s">
        <v>58</v>
      </c>
      <c r="AA103" s="6">
        <f>SUMIFS(HS_DB[Trade Value - USD],HS_DB[Reporter],HS_DB[[#This Row],[Reporter]])/SUM(HS_DB[Trade Value - USD])</f>
        <v>5.4237925464080154E-3</v>
      </c>
      <c r="AB103" s="8" cm="1">
        <f t="array" ref="AB103">SUMPRODUCT(
(HS_DB[Reporter]=HS_DB[[#This Row],[Reporter]])*
(HS_DB[Trade Value - USD]&gt;HS_DB[[#This Row],[Trade Value - USD]])
)+1</f>
        <v>7</v>
      </c>
      <c r="AC103" s="8" t="str">
        <f>IFERROR(IF(INDEX(Heat_Map[Crisis Impact %],MATCH(HS_DB[[#This Row],[Reporter]],Heat_Map[Global],0),1)&gt;0,"Yes","No"),"No")</f>
        <v>No</v>
      </c>
      <c r="AD103" s="6">
        <f>IFERROR(INDEX(Heat_Map[Crisis Impact %],MATCH(HS_DB[[#This Row],[Reporter]],Heat_Map[Global],0),1),0)</f>
        <v>0</v>
      </c>
      <c r="AE103" s="8">
        <f>HS_DB[[#This Row],[Crisis Impact%]]*HS_DB[[#This Row],[Trade Value - USD]]</f>
        <v>0</v>
      </c>
      <c r="AF103" s="8">
        <f>HS_DB[[#This Row],[Crisis Impact%]]*HS_DB[[#This Row],[Net Weight -KG]]</f>
        <v>0</v>
      </c>
      <c r="AG103" s="6">
        <f>SUMIFS(HS_DB[Trade Value - USD],HS_DB[Products],HS_DB[[#This Row],[Products]])/SUM(HS_DB[Trade Value - USD])</f>
        <v>8.3692639177155963E-3</v>
      </c>
      <c r="AH103" s="8">
        <f>_xlfn.RANK.EQ(HS_DB[[#This Row],[Trade Value - USD]], HS_DB[Trade Value - USD], 0)
 + COUNTIFS(HS_DB[Trade Value - USD],HS_DB[[#This Row],[Trade Value - USD]],
            HS_DB[HS Code],"&lt;"&amp;HS_DB[[#This Row],[HS Code]])</f>
        <v>470</v>
      </c>
      <c r="AI103" s="9">
        <f>IFERROR(HS_DB[[#This Row],[Trade Value - USD]]/HS_DB[[#This Row],[Net Weight -KG]],0)</f>
        <v>25.88</v>
      </c>
      <c r="AJ103" s="17" cm="1">
        <f t="array" ref="AJ103">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03" s="17" t="str">
        <f>IF(HS_DB[[#This Row],[HS Code Risk Score]]&gt;=40,"High",
 IF(HS_DB[[#This Row],[HS Code Risk Score]]&gt;=25,"Medium","Low"))</f>
        <v>Medium</v>
      </c>
      <c r="AL103" s="17" t="str">
        <f>IF(RANK(HS_DB[[#This Row],[HS Code Risk Score]],HS_DB[HS Code Risk Score])&lt;=10,"Yes","No")</f>
        <v>No</v>
      </c>
      <c r="AM103" s="8">
        <f>SUMIFS(HS_DB[Net Weight -KG],HS_DB[HS Code],HS_DB[[#This Row],[HS Code]])</f>
        <v>6842762.2999999998</v>
      </c>
      <c r="AN103" s="8">
        <f>SUMIFS(HS_DB[Trade Value - USD],HS_DB[HS Code],HS_DB[[#This Row],[HS Code]])</f>
        <v>15776132</v>
      </c>
      <c r="AO103" s="6">
        <f>_xlfn.MAXIFS(HS_DB[Origin Share%],HS_DB[HS Code],HS_DB[[#This Row],[HS Code]])</f>
        <v>6.321329281187793E-2</v>
      </c>
      <c r="AP103" s="8" cm="1">
        <f t="array" ref="AP103">_xlfn.LET(
_xlpm.hs,HS_DB[[#This Row],[HS Code]],
COUNTA(_xlfn.UNIQUE(_xlfn._xlws.FILTER(HS_DB[Reporter],HS_DB[HS Code]=_xlpm.hs)))
)</f>
        <v>17</v>
      </c>
      <c r="AQ103" s="17" t="str">
        <f>IF(HS_DB[[#This Row],[Origin Count]]=1,"Single Source","Multiple Sources")</f>
        <v>Multiple Sources</v>
      </c>
      <c r="AR103" s="8">
        <f>HS_DB[[#This Row],[Annual Spend - USD]]*(HS_DB[[#This Row],[HS Code Risk Score]]/100)</f>
        <v>5363884.8800000008</v>
      </c>
      <c r="AS103" s="8">
        <f>RANK(HS_DB[[#This Row],[Risk Exposure - USD]],HS_DB[Risk Exposure - USD],0)</f>
        <v>144</v>
      </c>
      <c r="AT103" s="8" t="str">
        <f>IF(HS_DB[[#This Row],[Risk Exposure Rank]]&lt;=10,"High",
 IF(HS_DB[[#This Row],[Risk Exposure Rank]]&lt;=30,"Medium",
 "Low"))</f>
        <v>Low</v>
      </c>
      <c r="AU103" s="8" t="str">
        <f>IF(HS_DB[[#This Row],[Risk Exposure Rank]]&lt;=5,"Immediate Action",
 IF(HS_DB[[#This Row],[Risk Exposure Rank]]&lt;=15,"Monitor Closely",
 "Routine Control"))</f>
        <v>Routine Control</v>
      </c>
      <c r="AV103" s="8">
        <f>SUMIFS(HS_DB[Trade Value - USD],HS_DB[HS Code],HS_DB[[#This Row],[HS Code]])</f>
        <v>15776132</v>
      </c>
      <c r="AW103" s="6">
        <f>HS_DB[[#This Row],[Annual Spend - USD]]/HS_DB[[#This Row],[Total Market Size - USD]]</f>
        <v>1</v>
      </c>
      <c r="AX103" s="6" cm="1">
        <f t="array" ref="AX103">COUNTA(_xlfn.UNIQUE(_xlfn._xlws.FILTER(HS_DB[Partner],HS_DB[HS Code]=HS_DB[[#This Row],[HS Code]])))</f>
        <v>1</v>
      </c>
      <c r="AY103" s="8" t="str">
        <f>IF(HS_DB[[#This Row],[Competition Intensity]]&lt;=2,"Highly Concentrated",
 IF(HS_DB[[#This Row],[Competition Intensity]]&lt;=5,"Moderate",
 "Highly Competitive"))</f>
        <v>Highly Concentrated</v>
      </c>
      <c r="AZ103" s="8">
        <f>HS_DB[[#This Row],[Total Market Size - USD]]
*
(1+IFERROR(#REF!,0))
/
HS_DB[[#This Row],[Competition Intensity]]</f>
        <v>15776132</v>
      </c>
      <c r="BA103" s="8" t="str">
        <f>IF(HS_DB[[#This Row],[Commercial Opportunity Score]]&gt;=PERCENTILE(HS_DB[Commercial Opportunity Score],0.9),"High Opportunity",
 IF(HS_DB[[#This Row],[Commercial Opportunity Score]]&gt;=PERCENTILE(HS_DB[Commercial Opportunity Score],0.6),"Medium Opportunity",
 "Routine Market"))</f>
        <v>Medium Opportunity</v>
      </c>
      <c r="BB103" s="3" t="str">
        <f>IF(AND(HS_DB[[#This Row],[Product Rank]]&gt;0,HS_DB[[#This Row],[Product Rank]]&lt;=10),"Yes","No")</f>
        <v>No</v>
      </c>
      <c r="BC103" s="3" t="str">
        <f>IF(AND(HS_DB[[#This Row],[Origin Rank]]&gt;0,HS_DB[[#This Row],[Origin Rank]]&lt;=10),"Yes","No")</f>
        <v>Yes</v>
      </c>
    </row>
    <row r="104" spans="2:55" x14ac:dyDescent="0.3">
      <c r="B104" s="2">
        <f>HS_DB[[#This Row],[Commodity Code]]</f>
        <v>391231</v>
      </c>
      <c r="C104" s="2">
        <f>IFERROR(INDEX(HS_MD!C:C,MATCH(B104,HS_MD!B:B,0),1),"")</f>
        <v>2</v>
      </c>
      <c r="D104" s="17" t="str">
        <f>IFERROR(INDEX(HS_MD!D:D,MATCH(B104,HS_MD!B:B,0),1),"")</f>
        <v>Cellulose ethers</v>
      </c>
      <c r="E104" s="17" t="str">
        <f>IFERROR(INDEX(HS_MD!E:E,MATCH(B104,HS_MD!B:B,0),1),"")</f>
        <v>CMC (Carboxymethyl Cellulose)</v>
      </c>
      <c r="F104" s="17" t="str">
        <f>IFERROR(INDEX(HS_MD!F:F,MATCH(B104,HS_MD!B:B,0),1),"")</f>
        <v>FUNCTIONAL INGREDIENTS</v>
      </c>
      <c r="G104" s="17" t="str">
        <f>IFERROR(INDEX(HS_MD!G:G,MATCH(B104,HS_MD!B:B,0),1),"")</f>
        <v>Hydrocolloids</v>
      </c>
      <c r="H104" s="17" t="str">
        <f>IFERROR(INDEX(HS_MD!H:H,MATCH(B104,HS_MD!B:B,0),1),"")</f>
        <v>Cellulose Derivatives</v>
      </c>
      <c r="I104" s="17" t="str">
        <f>IFERROR(INDEX(HS_MD!I:I,MATCH(B104,HS_MD!B:B,0),1),"")</f>
        <v>Sauces / Beverages / Ice Cream</v>
      </c>
      <c r="J104" s="17">
        <f>IFERROR(INDEX(Heat_Map[Index],MATCH(HS_DB[[#This Row],[Reporter]],Heat_Map[Global],0),1),"")</f>
        <v>36</v>
      </c>
      <c r="K104" s="17" t="str">
        <f>IF(AND(HS_DB[[#This Row],[Origin Rank]]&gt;1,HS_DB[[#This Row],[Origin Rank]]&lt;=10),"Yes","No")</f>
        <v>Yes</v>
      </c>
      <c r="L104" s="2">
        <v>2024</v>
      </c>
      <c r="M104" s="2" t="s">
        <v>57</v>
      </c>
      <c r="N104" s="2" t="s">
        <v>1</v>
      </c>
      <c r="O104" s="2" t="s">
        <v>22</v>
      </c>
      <c r="P104" s="2" t="s">
        <v>23</v>
      </c>
      <c r="Q104" s="2" t="s">
        <v>24</v>
      </c>
      <c r="R104" s="2" t="s">
        <v>25</v>
      </c>
      <c r="S104" s="2">
        <v>391231</v>
      </c>
      <c r="T104" s="3">
        <v>5941607</v>
      </c>
      <c r="U104" s="3">
        <v>2429260</v>
      </c>
      <c r="V104" s="3">
        <v>0</v>
      </c>
      <c r="W104" s="3">
        <v>2429260</v>
      </c>
      <c r="X104" s="3" t="s">
        <v>58</v>
      </c>
      <c r="Y104" s="3">
        <v>2429260</v>
      </c>
      <c r="Z104" s="3" t="s">
        <v>58</v>
      </c>
      <c r="AA104" s="6">
        <f>SUMIFS(HS_DB[Trade Value - USD],HS_DB[Reporter],HS_DB[[#This Row],[Reporter]])/SUM(HS_DB[Trade Value - USD])</f>
        <v>6.321329281187793E-2</v>
      </c>
      <c r="AB104" s="8" cm="1">
        <f t="array" ref="AB104">SUMPRODUCT(
(HS_DB[Reporter]=HS_DB[[#This Row],[Reporter]])*
(HS_DB[Trade Value - USD]&gt;HS_DB[[#This Row],[Trade Value - USD]])
)+1</f>
        <v>7</v>
      </c>
      <c r="AC104" s="8" t="str">
        <f>IFERROR(IF(INDEX(Heat_Map[Crisis Impact %],MATCH(HS_DB[[#This Row],[Reporter]],Heat_Map[Global],0),1)&gt;0,"Yes","No"),"No")</f>
        <v>Yes</v>
      </c>
      <c r="AD104" s="6">
        <f>IFERROR(INDEX(Heat_Map[Crisis Impact %],MATCH(HS_DB[[#This Row],[Reporter]],Heat_Map[Global],0),1),0)</f>
        <v>0.14000000000000001</v>
      </c>
      <c r="AE104" s="8">
        <f>HS_DB[[#This Row],[Crisis Impact%]]*HS_DB[[#This Row],[Trade Value - USD]]</f>
        <v>831824.9800000001</v>
      </c>
      <c r="AF104" s="8">
        <f>HS_DB[[#This Row],[Crisis Impact%]]*HS_DB[[#This Row],[Net Weight -KG]]</f>
        <v>340096.4</v>
      </c>
      <c r="AG104" s="6">
        <f>SUMIFS(HS_DB[Trade Value - USD],HS_DB[Products],HS_DB[[#This Row],[Products]])/SUM(HS_DB[Trade Value - USD])</f>
        <v>8.3692639177155963E-3</v>
      </c>
      <c r="AH104" s="8">
        <f>_xlfn.RANK.EQ(HS_DB[[#This Row],[Trade Value - USD]], HS_DB[Trade Value - USD], 0)
 + COUNTIFS(HS_DB[Trade Value - USD],HS_DB[[#This Row],[Trade Value - USD]],
            HS_DB[HS Code],"&lt;"&amp;HS_DB[[#This Row],[HS Code]])</f>
        <v>27</v>
      </c>
      <c r="AI104" s="9">
        <f>IFERROR(HS_DB[[#This Row],[Trade Value - USD]]/HS_DB[[#This Row],[Net Weight -KG]],0)</f>
        <v>2.4458505882449799</v>
      </c>
      <c r="AJ104" s="17" cm="1">
        <f t="array" ref="AJ104">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04" s="17" t="str">
        <f>IF(HS_DB[[#This Row],[HS Code Risk Score]]&gt;=40,"High",
 IF(HS_DB[[#This Row],[HS Code Risk Score]]&gt;=25,"Medium","Low"))</f>
        <v>Medium</v>
      </c>
      <c r="AL104" s="17" t="str">
        <f>IF(RANK(HS_DB[[#This Row],[HS Code Risk Score]],HS_DB[HS Code Risk Score])&lt;=10,"Yes","No")</f>
        <v>No</v>
      </c>
      <c r="AM104" s="8">
        <f>SUMIFS(HS_DB[Net Weight -KG],HS_DB[HS Code],HS_DB[[#This Row],[HS Code]])</f>
        <v>6842762.2999999998</v>
      </c>
      <c r="AN104" s="8">
        <f>SUMIFS(HS_DB[Trade Value - USD],HS_DB[HS Code],HS_DB[[#This Row],[HS Code]])</f>
        <v>15776132</v>
      </c>
      <c r="AO104" s="6">
        <f>_xlfn.MAXIFS(HS_DB[Origin Share%],HS_DB[HS Code],HS_DB[[#This Row],[HS Code]])</f>
        <v>6.321329281187793E-2</v>
      </c>
      <c r="AP104" s="8" cm="1">
        <f t="array" ref="AP104">_xlfn.LET(
_xlpm.hs,HS_DB[[#This Row],[HS Code]],
COUNTA(_xlfn.UNIQUE(_xlfn._xlws.FILTER(HS_DB[Reporter],HS_DB[HS Code]=_xlpm.hs)))
)</f>
        <v>17</v>
      </c>
      <c r="AQ104" s="17" t="str">
        <f>IF(HS_DB[[#This Row],[Origin Count]]=1,"Single Source","Multiple Sources")</f>
        <v>Multiple Sources</v>
      </c>
      <c r="AR104" s="8">
        <f>HS_DB[[#This Row],[Annual Spend - USD]]*(HS_DB[[#This Row],[HS Code Risk Score]]/100)</f>
        <v>5363884.8800000008</v>
      </c>
      <c r="AS104" s="8">
        <f>RANK(HS_DB[[#This Row],[Risk Exposure - USD]],HS_DB[Risk Exposure - USD],0)</f>
        <v>144</v>
      </c>
      <c r="AT104" s="8" t="str">
        <f>IF(HS_DB[[#This Row],[Risk Exposure Rank]]&lt;=10,"High",
 IF(HS_DB[[#This Row],[Risk Exposure Rank]]&lt;=30,"Medium",
 "Low"))</f>
        <v>Low</v>
      </c>
      <c r="AU104" s="8" t="str">
        <f>IF(HS_DB[[#This Row],[Risk Exposure Rank]]&lt;=5,"Immediate Action",
 IF(HS_DB[[#This Row],[Risk Exposure Rank]]&lt;=15,"Monitor Closely",
 "Routine Control"))</f>
        <v>Routine Control</v>
      </c>
      <c r="AV104" s="8">
        <f>SUMIFS(HS_DB[Trade Value - USD],HS_DB[HS Code],HS_DB[[#This Row],[HS Code]])</f>
        <v>15776132</v>
      </c>
      <c r="AW104" s="6">
        <f>HS_DB[[#This Row],[Annual Spend - USD]]/HS_DB[[#This Row],[Total Market Size - USD]]</f>
        <v>1</v>
      </c>
      <c r="AX104" s="6" cm="1">
        <f t="array" ref="AX104">COUNTA(_xlfn.UNIQUE(_xlfn._xlws.FILTER(HS_DB[Partner],HS_DB[HS Code]=HS_DB[[#This Row],[HS Code]])))</f>
        <v>1</v>
      </c>
      <c r="AY104" s="8" t="str">
        <f>IF(HS_DB[[#This Row],[Competition Intensity]]&lt;=2,"Highly Concentrated",
 IF(HS_DB[[#This Row],[Competition Intensity]]&lt;=5,"Moderate",
 "Highly Competitive"))</f>
        <v>Highly Concentrated</v>
      </c>
      <c r="AZ104" s="8">
        <f>HS_DB[[#This Row],[Total Market Size - USD]]
*
(1+IFERROR(#REF!,0))
/
HS_DB[[#This Row],[Competition Intensity]]</f>
        <v>15776132</v>
      </c>
      <c r="BA104" s="8" t="str">
        <f>IF(HS_DB[[#This Row],[Commercial Opportunity Score]]&gt;=PERCENTILE(HS_DB[Commercial Opportunity Score],0.9),"High Opportunity",
 IF(HS_DB[[#This Row],[Commercial Opportunity Score]]&gt;=PERCENTILE(HS_DB[Commercial Opportunity Score],0.6),"Medium Opportunity",
 "Routine Market"))</f>
        <v>Medium Opportunity</v>
      </c>
      <c r="BB104" s="3" t="str">
        <f>IF(AND(HS_DB[[#This Row],[Product Rank]]&gt;0,HS_DB[[#This Row],[Product Rank]]&lt;=10),"Yes","No")</f>
        <v>No</v>
      </c>
      <c r="BC104" s="3" t="str">
        <f>IF(AND(HS_DB[[#This Row],[Origin Rank]]&gt;0,HS_DB[[#This Row],[Origin Rank]]&lt;=10),"Yes","No")</f>
        <v>Yes</v>
      </c>
    </row>
    <row r="105" spans="2:55" x14ac:dyDescent="0.3">
      <c r="B105" s="2">
        <f>HS_DB[[#This Row],[Commodity Code]]</f>
        <v>391231</v>
      </c>
      <c r="C105" s="2">
        <f>IFERROR(INDEX(HS_MD!C:C,MATCH(B105,HS_MD!B:B,0),1),"")</f>
        <v>2</v>
      </c>
      <c r="D105" s="17" t="str">
        <f>IFERROR(INDEX(HS_MD!D:D,MATCH(B105,HS_MD!B:B,0),1),"")</f>
        <v>Cellulose ethers</v>
      </c>
      <c r="E105" s="17" t="str">
        <f>IFERROR(INDEX(HS_MD!E:E,MATCH(B105,HS_MD!B:B,0),1),"")</f>
        <v>CMC (Carboxymethyl Cellulose)</v>
      </c>
      <c r="F105" s="17" t="str">
        <f>IFERROR(INDEX(HS_MD!F:F,MATCH(B105,HS_MD!B:B,0),1),"")</f>
        <v>FUNCTIONAL INGREDIENTS</v>
      </c>
      <c r="G105" s="17" t="str">
        <f>IFERROR(INDEX(HS_MD!G:G,MATCH(B105,HS_MD!B:B,0),1),"")</f>
        <v>Hydrocolloids</v>
      </c>
      <c r="H105" s="17" t="str">
        <f>IFERROR(INDEX(HS_MD!H:H,MATCH(B105,HS_MD!B:B,0),1),"")</f>
        <v>Cellulose Derivatives</v>
      </c>
      <c r="I105" s="17" t="str">
        <f>IFERROR(INDEX(HS_MD!I:I,MATCH(B105,HS_MD!B:B,0),1),"")</f>
        <v>Sauces / Beverages / Ice Cream</v>
      </c>
      <c r="J105" s="17">
        <f>IFERROR(INDEX(Heat_Map[Index],MATCH(HS_DB[[#This Row],[Reporter]],Heat_Map[Global],0),1),"")</f>
        <v>58</v>
      </c>
      <c r="K105" s="17" t="str">
        <f>IF(AND(HS_DB[[#This Row],[Origin Rank]]&gt;1,HS_DB[[#This Row],[Origin Rank]]&lt;=10),"Yes","No")</f>
        <v>No</v>
      </c>
      <c r="L105" s="2">
        <v>2024</v>
      </c>
      <c r="M105" s="2" t="s">
        <v>57</v>
      </c>
      <c r="N105" s="2" t="s">
        <v>142</v>
      </c>
      <c r="O105" s="2" t="s">
        <v>22</v>
      </c>
      <c r="P105" s="2" t="s">
        <v>23</v>
      </c>
      <c r="Q105" s="2" t="s">
        <v>24</v>
      </c>
      <c r="R105" s="2" t="s">
        <v>25</v>
      </c>
      <c r="S105" s="2">
        <v>391231</v>
      </c>
      <c r="T105" s="3">
        <v>733331</v>
      </c>
      <c r="U105" s="3">
        <v>295048</v>
      </c>
      <c r="V105" s="3">
        <v>0</v>
      </c>
      <c r="W105" s="3">
        <v>295048</v>
      </c>
      <c r="X105" s="3" t="s">
        <v>58</v>
      </c>
      <c r="Y105" s="3">
        <v>295048</v>
      </c>
      <c r="Z105" s="3" t="s">
        <v>58</v>
      </c>
      <c r="AA105" s="6">
        <f>SUMIFS(HS_DB[Trade Value - USD],HS_DB[Reporter],HS_DB[[#This Row],[Reporter]])/SUM(HS_DB[Trade Value - USD])</f>
        <v>3.8908794070852229E-4</v>
      </c>
      <c r="AB105" s="8" cm="1">
        <f t="array" ref="AB105">SUMPRODUCT(
(HS_DB[Reporter]=HS_DB[[#This Row],[Reporter]])*
(HS_DB[Trade Value - USD]&gt;HS_DB[[#This Row],[Trade Value - USD]])
)+1</f>
        <v>1</v>
      </c>
      <c r="AC105" s="8" t="str">
        <f>IFERROR(IF(INDEX(Heat_Map[Crisis Impact %],MATCH(HS_DB[[#This Row],[Reporter]],Heat_Map[Global],0),1)&gt;0,"Yes","No"),"No")</f>
        <v>No</v>
      </c>
      <c r="AD105" s="6">
        <f>IFERROR(INDEX(Heat_Map[Crisis Impact %],MATCH(HS_DB[[#This Row],[Reporter]],Heat_Map[Global],0),1),0)</f>
        <v>0</v>
      </c>
      <c r="AE105" s="8">
        <f>HS_DB[[#This Row],[Crisis Impact%]]*HS_DB[[#This Row],[Trade Value - USD]]</f>
        <v>0</v>
      </c>
      <c r="AF105" s="8">
        <f>HS_DB[[#This Row],[Crisis Impact%]]*HS_DB[[#This Row],[Net Weight -KG]]</f>
        <v>0</v>
      </c>
      <c r="AG105" s="6">
        <f>SUMIFS(HS_DB[Trade Value - USD],HS_DB[Products],HS_DB[[#This Row],[Products]])/SUM(HS_DB[Trade Value - USD])</f>
        <v>8.3692639177155963E-3</v>
      </c>
      <c r="AH105" s="8">
        <f>_xlfn.RANK.EQ(HS_DB[[#This Row],[Trade Value - USD]], HS_DB[Trade Value - USD], 0)
 + COUNTIFS(HS_DB[Trade Value - USD],HS_DB[[#This Row],[Trade Value - USD]],
            HS_DB[HS Code],"&lt;"&amp;HS_DB[[#This Row],[HS Code]])</f>
        <v>118</v>
      </c>
      <c r="AI105" s="9">
        <f>IFERROR(HS_DB[[#This Row],[Trade Value - USD]]/HS_DB[[#This Row],[Net Weight -KG]],0)</f>
        <v>2.4854633822293324</v>
      </c>
      <c r="AJ105" s="17" cm="1">
        <f t="array" ref="AJ105">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05" s="17" t="str">
        <f>IF(HS_DB[[#This Row],[HS Code Risk Score]]&gt;=40,"High",
 IF(HS_DB[[#This Row],[HS Code Risk Score]]&gt;=25,"Medium","Low"))</f>
        <v>Medium</v>
      </c>
      <c r="AL105" s="17" t="str">
        <f>IF(RANK(HS_DB[[#This Row],[HS Code Risk Score]],HS_DB[HS Code Risk Score])&lt;=10,"Yes","No")</f>
        <v>No</v>
      </c>
      <c r="AM105" s="8">
        <f>SUMIFS(HS_DB[Net Weight -KG],HS_DB[HS Code],HS_DB[[#This Row],[HS Code]])</f>
        <v>6842762.2999999998</v>
      </c>
      <c r="AN105" s="8">
        <f>SUMIFS(HS_DB[Trade Value - USD],HS_DB[HS Code],HS_DB[[#This Row],[HS Code]])</f>
        <v>15776132</v>
      </c>
      <c r="AO105" s="6">
        <f>_xlfn.MAXIFS(HS_DB[Origin Share%],HS_DB[HS Code],HS_DB[[#This Row],[HS Code]])</f>
        <v>6.321329281187793E-2</v>
      </c>
      <c r="AP105" s="8" cm="1">
        <f t="array" ref="AP105">_xlfn.LET(
_xlpm.hs,HS_DB[[#This Row],[HS Code]],
COUNTA(_xlfn.UNIQUE(_xlfn._xlws.FILTER(HS_DB[Reporter],HS_DB[HS Code]=_xlpm.hs)))
)</f>
        <v>17</v>
      </c>
      <c r="AQ105" s="17" t="str">
        <f>IF(HS_DB[[#This Row],[Origin Count]]=1,"Single Source","Multiple Sources")</f>
        <v>Multiple Sources</v>
      </c>
      <c r="AR105" s="8">
        <f>HS_DB[[#This Row],[Annual Spend - USD]]*(HS_DB[[#This Row],[HS Code Risk Score]]/100)</f>
        <v>5363884.8800000008</v>
      </c>
      <c r="AS105" s="8">
        <f>RANK(HS_DB[[#This Row],[Risk Exposure - USD]],HS_DB[Risk Exposure - USD],0)</f>
        <v>144</v>
      </c>
      <c r="AT105" s="8" t="str">
        <f>IF(HS_DB[[#This Row],[Risk Exposure Rank]]&lt;=10,"High",
 IF(HS_DB[[#This Row],[Risk Exposure Rank]]&lt;=30,"Medium",
 "Low"))</f>
        <v>Low</v>
      </c>
      <c r="AU105" s="8" t="str">
        <f>IF(HS_DB[[#This Row],[Risk Exposure Rank]]&lt;=5,"Immediate Action",
 IF(HS_DB[[#This Row],[Risk Exposure Rank]]&lt;=15,"Monitor Closely",
 "Routine Control"))</f>
        <v>Routine Control</v>
      </c>
      <c r="AV105" s="8">
        <f>SUMIFS(HS_DB[Trade Value - USD],HS_DB[HS Code],HS_DB[[#This Row],[HS Code]])</f>
        <v>15776132</v>
      </c>
      <c r="AW105" s="6">
        <f>HS_DB[[#This Row],[Annual Spend - USD]]/HS_DB[[#This Row],[Total Market Size - USD]]</f>
        <v>1</v>
      </c>
      <c r="AX105" s="6" cm="1">
        <f t="array" ref="AX105">COUNTA(_xlfn.UNIQUE(_xlfn._xlws.FILTER(HS_DB[Partner],HS_DB[HS Code]=HS_DB[[#This Row],[HS Code]])))</f>
        <v>1</v>
      </c>
      <c r="AY105" s="8" t="str">
        <f>IF(HS_DB[[#This Row],[Competition Intensity]]&lt;=2,"Highly Concentrated",
 IF(HS_DB[[#This Row],[Competition Intensity]]&lt;=5,"Moderate",
 "Highly Competitive"))</f>
        <v>Highly Concentrated</v>
      </c>
      <c r="AZ105" s="8">
        <f>HS_DB[[#This Row],[Total Market Size - USD]]
*
(1+IFERROR(#REF!,0))
/
HS_DB[[#This Row],[Competition Intensity]]</f>
        <v>15776132</v>
      </c>
      <c r="BA105" s="8" t="str">
        <f>IF(HS_DB[[#This Row],[Commercial Opportunity Score]]&gt;=PERCENTILE(HS_DB[Commercial Opportunity Score],0.9),"High Opportunity",
 IF(HS_DB[[#This Row],[Commercial Opportunity Score]]&gt;=PERCENTILE(HS_DB[Commercial Opportunity Score],0.6),"Medium Opportunity",
 "Routine Market"))</f>
        <v>Medium Opportunity</v>
      </c>
      <c r="BB105" s="3" t="str">
        <f>IF(AND(HS_DB[[#This Row],[Product Rank]]&gt;0,HS_DB[[#This Row],[Product Rank]]&lt;=10),"Yes","No")</f>
        <v>No</v>
      </c>
      <c r="BC105" s="3" t="str">
        <f>IF(AND(HS_DB[[#This Row],[Origin Rank]]&gt;0,HS_DB[[#This Row],[Origin Rank]]&lt;=10),"Yes","No")</f>
        <v>Yes</v>
      </c>
    </row>
    <row r="106" spans="2:55" x14ac:dyDescent="0.3">
      <c r="B106" s="2">
        <f>HS_DB[[#This Row],[Commodity Code]]</f>
        <v>391231</v>
      </c>
      <c r="C106" s="2">
        <f>IFERROR(INDEX(HS_MD!C:C,MATCH(B106,HS_MD!B:B,0),1),"")</f>
        <v>2</v>
      </c>
      <c r="D106" s="17" t="str">
        <f>IFERROR(INDEX(HS_MD!D:D,MATCH(B106,HS_MD!B:B,0),1),"")</f>
        <v>Cellulose ethers</v>
      </c>
      <c r="E106" s="17" t="str">
        <f>IFERROR(INDEX(HS_MD!E:E,MATCH(B106,HS_MD!B:B,0),1),"")</f>
        <v>CMC (Carboxymethyl Cellulose)</v>
      </c>
      <c r="F106" s="17" t="str">
        <f>IFERROR(INDEX(HS_MD!F:F,MATCH(B106,HS_MD!B:B,0),1),"")</f>
        <v>FUNCTIONAL INGREDIENTS</v>
      </c>
      <c r="G106" s="17" t="str">
        <f>IFERROR(INDEX(HS_MD!G:G,MATCH(B106,HS_MD!B:B,0),1),"")</f>
        <v>Hydrocolloids</v>
      </c>
      <c r="H106" s="17" t="str">
        <f>IFERROR(INDEX(HS_MD!H:H,MATCH(B106,HS_MD!B:B,0),1),"")</f>
        <v>Cellulose Derivatives</v>
      </c>
      <c r="I106" s="17" t="str">
        <f>IFERROR(INDEX(HS_MD!I:I,MATCH(B106,HS_MD!B:B,0),1),"")</f>
        <v>Sauces / Beverages / Ice Cream</v>
      </c>
      <c r="J106" s="17">
        <f>IFERROR(INDEX(Heat_Map[Index],MATCH(HS_DB[[#This Row],[Reporter]],Heat_Map[Global],0),1),"")</f>
        <v>59</v>
      </c>
      <c r="K106" s="17" t="str">
        <f>IF(AND(HS_DB[[#This Row],[Origin Rank]]&gt;1,HS_DB[[#This Row],[Origin Rank]]&lt;=10),"Yes","No")</f>
        <v>Yes</v>
      </c>
      <c r="L106" s="2">
        <v>2024</v>
      </c>
      <c r="M106" s="2" t="s">
        <v>57</v>
      </c>
      <c r="N106" s="2" t="s">
        <v>44</v>
      </c>
      <c r="O106" s="2" t="s">
        <v>22</v>
      </c>
      <c r="P106" s="2" t="s">
        <v>23</v>
      </c>
      <c r="Q106" s="2" t="s">
        <v>24</v>
      </c>
      <c r="R106" s="2" t="s">
        <v>25</v>
      </c>
      <c r="S106" s="2">
        <v>391231</v>
      </c>
      <c r="T106" s="3">
        <v>677915</v>
      </c>
      <c r="U106" s="3">
        <v>88125</v>
      </c>
      <c r="V106" s="3">
        <v>0</v>
      </c>
      <c r="W106" s="3">
        <v>88125</v>
      </c>
      <c r="X106" s="3" t="s">
        <v>58</v>
      </c>
      <c r="Y106" s="3">
        <v>88125</v>
      </c>
      <c r="Z106" s="3" t="s">
        <v>58</v>
      </c>
      <c r="AA106" s="6">
        <f>SUMIFS(HS_DB[Trade Value - USD],HS_DB[Reporter],HS_DB[[#This Row],[Reporter]])/SUM(HS_DB[Trade Value - USD])</f>
        <v>1.6951290293147386E-2</v>
      </c>
      <c r="AB106" s="8" cm="1">
        <f t="array" ref="AB106">SUMPRODUCT(
(HS_DB[Reporter]=HS_DB[[#This Row],[Reporter]])*
(HS_DB[Trade Value - USD]&gt;HS_DB[[#This Row],[Trade Value - USD]])
)+1</f>
        <v>9</v>
      </c>
      <c r="AC106" s="8" t="str">
        <f>IFERROR(IF(INDEX(Heat_Map[Crisis Impact %],MATCH(HS_DB[[#This Row],[Reporter]],Heat_Map[Global],0),1)&gt;0,"Yes","No"),"No")</f>
        <v>No</v>
      </c>
      <c r="AD106" s="6">
        <f>IFERROR(INDEX(Heat_Map[Crisis Impact %],MATCH(HS_DB[[#This Row],[Reporter]],Heat_Map[Global],0),1),0)</f>
        <v>0</v>
      </c>
      <c r="AE106" s="8">
        <f>HS_DB[[#This Row],[Crisis Impact%]]*HS_DB[[#This Row],[Trade Value - USD]]</f>
        <v>0</v>
      </c>
      <c r="AF106" s="8">
        <f>HS_DB[[#This Row],[Crisis Impact%]]*HS_DB[[#This Row],[Net Weight -KG]]</f>
        <v>0</v>
      </c>
      <c r="AG106" s="6">
        <f>SUMIFS(HS_DB[Trade Value - USD],HS_DB[Products],HS_DB[[#This Row],[Products]])/SUM(HS_DB[Trade Value - USD])</f>
        <v>8.3692639177155963E-3</v>
      </c>
      <c r="AH106" s="8">
        <f>_xlfn.RANK.EQ(HS_DB[[#This Row],[Trade Value - USD]], HS_DB[Trade Value - USD], 0)
 + COUNTIFS(HS_DB[Trade Value - USD],HS_DB[[#This Row],[Trade Value - USD]],
            HS_DB[HS Code],"&lt;"&amp;HS_DB[[#This Row],[HS Code]])</f>
        <v>130</v>
      </c>
      <c r="AI106" s="9">
        <f>IFERROR(HS_DB[[#This Row],[Trade Value - USD]]/HS_DB[[#This Row],[Net Weight -KG]],0)</f>
        <v>7.6926524822695033</v>
      </c>
      <c r="AJ106" s="17" cm="1">
        <f t="array" ref="AJ106">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06" s="17" t="str">
        <f>IF(HS_DB[[#This Row],[HS Code Risk Score]]&gt;=40,"High",
 IF(HS_DB[[#This Row],[HS Code Risk Score]]&gt;=25,"Medium","Low"))</f>
        <v>Medium</v>
      </c>
      <c r="AL106" s="17" t="str">
        <f>IF(RANK(HS_DB[[#This Row],[HS Code Risk Score]],HS_DB[HS Code Risk Score])&lt;=10,"Yes","No")</f>
        <v>No</v>
      </c>
      <c r="AM106" s="8">
        <f>SUMIFS(HS_DB[Net Weight -KG],HS_DB[HS Code],HS_DB[[#This Row],[HS Code]])</f>
        <v>6842762.2999999998</v>
      </c>
      <c r="AN106" s="8">
        <f>SUMIFS(HS_DB[Trade Value - USD],HS_DB[HS Code],HS_DB[[#This Row],[HS Code]])</f>
        <v>15776132</v>
      </c>
      <c r="AO106" s="6">
        <f>_xlfn.MAXIFS(HS_DB[Origin Share%],HS_DB[HS Code],HS_DB[[#This Row],[HS Code]])</f>
        <v>6.321329281187793E-2</v>
      </c>
      <c r="AP106" s="8" cm="1">
        <f t="array" ref="AP106">_xlfn.LET(
_xlpm.hs,HS_DB[[#This Row],[HS Code]],
COUNTA(_xlfn.UNIQUE(_xlfn._xlws.FILTER(HS_DB[Reporter],HS_DB[HS Code]=_xlpm.hs)))
)</f>
        <v>17</v>
      </c>
      <c r="AQ106" s="17" t="str">
        <f>IF(HS_DB[[#This Row],[Origin Count]]=1,"Single Source","Multiple Sources")</f>
        <v>Multiple Sources</v>
      </c>
      <c r="AR106" s="8">
        <f>HS_DB[[#This Row],[Annual Spend - USD]]*(HS_DB[[#This Row],[HS Code Risk Score]]/100)</f>
        <v>5363884.8800000008</v>
      </c>
      <c r="AS106" s="8">
        <f>RANK(HS_DB[[#This Row],[Risk Exposure - USD]],HS_DB[Risk Exposure - USD],0)</f>
        <v>144</v>
      </c>
      <c r="AT106" s="8" t="str">
        <f>IF(HS_DB[[#This Row],[Risk Exposure Rank]]&lt;=10,"High",
 IF(HS_DB[[#This Row],[Risk Exposure Rank]]&lt;=30,"Medium",
 "Low"))</f>
        <v>Low</v>
      </c>
      <c r="AU106" s="8" t="str">
        <f>IF(HS_DB[[#This Row],[Risk Exposure Rank]]&lt;=5,"Immediate Action",
 IF(HS_DB[[#This Row],[Risk Exposure Rank]]&lt;=15,"Monitor Closely",
 "Routine Control"))</f>
        <v>Routine Control</v>
      </c>
      <c r="AV106" s="8">
        <f>SUMIFS(HS_DB[Trade Value - USD],HS_DB[HS Code],HS_DB[[#This Row],[HS Code]])</f>
        <v>15776132</v>
      </c>
      <c r="AW106" s="6">
        <f>HS_DB[[#This Row],[Annual Spend - USD]]/HS_DB[[#This Row],[Total Market Size - USD]]</f>
        <v>1</v>
      </c>
      <c r="AX106" s="6" cm="1">
        <f t="array" ref="AX106">COUNTA(_xlfn.UNIQUE(_xlfn._xlws.FILTER(HS_DB[Partner],HS_DB[HS Code]=HS_DB[[#This Row],[HS Code]])))</f>
        <v>1</v>
      </c>
      <c r="AY106" s="8" t="str">
        <f>IF(HS_DB[[#This Row],[Competition Intensity]]&lt;=2,"Highly Concentrated",
 IF(HS_DB[[#This Row],[Competition Intensity]]&lt;=5,"Moderate",
 "Highly Competitive"))</f>
        <v>Highly Concentrated</v>
      </c>
      <c r="AZ106" s="8">
        <f>HS_DB[[#This Row],[Total Market Size - USD]]
*
(1+IFERROR(#REF!,0))
/
HS_DB[[#This Row],[Competition Intensity]]</f>
        <v>15776132</v>
      </c>
      <c r="BA106" s="8" t="str">
        <f>IF(HS_DB[[#This Row],[Commercial Opportunity Score]]&gt;=PERCENTILE(HS_DB[Commercial Opportunity Score],0.9),"High Opportunity",
 IF(HS_DB[[#This Row],[Commercial Opportunity Score]]&gt;=PERCENTILE(HS_DB[Commercial Opportunity Score],0.6),"Medium Opportunity",
 "Routine Market"))</f>
        <v>Medium Opportunity</v>
      </c>
      <c r="BB106" s="3" t="str">
        <f>IF(AND(HS_DB[[#This Row],[Product Rank]]&gt;0,HS_DB[[#This Row],[Product Rank]]&lt;=10),"Yes","No")</f>
        <v>No</v>
      </c>
      <c r="BC106" s="3" t="str">
        <f>IF(AND(HS_DB[[#This Row],[Origin Rank]]&gt;0,HS_DB[[#This Row],[Origin Rank]]&lt;=10),"Yes","No")</f>
        <v>Yes</v>
      </c>
    </row>
    <row r="107" spans="2:55" x14ac:dyDescent="0.3">
      <c r="B107" s="2">
        <f>HS_DB[[#This Row],[Commodity Code]]</f>
        <v>391231</v>
      </c>
      <c r="C107" s="2">
        <f>IFERROR(INDEX(HS_MD!C:C,MATCH(B107,HS_MD!B:B,0),1),"")</f>
        <v>2</v>
      </c>
      <c r="D107" s="17" t="str">
        <f>IFERROR(INDEX(HS_MD!D:D,MATCH(B107,HS_MD!B:B,0),1),"")</f>
        <v>Cellulose ethers</v>
      </c>
      <c r="E107" s="17" t="str">
        <f>IFERROR(INDEX(HS_MD!E:E,MATCH(B107,HS_MD!B:B,0),1),"")</f>
        <v>CMC (Carboxymethyl Cellulose)</v>
      </c>
      <c r="F107" s="17" t="str">
        <f>IFERROR(INDEX(HS_MD!F:F,MATCH(B107,HS_MD!B:B,0),1),"")</f>
        <v>FUNCTIONAL INGREDIENTS</v>
      </c>
      <c r="G107" s="17" t="str">
        <f>IFERROR(INDEX(HS_MD!G:G,MATCH(B107,HS_MD!B:B,0),1),"")</f>
        <v>Hydrocolloids</v>
      </c>
      <c r="H107" s="17" t="str">
        <f>IFERROR(INDEX(HS_MD!H:H,MATCH(B107,HS_MD!B:B,0),1),"")</f>
        <v>Cellulose Derivatives</v>
      </c>
      <c r="I107" s="17" t="str">
        <f>IFERROR(INDEX(HS_MD!I:I,MATCH(B107,HS_MD!B:B,0),1),"")</f>
        <v>Sauces / Beverages / Ice Cream</v>
      </c>
      <c r="J107" s="17">
        <f>IFERROR(INDEX(Heat_Map[Index],MATCH(HS_DB[[#This Row],[Reporter]],Heat_Map[Global],0),1),"")</f>
        <v>63</v>
      </c>
      <c r="K107" s="17" t="str">
        <f>IF(AND(HS_DB[[#This Row],[Origin Rank]]&gt;1,HS_DB[[#This Row],[Origin Rank]]&lt;=10),"Yes","No")</f>
        <v>Yes</v>
      </c>
      <c r="L107" s="2">
        <v>2024</v>
      </c>
      <c r="M107" s="2" t="s">
        <v>57</v>
      </c>
      <c r="N107" s="2" t="s">
        <v>2</v>
      </c>
      <c r="O107" s="2" t="s">
        <v>22</v>
      </c>
      <c r="P107" s="2" t="s">
        <v>23</v>
      </c>
      <c r="Q107" s="2" t="s">
        <v>24</v>
      </c>
      <c r="R107" s="2" t="s">
        <v>25</v>
      </c>
      <c r="S107" s="2">
        <v>391231</v>
      </c>
      <c r="T107" s="3">
        <v>773434</v>
      </c>
      <c r="U107" s="3">
        <v>102575</v>
      </c>
      <c r="V107" s="3">
        <v>0</v>
      </c>
      <c r="W107" s="3">
        <v>102575</v>
      </c>
      <c r="X107" s="3" t="s">
        <v>58</v>
      </c>
      <c r="Y107" s="3">
        <v>102575</v>
      </c>
      <c r="Z107" s="3" t="s">
        <v>58</v>
      </c>
      <c r="AA107" s="6">
        <f>SUMIFS(HS_DB[Trade Value - USD],HS_DB[Reporter],HS_DB[[#This Row],[Reporter]])/SUM(HS_DB[Trade Value - USD])</f>
        <v>1.1674623358397021E-2</v>
      </c>
      <c r="AB107" s="8" cm="1">
        <f t="array" ref="AB107">SUMPRODUCT(
(HS_DB[Reporter]=HS_DB[[#This Row],[Reporter]])*
(HS_DB[Trade Value - USD]&gt;HS_DB[[#This Row],[Trade Value - USD]])
)+1</f>
        <v>10</v>
      </c>
      <c r="AC107" s="8" t="str">
        <f>IFERROR(IF(INDEX(Heat_Map[Crisis Impact %],MATCH(HS_DB[[#This Row],[Reporter]],Heat_Map[Global],0),1)&gt;0,"Yes","No"),"No")</f>
        <v>No</v>
      </c>
      <c r="AD107" s="6">
        <f>IFERROR(INDEX(Heat_Map[Crisis Impact %],MATCH(HS_DB[[#This Row],[Reporter]],Heat_Map[Global],0),1),0)</f>
        <v>0</v>
      </c>
      <c r="AE107" s="8">
        <f>HS_DB[[#This Row],[Crisis Impact%]]*HS_DB[[#This Row],[Trade Value - USD]]</f>
        <v>0</v>
      </c>
      <c r="AF107" s="8">
        <f>HS_DB[[#This Row],[Crisis Impact%]]*HS_DB[[#This Row],[Net Weight -KG]]</f>
        <v>0</v>
      </c>
      <c r="AG107" s="6">
        <f>SUMIFS(HS_DB[Trade Value - USD],HS_DB[Products],HS_DB[[#This Row],[Products]])/SUM(HS_DB[Trade Value - USD])</f>
        <v>8.3692639177155963E-3</v>
      </c>
      <c r="AH107" s="8">
        <f>_xlfn.RANK.EQ(HS_DB[[#This Row],[Trade Value - USD]], HS_DB[Trade Value - USD], 0)
 + COUNTIFS(HS_DB[Trade Value - USD],HS_DB[[#This Row],[Trade Value - USD]],
            HS_DB[HS Code],"&lt;"&amp;HS_DB[[#This Row],[HS Code]])</f>
        <v>115</v>
      </c>
      <c r="AI107" s="9">
        <f>IFERROR(HS_DB[[#This Row],[Trade Value - USD]]/HS_DB[[#This Row],[Net Weight -KG]],0)</f>
        <v>7.540180355837192</v>
      </c>
      <c r="AJ107" s="17" cm="1">
        <f t="array" ref="AJ107">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07" s="17" t="str">
        <f>IF(HS_DB[[#This Row],[HS Code Risk Score]]&gt;=40,"High",
 IF(HS_DB[[#This Row],[HS Code Risk Score]]&gt;=25,"Medium","Low"))</f>
        <v>Medium</v>
      </c>
      <c r="AL107" s="17" t="str">
        <f>IF(RANK(HS_DB[[#This Row],[HS Code Risk Score]],HS_DB[HS Code Risk Score])&lt;=10,"Yes","No")</f>
        <v>No</v>
      </c>
      <c r="AM107" s="8">
        <f>SUMIFS(HS_DB[Net Weight -KG],HS_DB[HS Code],HS_DB[[#This Row],[HS Code]])</f>
        <v>6842762.2999999998</v>
      </c>
      <c r="AN107" s="8">
        <f>SUMIFS(HS_DB[Trade Value - USD],HS_DB[HS Code],HS_DB[[#This Row],[HS Code]])</f>
        <v>15776132</v>
      </c>
      <c r="AO107" s="6">
        <f>_xlfn.MAXIFS(HS_DB[Origin Share%],HS_DB[HS Code],HS_DB[[#This Row],[HS Code]])</f>
        <v>6.321329281187793E-2</v>
      </c>
      <c r="AP107" s="8" cm="1">
        <f t="array" ref="AP107">_xlfn.LET(
_xlpm.hs,HS_DB[[#This Row],[HS Code]],
COUNTA(_xlfn.UNIQUE(_xlfn._xlws.FILTER(HS_DB[Reporter],HS_DB[HS Code]=_xlpm.hs)))
)</f>
        <v>17</v>
      </c>
      <c r="AQ107" s="17" t="str">
        <f>IF(HS_DB[[#This Row],[Origin Count]]=1,"Single Source","Multiple Sources")</f>
        <v>Multiple Sources</v>
      </c>
      <c r="AR107" s="8">
        <f>HS_DB[[#This Row],[Annual Spend - USD]]*(HS_DB[[#This Row],[HS Code Risk Score]]/100)</f>
        <v>5363884.8800000008</v>
      </c>
      <c r="AS107" s="8">
        <f>RANK(HS_DB[[#This Row],[Risk Exposure - USD]],HS_DB[Risk Exposure - USD],0)</f>
        <v>144</v>
      </c>
      <c r="AT107" s="8" t="str">
        <f>IF(HS_DB[[#This Row],[Risk Exposure Rank]]&lt;=10,"High",
 IF(HS_DB[[#This Row],[Risk Exposure Rank]]&lt;=30,"Medium",
 "Low"))</f>
        <v>Low</v>
      </c>
      <c r="AU107" s="8" t="str">
        <f>IF(HS_DB[[#This Row],[Risk Exposure Rank]]&lt;=5,"Immediate Action",
 IF(HS_DB[[#This Row],[Risk Exposure Rank]]&lt;=15,"Monitor Closely",
 "Routine Control"))</f>
        <v>Routine Control</v>
      </c>
      <c r="AV107" s="8">
        <f>SUMIFS(HS_DB[Trade Value - USD],HS_DB[HS Code],HS_DB[[#This Row],[HS Code]])</f>
        <v>15776132</v>
      </c>
      <c r="AW107" s="6">
        <f>HS_DB[[#This Row],[Annual Spend - USD]]/HS_DB[[#This Row],[Total Market Size - USD]]</f>
        <v>1</v>
      </c>
      <c r="AX107" s="6" cm="1">
        <f t="array" ref="AX107">COUNTA(_xlfn.UNIQUE(_xlfn._xlws.FILTER(HS_DB[Partner],HS_DB[HS Code]=HS_DB[[#This Row],[HS Code]])))</f>
        <v>1</v>
      </c>
      <c r="AY107" s="8" t="str">
        <f>IF(HS_DB[[#This Row],[Competition Intensity]]&lt;=2,"Highly Concentrated",
 IF(HS_DB[[#This Row],[Competition Intensity]]&lt;=5,"Moderate",
 "Highly Competitive"))</f>
        <v>Highly Concentrated</v>
      </c>
      <c r="AZ107" s="8">
        <f>HS_DB[[#This Row],[Total Market Size - USD]]
*
(1+IFERROR(#REF!,0))
/
HS_DB[[#This Row],[Competition Intensity]]</f>
        <v>15776132</v>
      </c>
      <c r="BA107" s="8" t="str">
        <f>IF(HS_DB[[#This Row],[Commercial Opportunity Score]]&gt;=PERCENTILE(HS_DB[Commercial Opportunity Score],0.9),"High Opportunity",
 IF(HS_DB[[#This Row],[Commercial Opportunity Score]]&gt;=PERCENTILE(HS_DB[Commercial Opportunity Score],0.6),"Medium Opportunity",
 "Routine Market"))</f>
        <v>Medium Opportunity</v>
      </c>
      <c r="BB107" s="3" t="str">
        <f>IF(AND(HS_DB[[#This Row],[Product Rank]]&gt;0,HS_DB[[#This Row],[Product Rank]]&lt;=10),"Yes","No")</f>
        <v>No</v>
      </c>
      <c r="BC107" s="3" t="str">
        <f>IF(AND(HS_DB[[#This Row],[Origin Rank]]&gt;0,HS_DB[[#This Row],[Origin Rank]]&lt;=10),"Yes","No")</f>
        <v>Yes</v>
      </c>
    </row>
    <row r="108" spans="2:55" x14ac:dyDescent="0.3">
      <c r="B108" s="2">
        <f>HS_DB[[#This Row],[Commodity Code]]</f>
        <v>391231</v>
      </c>
      <c r="C108" s="2">
        <f>IFERROR(INDEX(HS_MD!C:C,MATCH(B108,HS_MD!B:B,0),1),"")</f>
        <v>2</v>
      </c>
      <c r="D108" s="17" t="str">
        <f>IFERROR(INDEX(HS_MD!D:D,MATCH(B108,HS_MD!B:B,0),1),"")</f>
        <v>Cellulose ethers</v>
      </c>
      <c r="E108" s="17" t="str">
        <f>IFERROR(INDEX(HS_MD!E:E,MATCH(B108,HS_MD!B:B,0),1),"")</f>
        <v>CMC (Carboxymethyl Cellulose)</v>
      </c>
      <c r="F108" s="17" t="str">
        <f>IFERROR(INDEX(HS_MD!F:F,MATCH(B108,HS_MD!B:B,0),1),"")</f>
        <v>FUNCTIONAL INGREDIENTS</v>
      </c>
      <c r="G108" s="17" t="str">
        <f>IFERROR(INDEX(HS_MD!G:G,MATCH(B108,HS_MD!B:B,0),1),"")</f>
        <v>Hydrocolloids</v>
      </c>
      <c r="H108" s="17" t="str">
        <f>IFERROR(INDEX(HS_MD!H:H,MATCH(B108,HS_MD!B:B,0),1),"")</f>
        <v>Cellulose Derivatives</v>
      </c>
      <c r="I108" s="17" t="str">
        <f>IFERROR(INDEX(HS_MD!I:I,MATCH(B108,HS_MD!B:B,0),1),"")</f>
        <v>Sauces / Beverages / Ice Cream</v>
      </c>
      <c r="J108" s="17">
        <f>IFERROR(INDEX(Heat_Map[Index],MATCH(HS_DB[[#This Row],[Reporter]],Heat_Map[Global],0),1),"")</f>
        <v>65</v>
      </c>
      <c r="K108" s="17" t="str">
        <f>IF(AND(HS_DB[[#This Row],[Origin Rank]]&gt;1,HS_DB[[#This Row],[Origin Rank]]&lt;=10),"Yes","No")</f>
        <v>Yes</v>
      </c>
      <c r="L108" s="2">
        <v>2024</v>
      </c>
      <c r="M108" s="2" t="s">
        <v>57</v>
      </c>
      <c r="N108" s="2" t="s">
        <v>45</v>
      </c>
      <c r="O108" s="2" t="s">
        <v>22</v>
      </c>
      <c r="P108" s="2" t="s">
        <v>23</v>
      </c>
      <c r="Q108" s="2" t="s">
        <v>24</v>
      </c>
      <c r="R108" s="2" t="s">
        <v>25</v>
      </c>
      <c r="S108" s="2">
        <v>391231</v>
      </c>
      <c r="T108" s="3">
        <v>3068</v>
      </c>
      <c r="U108" s="3">
        <v>630</v>
      </c>
      <c r="V108" s="3">
        <v>0</v>
      </c>
      <c r="W108" s="3">
        <v>630</v>
      </c>
      <c r="X108" s="3" t="s">
        <v>58</v>
      </c>
      <c r="Y108" s="3">
        <v>630</v>
      </c>
      <c r="Z108" s="3" t="s">
        <v>58</v>
      </c>
      <c r="AA108" s="6">
        <f>SUMIFS(HS_DB[Trade Value - USD],HS_DB[Reporter],HS_DB[[#This Row],[Reporter]])/SUM(HS_DB[Trade Value - USD])</f>
        <v>7.8962835084717131E-4</v>
      </c>
      <c r="AB108" s="8" cm="1">
        <f t="array" ref="AB108">SUMPRODUCT(
(HS_DB[Reporter]=HS_DB[[#This Row],[Reporter]])*
(HS_DB[Trade Value - USD]&gt;HS_DB[[#This Row],[Trade Value - USD]])
)+1</f>
        <v>6</v>
      </c>
      <c r="AC108" s="8" t="str">
        <f>IFERROR(IF(INDEX(Heat_Map[Crisis Impact %],MATCH(HS_DB[[#This Row],[Reporter]],Heat_Map[Global],0),1)&gt;0,"Yes","No"),"No")</f>
        <v>No</v>
      </c>
      <c r="AD108" s="6">
        <f>IFERROR(INDEX(Heat_Map[Crisis Impact %],MATCH(HS_DB[[#This Row],[Reporter]],Heat_Map[Global],0),1),0)</f>
        <v>0</v>
      </c>
      <c r="AE108" s="8">
        <f>HS_DB[[#This Row],[Crisis Impact%]]*HS_DB[[#This Row],[Trade Value - USD]]</f>
        <v>0</v>
      </c>
      <c r="AF108" s="8">
        <f>HS_DB[[#This Row],[Crisis Impact%]]*HS_DB[[#This Row],[Net Weight -KG]]</f>
        <v>0</v>
      </c>
      <c r="AG108" s="6">
        <f>SUMIFS(HS_DB[Trade Value - USD],HS_DB[Products],HS_DB[[#This Row],[Products]])/SUM(HS_DB[Trade Value - USD])</f>
        <v>8.3692639177155963E-3</v>
      </c>
      <c r="AH108" s="8">
        <f>_xlfn.RANK.EQ(HS_DB[[#This Row],[Trade Value - USD]], HS_DB[Trade Value - USD], 0)
 + COUNTIFS(HS_DB[Trade Value - USD],HS_DB[[#This Row],[Trade Value - USD]],
            HS_DB[HS Code],"&lt;"&amp;HS_DB[[#This Row],[HS Code]])</f>
        <v>460</v>
      </c>
      <c r="AI108" s="9">
        <f>IFERROR(HS_DB[[#This Row],[Trade Value - USD]]/HS_DB[[#This Row],[Net Weight -KG]],0)</f>
        <v>4.8698412698412694</v>
      </c>
      <c r="AJ108" s="17" cm="1">
        <f t="array" ref="AJ108">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08" s="17" t="str">
        <f>IF(HS_DB[[#This Row],[HS Code Risk Score]]&gt;=40,"High",
 IF(HS_DB[[#This Row],[HS Code Risk Score]]&gt;=25,"Medium","Low"))</f>
        <v>Medium</v>
      </c>
      <c r="AL108" s="17" t="str">
        <f>IF(RANK(HS_DB[[#This Row],[HS Code Risk Score]],HS_DB[HS Code Risk Score])&lt;=10,"Yes","No")</f>
        <v>No</v>
      </c>
      <c r="AM108" s="8">
        <f>SUMIFS(HS_DB[Net Weight -KG],HS_DB[HS Code],HS_DB[[#This Row],[HS Code]])</f>
        <v>6842762.2999999998</v>
      </c>
      <c r="AN108" s="8">
        <f>SUMIFS(HS_DB[Trade Value - USD],HS_DB[HS Code],HS_DB[[#This Row],[HS Code]])</f>
        <v>15776132</v>
      </c>
      <c r="AO108" s="6">
        <f>_xlfn.MAXIFS(HS_DB[Origin Share%],HS_DB[HS Code],HS_DB[[#This Row],[HS Code]])</f>
        <v>6.321329281187793E-2</v>
      </c>
      <c r="AP108" s="8" cm="1">
        <f t="array" ref="AP108">_xlfn.LET(
_xlpm.hs,HS_DB[[#This Row],[HS Code]],
COUNTA(_xlfn.UNIQUE(_xlfn._xlws.FILTER(HS_DB[Reporter],HS_DB[HS Code]=_xlpm.hs)))
)</f>
        <v>17</v>
      </c>
      <c r="AQ108" s="17" t="str">
        <f>IF(HS_DB[[#This Row],[Origin Count]]=1,"Single Source","Multiple Sources")</f>
        <v>Multiple Sources</v>
      </c>
      <c r="AR108" s="8">
        <f>HS_DB[[#This Row],[Annual Spend - USD]]*(HS_DB[[#This Row],[HS Code Risk Score]]/100)</f>
        <v>5363884.8800000008</v>
      </c>
      <c r="AS108" s="8">
        <f>RANK(HS_DB[[#This Row],[Risk Exposure - USD]],HS_DB[Risk Exposure - USD],0)</f>
        <v>144</v>
      </c>
      <c r="AT108" s="8" t="str">
        <f>IF(HS_DB[[#This Row],[Risk Exposure Rank]]&lt;=10,"High",
 IF(HS_DB[[#This Row],[Risk Exposure Rank]]&lt;=30,"Medium",
 "Low"))</f>
        <v>Low</v>
      </c>
      <c r="AU108" s="8" t="str">
        <f>IF(HS_DB[[#This Row],[Risk Exposure Rank]]&lt;=5,"Immediate Action",
 IF(HS_DB[[#This Row],[Risk Exposure Rank]]&lt;=15,"Monitor Closely",
 "Routine Control"))</f>
        <v>Routine Control</v>
      </c>
      <c r="AV108" s="8">
        <f>SUMIFS(HS_DB[Trade Value - USD],HS_DB[HS Code],HS_DB[[#This Row],[HS Code]])</f>
        <v>15776132</v>
      </c>
      <c r="AW108" s="6">
        <f>HS_DB[[#This Row],[Annual Spend - USD]]/HS_DB[[#This Row],[Total Market Size - USD]]</f>
        <v>1</v>
      </c>
      <c r="AX108" s="6" cm="1">
        <f t="array" ref="AX108">COUNTA(_xlfn.UNIQUE(_xlfn._xlws.FILTER(HS_DB[Partner],HS_DB[HS Code]=HS_DB[[#This Row],[HS Code]])))</f>
        <v>1</v>
      </c>
      <c r="AY108" s="8" t="str">
        <f>IF(HS_DB[[#This Row],[Competition Intensity]]&lt;=2,"Highly Concentrated",
 IF(HS_DB[[#This Row],[Competition Intensity]]&lt;=5,"Moderate",
 "Highly Competitive"))</f>
        <v>Highly Concentrated</v>
      </c>
      <c r="AZ108" s="8">
        <f>HS_DB[[#This Row],[Total Market Size - USD]]
*
(1+IFERROR(#REF!,0))
/
HS_DB[[#This Row],[Competition Intensity]]</f>
        <v>15776132</v>
      </c>
      <c r="BA108" s="8" t="str">
        <f>IF(HS_DB[[#This Row],[Commercial Opportunity Score]]&gt;=PERCENTILE(HS_DB[Commercial Opportunity Score],0.9),"High Opportunity",
 IF(HS_DB[[#This Row],[Commercial Opportunity Score]]&gt;=PERCENTILE(HS_DB[Commercial Opportunity Score],0.6),"Medium Opportunity",
 "Routine Market"))</f>
        <v>Medium Opportunity</v>
      </c>
      <c r="BB108" s="3" t="str">
        <f>IF(AND(HS_DB[[#This Row],[Product Rank]]&gt;0,HS_DB[[#This Row],[Product Rank]]&lt;=10),"Yes","No")</f>
        <v>No</v>
      </c>
      <c r="BC108" s="3" t="str">
        <f>IF(AND(HS_DB[[#This Row],[Origin Rank]]&gt;0,HS_DB[[#This Row],[Origin Rank]]&lt;=10),"Yes","No")</f>
        <v>Yes</v>
      </c>
    </row>
    <row r="109" spans="2:55" x14ac:dyDescent="0.3">
      <c r="B109" s="2">
        <f>HS_DB[[#This Row],[Commodity Code]]</f>
        <v>391231</v>
      </c>
      <c r="C109" s="2">
        <f>IFERROR(INDEX(HS_MD!C:C,MATCH(B109,HS_MD!B:B,0),1),"")</f>
        <v>2</v>
      </c>
      <c r="D109" s="17" t="str">
        <f>IFERROR(INDEX(HS_MD!D:D,MATCH(B109,HS_MD!B:B,0),1),"")</f>
        <v>Cellulose ethers</v>
      </c>
      <c r="E109" s="17" t="str">
        <f>IFERROR(INDEX(HS_MD!E:E,MATCH(B109,HS_MD!B:B,0),1),"")</f>
        <v>CMC (Carboxymethyl Cellulose)</v>
      </c>
      <c r="F109" s="17" t="str">
        <f>IFERROR(INDEX(HS_MD!F:F,MATCH(B109,HS_MD!B:B,0),1),"")</f>
        <v>FUNCTIONAL INGREDIENTS</v>
      </c>
      <c r="G109" s="17" t="str">
        <f>IFERROR(INDEX(HS_MD!G:G,MATCH(B109,HS_MD!B:B,0),1),"")</f>
        <v>Hydrocolloids</v>
      </c>
      <c r="H109" s="17" t="str">
        <f>IFERROR(INDEX(HS_MD!H:H,MATCH(B109,HS_MD!B:B,0),1),"")</f>
        <v>Cellulose Derivatives</v>
      </c>
      <c r="I109" s="17" t="str">
        <f>IFERROR(INDEX(HS_MD!I:I,MATCH(B109,HS_MD!B:B,0),1),"")</f>
        <v>Sauces / Beverages / Ice Cream</v>
      </c>
      <c r="J109" s="17">
        <f>IFERROR(INDEX(Heat_Map[Index],MATCH(HS_DB[[#This Row],[Reporter]],Heat_Map[Global],0),1),"")</f>
        <v>79</v>
      </c>
      <c r="K109" s="17" t="str">
        <f>IF(AND(HS_DB[[#This Row],[Origin Rank]]&gt;1,HS_DB[[#This Row],[Origin Rank]]&lt;=10),"Yes","No")</f>
        <v>Yes</v>
      </c>
      <c r="L109" s="2">
        <v>2024</v>
      </c>
      <c r="M109" s="2" t="s">
        <v>57</v>
      </c>
      <c r="N109" s="2" t="s">
        <v>48</v>
      </c>
      <c r="O109" s="2" t="s">
        <v>22</v>
      </c>
      <c r="P109" s="2" t="s">
        <v>23</v>
      </c>
      <c r="Q109" s="2" t="s">
        <v>24</v>
      </c>
      <c r="R109" s="2" t="s">
        <v>25</v>
      </c>
      <c r="S109" s="2">
        <v>391231</v>
      </c>
      <c r="T109" s="3">
        <v>558618</v>
      </c>
      <c r="U109" s="3">
        <v>34007</v>
      </c>
      <c r="V109" s="3">
        <v>0</v>
      </c>
      <c r="W109" s="3">
        <v>34007</v>
      </c>
      <c r="X109" s="3" t="s">
        <v>58</v>
      </c>
      <c r="Y109" s="3">
        <v>34007</v>
      </c>
      <c r="Z109" s="3" t="s">
        <v>58</v>
      </c>
      <c r="AA109" s="6">
        <f>SUMIFS(HS_DB[Trade Value - USD],HS_DB[Reporter],HS_DB[[#This Row],[Reporter]])/SUM(HS_DB[Trade Value - USD])</f>
        <v>4.9588465845200368E-3</v>
      </c>
      <c r="AB109" s="8" cm="1">
        <f t="array" ref="AB109">SUMPRODUCT(
(HS_DB[Reporter]=HS_DB[[#This Row],[Reporter]])*
(HS_DB[Trade Value - USD]&gt;HS_DB[[#This Row],[Trade Value - USD]])
)+1</f>
        <v>7</v>
      </c>
      <c r="AC109" s="8" t="str">
        <f>IFERROR(IF(INDEX(Heat_Map[Crisis Impact %],MATCH(HS_DB[[#This Row],[Reporter]],Heat_Map[Global],0),1)&gt;0,"Yes","No"),"No")</f>
        <v>No</v>
      </c>
      <c r="AD109" s="6">
        <f>IFERROR(INDEX(Heat_Map[Crisis Impact %],MATCH(HS_DB[[#This Row],[Reporter]],Heat_Map[Global],0),1),0)</f>
        <v>0</v>
      </c>
      <c r="AE109" s="8">
        <f>HS_DB[[#This Row],[Crisis Impact%]]*HS_DB[[#This Row],[Trade Value - USD]]</f>
        <v>0</v>
      </c>
      <c r="AF109" s="8">
        <f>HS_DB[[#This Row],[Crisis Impact%]]*HS_DB[[#This Row],[Net Weight -KG]]</f>
        <v>0</v>
      </c>
      <c r="AG109" s="6">
        <f>SUMIFS(HS_DB[Trade Value - USD],HS_DB[Products],HS_DB[[#This Row],[Products]])/SUM(HS_DB[Trade Value - USD])</f>
        <v>8.3692639177155963E-3</v>
      </c>
      <c r="AH109" s="8">
        <f>_xlfn.RANK.EQ(HS_DB[[#This Row],[Trade Value - USD]], HS_DB[Trade Value - USD], 0)
 + COUNTIFS(HS_DB[Trade Value - USD],HS_DB[[#This Row],[Trade Value - USD]],
            HS_DB[HS Code],"&lt;"&amp;HS_DB[[#This Row],[HS Code]])</f>
        <v>140</v>
      </c>
      <c r="AI109" s="9">
        <f>IFERROR(HS_DB[[#This Row],[Trade Value - USD]]/HS_DB[[#This Row],[Net Weight -KG]],0)</f>
        <v>16.426559237803982</v>
      </c>
      <c r="AJ109" s="17" cm="1">
        <f t="array" ref="AJ109">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09" s="17" t="str">
        <f>IF(HS_DB[[#This Row],[HS Code Risk Score]]&gt;=40,"High",
 IF(HS_DB[[#This Row],[HS Code Risk Score]]&gt;=25,"Medium","Low"))</f>
        <v>Medium</v>
      </c>
      <c r="AL109" s="17" t="str">
        <f>IF(RANK(HS_DB[[#This Row],[HS Code Risk Score]],HS_DB[HS Code Risk Score])&lt;=10,"Yes","No")</f>
        <v>No</v>
      </c>
      <c r="AM109" s="8">
        <f>SUMIFS(HS_DB[Net Weight -KG],HS_DB[HS Code],HS_DB[[#This Row],[HS Code]])</f>
        <v>6842762.2999999998</v>
      </c>
      <c r="AN109" s="8">
        <f>SUMIFS(HS_DB[Trade Value - USD],HS_DB[HS Code],HS_DB[[#This Row],[HS Code]])</f>
        <v>15776132</v>
      </c>
      <c r="AO109" s="6">
        <f>_xlfn.MAXIFS(HS_DB[Origin Share%],HS_DB[HS Code],HS_DB[[#This Row],[HS Code]])</f>
        <v>6.321329281187793E-2</v>
      </c>
      <c r="AP109" s="8" cm="1">
        <f t="array" ref="AP109">_xlfn.LET(
_xlpm.hs,HS_DB[[#This Row],[HS Code]],
COUNTA(_xlfn.UNIQUE(_xlfn._xlws.FILTER(HS_DB[Reporter],HS_DB[HS Code]=_xlpm.hs)))
)</f>
        <v>17</v>
      </c>
      <c r="AQ109" s="17" t="str">
        <f>IF(HS_DB[[#This Row],[Origin Count]]=1,"Single Source","Multiple Sources")</f>
        <v>Multiple Sources</v>
      </c>
      <c r="AR109" s="8">
        <f>HS_DB[[#This Row],[Annual Spend - USD]]*(HS_DB[[#This Row],[HS Code Risk Score]]/100)</f>
        <v>5363884.8800000008</v>
      </c>
      <c r="AS109" s="8">
        <f>RANK(HS_DB[[#This Row],[Risk Exposure - USD]],HS_DB[Risk Exposure - USD],0)</f>
        <v>144</v>
      </c>
      <c r="AT109" s="8" t="str">
        <f>IF(HS_DB[[#This Row],[Risk Exposure Rank]]&lt;=10,"High",
 IF(HS_DB[[#This Row],[Risk Exposure Rank]]&lt;=30,"Medium",
 "Low"))</f>
        <v>Low</v>
      </c>
      <c r="AU109" s="8" t="str">
        <f>IF(HS_DB[[#This Row],[Risk Exposure Rank]]&lt;=5,"Immediate Action",
 IF(HS_DB[[#This Row],[Risk Exposure Rank]]&lt;=15,"Monitor Closely",
 "Routine Control"))</f>
        <v>Routine Control</v>
      </c>
      <c r="AV109" s="8">
        <f>SUMIFS(HS_DB[Trade Value - USD],HS_DB[HS Code],HS_DB[[#This Row],[HS Code]])</f>
        <v>15776132</v>
      </c>
      <c r="AW109" s="6">
        <f>HS_DB[[#This Row],[Annual Spend - USD]]/HS_DB[[#This Row],[Total Market Size - USD]]</f>
        <v>1</v>
      </c>
      <c r="AX109" s="6" cm="1">
        <f t="array" ref="AX109">COUNTA(_xlfn.UNIQUE(_xlfn._xlws.FILTER(HS_DB[Partner],HS_DB[HS Code]=HS_DB[[#This Row],[HS Code]])))</f>
        <v>1</v>
      </c>
      <c r="AY109" s="8" t="str">
        <f>IF(HS_DB[[#This Row],[Competition Intensity]]&lt;=2,"Highly Concentrated",
 IF(HS_DB[[#This Row],[Competition Intensity]]&lt;=5,"Moderate",
 "Highly Competitive"))</f>
        <v>Highly Concentrated</v>
      </c>
      <c r="AZ109" s="8">
        <f>HS_DB[[#This Row],[Total Market Size - USD]]
*
(1+IFERROR(#REF!,0))
/
HS_DB[[#This Row],[Competition Intensity]]</f>
        <v>15776132</v>
      </c>
      <c r="BA109" s="8" t="str">
        <f>IF(HS_DB[[#This Row],[Commercial Opportunity Score]]&gt;=PERCENTILE(HS_DB[Commercial Opportunity Score],0.9),"High Opportunity",
 IF(HS_DB[[#This Row],[Commercial Opportunity Score]]&gt;=PERCENTILE(HS_DB[Commercial Opportunity Score],0.6),"Medium Opportunity",
 "Routine Market"))</f>
        <v>Medium Opportunity</v>
      </c>
      <c r="BB109" s="3" t="str">
        <f>IF(AND(HS_DB[[#This Row],[Product Rank]]&gt;0,HS_DB[[#This Row],[Product Rank]]&lt;=10),"Yes","No")</f>
        <v>No</v>
      </c>
      <c r="BC109" s="3" t="str">
        <f>IF(AND(HS_DB[[#This Row],[Origin Rank]]&gt;0,HS_DB[[#This Row],[Origin Rank]]&lt;=10),"Yes","No")</f>
        <v>Yes</v>
      </c>
    </row>
    <row r="110" spans="2:55" x14ac:dyDescent="0.3">
      <c r="B110" s="2">
        <f>HS_DB[[#This Row],[Commodity Code]]</f>
        <v>391231</v>
      </c>
      <c r="C110" s="2">
        <f>IFERROR(INDEX(HS_MD!C:C,MATCH(B110,HS_MD!B:B,0),1),"")</f>
        <v>2</v>
      </c>
      <c r="D110" s="17" t="str">
        <f>IFERROR(INDEX(HS_MD!D:D,MATCH(B110,HS_MD!B:B,0),1),"")</f>
        <v>Cellulose ethers</v>
      </c>
      <c r="E110" s="17" t="str">
        <f>IFERROR(INDEX(HS_MD!E:E,MATCH(B110,HS_MD!B:B,0),1),"")</f>
        <v>CMC (Carboxymethyl Cellulose)</v>
      </c>
      <c r="F110" s="17" t="str">
        <f>IFERROR(INDEX(HS_MD!F:F,MATCH(B110,HS_MD!B:B,0),1),"")</f>
        <v>FUNCTIONAL INGREDIENTS</v>
      </c>
      <c r="G110" s="17" t="str">
        <f>IFERROR(INDEX(HS_MD!G:G,MATCH(B110,HS_MD!B:B,0),1),"")</f>
        <v>Hydrocolloids</v>
      </c>
      <c r="H110" s="17" t="str">
        <f>IFERROR(INDEX(HS_MD!H:H,MATCH(B110,HS_MD!B:B,0),1),"")</f>
        <v>Cellulose Derivatives</v>
      </c>
      <c r="I110" s="17" t="str">
        <f>IFERROR(INDEX(HS_MD!I:I,MATCH(B110,HS_MD!B:B,0),1),"")</f>
        <v>Sauces / Beverages / Ice Cream</v>
      </c>
      <c r="J110" s="17">
        <f>IFERROR(INDEX(Heat_Map[Index],MATCH(HS_DB[[#This Row],[Reporter]],Heat_Map[Global],0),1),"")</f>
        <v>81</v>
      </c>
      <c r="K110" s="17" t="str">
        <f>IF(AND(HS_DB[[#This Row],[Origin Rank]]&gt;1,HS_DB[[#This Row],[Origin Rank]]&lt;=10),"Yes","No")</f>
        <v>Yes</v>
      </c>
      <c r="L110" s="2">
        <v>2024</v>
      </c>
      <c r="M110" s="2" t="s">
        <v>57</v>
      </c>
      <c r="N110" s="2" t="s">
        <v>49</v>
      </c>
      <c r="O110" s="2" t="s">
        <v>22</v>
      </c>
      <c r="P110" s="2" t="s">
        <v>23</v>
      </c>
      <c r="Q110" s="2" t="s">
        <v>24</v>
      </c>
      <c r="R110" s="2" t="s">
        <v>25</v>
      </c>
      <c r="S110" s="2">
        <v>391231</v>
      </c>
      <c r="T110" s="3">
        <v>709741</v>
      </c>
      <c r="U110" s="3">
        <v>117440</v>
      </c>
      <c r="V110" s="3">
        <v>0</v>
      </c>
      <c r="W110" s="3">
        <v>117440</v>
      </c>
      <c r="X110" s="3" t="s">
        <v>58</v>
      </c>
      <c r="Y110" s="3">
        <v>117440</v>
      </c>
      <c r="Z110" s="3" t="s">
        <v>58</v>
      </c>
      <c r="AA110" s="6">
        <f>SUMIFS(HS_DB[Trade Value - USD],HS_DB[Reporter],HS_DB[[#This Row],[Reporter]])/SUM(HS_DB[Trade Value - USD])</f>
        <v>1.1178535358665947E-2</v>
      </c>
      <c r="AB110" s="8" cm="1">
        <f t="array" ref="AB110">SUMPRODUCT(
(HS_DB[Reporter]=HS_DB[[#This Row],[Reporter]])*
(HS_DB[Trade Value - USD]&gt;HS_DB[[#This Row],[Trade Value - USD]])
)+1</f>
        <v>4</v>
      </c>
      <c r="AC110" s="8" t="str">
        <f>IFERROR(IF(INDEX(Heat_Map[Crisis Impact %],MATCH(HS_DB[[#This Row],[Reporter]],Heat_Map[Global],0),1)&gt;0,"Yes","No"),"No")</f>
        <v>No</v>
      </c>
      <c r="AD110" s="6">
        <f>IFERROR(INDEX(Heat_Map[Crisis Impact %],MATCH(HS_DB[[#This Row],[Reporter]],Heat_Map[Global],0),1),0)</f>
        <v>0</v>
      </c>
      <c r="AE110" s="8">
        <f>HS_DB[[#This Row],[Crisis Impact%]]*HS_DB[[#This Row],[Trade Value - USD]]</f>
        <v>0</v>
      </c>
      <c r="AF110" s="8">
        <f>HS_DB[[#This Row],[Crisis Impact%]]*HS_DB[[#This Row],[Net Weight -KG]]</f>
        <v>0</v>
      </c>
      <c r="AG110" s="6">
        <f>SUMIFS(HS_DB[Trade Value - USD],HS_DB[Products],HS_DB[[#This Row],[Products]])/SUM(HS_DB[Trade Value - USD])</f>
        <v>8.3692639177155963E-3</v>
      </c>
      <c r="AH110" s="8">
        <f>_xlfn.RANK.EQ(HS_DB[[#This Row],[Trade Value - USD]], HS_DB[Trade Value - USD], 0)
 + COUNTIFS(HS_DB[Trade Value - USD],HS_DB[[#This Row],[Trade Value - USD]],
            HS_DB[HS Code],"&lt;"&amp;HS_DB[[#This Row],[HS Code]])</f>
        <v>126</v>
      </c>
      <c r="AI110" s="9">
        <f>IFERROR(HS_DB[[#This Row],[Trade Value - USD]]/HS_DB[[#This Row],[Net Weight -KG]],0)</f>
        <v>6.043434945504087</v>
      </c>
      <c r="AJ110" s="17" cm="1">
        <f t="array" ref="AJ110">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10" s="17" t="str">
        <f>IF(HS_DB[[#This Row],[HS Code Risk Score]]&gt;=40,"High",
 IF(HS_DB[[#This Row],[HS Code Risk Score]]&gt;=25,"Medium","Low"))</f>
        <v>Medium</v>
      </c>
      <c r="AL110" s="17" t="str">
        <f>IF(RANK(HS_DB[[#This Row],[HS Code Risk Score]],HS_DB[HS Code Risk Score])&lt;=10,"Yes","No")</f>
        <v>No</v>
      </c>
      <c r="AM110" s="8">
        <f>SUMIFS(HS_DB[Net Weight -KG],HS_DB[HS Code],HS_DB[[#This Row],[HS Code]])</f>
        <v>6842762.2999999998</v>
      </c>
      <c r="AN110" s="8">
        <f>SUMIFS(HS_DB[Trade Value - USD],HS_DB[HS Code],HS_DB[[#This Row],[HS Code]])</f>
        <v>15776132</v>
      </c>
      <c r="AO110" s="6">
        <f>_xlfn.MAXIFS(HS_DB[Origin Share%],HS_DB[HS Code],HS_DB[[#This Row],[HS Code]])</f>
        <v>6.321329281187793E-2</v>
      </c>
      <c r="AP110" s="8" cm="1">
        <f t="array" ref="AP110">_xlfn.LET(
_xlpm.hs,HS_DB[[#This Row],[HS Code]],
COUNTA(_xlfn.UNIQUE(_xlfn._xlws.FILTER(HS_DB[Reporter],HS_DB[HS Code]=_xlpm.hs)))
)</f>
        <v>17</v>
      </c>
      <c r="AQ110" s="17" t="str">
        <f>IF(HS_DB[[#This Row],[Origin Count]]=1,"Single Source","Multiple Sources")</f>
        <v>Multiple Sources</v>
      </c>
      <c r="AR110" s="8">
        <f>HS_DB[[#This Row],[Annual Spend - USD]]*(HS_DB[[#This Row],[HS Code Risk Score]]/100)</f>
        <v>5363884.8800000008</v>
      </c>
      <c r="AS110" s="8">
        <f>RANK(HS_DB[[#This Row],[Risk Exposure - USD]],HS_DB[Risk Exposure - USD],0)</f>
        <v>144</v>
      </c>
      <c r="AT110" s="8" t="str">
        <f>IF(HS_DB[[#This Row],[Risk Exposure Rank]]&lt;=10,"High",
 IF(HS_DB[[#This Row],[Risk Exposure Rank]]&lt;=30,"Medium",
 "Low"))</f>
        <v>Low</v>
      </c>
      <c r="AU110" s="8" t="str">
        <f>IF(HS_DB[[#This Row],[Risk Exposure Rank]]&lt;=5,"Immediate Action",
 IF(HS_DB[[#This Row],[Risk Exposure Rank]]&lt;=15,"Monitor Closely",
 "Routine Control"))</f>
        <v>Routine Control</v>
      </c>
      <c r="AV110" s="8">
        <f>SUMIFS(HS_DB[Trade Value - USD],HS_DB[HS Code],HS_DB[[#This Row],[HS Code]])</f>
        <v>15776132</v>
      </c>
      <c r="AW110" s="6">
        <f>HS_DB[[#This Row],[Annual Spend - USD]]/HS_DB[[#This Row],[Total Market Size - USD]]</f>
        <v>1</v>
      </c>
      <c r="AX110" s="6" cm="1">
        <f t="array" ref="AX110">COUNTA(_xlfn.UNIQUE(_xlfn._xlws.FILTER(HS_DB[Partner],HS_DB[HS Code]=HS_DB[[#This Row],[HS Code]])))</f>
        <v>1</v>
      </c>
      <c r="AY110" s="8" t="str">
        <f>IF(HS_DB[[#This Row],[Competition Intensity]]&lt;=2,"Highly Concentrated",
 IF(HS_DB[[#This Row],[Competition Intensity]]&lt;=5,"Moderate",
 "Highly Competitive"))</f>
        <v>Highly Concentrated</v>
      </c>
      <c r="AZ110" s="8">
        <f>HS_DB[[#This Row],[Total Market Size - USD]]
*
(1+IFERROR(#REF!,0))
/
HS_DB[[#This Row],[Competition Intensity]]</f>
        <v>15776132</v>
      </c>
      <c r="BA110" s="8" t="str">
        <f>IF(HS_DB[[#This Row],[Commercial Opportunity Score]]&gt;=PERCENTILE(HS_DB[Commercial Opportunity Score],0.9),"High Opportunity",
 IF(HS_DB[[#This Row],[Commercial Opportunity Score]]&gt;=PERCENTILE(HS_DB[Commercial Opportunity Score],0.6),"Medium Opportunity",
 "Routine Market"))</f>
        <v>Medium Opportunity</v>
      </c>
      <c r="BB110" s="3" t="str">
        <f>IF(AND(HS_DB[[#This Row],[Product Rank]]&gt;0,HS_DB[[#This Row],[Product Rank]]&lt;=10),"Yes","No")</f>
        <v>No</v>
      </c>
      <c r="BC110" s="3" t="str">
        <f>IF(AND(HS_DB[[#This Row],[Origin Rank]]&gt;0,HS_DB[[#This Row],[Origin Rank]]&lt;=10),"Yes","No")</f>
        <v>Yes</v>
      </c>
    </row>
    <row r="111" spans="2:55" x14ac:dyDescent="0.3">
      <c r="B111" s="2">
        <f>HS_DB[[#This Row],[Commodity Code]]</f>
        <v>391231</v>
      </c>
      <c r="C111" s="2">
        <f>IFERROR(INDEX(HS_MD!C:C,MATCH(B111,HS_MD!B:B,0),1),"")</f>
        <v>2</v>
      </c>
      <c r="D111" s="17" t="str">
        <f>IFERROR(INDEX(HS_MD!D:D,MATCH(B111,HS_MD!B:B,0),1),"")</f>
        <v>Cellulose ethers</v>
      </c>
      <c r="E111" s="17" t="str">
        <f>IFERROR(INDEX(HS_MD!E:E,MATCH(B111,HS_MD!B:B,0),1),"")</f>
        <v>CMC (Carboxymethyl Cellulose)</v>
      </c>
      <c r="F111" s="17" t="str">
        <f>IFERROR(INDEX(HS_MD!F:F,MATCH(B111,HS_MD!B:B,0),1),"")</f>
        <v>FUNCTIONAL INGREDIENTS</v>
      </c>
      <c r="G111" s="17" t="str">
        <f>IFERROR(INDEX(HS_MD!G:G,MATCH(B111,HS_MD!B:B,0),1),"")</f>
        <v>Hydrocolloids</v>
      </c>
      <c r="H111" s="17" t="str">
        <f>IFERROR(INDEX(HS_MD!H:H,MATCH(B111,HS_MD!B:B,0),1),"")</f>
        <v>Cellulose Derivatives</v>
      </c>
      <c r="I111" s="17" t="str">
        <f>IFERROR(INDEX(HS_MD!I:I,MATCH(B111,HS_MD!B:B,0),1),"")</f>
        <v>Sauces / Beverages / Ice Cream</v>
      </c>
      <c r="J111" s="17">
        <f>IFERROR(INDEX(Heat_Map[Index],MATCH(HS_DB[[#This Row],[Reporter]],Heat_Map[Global],0),1),"")</f>
        <v>83</v>
      </c>
      <c r="K111" s="17" t="str">
        <f>IF(AND(HS_DB[[#This Row],[Origin Rank]]&gt;1,HS_DB[[#This Row],[Origin Rank]]&lt;=10),"Yes","No")</f>
        <v>Yes</v>
      </c>
      <c r="L111" s="2">
        <v>2024</v>
      </c>
      <c r="M111" s="2" t="s">
        <v>57</v>
      </c>
      <c r="N111" s="2" t="s">
        <v>143</v>
      </c>
      <c r="O111" s="2" t="s">
        <v>22</v>
      </c>
      <c r="P111" s="2" t="s">
        <v>23</v>
      </c>
      <c r="Q111" s="2" t="s">
        <v>24</v>
      </c>
      <c r="R111" s="2" t="s">
        <v>25</v>
      </c>
      <c r="S111" s="2">
        <v>391231</v>
      </c>
      <c r="T111" s="3">
        <v>91235</v>
      </c>
      <c r="U111" s="3">
        <v>2480</v>
      </c>
      <c r="V111" s="3">
        <v>0</v>
      </c>
      <c r="W111" s="3">
        <v>2480</v>
      </c>
      <c r="X111" s="3" t="s">
        <v>58</v>
      </c>
      <c r="Y111" s="3">
        <v>2480</v>
      </c>
      <c r="Z111" s="3" t="s">
        <v>58</v>
      </c>
      <c r="AA111" s="6">
        <f>SUMIFS(HS_DB[Trade Value - USD],HS_DB[Reporter],HS_DB[[#This Row],[Reporter]])/SUM(HS_DB[Trade Value - USD])</f>
        <v>1.4722693747111796E-4</v>
      </c>
      <c r="AB111" s="8" cm="1">
        <f t="array" ref="AB111">SUMPRODUCT(
(HS_DB[Reporter]=HS_DB[[#This Row],[Reporter]])*
(HS_DB[Trade Value - USD]&gt;HS_DB[[#This Row],[Trade Value - USD]])
)+1</f>
        <v>2</v>
      </c>
      <c r="AC111" s="8" t="str">
        <f>IFERROR(IF(INDEX(Heat_Map[Crisis Impact %],MATCH(HS_DB[[#This Row],[Reporter]],Heat_Map[Global],0),1)&gt;0,"Yes","No"),"No")</f>
        <v>No</v>
      </c>
      <c r="AD111" s="6">
        <f>IFERROR(INDEX(Heat_Map[Crisis Impact %],MATCH(HS_DB[[#This Row],[Reporter]],Heat_Map[Global],0),1),0)</f>
        <v>0</v>
      </c>
      <c r="AE111" s="8">
        <f>HS_DB[[#This Row],[Crisis Impact%]]*HS_DB[[#This Row],[Trade Value - USD]]</f>
        <v>0</v>
      </c>
      <c r="AF111" s="8">
        <f>HS_DB[[#This Row],[Crisis Impact%]]*HS_DB[[#This Row],[Net Weight -KG]]</f>
        <v>0</v>
      </c>
      <c r="AG111" s="6">
        <f>SUMIFS(HS_DB[Trade Value - USD],HS_DB[Products],HS_DB[[#This Row],[Products]])/SUM(HS_DB[Trade Value - USD])</f>
        <v>8.3692639177155963E-3</v>
      </c>
      <c r="AH111" s="8">
        <f>_xlfn.RANK.EQ(HS_DB[[#This Row],[Trade Value - USD]], HS_DB[Trade Value - USD], 0)
 + COUNTIFS(HS_DB[Trade Value - USD],HS_DB[[#This Row],[Trade Value - USD]],
            HS_DB[HS Code],"&lt;"&amp;HS_DB[[#This Row],[HS Code]])</f>
        <v>281</v>
      </c>
      <c r="AI111" s="9">
        <f>IFERROR(HS_DB[[#This Row],[Trade Value - USD]]/HS_DB[[#This Row],[Net Weight -KG]],0)</f>
        <v>36.788306451612904</v>
      </c>
      <c r="AJ111" s="17" cm="1">
        <f t="array" ref="AJ111">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11" s="17" t="str">
        <f>IF(HS_DB[[#This Row],[HS Code Risk Score]]&gt;=40,"High",
 IF(HS_DB[[#This Row],[HS Code Risk Score]]&gt;=25,"Medium","Low"))</f>
        <v>Medium</v>
      </c>
      <c r="AL111" s="17" t="str">
        <f>IF(RANK(HS_DB[[#This Row],[HS Code Risk Score]],HS_DB[HS Code Risk Score])&lt;=10,"Yes","No")</f>
        <v>No</v>
      </c>
      <c r="AM111" s="8">
        <f>SUMIFS(HS_DB[Net Weight -KG],HS_DB[HS Code],HS_DB[[#This Row],[HS Code]])</f>
        <v>6842762.2999999998</v>
      </c>
      <c r="AN111" s="8">
        <f>SUMIFS(HS_DB[Trade Value - USD],HS_DB[HS Code],HS_DB[[#This Row],[HS Code]])</f>
        <v>15776132</v>
      </c>
      <c r="AO111" s="6">
        <f>_xlfn.MAXIFS(HS_DB[Origin Share%],HS_DB[HS Code],HS_DB[[#This Row],[HS Code]])</f>
        <v>6.321329281187793E-2</v>
      </c>
      <c r="AP111" s="8" cm="1">
        <f t="array" ref="AP111">_xlfn.LET(
_xlpm.hs,HS_DB[[#This Row],[HS Code]],
COUNTA(_xlfn.UNIQUE(_xlfn._xlws.FILTER(HS_DB[Reporter],HS_DB[HS Code]=_xlpm.hs)))
)</f>
        <v>17</v>
      </c>
      <c r="AQ111" s="17" t="str">
        <f>IF(HS_DB[[#This Row],[Origin Count]]=1,"Single Source","Multiple Sources")</f>
        <v>Multiple Sources</v>
      </c>
      <c r="AR111" s="8">
        <f>HS_DB[[#This Row],[Annual Spend - USD]]*(HS_DB[[#This Row],[HS Code Risk Score]]/100)</f>
        <v>5363884.8800000008</v>
      </c>
      <c r="AS111" s="8">
        <f>RANK(HS_DB[[#This Row],[Risk Exposure - USD]],HS_DB[Risk Exposure - USD],0)</f>
        <v>144</v>
      </c>
      <c r="AT111" s="8" t="str">
        <f>IF(HS_DB[[#This Row],[Risk Exposure Rank]]&lt;=10,"High",
 IF(HS_DB[[#This Row],[Risk Exposure Rank]]&lt;=30,"Medium",
 "Low"))</f>
        <v>Low</v>
      </c>
      <c r="AU111" s="8" t="str">
        <f>IF(HS_DB[[#This Row],[Risk Exposure Rank]]&lt;=5,"Immediate Action",
 IF(HS_DB[[#This Row],[Risk Exposure Rank]]&lt;=15,"Monitor Closely",
 "Routine Control"))</f>
        <v>Routine Control</v>
      </c>
      <c r="AV111" s="8">
        <f>SUMIFS(HS_DB[Trade Value - USD],HS_DB[HS Code],HS_DB[[#This Row],[HS Code]])</f>
        <v>15776132</v>
      </c>
      <c r="AW111" s="6">
        <f>HS_DB[[#This Row],[Annual Spend - USD]]/HS_DB[[#This Row],[Total Market Size - USD]]</f>
        <v>1</v>
      </c>
      <c r="AX111" s="6" cm="1">
        <f t="array" ref="AX111">COUNTA(_xlfn.UNIQUE(_xlfn._xlws.FILTER(HS_DB[Partner],HS_DB[HS Code]=HS_DB[[#This Row],[HS Code]])))</f>
        <v>1</v>
      </c>
      <c r="AY111" s="8" t="str">
        <f>IF(HS_DB[[#This Row],[Competition Intensity]]&lt;=2,"Highly Concentrated",
 IF(HS_DB[[#This Row],[Competition Intensity]]&lt;=5,"Moderate",
 "Highly Competitive"))</f>
        <v>Highly Concentrated</v>
      </c>
      <c r="AZ111" s="8">
        <f>HS_DB[[#This Row],[Total Market Size - USD]]
*
(1+IFERROR(#REF!,0))
/
HS_DB[[#This Row],[Competition Intensity]]</f>
        <v>15776132</v>
      </c>
      <c r="BA111" s="8" t="str">
        <f>IF(HS_DB[[#This Row],[Commercial Opportunity Score]]&gt;=PERCENTILE(HS_DB[Commercial Opportunity Score],0.9),"High Opportunity",
 IF(HS_DB[[#This Row],[Commercial Opportunity Score]]&gt;=PERCENTILE(HS_DB[Commercial Opportunity Score],0.6),"Medium Opportunity",
 "Routine Market"))</f>
        <v>Medium Opportunity</v>
      </c>
      <c r="BB111" s="3" t="str">
        <f>IF(AND(HS_DB[[#This Row],[Product Rank]]&gt;0,HS_DB[[#This Row],[Product Rank]]&lt;=10),"Yes","No")</f>
        <v>No</v>
      </c>
      <c r="BC111" s="3" t="str">
        <f>IF(AND(HS_DB[[#This Row],[Origin Rank]]&gt;0,HS_DB[[#This Row],[Origin Rank]]&lt;=10),"Yes","No")</f>
        <v>Yes</v>
      </c>
    </row>
    <row r="112" spans="2:55" x14ac:dyDescent="0.3">
      <c r="B112" s="2">
        <f>HS_DB[[#This Row],[Commodity Code]]</f>
        <v>391231</v>
      </c>
      <c r="C112" s="2">
        <f>IFERROR(INDEX(HS_MD!C:C,MATCH(B112,HS_MD!B:B,0),1),"")</f>
        <v>2</v>
      </c>
      <c r="D112" s="17" t="str">
        <f>IFERROR(INDEX(HS_MD!D:D,MATCH(B112,HS_MD!B:B,0),1),"")</f>
        <v>Cellulose ethers</v>
      </c>
      <c r="E112" s="17" t="str">
        <f>IFERROR(INDEX(HS_MD!E:E,MATCH(B112,HS_MD!B:B,0),1),"")</f>
        <v>CMC (Carboxymethyl Cellulose)</v>
      </c>
      <c r="F112" s="17" t="str">
        <f>IFERROR(INDEX(HS_MD!F:F,MATCH(B112,HS_MD!B:B,0),1),"")</f>
        <v>FUNCTIONAL INGREDIENTS</v>
      </c>
      <c r="G112" s="17" t="str">
        <f>IFERROR(INDEX(HS_MD!G:G,MATCH(B112,HS_MD!B:B,0),1),"")</f>
        <v>Hydrocolloids</v>
      </c>
      <c r="H112" s="17" t="str">
        <f>IFERROR(INDEX(HS_MD!H:H,MATCH(B112,HS_MD!B:B,0),1),"")</f>
        <v>Cellulose Derivatives</v>
      </c>
      <c r="I112" s="17" t="str">
        <f>IFERROR(INDEX(HS_MD!I:I,MATCH(B112,HS_MD!B:B,0),1),"")</f>
        <v>Sauces / Beverages / Ice Cream</v>
      </c>
      <c r="J112" s="17">
        <f>IFERROR(INDEX(Heat_Map[Index],MATCH(HS_DB[[#This Row],[Reporter]],Heat_Map[Global],0),1),"")</f>
        <v>123</v>
      </c>
      <c r="K112" s="17" t="str">
        <f>IF(AND(HS_DB[[#This Row],[Origin Rank]]&gt;1,HS_DB[[#This Row],[Origin Rank]]&lt;=10),"Yes","No")</f>
        <v>Yes</v>
      </c>
      <c r="L112" s="2">
        <v>2024</v>
      </c>
      <c r="M112" s="2" t="s">
        <v>57</v>
      </c>
      <c r="N112" s="2" t="s">
        <v>330</v>
      </c>
      <c r="O112" s="2" t="s">
        <v>22</v>
      </c>
      <c r="P112" s="2" t="s">
        <v>23</v>
      </c>
      <c r="Q112" s="2" t="s">
        <v>24</v>
      </c>
      <c r="R112" s="2" t="s">
        <v>25</v>
      </c>
      <c r="S112" s="2">
        <v>391231</v>
      </c>
      <c r="T112" s="3">
        <v>15053</v>
      </c>
      <c r="U112" s="3">
        <v>540</v>
      </c>
      <c r="V112" s="3">
        <v>0</v>
      </c>
      <c r="W112" s="3">
        <v>540</v>
      </c>
      <c r="X112" s="3" t="s">
        <v>58</v>
      </c>
      <c r="Y112" s="3">
        <v>540</v>
      </c>
      <c r="Z112" s="3" t="s">
        <v>58</v>
      </c>
      <c r="AA112" s="6">
        <f>SUMIFS(HS_DB[Trade Value - USD],HS_DB[Reporter],HS_DB[[#This Row],[Reporter]])/SUM(HS_DB[Trade Value - USD])</f>
        <v>1.389484063100993E-2</v>
      </c>
      <c r="AB112" s="8" cm="1">
        <f t="array" ref="AB112">SUMPRODUCT(
(HS_DB[Reporter]=HS_DB[[#This Row],[Reporter]])*
(HS_DB[Trade Value - USD]&gt;HS_DB[[#This Row],[Trade Value - USD]])
)+1</f>
        <v>6</v>
      </c>
      <c r="AC112" s="8" t="str">
        <f>IFERROR(IF(INDEX(Heat_Map[Crisis Impact %],MATCH(HS_DB[[#This Row],[Reporter]],Heat_Map[Global],0),1)&gt;0,"Yes","No"),"No")</f>
        <v>No</v>
      </c>
      <c r="AD112" s="6">
        <f>IFERROR(INDEX(Heat_Map[Crisis Impact %],MATCH(HS_DB[[#This Row],[Reporter]],Heat_Map[Global],0),1),0)</f>
        <v>0</v>
      </c>
      <c r="AE112" s="8">
        <f>HS_DB[[#This Row],[Crisis Impact%]]*HS_DB[[#This Row],[Trade Value - USD]]</f>
        <v>0</v>
      </c>
      <c r="AF112" s="8">
        <f>HS_DB[[#This Row],[Crisis Impact%]]*HS_DB[[#This Row],[Net Weight -KG]]</f>
        <v>0</v>
      </c>
      <c r="AG112" s="6">
        <f>SUMIFS(HS_DB[Trade Value - USD],HS_DB[Products],HS_DB[[#This Row],[Products]])/SUM(HS_DB[Trade Value - USD])</f>
        <v>8.3692639177155963E-3</v>
      </c>
      <c r="AH112" s="8">
        <f>_xlfn.RANK.EQ(HS_DB[[#This Row],[Trade Value - USD]], HS_DB[Trade Value - USD], 0)
 + COUNTIFS(HS_DB[Trade Value - USD],HS_DB[[#This Row],[Trade Value - USD]],
            HS_DB[HS Code],"&lt;"&amp;HS_DB[[#This Row],[HS Code]])</f>
        <v>393</v>
      </c>
      <c r="AI112" s="9">
        <f>IFERROR(HS_DB[[#This Row],[Trade Value - USD]]/HS_DB[[#This Row],[Net Weight -KG]],0)</f>
        <v>27.875925925925927</v>
      </c>
      <c r="AJ112" s="17" cm="1">
        <f t="array" ref="AJ112">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12" s="17" t="str">
        <f>IF(HS_DB[[#This Row],[HS Code Risk Score]]&gt;=40,"High",
 IF(HS_DB[[#This Row],[HS Code Risk Score]]&gt;=25,"Medium","Low"))</f>
        <v>Medium</v>
      </c>
      <c r="AL112" s="17" t="str">
        <f>IF(RANK(HS_DB[[#This Row],[HS Code Risk Score]],HS_DB[HS Code Risk Score])&lt;=10,"Yes","No")</f>
        <v>No</v>
      </c>
      <c r="AM112" s="8">
        <f>SUMIFS(HS_DB[Net Weight -KG],HS_DB[HS Code],HS_DB[[#This Row],[HS Code]])</f>
        <v>6842762.2999999998</v>
      </c>
      <c r="AN112" s="8">
        <f>SUMIFS(HS_DB[Trade Value - USD],HS_DB[HS Code],HS_DB[[#This Row],[HS Code]])</f>
        <v>15776132</v>
      </c>
      <c r="AO112" s="6">
        <f>_xlfn.MAXIFS(HS_DB[Origin Share%],HS_DB[HS Code],HS_DB[[#This Row],[HS Code]])</f>
        <v>6.321329281187793E-2</v>
      </c>
      <c r="AP112" s="8" cm="1">
        <f t="array" ref="AP112">_xlfn.LET(
_xlpm.hs,HS_DB[[#This Row],[HS Code]],
COUNTA(_xlfn.UNIQUE(_xlfn._xlws.FILTER(HS_DB[Reporter],HS_DB[HS Code]=_xlpm.hs)))
)</f>
        <v>17</v>
      </c>
      <c r="AQ112" s="17" t="str">
        <f>IF(HS_DB[[#This Row],[Origin Count]]=1,"Single Source","Multiple Sources")</f>
        <v>Multiple Sources</v>
      </c>
      <c r="AR112" s="8">
        <f>HS_DB[[#This Row],[Annual Spend - USD]]*(HS_DB[[#This Row],[HS Code Risk Score]]/100)</f>
        <v>5363884.8800000008</v>
      </c>
      <c r="AS112" s="8">
        <f>RANK(HS_DB[[#This Row],[Risk Exposure - USD]],HS_DB[Risk Exposure - USD],0)</f>
        <v>144</v>
      </c>
      <c r="AT112" s="8" t="str">
        <f>IF(HS_DB[[#This Row],[Risk Exposure Rank]]&lt;=10,"High",
 IF(HS_DB[[#This Row],[Risk Exposure Rank]]&lt;=30,"Medium",
 "Low"))</f>
        <v>Low</v>
      </c>
      <c r="AU112" s="8" t="str">
        <f>IF(HS_DB[[#This Row],[Risk Exposure Rank]]&lt;=5,"Immediate Action",
 IF(HS_DB[[#This Row],[Risk Exposure Rank]]&lt;=15,"Monitor Closely",
 "Routine Control"))</f>
        <v>Routine Control</v>
      </c>
      <c r="AV112" s="8">
        <f>SUMIFS(HS_DB[Trade Value - USD],HS_DB[HS Code],HS_DB[[#This Row],[HS Code]])</f>
        <v>15776132</v>
      </c>
      <c r="AW112" s="6">
        <f>HS_DB[[#This Row],[Annual Spend - USD]]/HS_DB[[#This Row],[Total Market Size - USD]]</f>
        <v>1</v>
      </c>
      <c r="AX112" s="6" cm="1">
        <f t="array" ref="AX112">COUNTA(_xlfn.UNIQUE(_xlfn._xlws.FILTER(HS_DB[Partner],HS_DB[HS Code]=HS_DB[[#This Row],[HS Code]])))</f>
        <v>1</v>
      </c>
      <c r="AY112" s="8" t="str">
        <f>IF(HS_DB[[#This Row],[Competition Intensity]]&lt;=2,"Highly Concentrated",
 IF(HS_DB[[#This Row],[Competition Intensity]]&lt;=5,"Moderate",
 "Highly Competitive"))</f>
        <v>Highly Concentrated</v>
      </c>
      <c r="AZ112" s="8">
        <f>HS_DB[[#This Row],[Total Market Size - USD]]
*
(1+IFERROR(#REF!,0))
/
HS_DB[[#This Row],[Competition Intensity]]</f>
        <v>15776132</v>
      </c>
      <c r="BA112" s="8" t="str">
        <f>IF(HS_DB[[#This Row],[Commercial Opportunity Score]]&gt;=PERCENTILE(HS_DB[Commercial Opportunity Score],0.9),"High Opportunity",
 IF(HS_DB[[#This Row],[Commercial Opportunity Score]]&gt;=PERCENTILE(HS_DB[Commercial Opportunity Score],0.6),"Medium Opportunity",
 "Routine Market"))</f>
        <v>Medium Opportunity</v>
      </c>
      <c r="BB112" s="3" t="str">
        <f>IF(AND(HS_DB[[#This Row],[Product Rank]]&gt;0,HS_DB[[#This Row],[Product Rank]]&lt;=10),"Yes","No")</f>
        <v>No</v>
      </c>
      <c r="BC112" s="3" t="str">
        <f>IF(AND(HS_DB[[#This Row],[Origin Rank]]&gt;0,HS_DB[[#This Row],[Origin Rank]]&lt;=10),"Yes","No")</f>
        <v>Yes</v>
      </c>
    </row>
    <row r="113" spans="2:55" x14ac:dyDescent="0.3">
      <c r="B113" s="2">
        <f>HS_DB[[#This Row],[Commodity Code]]</f>
        <v>391231</v>
      </c>
      <c r="C113" s="2">
        <f>IFERROR(INDEX(HS_MD!C:C,MATCH(B113,HS_MD!B:B,0),1),"")</f>
        <v>2</v>
      </c>
      <c r="D113" s="17" t="str">
        <f>IFERROR(INDEX(HS_MD!D:D,MATCH(B113,HS_MD!B:B,0),1),"")</f>
        <v>Cellulose ethers</v>
      </c>
      <c r="E113" s="17" t="str">
        <f>IFERROR(INDEX(HS_MD!E:E,MATCH(B113,HS_MD!B:B,0),1),"")</f>
        <v>CMC (Carboxymethyl Cellulose)</v>
      </c>
      <c r="F113" s="17" t="str">
        <f>IFERROR(INDEX(HS_MD!F:F,MATCH(B113,HS_MD!B:B,0),1),"")</f>
        <v>FUNCTIONAL INGREDIENTS</v>
      </c>
      <c r="G113" s="17" t="str">
        <f>IFERROR(INDEX(HS_MD!G:G,MATCH(B113,HS_MD!B:B,0),1),"")</f>
        <v>Hydrocolloids</v>
      </c>
      <c r="H113" s="17" t="str">
        <f>IFERROR(INDEX(HS_MD!H:H,MATCH(B113,HS_MD!B:B,0),1),"")</f>
        <v>Cellulose Derivatives</v>
      </c>
      <c r="I113" s="17" t="str">
        <f>IFERROR(INDEX(HS_MD!I:I,MATCH(B113,HS_MD!B:B,0),1),"")</f>
        <v>Sauces / Beverages / Ice Cream</v>
      </c>
      <c r="J113" s="17">
        <f>IFERROR(INDEX(Heat_Map[Index],MATCH(HS_DB[[#This Row],[Reporter]],Heat_Map[Global],0),1),"")</f>
        <v>118</v>
      </c>
      <c r="K113" s="17" t="str">
        <f>IF(AND(HS_DB[[#This Row],[Origin Rank]]&gt;1,HS_DB[[#This Row],[Origin Rank]]&lt;=10),"Yes","No")</f>
        <v>Yes</v>
      </c>
      <c r="L113" s="2">
        <v>2024</v>
      </c>
      <c r="M113" s="2" t="s">
        <v>57</v>
      </c>
      <c r="N113" s="2" t="s">
        <v>53</v>
      </c>
      <c r="O113" s="2" t="s">
        <v>22</v>
      </c>
      <c r="P113" s="2" t="s">
        <v>23</v>
      </c>
      <c r="Q113" s="2" t="s">
        <v>24</v>
      </c>
      <c r="R113" s="2" t="s">
        <v>25</v>
      </c>
      <c r="S113" s="2">
        <v>391231</v>
      </c>
      <c r="T113" s="3">
        <v>218791</v>
      </c>
      <c r="U113" s="3">
        <v>39474</v>
      </c>
      <c r="V113" s="3">
        <v>0</v>
      </c>
      <c r="W113" s="3">
        <v>39474</v>
      </c>
      <c r="X113" s="3" t="s">
        <v>58</v>
      </c>
      <c r="Y113" s="3">
        <v>39474</v>
      </c>
      <c r="Z113" s="3" t="s">
        <v>58</v>
      </c>
      <c r="AA113" s="6">
        <f>SUMIFS(HS_DB[Trade Value - USD],HS_DB[Reporter],HS_DB[[#This Row],[Reporter]])/SUM(HS_DB[Trade Value - USD])</f>
        <v>1.4561232389604124E-2</v>
      </c>
      <c r="AB113" s="8" cm="1">
        <f t="array" ref="AB113">SUMPRODUCT(
(HS_DB[Reporter]=HS_DB[[#This Row],[Reporter]])*
(HS_DB[Trade Value - USD]&gt;HS_DB[[#This Row],[Trade Value - USD]])
)+1</f>
        <v>10</v>
      </c>
      <c r="AC113" s="8" t="str">
        <f>IFERROR(IF(INDEX(Heat_Map[Crisis Impact %],MATCH(HS_DB[[#This Row],[Reporter]],Heat_Map[Global],0),1)&gt;0,"Yes","No"),"No")</f>
        <v>No</v>
      </c>
      <c r="AD113" s="6">
        <f>IFERROR(INDEX(Heat_Map[Crisis Impact %],MATCH(HS_DB[[#This Row],[Reporter]],Heat_Map[Global],0),1),0)</f>
        <v>0</v>
      </c>
      <c r="AE113" s="8">
        <f>HS_DB[[#This Row],[Crisis Impact%]]*HS_DB[[#This Row],[Trade Value - USD]]</f>
        <v>0</v>
      </c>
      <c r="AF113" s="8">
        <f>HS_DB[[#This Row],[Crisis Impact%]]*HS_DB[[#This Row],[Net Weight -KG]]</f>
        <v>0</v>
      </c>
      <c r="AG113" s="6">
        <f>SUMIFS(HS_DB[Trade Value - USD],HS_DB[Products],HS_DB[[#This Row],[Products]])/SUM(HS_DB[Trade Value - USD])</f>
        <v>8.3692639177155963E-3</v>
      </c>
      <c r="AH113" s="8">
        <f>_xlfn.RANK.EQ(HS_DB[[#This Row],[Trade Value - USD]], HS_DB[Trade Value - USD], 0)
 + COUNTIFS(HS_DB[Trade Value - USD],HS_DB[[#This Row],[Trade Value - USD]],
            HS_DB[HS Code],"&lt;"&amp;HS_DB[[#This Row],[HS Code]])</f>
        <v>210</v>
      </c>
      <c r="AI113" s="9">
        <f>IFERROR(HS_DB[[#This Row],[Trade Value - USD]]/HS_DB[[#This Row],[Net Weight -KG]],0)</f>
        <v>5.5426609920453966</v>
      </c>
      <c r="AJ113" s="17" cm="1">
        <f t="array" ref="AJ113">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13" s="17" t="str">
        <f>IF(HS_DB[[#This Row],[HS Code Risk Score]]&gt;=40,"High",
 IF(HS_DB[[#This Row],[HS Code Risk Score]]&gt;=25,"Medium","Low"))</f>
        <v>Medium</v>
      </c>
      <c r="AL113" s="17" t="str">
        <f>IF(RANK(HS_DB[[#This Row],[HS Code Risk Score]],HS_DB[HS Code Risk Score])&lt;=10,"Yes","No")</f>
        <v>No</v>
      </c>
      <c r="AM113" s="8">
        <f>SUMIFS(HS_DB[Net Weight -KG],HS_DB[HS Code],HS_DB[[#This Row],[HS Code]])</f>
        <v>6842762.2999999998</v>
      </c>
      <c r="AN113" s="8">
        <f>SUMIFS(HS_DB[Trade Value - USD],HS_DB[HS Code],HS_DB[[#This Row],[HS Code]])</f>
        <v>15776132</v>
      </c>
      <c r="AO113" s="6">
        <f>_xlfn.MAXIFS(HS_DB[Origin Share%],HS_DB[HS Code],HS_DB[[#This Row],[HS Code]])</f>
        <v>6.321329281187793E-2</v>
      </c>
      <c r="AP113" s="8" cm="1">
        <f t="array" ref="AP113">_xlfn.LET(
_xlpm.hs,HS_DB[[#This Row],[HS Code]],
COUNTA(_xlfn.UNIQUE(_xlfn._xlws.FILTER(HS_DB[Reporter],HS_DB[HS Code]=_xlpm.hs)))
)</f>
        <v>17</v>
      </c>
      <c r="AQ113" s="17" t="str">
        <f>IF(HS_DB[[#This Row],[Origin Count]]=1,"Single Source","Multiple Sources")</f>
        <v>Multiple Sources</v>
      </c>
      <c r="AR113" s="8">
        <f>HS_DB[[#This Row],[Annual Spend - USD]]*(HS_DB[[#This Row],[HS Code Risk Score]]/100)</f>
        <v>5363884.8800000008</v>
      </c>
      <c r="AS113" s="8">
        <f>RANK(HS_DB[[#This Row],[Risk Exposure - USD]],HS_DB[Risk Exposure - USD],0)</f>
        <v>144</v>
      </c>
      <c r="AT113" s="8" t="str">
        <f>IF(HS_DB[[#This Row],[Risk Exposure Rank]]&lt;=10,"High",
 IF(HS_DB[[#This Row],[Risk Exposure Rank]]&lt;=30,"Medium",
 "Low"))</f>
        <v>Low</v>
      </c>
      <c r="AU113" s="8" t="str">
        <f>IF(HS_DB[[#This Row],[Risk Exposure Rank]]&lt;=5,"Immediate Action",
 IF(HS_DB[[#This Row],[Risk Exposure Rank]]&lt;=15,"Monitor Closely",
 "Routine Control"))</f>
        <v>Routine Control</v>
      </c>
      <c r="AV113" s="8">
        <f>SUMIFS(HS_DB[Trade Value - USD],HS_DB[HS Code],HS_DB[[#This Row],[HS Code]])</f>
        <v>15776132</v>
      </c>
      <c r="AW113" s="6">
        <f>HS_DB[[#This Row],[Annual Spend - USD]]/HS_DB[[#This Row],[Total Market Size - USD]]</f>
        <v>1</v>
      </c>
      <c r="AX113" s="6" cm="1">
        <f t="array" ref="AX113">COUNTA(_xlfn.UNIQUE(_xlfn._xlws.FILTER(HS_DB[Partner],HS_DB[HS Code]=HS_DB[[#This Row],[HS Code]])))</f>
        <v>1</v>
      </c>
      <c r="AY113" s="8" t="str">
        <f>IF(HS_DB[[#This Row],[Competition Intensity]]&lt;=2,"Highly Concentrated",
 IF(HS_DB[[#This Row],[Competition Intensity]]&lt;=5,"Moderate",
 "Highly Competitive"))</f>
        <v>Highly Concentrated</v>
      </c>
      <c r="AZ113" s="8">
        <f>HS_DB[[#This Row],[Total Market Size - USD]]
*
(1+IFERROR(#REF!,0))
/
HS_DB[[#This Row],[Competition Intensity]]</f>
        <v>15776132</v>
      </c>
      <c r="BA113" s="8" t="str">
        <f>IF(HS_DB[[#This Row],[Commercial Opportunity Score]]&gt;=PERCENTILE(HS_DB[Commercial Opportunity Score],0.9),"High Opportunity",
 IF(HS_DB[[#This Row],[Commercial Opportunity Score]]&gt;=PERCENTILE(HS_DB[Commercial Opportunity Score],0.6),"Medium Opportunity",
 "Routine Market"))</f>
        <v>Medium Opportunity</v>
      </c>
      <c r="BB113" s="3" t="str">
        <f>IF(AND(HS_DB[[#This Row],[Product Rank]]&gt;0,HS_DB[[#This Row],[Product Rank]]&lt;=10),"Yes","No")</f>
        <v>No</v>
      </c>
      <c r="BC113" s="3" t="str">
        <f>IF(AND(HS_DB[[#This Row],[Origin Rank]]&gt;0,HS_DB[[#This Row],[Origin Rank]]&lt;=10),"Yes","No")</f>
        <v>Yes</v>
      </c>
    </row>
    <row r="114" spans="2:55" x14ac:dyDescent="0.3">
      <c r="B114" s="2">
        <f>HS_DB[[#This Row],[Commodity Code]]</f>
        <v>391231</v>
      </c>
      <c r="C114" s="2">
        <f>IFERROR(INDEX(HS_MD!C:C,MATCH(B114,HS_MD!B:B,0),1),"")</f>
        <v>2</v>
      </c>
      <c r="D114" s="17" t="str">
        <f>IFERROR(INDEX(HS_MD!D:D,MATCH(B114,HS_MD!B:B,0),1),"")</f>
        <v>Cellulose ethers</v>
      </c>
      <c r="E114" s="17" t="str">
        <f>IFERROR(INDEX(HS_MD!E:E,MATCH(B114,HS_MD!B:B,0),1),"")</f>
        <v>CMC (Carboxymethyl Cellulose)</v>
      </c>
      <c r="F114" s="17" t="str">
        <f>IFERROR(INDEX(HS_MD!F:F,MATCH(B114,HS_MD!B:B,0),1),"")</f>
        <v>FUNCTIONAL INGREDIENTS</v>
      </c>
      <c r="G114" s="17" t="str">
        <f>IFERROR(INDEX(HS_MD!G:G,MATCH(B114,HS_MD!B:B,0),1),"")</f>
        <v>Hydrocolloids</v>
      </c>
      <c r="H114" s="17" t="str">
        <f>IFERROR(INDEX(HS_MD!H:H,MATCH(B114,HS_MD!B:B,0),1),"")</f>
        <v>Cellulose Derivatives</v>
      </c>
      <c r="I114" s="17" t="str">
        <f>IFERROR(INDEX(HS_MD!I:I,MATCH(B114,HS_MD!B:B,0),1),"")</f>
        <v>Sauces / Beverages / Ice Cream</v>
      </c>
      <c r="J114" s="17">
        <f>IFERROR(INDEX(Heat_Map[Index],MATCH(HS_DB[[#This Row],[Reporter]],Heat_Map[Global],0),1),"")</f>
        <v>75</v>
      </c>
      <c r="K114" s="17" t="str">
        <f>IF(AND(HS_DB[[#This Row],[Origin Rank]]&gt;1,HS_DB[[#This Row],[Origin Rank]]&lt;=10),"Yes","No")</f>
        <v>Yes</v>
      </c>
      <c r="L114" s="2">
        <v>2024</v>
      </c>
      <c r="M114" s="2" t="s">
        <v>57</v>
      </c>
      <c r="N114" s="2" t="s">
        <v>8</v>
      </c>
      <c r="O114" s="2" t="s">
        <v>22</v>
      </c>
      <c r="P114" s="2" t="s">
        <v>23</v>
      </c>
      <c r="Q114" s="2" t="s">
        <v>24</v>
      </c>
      <c r="R114" s="2" t="s">
        <v>25</v>
      </c>
      <c r="S114" s="2">
        <v>391231</v>
      </c>
      <c r="T114" s="3">
        <v>1274728</v>
      </c>
      <c r="U114" s="3">
        <v>283435</v>
      </c>
      <c r="V114" s="3">
        <v>0</v>
      </c>
      <c r="W114" s="3">
        <v>283435</v>
      </c>
      <c r="X114" s="3" t="s">
        <v>58</v>
      </c>
      <c r="Y114" s="3">
        <v>283435</v>
      </c>
      <c r="Z114" s="3" t="s">
        <v>58</v>
      </c>
      <c r="AA114" s="6">
        <f>SUMIFS(HS_DB[Trade Value - USD],HS_DB[Reporter],HS_DB[[#This Row],[Reporter]])/SUM(HS_DB[Trade Value - USD])</f>
        <v>2.2441761060335613E-2</v>
      </c>
      <c r="AB114" s="8" cm="1">
        <f t="array" ref="AB114">SUMPRODUCT(
(HS_DB[Reporter]=HS_DB[[#This Row],[Reporter]])*
(HS_DB[Trade Value - USD]&gt;HS_DB[[#This Row],[Trade Value - USD]])
)+1</f>
        <v>9</v>
      </c>
      <c r="AC114" s="8" t="str">
        <f>IFERROR(IF(INDEX(Heat_Map[Crisis Impact %],MATCH(HS_DB[[#This Row],[Reporter]],Heat_Map[Global],0),1)&gt;0,"Yes","No"),"No")</f>
        <v>No</v>
      </c>
      <c r="AD114" s="6">
        <f>IFERROR(INDEX(Heat_Map[Crisis Impact %],MATCH(HS_DB[[#This Row],[Reporter]],Heat_Map[Global],0),1),0)</f>
        <v>0</v>
      </c>
      <c r="AE114" s="8">
        <f>HS_DB[[#This Row],[Crisis Impact%]]*HS_DB[[#This Row],[Trade Value - USD]]</f>
        <v>0</v>
      </c>
      <c r="AF114" s="8">
        <f>HS_DB[[#This Row],[Crisis Impact%]]*HS_DB[[#This Row],[Net Weight -KG]]</f>
        <v>0</v>
      </c>
      <c r="AG114" s="6">
        <f>SUMIFS(HS_DB[Trade Value - USD],HS_DB[Products],HS_DB[[#This Row],[Products]])/SUM(HS_DB[Trade Value - USD])</f>
        <v>8.3692639177155963E-3</v>
      </c>
      <c r="AH114" s="8">
        <f>_xlfn.RANK.EQ(HS_DB[[#This Row],[Trade Value - USD]], HS_DB[Trade Value - USD], 0)
 + COUNTIFS(HS_DB[Trade Value - USD],HS_DB[[#This Row],[Trade Value - USD]],
            HS_DB[HS Code],"&lt;"&amp;HS_DB[[#This Row],[HS Code]])</f>
        <v>87</v>
      </c>
      <c r="AI114" s="9">
        <f>IFERROR(HS_DB[[#This Row],[Trade Value - USD]]/HS_DB[[#This Row],[Net Weight -KG]],0)</f>
        <v>4.4974262176513138</v>
      </c>
      <c r="AJ114" s="17" cm="1">
        <f t="array" ref="AJ114">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14" s="17" t="str">
        <f>IF(HS_DB[[#This Row],[HS Code Risk Score]]&gt;=40,"High",
 IF(HS_DB[[#This Row],[HS Code Risk Score]]&gt;=25,"Medium","Low"))</f>
        <v>Medium</v>
      </c>
      <c r="AL114" s="17" t="str">
        <f>IF(RANK(HS_DB[[#This Row],[HS Code Risk Score]],HS_DB[HS Code Risk Score])&lt;=10,"Yes","No")</f>
        <v>No</v>
      </c>
      <c r="AM114" s="8">
        <f>SUMIFS(HS_DB[Net Weight -KG],HS_DB[HS Code],HS_DB[[#This Row],[HS Code]])</f>
        <v>6842762.2999999998</v>
      </c>
      <c r="AN114" s="8">
        <f>SUMIFS(HS_DB[Trade Value - USD],HS_DB[HS Code],HS_DB[[#This Row],[HS Code]])</f>
        <v>15776132</v>
      </c>
      <c r="AO114" s="6">
        <f>_xlfn.MAXIFS(HS_DB[Origin Share%],HS_DB[HS Code],HS_DB[[#This Row],[HS Code]])</f>
        <v>6.321329281187793E-2</v>
      </c>
      <c r="AP114" s="8" cm="1">
        <f t="array" ref="AP114">_xlfn.LET(
_xlpm.hs,HS_DB[[#This Row],[HS Code]],
COUNTA(_xlfn.UNIQUE(_xlfn._xlws.FILTER(HS_DB[Reporter],HS_DB[HS Code]=_xlpm.hs)))
)</f>
        <v>17</v>
      </c>
      <c r="AQ114" s="17" t="str">
        <f>IF(HS_DB[[#This Row],[Origin Count]]=1,"Single Source","Multiple Sources")</f>
        <v>Multiple Sources</v>
      </c>
      <c r="AR114" s="8">
        <f>HS_DB[[#This Row],[Annual Spend - USD]]*(HS_DB[[#This Row],[HS Code Risk Score]]/100)</f>
        <v>5363884.8800000008</v>
      </c>
      <c r="AS114" s="8">
        <f>RANK(HS_DB[[#This Row],[Risk Exposure - USD]],HS_DB[Risk Exposure - USD],0)</f>
        <v>144</v>
      </c>
      <c r="AT114" s="8" t="str">
        <f>IF(HS_DB[[#This Row],[Risk Exposure Rank]]&lt;=10,"High",
 IF(HS_DB[[#This Row],[Risk Exposure Rank]]&lt;=30,"Medium",
 "Low"))</f>
        <v>Low</v>
      </c>
      <c r="AU114" s="8" t="str">
        <f>IF(HS_DB[[#This Row],[Risk Exposure Rank]]&lt;=5,"Immediate Action",
 IF(HS_DB[[#This Row],[Risk Exposure Rank]]&lt;=15,"Monitor Closely",
 "Routine Control"))</f>
        <v>Routine Control</v>
      </c>
      <c r="AV114" s="8">
        <f>SUMIFS(HS_DB[Trade Value - USD],HS_DB[HS Code],HS_DB[[#This Row],[HS Code]])</f>
        <v>15776132</v>
      </c>
      <c r="AW114" s="6">
        <f>HS_DB[[#This Row],[Annual Spend - USD]]/HS_DB[[#This Row],[Total Market Size - USD]]</f>
        <v>1</v>
      </c>
      <c r="AX114" s="6" cm="1">
        <f t="array" ref="AX114">COUNTA(_xlfn.UNIQUE(_xlfn._xlws.FILTER(HS_DB[Partner],HS_DB[HS Code]=HS_DB[[#This Row],[HS Code]])))</f>
        <v>1</v>
      </c>
      <c r="AY114" s="8" t="str">
        <f>IF(HS_DB[[#This Row],[Competition Intensity]]&lt;=2,"Highly Concentrated",
 IF(HS_DB[[#This Row],[Competition Intensity]]&lt;=5,"Moderate",
 "Highly Competitive"))</f>
        <v>Highly Concentrated</v>
      </c>
      <c r="AZ114" s="8">
        <f>HS_DB[[#This Row],[Total Market Size - USD]]
*
(1+IFERROR(#REF!,0))
/
HS_DB[[#This Row],[Competition Intensity]]</f>
        <v>15776132</v>
      </c>
      <c r="BA114" s="8" t="str">
        <f>IF(HS_DB[[#This Row],[Commercial Opportunity Score]]&gt;=PERCENTILE(HS_DB[Commercial Opportunity Score],0.9),"High Opportunity",
 IF(HS_DB[[#This Row],[Commercial Opportunity Score]]&gt;=PERCENTILE(HS_DB[Commercial Opportunity Score],0.6),"Medium Opportunity",
 "Routine Market"))</f>
        <v>Medium Opportunity</v>
      </c>
      <c r="BB114" s="3" t="str">
        <f>IF(AND(HS_DB[[#This Row],[Product Rank]]&gt;0,HS_DB[[#This Row],[Product Rank]]&lt;=10),"Yes","No")</f>
        <v>No</v>
      </c>
      <c r="BC114" s="3" t="str">
        <f>IF(AND(HS_DB[[#This Row],[Origin Rank]]&gt;0,HS_DB[[#This Row],[Origin Rank]]&lt;=10),"Yes","No")</f>
        <v>Yes</v>
      </c>
    </row>
    <row r="115" spans="2:55" x14ac:dyDescent="0.3">
      <c r="B115" s="2">
        <f>HS_DB[[#This Row],[Commodity Code]]</f>
        <v>391231</v>
      </c>
      <c r="C115" s="2">
        <f>IFERROR(INDEX(HS_MD!C:C,MATCH(B115,HS_MD!B:B,0),1),"")</f>
        <v>2</v>
      </c>
      <c r="D115" s="17" t="str">
        <f>IFERROR(INDEX(HS_MD!D:D,MATCH(B115,HS_MD!B:B,0),1),"")</f>
        <v>Cellulose ethers</v>
      </c>
      <c r="E115" s="17" t="str">
        <f>IFERROR(INDEX(HS_MD!E:E,MATCH(B115,HS_MD!B:B,0),1),"")</f>
        <v>CMC (Carboxymethyl Cellulose)</v>
      </c>
      <c r="F115" s="17" t="str">
        <f>IFERROR(INDEX(HS_MD!F:F,MATCH(B115,HS_MD!B:B,0),1),"")</f>
        <v>FUNCTIONAL INGREDIENTS</v>
      </c>
      <c r="G115" s="17" t="str">
        <f>IFERROR(INDEX(HS_MD!G:G,MATCH(B115,HS_MD!B:B,0),1),"")</f>
        <v>Hydrocolloids</v>
      </c>
      <c r="H115" s="17" t="str">
        <f>IFERROR(INDEX(HS_MD!H:H,MATCH(B115,HS_MD!B:B,0),1),"")</f>
        <v>Cellulose Derivatives</v>
      </c>
      <c r="I115" s="17" t="str">
        <f>IFERROR(INDEX(HS_MD!I:I,MATCH(B115,HS_MD!B:B,0),1),"")</f>
        <v>Sauces / Beverages / Ice Cream</v>
      </c>
      <c r="J115" s="17">
        <f>IFERROR(INDEX(Heat_Map[Index],MATCH(HS_DB[[#This Row],[Reporter]],Heat_Map[Global],0),1),"")</f>
        <v>159</v>
      </c>
      <c r="K115" s="17" t="str">
        <f>IF(AND(HS_DB[[#This Row],[Origin Rank]]&gt;1,HS_DB[[#This Row],[Origin Rank]]&lt;=10),"Yes","No")</f>
        <v>No</v>
      </c>
      <c r="L115" s="2">
        <v>2024</v>
      </c>
      <c r="M115" s="2" t="s">
        <v>57</v>
      </c>
      <c r="N115" s="2" t="s">
        <v>30</v>
      </c>
      <c r="O115" s="2" t="s">
        <v>22</v>
      </c>
      <c r="P115" s="2" t="s">
        <v>23</v>
      </c>
      <c r="Q115" s="2" t="s">
        <v>24</v>
      </c>
      <c r="R115" s="2" t="s">
        <v>25</v>
      </c>
      <c r="S115" s="2">
        <v>391231</v>
      </c>
      <c r="T115" s="3">
        <v>231205</v>
      </c>
      <c r="U115" s="3">
        <v>58600</v>
      </c>
      <c r="V115" s="3">
        <v>0</v>
      </c>
      <c r="W115" s="3">
        <v>58600</v>
      </c>
      <c r="X115" s="3" t="s">
        <v>58</v>
      </c>
      <c r="Y115" s="3">
        <v>58600</v>
      </c>
      <c r="Z115" s="3" t="s">
        <v>58</v>
      </c>
      <c r="AA115" s="6">
        <f>SUMIFS(HS_DB[Trade Value - USD],HS_DB[Reporter],HS_DB[[#This Row],[Reporter]])/SUM(HS_DB[Trade Value - USD])</f>
        <v>6.110186869383482E-3</v>
      </c>
      <c r="AB115" s="8" cm="1">
        <f t="array" ref="AB115">SUMPRODUCT(
(HS_DB[Reporter]=HS_DB[[#This Row],[Reporter]])*
(HS_DB[Trade Value - USD]&gt;HS_DB[[#This Row],[Trade Value - USD]])
)+1</f>
        <v>12</v>
      </c>
      <c r="AC115" s="8" t="str">
        <f>IFERROR(IF(INDEX(Heat_Map[Crisis Impact %],MATCH(HS_DB[[#This Row],[Reporter]],Heat_Map[Global],0),1)&gt;0,"Yes","No"),"No")</f>
        <v>No</v>
      </c>
      <c r="AD115" s="6">
        <f>IFERROR(INDEX(Heat_Map[Crisis Impact %],MATCH(HS_DB[[#This Row],[Reporter]],Heat_Map[Global],0),1),0)</f>
        <v>0</v>
      </c>
      <c r="AE115" s="8">
        <f>HS_DB[[#This Row],[Crisis Impact%]]*HS_DB[[#This Row],[Trade Value - USD]]</f>
        <v>0</v>
      </c>
      <c r="AF115" s="8">
        <f>HS_DB[[#This Row],[Crisis Impact%]]*HS_DB[[#This Row],[Net Weight -KG]]</f>
        <v>0</v>
      </c>
      <c r="AG115" s="6">
        <f>SUMIFS(HS_DB[Trade Value - USD],HS_DB[Products],HS_DB[[#This Row],[Products]])/SUM(HS_DB[Trade Value - USD])</f>
        <v>8.3692639177155963E-3</v>
      </c>
      <c r="AH115" s="8">
        <f>_xlfn.RANK.EQ(HS_DB[[#This Row],[Trade Value - USD]], HS_DB[Trade Value - USD], 0)
 + COUNTIFS(HS_DB[Trade Value - USD],HS_DB[[#This Row],[Trade Value - USD]],
            HS_DB[HS Code],"&lt;"&amp;HS_DB[[#This Row],[HS Code]])</f>
        <v>209</v>
      </c>
      <c r="AI115" s="9">
        <f>IFERROR(HS_DB[[#This Row],[Trade Value - USD]]/HS_DB[[#This Row],[Net Weight -KG]],0)</f>
        <v>3.9454778156996588</v>
      </c>
      <c r="AJ115" s="17" cm="1">
        <f t="array" ref="AJ115">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15" s="17" t="str">
        <f>IF(HS_DB[[#This Row],[HS Code Risk Score]]&gt;=40,"High",
 IF(HS_DB[[#This Row],[HS Code Risk Score]]&gt;=25,"Medium","Low"))</f>
        <v>Medium</v>
      </c>
      <c r="AL115" s="17" t="str">
        <f>IF(RANK(HS_DB[[#This Row],[HS Code Risk Score]],HS_DB[HS Code Risk Score])&lt;=10,"Yes","No")</f>
        <v>No</v>
      </c>
      <c r="AM115" s="8">
        <f>SUMIFS(HS_DB[Net Weight -KG],HS_DB[HS Code],HS_DB[[#This Row],[HS Code]])</f>
        <v>6842762.2999999998</v>
      </c>
      <c r="AN115" s="8">
        <f>SUMIFS(HS_DB[Trade Value - USD],HS_DB[HS Code],HS_DB[[#This Row],[HS Code]])</f>
        <v>15776132</v>
      </c>
      <c r="AO115" s="6">
        <f>_xlfn.MAXIFS(HS_DB[Origin Share%],HS_DB[HS Code],HS_DB[[#This Row],[HS Code]])</f>
        <v>6.321329281187793E-2</v>
      </c>
      <c r="AP115" s="8" cm="1">
        <f t="array" ref="AP115">_xlfn.LET(
_xlpm.hs,HS_DB[[#This Row],[HS Code]],
COUNTA(_xlfn.UNIQUE(_xlfn._xlws.FILTER(HS_DB[Reporter],HS_DB[HS Code]=_xlpm.hs)))
)</f>
        <v>17</v>
      </c>
      <c r="AQ115" s="17" t="str">
        <f>IF(HS_DB[[#This Row],[Origin Count]]=1,"Single Source","Multiple Sources")</f>
        <v>Multiple Sources</v>
      </c>
      <c r="AR115" s="8">
        <f>HS_DB[[#This Row],[Annual Spend - USD]]*(HS_DB[[#This Row],[HS Code Risk Score]]/100)</f>
        <v>5363884.8800000008</v>
      </c>
      <c r="AS115" s="8">
        <f>RANK(HS_DB[[#This Row],[Risk Exposure - USD]],HS_DB[Risk Exposure - USD],0)</f>
        <v>144</v>
      </c>
      <c r="AT115" s="8" t="str">
        <f>IF(HS_DB[[#This Row],[Risk Exposure Rank]]&lt;=10,"High",
 IF(HS_DB[[#This Row],[Risk Exposure Rank]]&lt;=30,"Medium",
 "Low"))</f>
        <v>Low</v>
      </c>
      <c r="AU115" s="8" t="str">
        <f>IF(HS_DB[[#This Row],[Risk Exposure Rank]]&lt;=5,"Immediate Action",
 IF(HS_DB[[#This Row],[Risk Exposure Rank]]&lt;=15,"Monitor Closely",
 "Routine Control"))</f>
        <v>Routine Control</v>
      </c>
      <c r="AV115" s="8">
        <f>SUMIFS(HS_DB[Trade Value - USD],HS_DB[HS Code],HS_DB[[#This Row],[HS Code]])</f>
        <v>15776132</v>
      </c>
      <c r="AW115" s="6">
        <f>HS_DB[[#This Row],[Annual Spend - USD]]/HS_DB[[#This Row],[Total Market Size - USD]]</f>
        <v>1</v>
      </c>
      <c r="AX115" s="6" cm="1">
        <f t="array" ref="AX115">COUNTA(_xlfn.UNIQUE(_xlfn._xlws.FILTER(HS_DB[Partner],HS_DB[HS Code]=HS_DB[[#This Row],[HS Code]])))</f>
        <v>1</v>
      </c>
      <c r="AY115" s="8" t="str">
        <f>IF(HS_DB[[#This Row],[Competition Intensity]]&lt;=2,"Highly Concentrated",
 IF(HS_DB[[#This Row],[Competition Intensity]]&lt;=5,"Moderate",
 "Highly Competitive"))</f>
        <v>Highly Concentrated</v>
      </c>
      <c r="AZ115" s="8">
        <f>HS_DB[[#This Row],[Total Market Size - USD]]
*
(1+IFERROR(#REF!,0))
/
HS_DB[[#This Row],[Competition Intensity]]</f>
        <v>15776132</v>
      </c>
      <c r="BA115" s="8" t="str">
        <f>IF(HS_DB[[#This Row],[Commercial Opportunity Score]]&gt;=PERCENTILE(HS_DB[Commercial Opportunity Score],0.9),"High Opportunity",
 IF(HS_DB[[#This Row],[Commercial Opportunity Score]]&gt;=PERCENTILE(HS_DB[Commercial Opportunity Score],0.6),"Medium Opportunity",
 "Routine Market"))</f>
        <v>Medium Opportunity</v>
      </c>
      <c r="BB115" s="3" t="str">
        <f>IF(AND(HS_DB[[#This Row],[Product Rank]]&gt;0,HS_DB[[#This Row],[Product Rank]]&lt;=10),"Yes","No")</f>
        <v>No</v>
      </c>
      <c r="BC115" s="3" t="str">
        <f>IF(AND(HS_DB[[#This Row],[Origin Rank]]&gt;0,HS_DB[[#This Row],[Origin Rank]]&lt;=10),"Yes","No")</f>
        <v>No</v>
      </c>
    </row>
    <row r="116" spans="2:55" x14ac:dyDescent="0.3">
      <c r="B116" s="2">
        <f>HS_DB[[#This Row],[Commodity Code]]</f>
        <v>391231</v>
      </c>
      <c r="C116" s="2">
        <f>IFERROR(INDEX(HS_MD!C:C,MATCH(B116,HS_MD!B:B,0),1),"")</f>
        <v>2</v>
      </c>
      <c r="D116" s="17" t="str">
        <f>IFERROR(INDEX(HS_MD!D:D,MATCH(B116,HS_MD!B:B,0),1),"")</f>
        <v>Cellulose ethers</v>
      </c>
      <c r="E116" s="17" t="str">
        <f>IFERROR(INDEX(HS_MD!E:E,MATCH(B116,HS_MD!B:B,0),1),"")</f>
        <v>CMC (Carboxymethyl Cellulose)</v>
      </c>
      <c r="F116" s="17" t="str">
        <f>IFERROR(INDEX(HS_MD!F:F,MATCH(B116,HS_MD!B:B,0),1),"")</f>
        <v>FUNCTIONAL INGREDIENTS</v>
      </c>
      <c r="G116" s="17" t="str">
        <f>IFERROR(INDEX(HS_MD!G:G,MATCH(B116,HS_MD!B:B,0),1),"")</f>
        <v>Hydrocolloids</v>
      </c>
      <c r="H116" s="17" t="str">
        <f>IFERROR(INDEX(HS_MD!H:H,MATCH(B116,HS_MD!B:B,0),1),"")</f>
        <v>Cellulose Derivatives</v>
      </c>
      <c r="I116" s="17" t="str">
        <f>IFERROR(INDEX(HS_MD!I:I,MATCH(B116,HS_MD!B:B,0),1),"")</f>
        <v>Sauces / Beverages / Ice Cream</v>
      </c>
      <c r="J116" s="17">
        <f>IFERROR(INDEX(Heat_Map[Index],MATCH(HS_DB[[#This Row],[Reporter]],Heat_Map[Global],0),1),"")</f>
        <v>164</v>
      </c>
      <c r="K116" s="17" t="str">
        <f>IF(AND(HS_DB[[#This Row],[Origin Rank]]&gt;1,HS_DB[[#This Row],[Origin Rank]]&lt;=10),"Yes","No")</f>
        <v>Yes</v>
      </c>
      <c r="L116" s="2">
        <v>2024</v>
      </c>
      <c r="M116" s="2" t="s">
        <v>57</v>
      </c>
      <c r="N116" s="2" t="s">
        <v>32</v>
      </c>
      <c r="O116" s="2" t="s">
        <v>22</v>
      </c>
      <c r="P116" s="2" t="s">
        <v>23</v>
      </c>
      <c r="Q116" s="2" t="s">
        <v>24</v>
      </c>
      <c r="R116" s="2" t="s">
        <v>25</v>
      </c>
      <c r="S116" s="2">
        <v>391231</v>
      </c>
      <c r="T116" s="3">
        <v>46108</v>
      </c>
      <c r="U116" s="3">
        <v>612</v>
      </c>
      <c r="V116" s="3">
        <v>0</v>
      </c>
      <c r="W116" s="3">
        <v>612</v>
      </c>
      <c r="X116" s="3" t="s">
        <v>58</v>
      </c>
      <c r="Y116" s="3">
        <v>612</v>
      </c>
      <c r="Z116" s="3" t="s">
        <v>58</v>
      </c>
      <c r="AA116" s="6">
        <f>SUMIFS(HS_DB[Trade Value - USD],HS_DB[Reporter],HS_DB[[#This Row],[Reporter]])/SUM(HS_DB[Trade Value - USD])</f>
        <v>1.1630298885271862E-3</v>
      </c>
      <c r="AB116" s="8" cm="1">
        <f t="array" ref="AB116">SUMPRODUCT(
(HS_DB[Reporter]=HS_DB[[#This Row],[Reporter]])*
(HS_DB[Trade Value - USD]&gt;HS_DB[[#This Row],[Trade Value - USD]])
)+1</f>
        <v>6</v>
      </c>
      <c r="AC116" s="8" t="str">
        <f>IFERROR(IF(INDEX(Heat_Map[Crisis Impact %],MATCH(HS_DB[[#This Row],[Reporter]],Heat_Map[Global],0),1)&gt;0,"Yes","No"),"No")</f>
        <v>No</v>
      </c>
      <c r="AD116" s="6">
        <f>IFERROR(INDEX(Heat_Map[Crisis Impact %],MATCH(HS_DB[[#This Row],[Reporter]],Heat_Map[Global],0),1),0)</f>
        <v>0</v>
      </c>
      <c r="AE116" s="8">
        <f>HS_DB[[#This Row],[Crisis Impact%]]*HS_DB[[#This Row],[Trade Value - USD]]</f>
        <v>0</v>
      </c>
      <c r="AF116" s="8">
        <f>HS_DB[[#This Row],[Crisis Impact%]]*HS_DB[[#This Row],[Net Weight -KG]]</f>
        <v>0</v>
      </c>
      <c r="AG116" s="6">
        <f>SUMIFS(HS_DB[Trade Value - USD],HS_DB[Products],HS_DB[[#This Row],[Products]])/SUM(HS_DB[Trade Value - USD])</f>
        <v>8.3692639177155963E-3</v>
      </c>
      <c r="AH116" s="8">
        <f>_xlfn.RANK.EQ(HS_DB[[#This Row],[Trade Value - USD]], HS_DB[Trade Value - USD], 0)
 + COUNTIFS(HS_DB[Trade Value - USD],HS_DB[[#This Row],[Trade Value - USD]],
            HS_DB[HS Code],"&lt;"&amp;HS_DB[[#This Row],[HS Code]])</f>
        <v>330</v>
      </c>
      <c r="AI116" s="9">
        <f>IFERROR(HS_DB[[#This Row],[Trade Value - USD]]/HS_DB[[#This Row],[Net Weight -KG]],0)</f>
        <v>75.33986928104575</v>
      </c>
      <c r="AJ116" s="17" cm="1">
        <f t="array" ref="AJ116">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16" s="17" t="str">
        <f>IF(HS_DB[[#This Row],[HS Code Risk Score]]&gt;=40,"High",
 IF(HS_DB[[#This Row],[HS Code Risk Score]]&gt;=25,"Medium","Low"))</f>
        <v>Medium</v>
      </c>
      <c r="AL116" s="17" t="str">
        <f>IF(RANK(HS_DB[[#This Row],[HS Code Risk Score]],HS_DB[HS Code Risk Score])&lt;=10,"Yes","No")</f>
        <v>No</v>
      </c>
      <c r="AM116" s="8">
        <f>SUMIFS(HS_DB[Net Weight -KG],HS_DB[HS Code],HS_DB[[#This Row],[HS Code]])</f>
        <v>6842762.2999999998</v>
      </c>
      <c r="AN116" s="8">
        <f>SUMIFS(HS_DB[Trade Value - USD],HS_DB[HS Code],HS_DB[[#This Row],[HS Code]])</f>
        <v>15776132</v>
      </c>
      <c r="AO116" s="6">
        <f>_xlfn.MAXIFS(HS_DB[Origin Share%],HS_DB[HS Code],HS_DB[[#This Row],[HS Code]])</f>
        <v>6.321329281187793E-2</v>
      </c>
      <c r="AP116" s="8" cm="1">
        <f t="array" ref="AP116">_xlfn.LET(
_xlpm.hs,HS_DB[[#This Row],[HS Code]],
COUNTA(_xlfn.UNIQUE(_xlfn._xlws.FILTER(HS_DB[Reporter],HS_DB[HS Code]=_xlpm.hs)))
)</f>
        <v>17</v>
      </c>
      <c r="AQ116" s="17" t="str">
        <f>IF(HS_DB[[#This Row],[Origin Count]]=1,"Single Source","Multiple Sources")</f>
        <v>Multiple Sources</v>
      </c>
      <c r="AR116" s="8">
        <f>HS_DB[[#This Row],[Annual Spend - USD]]*(HS_DB[[#This Row],[HS Code Risk Score]]/100)</f>
        <v>5363884.8800000008</v>
      </c>
      <c r="AS116" s="8">
        <f>RANK(HS_DB[[#This Row],[Risk Exposure - USD]],HS_DB[Risk Exposure - USD],0)</f>
        <v>144</v>
      </c>
      <c r="AT116" s="8" t="str">
        <f>IF(HS_DB[[#This Row],[Risk Exposure Rank]]&lt;=10,"High",
 IF(HS_DB[[#This Row],[Risk Exposure Rank]]&lt;=30,"Medium",
 "Low"))</f>
        <v>Low</v>
      </c>
      <c r="AU116" s="8" t="str">
        <f>IF(HS_DB[[#This Row],[Risk Exposure Rank]]&lt;=5,"Immediate Action",
 IF(HS_DB[[#This Row],[Risk Exposure Rank]]&lt;=15,"Monitor Closely",
 "Routine Control"))</f>
        <v>Routine Control</v>
      </c>
      <c r="AV116" s="8">
        <f>SUMIFS(HS_DB[Trade Value - USD],HS_DB[HS Code],HS_DB[[#This Row],[HS Code]])</f>
        <v>15776132</v>
      </c>
      <c r="AW116" s="6">
        <f>HS_DB[[#This Row],[Annual Spend - USD]]/HS_DB[[#This Row],[Total Market Size - USD]]</f>
        <v>1</v>
      </c>
      <c r="AX116" s="6" cm="1">
        <f t="array" ref="AX116">COUNTA(_xlfn.UNIQUE(_xlfn._xlws.FILTER(HS_DB[Partner],HS_DB[HS Code]=HS_DB[[#This Row],[HS Code]])))</f>
        <v>1</v>
      </c>
      <c r="AY116" s="8" t="str">
        <f>IF(HS_DB[[#This Row],[Competition Intensity]]&lt;=2,"Highly Concentrated",
 IF(HS_DB[[#This Row],[Competition Intensity]]&lt;=5,"Moderate",
 "Highly Competitive"))</f>
        <v>Highly Concentrated</v>
      </c>
      <c r="AZ116" s="8">
        <f>HS_DB[[#This Row],[Total Market Size - USD]]
*
(1+IFERROR(#REF!,0))
/
HS_DB[[#This Row],[Competition Intensity]]</f>
        <v>15776132</v>
      </c>
      <c r="BA116" s="8" t="str">
        <f>IF(HS_DB[[#This Row],[Commercial Opportunity Score]]&gt;=PERCENTILE(HS_DB[Commercial Opportunity Score],0.9),"High Opportunity",
 IF(HS_DB[[#This Row],[Commercial Opportunity Score]]&gt;=PERCENTILE(HS_DB[Commercial Opportunity Score],0.6),"Medium Opportunity",
 "Routine Market"))</f>
        <v>Medium Opportunity</v>
      </c>
      <c r="BB116" s="3" t="str">
        <f>IF(AND(HS_DB[[#This Row],[Product Rank]]&gt;0,HS_DB[[#This Row],[Product Rank]]&lt;=10),"Yes","No")</f>
        <v>No</v>
      </c>
      <c r="BC116" s="3" t="str">
        <f>IF(AND(HS_DB[[#This Row],[Origin Rank]]&gt;0,HS_DB[[#This Row],[Origin Rank]]&lt;=10),"Yes","No")</f>
        <v>Yes</v>
      </c>
    </row>
    <row r="117" spans="2:55" x14ac:dyDescent="0.3">
      <c r="B117" s="2">
        <f>HS_DB[[#This Row],[Commodity Code]]</f>
        <v>391231</v>
      </c>
      <c r="C117" s="2">
        <f>IFERROR(INDEX(HS_MD!C:C,MATCH(B117,HS_MD!B:B,0),1),"")</f>
        <v>2</v>
      </c>
      <c r="D117" s="17" t="str">
        <f>IFERROR(INDEX(HS_MD!D:D,MATCH(B117,HS_MD!B:B,0),1),"")</f>
        <v>Cellulose ethers</v>
      </c>
      <c r="E117" s="17" t="str">
        <f>IFERROR(INDEX(HS_MD!E:E,MATCH(B117,HS_MD!B:B,0),1),"")</f>
        <v>CMC (Carboxymethyl Cellulose)</v>
      </c>
      <c r="F117" s="17" t="str">
        <f>IFERROR(INDEX(HS_MD!F:F,MATCH(B117,HS_MD!B:B,0),1),"")</f>
        <v>FUNCTIONAL INGREDIENTS</v>
      </c>
      <c r="G117" s="17" t="str">
        <f>IFERROR(INDEX(HS_MD!G:G,MATCH(B117,HS_MD!B:B,0),1),"")</f>
        <v>Hydrocolloids</v>
      </c>
      <c r="H117" s="17" t="str">
        <f>IFERROR(INDEX(HS_MD!H:H,MATCH(B117,HS_MD!B:B,0),1),"")</f>
        <v>Cellulose Derivatives</v>
      </c>
      <c r="I117" s="17" t="str">
        <f>IFERROR(INDEX(HS_MD!I:I,MATCH(B117,HS_MD!B:B,0),1),"")</f>
        <v>Sauces / Beverages / Ice Cream</v>
      </c>
      <c r="J117" s="17">
        <f>IFERROR(INDEX(Heat_Map[Index],MATCH(HS_DB[[#This Row],[Reporter]],Heat_Map[Global],0),1),"")</f>
        <v>169</v>
      </c>
      <c r="K117" s="17" t="str">
        <f>IF(AND(HS_DB[[#This Row],[Origin Rank]]&gt;1,HS_DB[[#This Row],[Origin Rank]]&lt;=10),"Yes","No")</f>
        <v>Yes</v>
      </c>
      <c r="L117" s="2">
        <v>2024</v>
      </c>
      <c r="M117" s="2" t="s">
        <v>57</v>
      </c>
      <c r="N117" s="2" t="s">
        <v>33</v>
      </c>
      <c r="O117" s="2" t="s">
        <v>22</v>
      </c>
      <c r="P117" s="2" t="s">
        <v>23</v>
      </c>
      <c r="Q117" s="2" t="s">
        <v>24</v>
      </c>
      <c r="R117" s="2" t="s">
        <v>25</v>
      </c>
      <c r="S117" s="2">
        <v>391231</v>
      </c>
      <c r="T117" s="3">
        <v>5000</v>
      </c>
      <c r="U117" s="3">
        <v>2000</v>
      </c>
      <c r="V117" s="3">
        <v>0</v>
      </c>
      <c r="W117" s="3">
        <v>2000</v>
      </c>
      <c r="X117" s="3" t="s">
        <v>58</v>
      </c>
      <c r="Y117" s="3">
        <v>2000</v>
      </c>
      <c r="Z117" s="3" t="s">
        <v>58</v>
      </c>
      <c r="AA117" s="6">
        <f>SUMIFS(HS_DB[Trade Value - USD],HS_DB[Reporter],HS_DB[[#This Row],[Reporter]])/SUM(HS_DB[Trade Value - USD])</f>
        <v>8.0337630087875059E-4</v>
      </c>
      <c r="AB117" s="8" cm="1">
        <f t="array" ref="AB117">SUMPRODUCT(
(HS_DB[Reporter]=HS_DB[[#This Row],[Reporter]])*
(HS_DB[Trade Value - USD]&gt;HS_DB[[#This Row],[Trade Value - USD]])
)+1</f>
        <v>6</v>
      </c>
      <c r="AC117" s="8" t="str">
        <f>IFERROR(IF(INDEX(Heat_Map[Crisis Impact %],MATCH(HS_DB[[#This Row],[Reporter]],Heat_Map[Global],0),1)&gt;0,"Yes","No"),"No")</f>
        <v>No</v>
      </c>
      <c r="AD117" s="6">
        <f>IFERROR(INDEX(Heat_Map[Crisis Impact %],MATCH(HS_DB[[#This Row],[Reporter]],Heat_Map[Global],0),1),0)</f>
        <v>0</v>
      </c>
      <c r="AE117" s="8">
        <f>HS_DB[[#This Row],[Crisis Impact%]]*HS_DB[[#This Row],[Trade Value - USD]]</f>
        <v>0</v>
      </c>
      <c r="AF117" s="8">
        <f>HS_DB[[#This Row],[Crisis Impact%]]*HS_DB[[#This Row],[Net Weight -KG]]</f>
        <v>0</v>
      </c>
      <c r="AG117" s="6">
        <f>SUMIFS(HS_DB[Trade Value - USD],HS_DB[Products],HS_DB[[#This Row],[Products]])/SUM(HS_DB[Trade Value - USD])</f>
        <v>8.3692639177155963E-3</v>
      </c>
      <c r="AH117" s="8">
        <f>_xlfn.RANK.EQ(HS_DB[[#This Row],[Trade Value - USD]], HS_DB[Trade Value - USD], 0)
 + COUNTIFS(HS_DB[Trade Value - USD],HS_DB[[#This Row],[Trade Value - USD]],
            HS_DB[HS Code],"&lt;"&amp;HS_DB[[#This Row],[HS Code]])</f>
        <v>441</v>
      </c>
      <c r="AI117" s="9">
        <f>IFERROR(HS_DB[[#This Row],[Trade Value - USD]]/HS_DB[[#This Row],[Net Weight -KG]],0)</f>
        <v>2.5</v>
      </c>
      <c r="AJ117" s="17" cm="1">
        <f t="array" ref="AJ117">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17" s="17" t="str">
        <f>IF(HS_DB[[#This Row],[HS Code Risk Score]]&gt;=40,"High",
 IF(HS_DB[[#This Row],[HS Code Risk Score]]&gt;=25,"Medium","Low"))</f>
        <v>Medium</v>
      </c>
      <c r="AL117" s="17" t="str">
        <f>IF(RANK(HS_DB[[#This Row],[HS Code Risk Score]],HS_DB[HS Code Risk Score])&lt;=10,"Yes","No")</f>
        <v>No</v>
      </c>
      <c r="AM117" s="8">
        <f>SUMIFS(HS_DB[Net Weight -KG],HS_DB[HS Code],HS_DB[[#This Row],[HS Code]])</f>
        <v>6842762.2999999998</v>
      </c>
      <c r="AN117" s="8">
        <f>SUMIFS(HS_DB[Trade Value - USD],HS_DB[HS Code],HS_DB[[#This Row],[HS Code]])</f>
        <v>15776132</v>
      </c>
      <c r="AO117" s="6">
        <f>_xlfn.MAXIFS(HS_DB[Origin Share%],HS_DB[HS Code],HS_DB[[#This Row],[HS Code]])</f>
        <v>6.321329281187793E-2</v>
      </c>
      <c r="AP117" s="8" cm="1">
        <f t="array" ref="AP117">_xlfn.LET(
_xlpm.hs,HS_DB[[#This Row],[HS Code]],
COUNTA(_xlfn.UNIQUE(_xlfn._xlws.FILTER(HS_DB[Reporter],HS_DB[HS Code]=_xlpm.hs)))
)</f>
        <v>17</v>
      </c>
      <c r="AQ117" s="17" t="str">
        <f>IF(HS_DB[[#This Row],[Origin Count]]=1,"Single Source","Multiple Sources")</f>
        <v>Multiple Sources</v>
      </c>
      <c r="AR117" s="8">
        <f>HS_DB[[#This Row],[Annual Spend - USD]]*(HS_DB[[#This Row],[HS Code Risk Score]]/100)</f>
        <v>5363884.8800000008</v>
      </c>
      <c r="AS117" s="8">
        <f>RANK(HS_DB[[#This Row],[Risk Exposure - USD]],HS_DB[Risk Exposure - USD],0)</f>
        <v>144</v>
      </c>
      <c r="AT117" s="8" t="str">
        <f>IF(HS_DB[[#This Row],[Risk Exposure Rank]]&lt;=10,"High",
 IF(HS_DB[[#This Row],[Risk Exposure Rank]]&lt;=30,"Medium",
 "Low"))</f>
        <v>Low</v>
      </c>
      <c r="AU117" s="8" t="str">
        <f>IF(HS_DB[[#This Row],[Risk Exposure Rank]]&lt;=5,"Immediate Action",
 IF(HS_DB[[#This Row],[Risk Exposure Rank]]&lt;=15,"Monitor Closely",
 "Routine Control"))</f>
        <v>Routine Control</v>
      </c>
      <c r="AV117" s="8">
        <f>SUMIFS(HS_DB[Trade Value - USD],HS_DB[HS Code],HS_DB[[#This Row],[HS Code]])</f>
        <v>15776132</v>
      </c>
      <c r="AW117" s="6">
        <f>HS_DB[[#This Row],[Annual Spend - USD]]/HS_DB[[#This Row],[Total Market Size - USD]]</f>
        <v>1</v>
      </c>
      <c r="AX117" s="6" cm="1">
        <f t="array" ref="AX117">COUNTA(_xlfn.UNIQUE(_xlfn._xlws.FILTER(HS_DB[Partner],HS_DB[HS Code]=HS_DB[[#This Row],[HS Code]])))</f>
        <v>1</v>
      </c>
      <c r="AY117" s="8" t="str">
        <f>IF(HS_DB[[#This Row],[Competition Intensity]]&lt;=2,"Highly Concentrated",
 IF(HS_DB[[#This Row],[Competition Intensity]]&lt;=5,"Moderate",
 "Highly Competitive"))</f>
        <v>Highly Concentrated</v>
      </c>
      <c r="AZ117" s="8">
        <f>HS_DB[[#This Row],[Total Market Size - USD]]
*
(1+IFERROR(#REF!,0))
/
HS_DB[[#This Row],[Competition Intensity]]</f>
        <v>15776132</v>
      </c>
      <c r="BA117" s="8" t="str">
        <f>IF(HS_DB[[#This Row],[Commercial Opportunity Score]]&gt;=PERCENTILE(HS_DB[Commercial Opportunity Score],0.9),"High Opportunity",
 IF(HS_DB[[#This Row],[Commercial Opportunity Score]]&gt;=PERCENTILE(HS_DB[Commercial Opportunity Score],0.6),"Medium Opportunity",
 "Routine Market"))</f>
        <v>Medium Opportunity</v>
      </c>
      <c r="BB117" s="3" t="str">
        <f>IF(AND(HS_DB[[#This Row],[Product Rank]]&gt;0,HS_DB[[#This Row],[Product Rank]]&lt;=10),"Yes","No")</f>
        <v>No</v>
      </c>
      <c r="BC117" s="3" t="str">
        <f>IF(AND(HS_DB[[#This Row],[Origin Rank]]&gt;0,HS_DB[[#This Row],[Origin Rank]]&lt;=10),"Yes","No")</f>
        <v>Yes</v>
      </c>
    </row>
    <row r="118" spans="2:55" x14ac:dyDescent="0.3">
      <c r="B118" s="2">
        <f>HS_DB[[#This Row],[Commodity Code]]</f>
        <v>391231</v>
      </c>
      <c r="C118" s="2">
        <f>IFERROR(INDEX(HS_MD!C:C,MATCH(B118,HS_MD!B:B,0),1),"")</f>
        <v>2</v>
      </c>
      <c r="D118" s="17" t="str">
        <f>IFERROR(INDEX(HS_MD!D:D,MATCH(B118,HS_MD!B:B,0),1),"")</f>
        <v>Cellulose ethers</v>
      </c>
      <c r="E118" s="17" t="str">
        <f>IFERROR(INDEX(HS_MD!E:E,MATCH(B118,HS_MD!B:B,0),1),"")</f>
        <v>CMC (Carboxymethyl Cellulose)</v>
      </c>
      <c r="F118" s="17" t="str">
        <f>IFERROR(INDEX(HS_MD!F:F,MATCH(B118,HS_MD!B:B,0),1),"")</f>
        <v>FUNCTIONAL INGREDIENTS</v>
      </c>
      <c r="G118" s="17" t="str">
        <f>IFERROR(INDEX(HS_MD!G:G,MATCH(B118,HS_MD!B:B,0),1),"")</f>
        <v>Hydrocolloids</v>
      </c>
      <c r="H118" s="17" t="str">
        <f>IFERROR(INDEX(HS_MD!H:H,MATCH(B118,HS_MD!B:B,0),1),"")</f>
        <v>Cellulose Derivatives</v>
      </c>
      <c r="I118" s="17" t="str">
        <f>IFERROR(INDEX(HS_MD!I:I,MATCH(B118,HS_MD!B:B,0),1),"")</f>
        <v>Sauces / Beverages / Ice Cream</v>
      </c>
      <c r="J118" s="17">
        <f>IFERROR(INDEX(Heat_Map[Index],MATCH(HS_DB[[#This Row],[Reporter]],Heat_Map[Global],0),1),"")</f>
        <v>175</v>
      </c>
      <c r="K118" s="17" t="str">
        <f>IF(AND(HS_DB[[#This Row],[Origin Rank]]&gt;1,HS_DB[[#This Row],[Origin Rank]]&lt;=10),"Yes","No")</f>
        <v>Yes</v>
      </c>
      <c r="L118" s="2">
        <v>2024</v>
      </c>
      <c r="M118" s="2" t="s">
        <v>57</v>
      </c>
      <c r="N118" s="2" t="s">
        <v>34</v>
      </c>
      <c r="O118" s="2" t="s">
        <v>22</v>
      </c>
      <c r="P118" s="2" t="s">
        <v>23</v>
      </c>
      <c r="Q118" s="2" t="s">
        <v>24</v>
      </c>
      <c r="R118" s="2" t="s">
        <v>25</v>
      </c>
      <c r="S118" s="2">
        <v>391231</v>
      </c>
      <c r="T118" s="3">
        <v>4487951</v>
      </c>
      <c r="U118" s="3">
        <v>3386741</v>
      </c>
      <c r="V118" s="3">
        <v>0</v>
      </c>
      <c r="W118" s="3">
        <v>3386741</v>
      </c>
      <c r="X118" s="3" t="s">
        <v>58</v>
      </c>
      <c r="Y118" s="3">
        <v>3386741</v>
      </c>
      <c r="Z118" s="3" t="s">
        <v>58</v>
      </c>
      <c r="AA118" s="6">
        <f>SUMIFS(HS_DB[Trade Value - USD],HS_DB[Reporter],HS_DB[[#This Row],[Reporter]])/SUM(HS_DB[Trade Value - USD])</f>
        <v>4.7522902002533667E-2</v>
      </c>
      <c r="AB118" s="8" cm="1">
        <f t="array" ref="AB118">SUMPRODUCT(
(HS_DB[Reporter]=HS_DB[[#This Row],[Reporter]])*
(HS_DB[Trade Value - USD]&gt;HS_DB[[#This Row],[Trade Value - USD]])
)+1</f>
        <v>5</v>
      </c>
      <c r="AC118" s="8" t="str">
        <f>IFERROR(IF(INDEX(Heat_Map[Crisis Impact %],MATCH(HS_DB[[#This Row],[Reporter]],Heat_Map[Global],0),1)&gt;0,"Yes","No"),"No")</f>
        <v>Yes</v>
      </c>
      <c r="AD118" s="6">
        <f>IFERROR(INDEX(Heat_Map[Crisis Impact %],MATCH(HS_DB[[#This Row],[Reporter]],Heat_Map[Global],0),1),0)</f>
        <v>0.1</v>
      </c>
      <c r="AE118" s="8">
        <f>HS_DB[[#This Row],[Crisis Impact%]]*HS_DB[[#This Row],[Trade Value - USD]]</f>
        <v>448795.10000000003</v>
      </c>
      <c r="AF118" s="8">
        <f>HS_DB[[#This Row],[Crisis Impact%]]*HS_DB[[#This Row],[Net Weight -KG]]</f>
        <v>338674.10000000003</v>
      </c>
      <c r="AG118" s="6">
        <f>SUMIFS(HS_DB[Trade Value - USD],HS_DB[Products],HS_DB[[#This Row],[Products]])/SUM(HS_DB[Trade Value - USD])</f>
        <v>8.3692639177155963E-3</v>
      </c>
      <c r="AH118" s="8">
        <f>_xlfn.RANK.EQ(HS_DB[[#This Row],[Trade Value - USD]], HS_DB[Trade Value - USD], 0)
 + COUNTIFS(HS_DB[Trade Value - USD],HS_DB[[#This Row],[Trade Value - USD]],
            HS_DB[HS Code],"&lt;"&amp;HS_DB[[#This Row],[HS Code]])</f>
        <v>35</v>
      </c>
      <c r="AI118" s="9">
        <f>IFERROR(HS_DB[[#This Row],[Trade Value - USD]]/HS_DB[[#This Row],[Net Weight -KG]],0)</f>
        <v>1.3251532963400507</v>
      </c>
      <c r="AJ118" s="17" cm="1">
        <f t="array" ref="AJ118">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18" s="17" t="str">
        <f>IF(HS_DB[[#This Row],[HS Code Risk Score]]&gt;=40,"High",
 IF(HS_DB[[#This Row],[HS Code Risk Score]]&gt;=25,"Medium","Low"))</f>
        <v>Medium</v>
      </c>
      <c r="AL118" s="17" t="str">
        <f>IF(RANK(HS_DB[[#This Row],[HS Code Risk Score]],HS_DB[HS Code Risk Score])&lt;=10,"Yes","No")</f>
        <v>No</v>
      </c>
      <c r="AM118" s="8">
        <f>SUMIFS(HS_DB[Net Weight -KG],HS_DB[HS Code],HS_DB[[#This Row],[HS Code]])</f>
        <v>6842762.2999999998</v>
      </c>
      <c r="AN118" s="8">
        <f>SUMIFS(HS_DB[Trade Value - USD],HS_DB[HS Code],HS_DB[[#This Row],[HS Code]])</f>
        <v>15776132</v>
      </c>
      <c r="AO118" s="6">
        <f>_xlfn.MAXIFS(HS_DB[Origin Share%],HS_DB[HS Code],HS_DB[[#This Row],[HS Code]])</f>
        <v>6.321329281187793E-2</v>
      </c>
      <c r="AP118" s="8" cm="1">
        <f t="array" ref="AP118">_xlfn.LET(
_xlpm.hs,HS_DB[[#This Row],[HS Code]],
COUNTA(_xlfn.UNIQUE(_xlfn._xlws.FILTER(HS_DB[Reporter],HS_DB[HS Code]=_xlpm.hs)))
)</f>
        <v>17</v>
      </c>
      <c r="AQ118" s="17" t="str">
        <f>IF(HS_DB[[#This Row],[Origin Count]]=1,"Single Source","Multiple Sources")</f>
        <v>Multiple Sources</v>
      </c>
      <c r="AR118" s="8">
        <f>HS_DB[[#This Row],[Annual Spend - USD]]*(HS_DB[[#This Row],[HS Code Risk Score]]/100)</f>
        <v>5363884.8800000008</v>
      </c>
      <c r="AS118" s="8">
        <f>RANK(HS_DB[[#This Row],[Risk Exposure - USD]],HS_DB[Risk Exposure - USD],0)</f>
        <v>144</v>
      </c>
      <c r="AT118" s="8" t="str">
        <f>IF(HS_DB[[#This Row],[Risk Exposure Rank]]&lt;=10,"High",
 IF(HS_DB[[#This Row],[Risk Exposure Rank]]&lt;=30,"Medium",
 "Low"))</f>
        <v>Low</v>
      </c>
      <c r="AU118" s="8" t="str">
        <f>IF(HS_DB[[#This Row],[Risk Exposure Rank]]&lt;=5,"Immediate Action",
 IF(HS_DB[[#This Row],[Risk Exposure Rank]]&lt;=15,"Monitor Closely",
 "Routine Control"))</f>
        <v>Routine Control</v>
      </c>
      <c r="AV118" s="8">
        <f>SUMIFS(HS_DB[Trade Value - USD],HS_DB[HS Code],HS_DB[[#This Row],[HS Code]])</f>
        <v>15776132</v>
      </c>
      <c r="AW118" s="6">
        <f>HS_DB[[#This Row],[Annual Spend - USD]]/HS_DB[[#This Row],[Total Market Size - USD]]</f>
        <v>1</v>
      </c>
      <c r="AX118" s="6" cm="1">
        <f t="array" ref="AX118">COUNTA(_xlfn.UNIQUE(_xlfn._xlws.FILTER(HS_DB[Partner],HS_DB[HS Code]=HS_DB[[#This Row],[HS Code]])))</f>
        <v>1</v>
      </c>
      <c r="AY118" s="8" t="str">
        <f>IF(HS_DB[[#This Row],[Competition Intensity]]&lt;=2,"Highly Concentrated",
 IF(HS_DB[[#This Row],[Competition Intensity]]&lt;=5,"Moderate",
 "Highly Competitive"))</f>
        <v>Highly Concentrated</v>
      </c>
      <c r="AZ118" s="8">
        <f>HS_DB[[#This Row],[Total Market Size - USD]]
*
(1+IFERROR(#REF!,0))
/
HS_DB[[#This Row],[Competition Intensity]]</f>
        <v>15776132</v>
      </c>
      <c r="BA118" s="8" t="str">
        <f>IF(HS_DB[[#This Row],[Commercial Opportunity Score]]&gt;=PERCENTILE(HS_DB[Commercial Opportunity Score],0.9),"High Opportunity",
 IF(HS_DB[[#This Row],[Commercial Opportunity Score]]&gt;=PERCENTILE(HS_DB[Commercial Opportunity Score],0.6),"Medium Opportunity",
 "Routine Market"))</f>
        <v>Medium Opportunity</v>
      </c>
      <c r="BB118" s="3" t="str">
        <f>IF(AND(HS_DB[[#This Row],[Product Rank]]&gt;0,HS_DB[[#This Row],[Product Rank]]&lt;=10),"Yes","No")</f>
        <v>No</v>
      </c>
      <c r="BC118" s="3" t="str">
        <f>IF(AND(HS_DB[[#This Row],[Origin Rank]]&gt;0,HS_DB[[#This Row],[Origin Rank]]&lt;=10),"Yes","No")</f>
        <v>Yes</v>
      </c>
    </row>
    <row r="119" spans="2:55" x14ac:dyDescent="0.3">
      <c r="B119" s="2">
        <f>HS_DB[[#This Row],[Commodity Code]]</f>
        <v>130232</v>
      </c>
      <c r="C119" s="2">
        <f>IFERROR(INDEX(HS_MD!C:C,MATCH(B119,HS_MD!B:B,0),1),"")</f>
        <v>3</v>
      </c>
      <c r="D119" s="17" t="str">
        <f>IFERROR(INDEX(HS_MD!D:D,MATCH(B119,HS_MD!B:B,0),1),"")</f>
        <v>Vegetable gums</v>
      </c>
      <c r="E119" s="17" t="str">
        <f>IFERROR(INDEX(HS_MD!E:E,MATCH(B119,HS_MD!B:B,0),1),"")</f>
        <v>Guar Gum</v>
      </c>
      <c r="F119" s="17" t="str">
        <f>IFERROR(INDEX(HS_MD!F:F,MATCH(B119,HS_MD!B:B,0),1),"")</f>
        <v>FUNCTIONAL INGREDIENTS</v>
      </c>
      <c r="G119" s="17" t="str">
        <f>IFERROR(INDEX(HS_MD!G:G,MATCH(B119,HS_MD!B:B,0),1),"")</f>
        <v>Hydrocolloids</v>
      </c>
      <c r="H119" s="17" t="str">
        <f>IFERROR(INDEX(HS_MD!H:H,MATCH(B119,HS_MD!B:B,0),1),"")</f>
        <v>Guar Gum</v>
      </c>
      <c r="I119" s="17" t="str">
        <f>IFERROR(INDEX(HS_MD!I:I,MATCH(B119,HS_MD!B:B,0),1),"")</f>
        <v>Sauces / Bakery / Dairy</v>
      </c>
      <c r="J119" s="17">
        <f>IFERROR(INDEX(Heat_Map[Index],MATCH(HS_DB[[#This Row],[Reporter]],Heat_Map[Global],0),1),"")</f>
        <v>17</v>
      </c>
      <c r="K119" s="17" t="str">
        <f>IF(AND(HS_DB[[#This Row],[Origin Rank]]&gt;1,HS_DB[[#This Row],[Origin Rank]]&lt;=10),"Yes","No")</f>
        <v>Yes</v>
      </c>
      <c r="L119" s="2">
        <v>2024</v>
      </c>
      <c r="M119" s="2" t="s">
        <v>57</v>
      </c>
      <c r="N119" s="2" t="s">
        <v>5</v>
      </c>
      <c r="O119" s="2" t="s">
        <v>22</v>
      </c>
      <c r="P119" s="2" t="s">
        <v>23</v>
      </c>
      <c r="Q119" s="2" t="s">
        <v>24</v>
      </c>
      <c r="R119" s="2" t="s">
        <v>25</v>
      </c>
      <c r="S119" s="2">
        <v>130232</v>
      </c>
      <c r="T119" s="3">
        <v>154876</v>
      </c>
      <c r="U119" s="3">
        <v>14050</v>
      </c>
      <c r="V119" s="3">
        <v>0</v>
      </c>
      <c r="W119" s="3">
        <v>14050</v>
      </c>
      <c r="X119" s="3" t="s">
        <v>58</v>
      </c>
      <c r="Y119" s="3">
        <v>14050</v>
      </c>
      <c r="Z119" s="3" t="s">
        <v>58</v>
      </c>
      <c r="AA119" s="6">
        <f>SUMIFS(HS_DB[Trade Value - USD],HS_DB[Reporter],HS_DB[[#This Row],[Reporter]])/SUM(HS_DB[Trade Value - USD])</f>
        <v>5.3992075088500962E-3</v>
      </c>
      <c r="AB119" s="8" cm="1">
        <f t="array" ref="AB119">SUMPRODUCT(
(HS_DB[Reporter]=HS_DB[[#This Row],[Reporter]])*
(HS_DB[Trade Value - USD]&gt;HS_DB[[#This Row],[Trade Value - USD]])
)+1</f>
        <v>8</v>
      </c>
      <c r="AC119" s="8" t="str">
        <f>IFERROR(IF(INDEX(Heat_Map[Crisis Impact %],MATCH(HS_DB[[#This Row],[Reporter]],Heat_Map[Global],0),1)&gt;0,"Yes","No"),"No")</f>
        <v>No</v>
      </c>
      <c r="AD119" s="6">
        <f>IFERROR(INDEX(Heat_Map[Crisis Impact %],MATCH(HS_DB[[#This Row],[Reporter]],Heat_Map[Global],0),1),0)</f>
        <v>0</v>
      </c>
      <c r="AE119" s="8">
        <f>HS_DB[[#This Row],[Crisis Impact%]]*HS_DB[[#This Row],[Trade Value - USD]]</f>
        <v>0</v>
      </c>
      <c r="AF119" s="8">
        <f>HS_DB[[#This Row],[Crisis Impact%]]*HS_DB[[#This Row],[Net Weight -KG]]</f>
        <v>0</v>
      </c>
      <c r="AG119" s="6">
        <f>SUMIFS(HS_DB[Trade Value - USD],HS_DB[Products],HS_DB[[#This Row],[Products]])/SUM(HS_DB[Trade Value - USD])</f>
        <v>2.8100247532808482E-3</v>
      </c>
      <c r="AH119" s="8">
        <f>_xlfn.RANK.EQ(HS_DB[[#This Row],[Trade Value - USD]], HS_DB[Trade Value - USD], 0)
 + COUNTIFS(HS_DB[Trade Value - USD],HS_DB[[#This Row],[Trade Value - USD]],
            HS_DB[HS Code],"&lt;"&amp;HS_DB[[#This Row],[HS Code]])</f>
        <v>244</v>
      </c>
      <c r="AI119" s="9">
        <f>IFERROR(HS_DB[[#This Row],[Trade Value - USD]]/HS_DB[[#This Row],[Net Weight -KG]],0)</f>
        <v>11.023202846975089</v>
      </c>
      <c r="AJ119" s="17" cm="1">
        <f t="array" ref="AJ119">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19" s="17" t="str">
        <f>IF(HS_DB[[#This Row],[HS Code Risk Score]]&gt;=40,"High",
 IF(HS_DB[[#This Row],[HS Code Risk Score]]&gt;=25,"Medium","Low"))</f>
        <v>Medium</v>
      </c>
      <c r="AL119" s="17" t="str">
        <f>IF(RANK(HS_DB[[#This Row],[HS Code Risk Score]],HS_DB[HS Code Risk Score])&lt;=10,"Yes","No")</f>
        <v>No</v>
      </c>
      <c r="AM119" s="8">
        <f>SUMIFS(HS_DB[Net Weight -KG],HS_DB[HS Code],HS_DB[[#This Row],[HS Code]])</f>
        <v>2211416</v>
      </c>
      <c r="AN119" s="8">
        <f>SUMIFS(HS_DB[Trade Value - USD],HS_DB[HS Code],HS_DB[[#This Row],[HS Code]])</f>
        <v>5296920</v>
      </c>
      <c r="AO119" s="6">
        <f>_xlfn.MAXIFS(HS_DB[Origin Share%],HS_DB[HS Code],HS_DB[[#This Row],[HS Code]])</f>
        <v>6.321329281187793E-2</v>
      </c>
      <c r="AP119" s="8" cm="1">
        <f t="array" ref="AP119">_xlfn.LET(
_xlpm.hs,HS_DB[[#This Row],[HS Code]],
COUNTA(_xlfn.UNIQUE(_xlfn._xlws.FILTER(HS_DB[Reporter],HS_DB[HS Code]=_xlpm.hs)))
)</f>
        <v>11</v>
      </c>
      <c r="AQ119" s="17" t="str">
        <f>IF(HS_DB[[#This Row],[Origin Count]]=1,"Single Source","Multiple Sources")</f>
        <v>Multiple Sources</v>
      </c>
      <c r="AR119" s="8">
        <f>HS_DB[[#This Row],[Annual Spend - USD]]*(HS_DB[[#This Row],[HS Code Risk Score]]/100)</f>
        <v>1800952.8</v>
      </c>
      <c r="AS119" s="8">
        <f>RANK(HS_DB[[#This Row],[Risk Exposure - USD]],HS_DB[Risk Exposure - USD],0)</f>
        <v>385</v>
      </c>
      <c r="AT119" s="8" t="str">
        <f>IF(HS_DB[[#This Row],[Risk Exposure Rank]]&lt;=10,"High",
 IF(HS_DB[[#This Row],[Risk Exposure Rank]]&lt;=30,"Medium",
 "Low"))</f>
        <v>Low</v>
      </c>
      <c r="AU119" s="8" t="str">
        <f>IF(HS_DB[[#This Row],[Risk Exposure Rank]]&lt;=5,"Immediate Action",
 IF(HS_DB[[#This Row],[Risk Exposure Rank]]&lt;=15,"Monitor Closely",
 "Routine Control"))</f>
        <v>Routine Control</v>
      </c>
      <c r="AV119" s="8">
        <f>SUMIFS(HS_DB[Trade Value - USD],HS_DB[HS Code],HS_DB[[#This Row],[HS Code]])</f>
        <v>5296920</v>
      </c>
      <c r="AW119" s="6">
        <f>HS_DB[[#This Row],[Annual Spend - USD]]/HS_DB[[#This Row],[Total Market Size - USD]]</f>
        <v>1</v>
      </c>
      <c r="AX119" s="6" cm="1">
        <f t="array" ref="AX119">COUNTA(_xlfn.UNIQUE(_xlfn._xlws.FILTER(HS_DB[Partner],HS_DB[HS Code]=HS_DB[[#This Row],[HS Code]])))</f>
        <v>1</v>
      </c>
      <c r="AY119" s="8" t="str">
        <f>IF(HS_DB[[#This Row],[Competition Intensity]]&lt;=2,"Highly Concentrated",
 IF(HS_DB[[#This Row],[Competition Intensity]]&lt;=5,"Moderate",
 "Highly Competitive"))</f>
        <v>Highly Concentrated</v>
      </c>
      <c r="AZ119" s="8">
        <f>HS_DB[[#This Row],[Total Market Size - USD]]
*
(1+IFERROR(#REF!,0))
/
HS_DB[[#This Row],[Competition Intensity]]</f>
        <v>5296920</v>
      </c>
      <c r="BA119" s="8" t="str">
        <f>IF(HS_DB[[#This Row],[Commercial Opportunity Score]]&gt;=PERCENTILE(HS_DB[Commercial Opportunity Score],0.9),"High Opportunity",
 IF(HS_DB[[#This Row],[Commercial Opportunity Score]]&gt;=PERCENTILE(HS_DB[Commercial Opportunity Score],0.6),"Medium Opportunity",
 "Routine Market"))</f>
        <v>Routine Market</v>
      </c>
      <c r="BB119" s="3" t="str">
        <f>IF(AND(HS_DB[[#This Row],[Product Rank]]&gt;0,HS_DB[[#This Row],[Product Rank]]&lt;=10),"Yes","No")</f>
        <v>No</v>
      </c>
      <c r="BC119" s="3" t="str">
        <f>IF(AND(HS_DB[[#This Row],[Origin Rank]]&gt;0,HS_DB[[#This Row],[Origin Rank]]&lt;=10),"Yes","No")</f>
        <v>Yes</v>
      </c>
    </row>
    <row r="120" spans="2:55" x14ac:dyDescent="0.3">
      <c r="B120" s="2">
        <f>HS_DB[[#This Row],[Commodity Code]]</f>
        <v>130232</v>
      </c>
      <c r="C120" s="2">
        <f>IFERROR(INDEX(HS_MD!C:C,MATCH(B120,HS_MD!B:B,0),1),"")</f>
        <v>3</v>
      </c>
      <c r="D120" s="17" t="str">
        <f>IFERROR(INDEX(HS_MD!D:D,MATCH(B120,HS_MD!B:B,0),1),"")</f>
        <v>Vegetable gums</v>
      </c>
      <c r="E120" s="17" t="str">
        <f>IFERROR(INDEX(HS_MD!E:E,MATCH(B120,HS_MD!B:B,0),1),"")</f>
        <v>Guar Gum</v>
      </c>
      <c r="F120" s="17" t="str">
        <f>IFERROR(INDEX(HS_MD!F:F,MATCH(B120,HS_MD!B:B,0),1),"")</f>
        <v>FUNCTIONAL INGREDIENTS</v>
      </c>
      <c r="G120" s="17" t="str">
        <f>IFERROR(INDEX(HS_MD!G:G,MATCH(B120,HS_MD!B:B,0),1),"")</f>
        <v>Hydrocolloids</v>
      </c>
      <c r="H120" s="17" t="str">
        <f>IFERROR(INDEX(HS_MD!H:H,MATCH(B120,HS_MD!B:B,0),1),"")</f>
        <v>Guar Gum</v>
      </c>
      <c r="I120" s="17" t="str">
        <f>IFERROR(INDEX(HS_MD!I:I,MATCH(B120,HS_MD!B:B,0),1),"")</f>
        <v>Sauces / Bakery / Dairy</v>
      </c>
      <c r="J120" s="17">
        <f>IFERROR(INDEX(Heat_Map[Index],MATCH(HS_DB[[#This Row],[Reporter]],Heat_Map[Global],0),1),"")</f>
        <v>36</v>
      </c>
      <c r="K120" s="17" t="str">
        <f>IF(AND(HS_DB[[#This Row],[Origin Rank]]&gt;1,HS_DB[[#This Row],[Origin Rank]]&lt;=10),"Yes","No")</f>
        <v>No</v>
      </c>
      <c r="L120" s="2">
        <v>2024</v>
      </c>
      <c r="M120" s="2" t="s">
        <v>57</v>
      </c>
      <c r="N120" s="2" t="s">
        <v>1</v>
      </c>
      <c r="O120" s="2" t="s">
        <v>22</v>
      </c>
      <c r="P120" s="2" t="s">
        <v>23</v>
      </c>
      <c r="Q120" s="2" t="s">
        <v>24</v>
      </c>
      <c r="R120" s="2" t="s">
        <v>25</v>
      </c>
      <c r="S120" s="2">
        <v>130232</v>
      </c>
      <c r="T120" s="3">
        <v>209943</v>
      </c>
      <c r="U120" s="3">
        <v>61700</v>
      </c>
      <c r="V120" s="3">
        <v>0</v>
      </c>
      <c r="W120" s="3">
        <v>61700</v>
      </c>
      <c r="X120" s="3" t="s">
        <v>58</v>
      </c>
      <c r="Y120" s="3">
        <v>61700</v>
      </c>
      <c r="Z120" s="3" t="s">
        <v>58</v>
      </c>
      <c r="AA120" s="6">
        <f>SUMIFS(HS_DB[Trade Value - USD],HS_DB[Reporter],HS_DB[[#This Row],[Reporter]])/SUM(HS_DB[Trade Value - USD])</f>
        <v>6.321329281187793E-2</v>
      </c>
      <c r="AB120" s="8" cm="1">
        <f t="array" ref="AB120">SUMPRODUCT(
(HS_DB[Reporter]=HS_DB[[#This Row],[Reporter]])*
(HS_DB[Trade Value - USD]&gt;HS_DB[[#This Row],[Trade Value - USD]])
)+1</f>
        <v>29</v>
      </c>
      <c r="AC120" s="8" t="str">
        <f>IFERROR(IF(INDEX(Heat_Map[Crisis Impact %],MATCH(HS_DB[[#This Row],[Reporter]],Heat_Map[Global],0),1)&gt;0,"Yes","No"),"No")</f>
        <v>Yes</v>
      </c>
      <c r="AD120" s="6">
        <f>IFERROR(INDEX(Heat_Map[Crisis Impact %],MATCH(HS_DB[[#This Row],[Reporter]],Heat_Map[Global],0),1),0)</f>
        <v>0.14000000000000001</v>
      </c>
      <c r="AE120" s="8">
        <f>HS_DB[[#This Row],[Crisis Impact%]]*HS_DB[[#This Row],[Trade Value - USD]]</f>
        <v>29392.020000000004</v>
      </c>
      <c r="AF120" s="8">
        <f>HS_DB[[#This Row],[Crisis Impact%]]*HS_DB[[#This Row],[Net Weight -KG]]</f>
        <v>8638</v>
      </c>
      <c r="AG120" s="6">
        <f>SUMIFS(HS_DB[Trade Value - USD],HS_DB[Products],HS_DB[[#This Row],[Products]])/SUM(HS_DB[Trade Value - USD])</f>
        <v>2.8100247532808482E-3</v>
      </c>
      <c r="AH120" s="8">
        <f>_xlfn.RANK.EQ(HS_DB[[#This Row],[Trade Value - USD]], HS_DB[Trade Value - USD], 0)
 + COUNTIFS(HS_DB[Trade Value - USD],HS_DB[[#This Row],[Trade Value - USD]],
            HS_DB[HS Code],"&lt;"&amp;HS_DB[[#This Row],[HS Code]])</f>
        <v>216</v>
      </c>
      <c r="AI120" s="9">
        <f>IFERROR(HS_DB[[#This Row],[Trade Value - USD]]/HS_DB[[#This Row],[Net Weight -KG]],0)</f>
        <v>3.402641815235008</v>
      </c>
      <c r="AJ120" s="17" cm="1">
        <f t="array" ref="AJ120">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20" s="17" t="str">
        <f>IF(HS_DB[[#This Row],[HS Code Risk Score]]&gt;=40,"High",
 IF(HS_DB[[#This Row],[HS Code Risk Score]]&gt;=25,"Medium","Low"))</f>
        <v>Medium</v>
      </c>
      <c r="AL120" s="17" t="str">
        <f>IF(RANK(HS_DB[[#This Row],[HS Code Risk Score]],HS_DB[HS Code Risk Score])&lt;=10,"Yes","No")</f>
        <v>No</v>
      </c>
      <c r="AM120" s="8">
        <f>SUMIFS(HS_DB[Net Weight -KG],HS_DB[HS Code],HS_DB[[#This Row],[HS Code]])</f>
        <v>2211416</v>
      </c>
      <c r="AN120" s="8">
        <f>SUMIFS(HS_DB[Trade Value - USD],HS_DB[HS Code],HS_DB[[#This Row],[HS Code]])</f>
        <v>5296920</v>
      </c>
      <c r="AO120" s="6">
        <f>_xlfn.MAXIFS(HS_DB[Origin Share%],HS_DB[HS Code],HS_DB[[#This Row],[HS Code]])</f>
        <v>6.321329281187793E-2</v>
      </c>
      <c r="AP120" s="8" cm="1">
        <f t="array" ref="AP120">_xlfn.LET(
_xlpm.hs,HS_DB[[#This Row],[HS Code]],
COUNTA(_xlfn.UNIQUE(_xlfn._xlws.FILTER(HS_DB[Reporter],HS_DB[HS Code]=_xlpm.hs)))
)</f>
        <v>11</v>
      </c>
      <c r="AQ120" s="17" t="str">
        <f>IF(HS_DB[[#This Row],[Origin Count]]=1,"Single Source","Multiple Sources")</f>
        <v>Multiple Sources</v>
      </c>
      <c r="AR120" s="8">
        <f>HS_DB[[#This Row],[Annual Spend - USD]]*(HS_DB[[#This Row],[HS Code Risk Score]]/100)</f>
        <v>1800952.8</v>
      </c>
      <c r="AS120" s="8">
        <f>RANK(HS_DB[[#This Row],[Risk Exposure - USD]],HS_DB[Risk Exposure - USD],0)</f>
        <v>385</v>
      </c>
      <c r="AT120" s="8" t="str">
        <f>IF(HS_DB[[#This Row],[Risk Exposure Rank]]&lt;=10,"High",
 IF(HS_DB[[#This Row],[Risk Exposure Rank]]&lt;=30,"Medium",
 "Low"))</f>
        <v>Low</v>
      </c>
      <c r="AU120" s="8" t="str">
        <f>IF(HS_DB[[#This Row],[Risk Exposure Rank]]&lt;=5,"Immediate Action",
 IF(HS_DB[[#This Row],[Risk Exposure Rank]]&lt;=15,"Monitor Closely",
 "Routine Control"))</f>
        <v>Routine Control</v>
      </c>
      <c r="AV120" s="8">
        <f>SUMIFS(HS_DB[Trade Value - USD],HS_DB[HS Code],HS_DB[[#This Row],[HS Code]])</f>
        <v>5296920</v>
      </c>
      <c r="AW120" s="6">
        <f>HS_DB[[#This Row],[Annual Spend - USD]]/HS_DB[[#This Row],[Total Market Size - USD]]</f>
        <v>1</v>
      </c>
      <c r="AX120" s="6" cm="1">
        <f t="array" ref="AX120">COUNTA(_xlfn.UNIQUE(_xlfn._xlws.FILTER(HS_DB[Partner],HS_DB[HS Code]=HS_DB[[#This Row],[HS Code]])))</f>
        <v>1</v>
      </c>
      <c r="AY120" s="8" t="str">
        <f>IF(HS_DB[[#This Row],[Competition Intensity]]&lt;=2,"Highly Concentrated",
 IF(HS_DB[[#This Row],[Competition Intensity]]&lt;=5,"Moderate",
 "Highly Competitive"))</f>
        <v>Highly Concentrated</v>
      </c>
      <c r="AZ120" s="8">
        <f>HS_DB[[#This Row],[Total Market Size - USD]]
*
(1+IFERROR(#REF!,0))
/
HS_DB[[#This Row],[Competition Intensity]]</f>
        <v>5296920</v>
      </c>
      <c r="BA120" s="8" t="str">
        <f>IF(HS_DB[[#This Row],[Commercial Opportunity Score]]&gt;=PERCENTILE(HS_DB[Commercial Opportunity Score],0.9),"High Opportunity",
 IF(HS_DB[[#This Row],[Commercial Opportunity Score]]&gt;=PERCENTILE(HS_DB[Commercial Opportunity Score],0.6),"Medium Opportunity",
 "Routine Market"))</f>
        <v>Routine Market</v>
      </c>
      <c r="BB120" s="3" t="str">
        <f>IF(AND(HS_DB[[#This Row],[Product Rank]]&gt;0,HS_DB[[#This Row],[Product Rank]]&lt;=10),"Yes","No")</f>
        <v>No</v>
      </c>
      <c r="BC120" s="3" t="str">
        <f>IF(AND(HS_DB[[#This Row],[Origin Rank]]&gt;0,HS_DB[[#This Row],[Origin Rank]]&lt;=10),"Yes","No")</f>
        <v>No</v>
      </c>
    </row>
    <row r="121" spans="2:55" x14ac:dyDescent="0.3">
      <c r="B121" s="2">
        <f>HS_DB[[#This Row],[Commodity Code]]</f>
        <v>130232</v>
      </c>
      <c r="C121" s="2">
        <f>IFERROR(INDEX(HS_MD!C:C,MATCH(B121,HS_MD!B:B,0),1),"")</f>
        <v>3</v>
      </c>
      <c r="D121" s="17" t="str">
        <f>IFERROR(INDEX(HS_MD!D:D,MATCH(B121,HS_MD!B:B,0),1),"")</f>
        <v>Vegetable gums</v>
      </c>
      <c r="E121" s="17" t="str">
        <f>IFERROR(INDEX(HS_MD!E:E,MATCH(B121,HS_MD!B:B,0),1),"")</f>
        <v>Guar Gum</v>
      </c>
      <c r="F121" s="17" t="str">
        <f>IFERROR(INDEX(HS_MD!F:F,MATCH(B121,HS_MD!B:B,0),1),"")</f>
        <v>FUNCTIONAL INGREDIENTS</v>
      </c>
      <c r="G121" s="17" t="str">
        <f>IFERROR(INDEX(HS_MD!G:G,MATCH(B121,HS_MD!B:B,0),1),"")</f>
        <v>Hydrocolloids</v>
      </c>
      <c r="H121" s="17" t="str">
        <f>IFERROR(INDEX(HS_MD!H:H,MATCH(B121,HS_MD!B:B,0),1),"")</f>
        <v>Guar Gum</v>
      </c>
      <c r="I121" s="17" t="str">
        <f>IFERROR(INDEX(HS_MD!I:I,MATCH(B121,HS_MD!B:B,0),1),"")</f>
        <v>Sauces / Bakery / Dairy</v>
      </c>
      <c r="J121" s="17">
        <f>IFERROR(INDEX(Heat_Map[Index],MATCH(HS_DB[[#This Row],[Reporter]],Heat_Map[Global],0),1),"")</f>
        <v>59</v>
      </c>
      <c r="K121" s="17" t="str">
        <f>IF(AND(HS_DB[[#This Row],[Origin Rank]]&gt;1,HS_DB[[#This Row],[Origin Rank]]&lt;=10),"Yes","No")</f>
        <v>No</v>
      </c>
      <c r="L121" s="2">
        <v>2024</v>
      </c>
      <c r="M121" s="2" t="s">
        <v>57</v>
      </c>
      <c r="N121" s="2" t="s">
        <v>44</v>
      </c>
      <c r="O121" s="2" t="s">
        <v>22</v>
      </c>
      <c r="P121" s="2" t="s">
        <v>23</v>
      </c>
      <c r="Q121" s="2" t="s">
        <v>24</v>
      </c>
      <c r="R121" s="2" t="s">
        <v>25</v>
      </c>
      <c r="S121" s="2">
        <v>130232</v>
      </c>
      <c r="T121" s="3">
        <v>296916</v>
      </c>
      <c r="U121" s="3">
        <v>9975</v>
      </c>
      <c r="V121" s="3">
        <v>0</v>
      </c>
      <c r="W121" s="3">
        <v>9975</v>
      </c>
      <c r="X121" s="3" t="s">
        <v>58</v>
      </c>
      <c r="Y121" s="3">
        <v>9975</v>
      </c>
      <c r="Z121" s="3" t="s">
        <v>58</v>
      </c>
      <c r="AA121" s="6">
        <f>SUMIFS(HS_DB[Trade Value - USD],HS_DB[Reporter],HS_DB[[#This Row],[Reporter]])/SUM(HS_DB[Trade Value - USD])</f>
        <v>1.6951290293147386E-2</v>
      </c>
      <c r="AB121" s="8" cm="1">
        <f t="array" ref="AB121">SUMPRODUCT(
(HS_DB[Reporter]=HS_DB[[#This Row],[Reporter]])*
(HS_DB[Trade Value - USD]&gt;HS_DB[[#This Row],[Trade Value - USD]])
)+1</f>
        <v>14</v>
      </c>
      <c r="AC121" s="8" t="str">
        <f>IFERROR(IF(INDEX(Heat_Map[Crisis Impact %],MATCH(HS_DB[[#This Row],[Reporter]],Heat_Map[Global],0),1)&gt;0,"Yes","No"),"No")</f>
        <v>No</v>
      </c>
      <c r="AD121" s="6">
        <f>IFERROR(INDEX(Heat_Map[Crisis Impact %],MATCH(HS_DB[[#This Row],[Reporter]],Heat_Map[Global],0),1),0)</f>
        <v>0</v>
      </c>
      <c r="AE121" s="8">
        <f>HS_DB[[#This Row],[Crisis Impact%]]*HS_DB[[#This Row],[Trade Value - USD]]</f>
        <v>0</v>
      </c>
      <c r="AF121" s="8">
        <f>HS_DB[[#This Row],[Crisis Impact%]]*HS_DB[[#This Row],[Net Weight -KG]]</f>
        <v>0</v>
      </c>
      <c r="AG121" s="6">
        <f>SUMIFS(HS_DB[Trade Value - USD],HS_DB[Products],HS_DB[[#This Row],[Products]])/SUM(HS_DB[Trade Value - USD])</f>
        <v>2.8100247532808482E-3</v>
      </c>
      <c r="AH121" s="8">
        <f>_xlfn.RANK.EQ(HS_DB[[#This Row],[Trade Value - USD]], HS_DB[Trade Value - USD], 0)
 + COUNTIFS(HS_DB[Trade Value - USD],HS_DB[[#This Row],[Trade Value - USD]],
            HS_DB[HS Code],"&lt;"&amp;HS_DB[[#This Row],[HS Code]])</f>
        <v>190</v>
      </c>
      <c r="AI121" s="9">
        <f>IFERROR(HS_DB[[#This Row],[Trade Value - USD]]/HS_DB[[#This Row],[Net Weight -KG]],0)</f>
        <v>29.766015037593984</v>
      </c>
      <c r="AJ121" s="17" cm="1">
        <f t="array" ref="AJ121">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21" s="17" t="str">
        <f>IF(HS_DB[[#This Row],[HS Code Risk Score]]&gt;=40,"High",
 IF(HS_DB[[#This Row],[HS Code Risk Score]]&gt;=25,"Medium","Low"))</f>
        <v>Medium</v>
      </c>
      <c r="AL121" s="17" t="str">
        <f>IF(RANK(HS_DB[[#This Row],[HS Code Risk Score]],HS_DB[HS Code Risk Score])&lt;=10,"Yes","No")</f>
        <v>No</v>
      </c>
      <c r="AM121" s="8">
        <f>SUMIFS(HS_DB[Net Weight -KG],HS_DB[HS Code],HS_DB[[#This Row],[HS Code]])</f>
        <v>2211416</v>
      </c>
      <c r="AN121" s="8">
        <f>SUMIFS(HS_DB[Trade Value - USD],HS_DB[HS Code],HS_DB[[#This Row],[HS Code]])</f>
        <v>5296920</v>
      </c>
      <c r="AO121" s="6">
        <f>_xlfn.MAXIFS(HS_DB[Origin Share%],HS_DB[HS Code],HS_DB[[#This Row],[HS Code]])</f>
        <v>6.321329281187793E-2</v>
      </c>
      <c r="AP121" s="8" cm="1">
        <f t="array" ref="AP121">_xlfn.LET(
_xlpm.hs,HS_DB[[#This Row],[HS Code]],
COUNTA(_xlfn.UNIQUE(_xlfn._xlws.FILTER(HS_DB[Reporter],HS_DB[HS Code]=_xlpm.hs)))
)</f>
        <v>11</v>
      </c>
      <c r="AQ121" s="17" t="str">
        <f>IF(HS_DB[[#This Row],[Origin Count]]=1,"Single Source","Multiple Sources")</f>
        <v>Multiple Sources</v>
      </c>
      <c r="AR121" s="8">
        <f>HS_DB[[#This Row],[Annual Spend - USD]]*(HS_DB[[#This Row],[HS Code Risk Score]]/100)</f>
        <v>1800952.8</v>
      </c>
      <c r="AS121" s="8">
        <f>RANK(HS_DB[[#This Row],[Risk Exposure - USD]],HS_DB[Risk Exposure - USD],0)</f>
        <v>385</v>
      </c>
      <c r="AT121" s="8" t="str">
        <f>IF(HS_DB[[#This Row],[Risk Exposure Rank]]&lt;=10,"High",
 IF(HS_DB[[#This Row],[Risk Exposure Rank]]&lt;=30,"Medium",
 "Low"))</f>
        <v>Low</v>
      </c>
      <c r="AU121" s="8" t="str">
        <f>IF(HS_DB[[#This Row],[Risk Exposure Rank]]&lt;=5,"Immediate Action",
 IF(HS_DB[[#This Row],[Risk Exposure Rank]]&lt;=15,"Monitor Closely",
 "Routine Control"))</f>
        <v>Routine Control</v>
      </c>
      <c r="AV121" s="8">
        <f>SUMIFS(HS_DB[Trade Value - USD],HS_DB[HS Code],HS_DB[[#This Row],[HS Code]])</f>
        <v>5296920</v>
      </c>
      <c r="AW121" s="6">
        <f>HS_DB[[#This Row],[Annual Spend - USD]]/HS_DB[[#This Row],[Total Market Size - USD]]</f>
        <v>1</v>
      </c>
      <c r="AX121" s="6" cm="1">
        <f t="array" ref="AX121">COUNTA(_xlfn.UNIQUE(_xlfn._xlws.FILTER(HS_DB[Partner],HS_DB[HS Code]=HS_DB[[#This Row],[HS Code]])))</f>
        <v>1</v>
      </c>
      <c r="AY121" s="8" t="str">
        <f>IF(HS_DB[[#This Row],[Competition Intensity]]&lt;=2,"Highly Concentrated",
 IF(HS_DB[[#This Row],[Competition Intensity]]&lt;=5,"Moderate",
 "Highly Competitive"))</f>
        <v>Highly Concentrated</v>
      </c>
      <c r="AZ121" s="8">
        <f>HS_DB[[#This Row],[Total Market Size - USD]]
*
(1+IFERROR(#REF!,0))
/
HS_DB[[#This Row],[Competition Intensity]]</f>
        <v>5296920</v>
      </c>
      <c r="BA121" s="8" t="str">
        <f>IF(HS_DB[[#This Row],[Commercial Opportunity Score]]&gt;=PERCENTILE(HS_DB[Commercial Opportunity Score],0.9),"High Opportunity",
 IF(HS_DB[[#This Row],[Commercial Opportunity Score]]&gt;=PERCENTILE(HS_DB[Commercial Opportunity Score],0.6),"Medium Opportunity",
 "Routine Market"))</f>
        <v>Routine Market</v>
      </c>
      <c r="BB121" s="3" t="str">
        <f>IF(AND(HS_DB[[#This Row],[Product Rank]]&gt;0,HS_DB[[#This Row],[Product Rank]]&lt;=10),"Yes","No")</f>
        <v>No</v>
      </c>
      <c r="BC121" s="3" t="str">
        <f>IF(AND(HS_DB[[#This Row],[Origin Rank]]&gt;0,HS_DB[[#This Row],[Origin Rank]]&lt;=10),"Yes","No")</f>
        <v>No</v>
      </c>
    </row>
    <row r="122" spans="2:55" x14ac:dyDescent="0.3">
      <c r="B122" s="2">
        <f>HS_DB[[#This Row],[Commodity Code]]</f>
        <v>130232</v>
      </c>
      <c r="C122" s="2">
        <f>IFERROR(INDEX(HS_MD!C:C,MATCH(B122,HS_MD!B:B,0),1),"")</f>
        <v>3</v>
      </c>
      <c r="D122" s="17" t="str">
        <f>IFERROR(INDEX(HS_MD!D:D,MATCH(B122,HS_MD!B:B,0),1),"")</f>
        <v>Vegetable gums</v>
      </c>
      <c r="E122" s="17" t="str">
        <f>IFERROR(INDEX(HS_MD!E:E,MATCH(B122,HS_MD!B:B,0),1),"")</f>
        <v>Guar Gum</v>
      </c>
      <c r="F122" s="17" t="str">
        <f>IFERROR(INDEX(HS_MD!F:F,MATCH(B122,HS_MD!B:B,0),1),"")</f>
        <v>FUNCTIONAL INGREDIENTS</v>
      </c>
      <c r="G122" s="17" t="str">
        <f>IFERROR(INDEX(HS_MD!G:G,MATCH(B122,HS_MD!B:B,0),1),"")</f>
        <v>Hydrocolloids</v>
      </c>
      <c r="H122" s="17" t="str">
        <f>IFERROR(INDEX(HS_MD!H:H,MATCH(B122,HS_MD!B:B,0),1),"")</f>
        <v>Guar Gum</v>
      </c>
      <c r="I122" s="17" t="str">
        <f>IFERROR(INDEX(HS_MD!I:I,MATCH(B122,HS_MD!B:B,0),1),"")</f>
        <v>Sauces / Bakery / Dairy</v>
      </c>
      <c r="J122" s="17">
        <f>IFERROR(INDEX(Heat_Map[Index],MATCH(HS_DB[[#This Row],[Reporter]],Heat_Map[Global],0),1),"")</f>
        <v>63</v>
      </c>
      <c r="K122" s="17" t="str">
        <f>IF(AND(HS_DB[[#This Row],[Origin Rank]]&gt;1,HS_DB[[#This Row],[Origin Rank]]&lt;=10),"Yes","No")</f>
        <v>No</v>
      </c>
      <c r="L122" s="2">
        <v>2024</v>
      </c>
      <c r="M122" s="2" t="s">
        <v>57</v>
      </c>
      <c r="N122" s="2" t="s">
        <v>2</v>
      </c>
      <c r="O122" s="2" t="s">
        <v>22</v>
      </c>
      <c r="P122" s="2" t="s">
        <v>23</v>
      </c>
      <c r="Q122" s="2" t="s">
        <v>24</v>
      </c>
      <c r="R122" s="2" t="s">
        <v>25</v>
      </c>
      <c r="S122" s="2">
        <v>130232</v>
      </c>
      <c r="T122" s="3">
        <v>195868</v>
      </c>
      <c r="U122" s="3">
        <v>17907</v>
      </c>
      <c r="V122" s="3">
        <v>0</v>
      </c>
      <c r="W122" s="3">
        <v>17907</v>
      </c>
      <c r="X122" s="3" t="s">
        <v>58</v>
      </c>
      <c r="Y122" s="3">
        <v>17907</v>
      </c>
      <c r="Z122" s="3" t="s">
        <v>58</v>
      </c>
      <c r="AA122" s="6">
        <f>SUMIFS(HS_DB[Trade Value - USD],HS_DB[Reporter],HS_DB[[#This Row],[Reporter]])/SUM(HS_DB[Trade Value - USD])</f>
        <v>1.1674623358397021E-2</v>
      </c>
      <c r="AB122" s="8" cm="1">
        <f t="array" ref="AB122">SUMPRODUCT(
(HS_DB[Reporter]=HS_DB[[#This Row],[Reporter]])*
(HS_DB[Trade Value - USD]&gt;HS_DB[[#This Row],[Trade Value - USD]])
)+1</f>
        <v>16</v>
      </c>
      <c r="AC122" s="8" t="str">
        <f>IFERROR(IF(INDEX(Heat_Map[Crisis Impact %],MATCH(HS_DB[[#This Row],[Reporter]],Heat_Map[Global],0),1)&gt;0,"Yes","No"),"No")</f>
        <v>No</v>
      </c>
      <c r="AD122" s="6">
        <f>IFERROR(INDEX(Heat_Map[Crisis Impact %],MATCH(HS_DB[[#This Row],[Reporter]],Heat_Map[Global],0),1),0)</f>
        <v>0</v>
      </c>
      <c r="AE122" s="8">
        <f>HS_DB[[#This Row],[Crisis Impact%]]*HS_DB[[#This Row],[Trade Value - USD]]</f>
        <v>0</v>
      </c>
      <c r="AF122" s="8">
        <f>HS_DB[[#This Row],[Crisis Impact%]]*HS_DB[[#This Row],[Net Weight -KG]]</f>
        <v>0</v>
      </c>
      <c r="AG122" s="6">
        <f>SUMIFS(HS_DB[Trade Value - USD],HS_DB[Products],HS_DB[[#This Row],[Products]])/SUM(HS_DB[Trade Value - USD])</f>
        <v>2.8100247532808482E-3</v>
      </c>
      <c r="AH122" s="8">
        <f>_xlfn.RANK.EQ(HS_DB[[#This Row],[Trade Value - USD]], HS_DB[Trade Value - USD], 0)
 + COUNTIFS(HS_DB[Trade Value - USD],HS_DB[[#This Row],[Trade Value - USD]],
            HS_DB[HS Code],"&lt;"&amp;HS_DB[[#This Row],[HS Code]])</f>
        <v>220</v>
      </c>
      <c r="AI122" s="9">
        <f>IFERROR(HS_DB[[#This Row],[Trade Value - USD]]/HS_DB[[#This Row],[Net Weight -KG]],0)</f>
        <v>10.938068911598815</v>
      </c>
      <c r="AJ122" s="17" cm="1">
        <f t="array" ref="AJ122">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22" s="17" t="str">
        <f>IF(HS_DB[[#This Row],[HS Code Risk Score]]&gt;=40,"High",
 IF(HS_DB[[#This Row],[HS Code Risk Score]]&gt;=25,"Medium","Low"))</f>
        <v>Medium</v>
      </c>
      <c r="AL122" s="17" t="str">
        <f>IF(RANK(HS_DB[[#This Row],[HS Code Risk Score]],HS_DB[HS Code Risk Score])&lt;=10,"Yes","No")</f>
        <v>No</v>
      </c>
      <c r="AM122" s="8">
        <f>SUMIFS(HS_DB[Net Weight -KG],HS_DB[HS Code],HS_DB[[#This Row],[HS Code]])</f>
        <v>2211416</v>
      </c>
      <c r="AN122" s="8">
        <f>SUMIFS(HS_DB[Trade Value - USD],HS_DB[HS Code],HS_DB[[#This Row],[HS Code]])</f>
        <v>5296920</v>
      </c>
      <c r="AO122" s="6">
        <f>_xlfn.MAXIFS(HS_DB[Origin Share%],HS_DB[HS Code],HS_DB[[#This Row],[HS Code]])</f>
        <v>6.321329281187793E-2</v>
      </c>
      <c r="AP122" s="8" cm="1">
        <f t="array" ref="AP122">_xlfn.LET(
_xlpm.hs,HS_DB[[#This Row],[HS Code]],
COUNTA(_xlfn.UNIQUE(_xlfn._xlws.FILTER(HS_DB[Reporter],HS_DB[HS Code]=_xlpm.hs)))
)</f>
        <v>11</v>
      </c>
      <c r="AQ122" s="17" t="str">
        <f>IF(HS_DB[[#This Row],[Origin Count]]=1,"Single Source","Multiple Sources")</f>
        <v>Multiple Sources</v>
      </c>
      <c r="AR122" s="8">
        <f>HS_DB[[#This Row],[Annual Spend - USD]]*(HS_DB[[#This Row],[HS Code Risk Score]]/100)</f>
        <v>1800952.8</v>
      </c>
      <c r="AS122" s="8">
        <f>RANK(HS_DB[[#This Row],[Risk Exposure - USD]],HS_DB[Risk Exposure - USD],0)</f>
        <v>385</v>
      </c>
      <c r="AT122" s="8" t="str">
        <f>IF(HS_DB[[#This Row],[Risk Exposure Rank]]&lt;=10,"High",
 IF(HS_DB[[#This Row],[Risk Exposure Rank]]&lt;=30,"Medium",
 "Low"))</f>
        <v>Low</v>
      </c>
      <c r="AU122" s="8" t="str">
        <f>IF(HS_DB[[#This Row],[Risk Exposure Rank]]&lt;=5,"Immediate Action",
 IF(HS_DB[[#This Row],[Risk Exposure Rank]]&lt;=15,"Monitor Closely",
 "Routine Control"))</f>
        <v>Routine Control</v>
      </c>
      <c r="AV122" s="8">
        <f>SUMIFS(HS_DB[Trade Value - USD],HS_DB[HS Code],HS_DB[[#This Row],[HS Code]])</f>
        <v>5296920</v>
      </c>
      <c r="AW122" s="6">
        <f>HS_DB[[#This Row],[Annual Spend - USD]]/HS_DB[[#This Row],[Total Market Size - USD]]</f>
        <v>1</v>
      </c>
      <c r="AX122" s="6" cm="1">
        <f t="array" ref="AX122">COUNTA(_xlfn.UNIQUE(_xlfn._xlws.FILTER(HS_DB[Partner],HS_DB[HS Code]=HS_DB[[#This Row],[HS Code]])))</f>
        <v>1</v>
      </c>
      <c r="AY122" s="8" t="str">
        <f>IF(HS_DB[[#This Row],[Competition Intensity]]&lt;=2,"Highly Concentrated",
 IF(HS_DB[[#This Row],[Competition Intensity]]&lt;=5,"Moderate",
 "Highly Competitive"))</f>
        <v>Highly Concentrated</v>
      </c>
      <c r="AZ122" s="8">
        <f>HS_DB[[#This Row],[Total Market Size - USD]]
*
(1+IFERROR(#REF!,0))
/
HS_DB[[#This Row],[Competition Intensity]]</f>
        <v>5296920</v>
      </c>
      <c r="BA122" s="8" t="str">
        <f>IF(HS_DB[[#This Row],[Commercial Opportunity Score]]&gt;=PERCENTILE(HS_DB[Commercial Opportunity Score],0.9),"High Opportunity",
 IF(HS_DB[[#This Row],[Commercial Opportunity Score]]&gt;=PERCENTILE(HS_DB[Commercial Opportunity Score],0.6),"Medium Opportunity",
 "Routine Market"))</f>
        <v>Routine Market</v>
      </c>
      <c r="BB122" s="3" t="str">
        <f>IF(AND(HS_DB[[#This Row],[Product Rank]]&gt;0,HS_DB[[#This Row],[Product Rank]]&lt;=10),"Yes","No")</f>
        <v>No</v>
      </c>
      <c r="BC122" s="3" t="str">
        <f>IF(AND(HS_DB[[#This Row],[Origin Rank]]&gt;0,HS_DB[[#This Row],[Origin Rank]]&lt;=10),"Yes","No")</f>
        <v>No</v>
      </c>
    </row>
    <row r="123" spans="2:55" x14ac:dyDescent="0.3">
      <c r="B123" s="2">
        <f>HS_DB[[#This Row],[Commodity Code]]</f>
        <v>130232</v>
      </c>
      <c r="C123" s="2">
        <f>IFERROR(INDEX(HS_MD!C:C,MATCH(B123,HS_MD!B:B,0),1),"")</f>
        <v>3</v>
      </c>
      <c r="D123" s="17" t="str">
        <f>IFERROR(INDEX(HS_MD!D:D,MATCH(B123,HS_MD!B:B,0),1),"")</f>
        <v>Vegetable gums</v>
      </c>
      <c r="E123" s="17" t="str">
        <f>IFERROR(INDEX(HS_MD!E:E,MATCH(B123,HS_MD!B:B,0),1),"")</f>
        <v>Guar Gum</v>
      </c>
      <c r="F123" s="17" t="str">
        <f>IFERROR(INDEX(HS_MD!F:F,MATCH(B123,HS_MD!B:B,0),1),"")</f>
        <v>FUNCTIONAL INGREDIENTS</v>
      </c>
      <c r="G123" s="17" t="str">
        <f>IFERROR(INDEX(HS_MD!G:G,MATCH(B123,HS_MD!B:B,0),1),"")</f>
        <v>Hydrocolloids</v>
      </c>
      <c r="H123" s="17" t="str">
        <f>IFERROR(INDEX(HS_MD!H:H,MATCH(B123,HS_MD!B:B,0),1),"")</f>
        <v>Guar Gum</v>
      </c>
      <c r="I123" s="17" t="str">
        <f>IFERROR(INDEX(HS_MD!I:I,MATCH(B123,HS_MD!B:B,0),1),"")</f>
        <v>Sauces / Bakery / Dairy</v>
      </c>
      <c r="J123" s="17">
        <f>IFERROR(INDEX(Heat_Map[Index],MATCH(HS_DB[[#This Row],[Reporter]],Heat_Map[Global],0),1),"")</f>
        <v>81</v>
      </c>
      <c r="K123" s="17" t="str">
        <f>IF(AND(HS_DB[[#This Row],[Origin Rank]]&gt;1,HS_DB[[#This Row],[Origin Rank]]&lt;=10),"Yes","No")</f>
        <v>Yes</v>
      </c>
      <c r="L123" s="2">
        <v>2024</v>
      </c>
      <c r="M123" s="2" t="s">
        <v>57</v>
      </c>
      <c r="N123" s="2" t="s">
        <v>49</v>
      </c>
      <c r="O123" s="2" t="s">
        <v>22</v>
      </c>
      <c r="P123" s="2" t="s">
        <v>23</v>
      </c>
      <c r="Q123" s="2" t="s">
        <v>24</v>
      </c>
      <c r="R123" s="2" t="s">
        <v>25</v>
      </c>
      <c r="S123" s="2">
        <v>130232</v>
      </c>
      <c r="T123" s="3">
        <v>546747</v>
      </c>
      <c r="U123" s="3">
        <v>57475</v>
      </c>
      <c r="V123" s="3">
        <v>0</v>
      </c>
      <c r="W123" s="3">
        <v>57475</v>
      </c>
      <c r="X123" s="3" t="s">
        <v>58</v>
      </c>
      <c r="Y123" s="3">
        <v>57475</v>
      </c>
      <c r="Z123" s="3" t="s">
        <v>58</v>
      </c>
      <c r="AA123" s="6">
        <f>SUMIFS(HS_DB[Trade Value - USD],HS_DB[Reporter],HS_DB[[#This Row],[Reporter]])/SUM(HS_DB[Trade Value - USD])</f>
        <v>1.1178535358665947E-2</v>
      </c>
      <c r="AB123" s="8" cm="1">
        <f t="array" ref="AB123">SUMPRODUCT(
(HS_DB[Reporter]=HS_DB[[#This Row],[Reporter]])*
(HS_DB[Trade Value - USD]&gt;HS_DB[[#This Row],[Trade Value - USD]])
)+1</f>
        <v>7</v>
      </c>
      <c r="AC123" s="8" t="str">
        <f>IFERROR(IF(INDEX(Heat_Map[Crisis Impact %],MATCH(HS_DB[[#This Row],[Reporter]],Heat_Map[Global],0),1)&gt;0,"Yes","No"),"No")</f>
        <v>No</v>
      </c>
      <c r="AD123" s="6">
        <f>IFERROR(INDEX(Heat_Map[Crisis Impact %],MATCH(HS_DB[[#This Row],[Reporter]],Heat_Map[Global],0),1),0)</f>
        <v>0</v>
      </c>
      <c r="AE123" s="8">
        <f>HS_DB[[#This Row],[Crisis Impact%]]*HS_DB[[#This Row],[Trade Value - USD]]</f>
        <v>0</v>
      </c>
      <c r="AF123" s="8">
        <f>HS_DB[[#This Row],[Crisis Impact%]]*HS_DB[[#This Row],[Net Weight -KG]]</f>
        <v>0</v>
      </c>
      <c r="AG123" s="6">
        <f>SUMIFS(HS_DB[Trade Value - USD],HS_DB[Products],HS_DB[[#This Row],[Products]])/SUM(HS_DB[Trade Value - USD])</f>
        <v>2.8100247532808482E-3</v>
      </c>
      <c r="AH123" s="8">
        <f>_xlfn.RANK.EQ(HS_DB[[#This Row],[Trade Value - USD]], HS_DB[Trade Value - USD], 0)
 + COUNTIFS(HS_DB[Trade Value - USD],HS_DB[[#This Row],[Trade Value - USD]],
            HS_DB[HS Code],"&lt;"&amp;HS_DB[[#This Row],[HS Code]])</f>
        <v>142</v>
      </c>
      <c r="AI123" s="9">
        <f>IFERROR(HS_DB[[#This Row],[Trade Value - USD]]/HS_DB[[#This Row],[Net Weight -KG]],0)</f>
        <v>9.5127794693344931</v>
      </c>
      <c r="AJ123" s="17" cm="1">
        <f t="array" ref="AJ123">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23" s="17" t="str">
        <f>IF(HS_DB[[#This Row],[HS Code Risk Score]]&gt;=40,"High",
 IF(HS_DB[[#This Row],[HS Code Risk Score]]&gt;=25,"Medium","Low"))</f>
        <v>Medium</v>
      </c>
      <c r="AL123" s="17" t="str">
        <f>IF(RANK(HS_DB[[#This Row],[HS Code Risk Score]],HS_DB[HS Code Risk Score])&lt;=10,"Yes","No")</f>
        <v>No</v>
      </c>
      <c r="AM123" s="8">
        <f>SUMIFS(HS_DB[Net Weight -KG],HS_DB[HS Code],HS_DB[[#This Row],[HS Code]])</f>
        <v>2211416</v>
      </c>
      <c r="AN123" s="8">
        <f>SUMIFS(HS_DB[Trade Value - USD],HS_DB[HS Code],HS_DB[[#This Row],[HS Code]])</f>
        <v>5296920</v>
      </c>
      <c r="AO123" s="6">
        <f>_xlfn.MAXIFS(HS_DB[Origin Share%],HS_DB[HS Code],HS_DB[[#This Row],[HS Code]])</f>
        <v>6.321329281187793E-2</v>
      </c>
      <c r="AP123" s="8" cm="1">
        <f t="array" ref="AP123">_xlfn.LET(
_xlpm.hs,HS_DB[[#This Row],[HS Code]],
COUNTA(_xlfn.UNIQUE(_xlfn._xlws.FILTER(HS_DB[Reporter],HS_DB[HS Code]=_xlpm.hs)))
)</f>
        <v>11</v>
      </c>
      <c r="AQ123" s="17" t="str">
        <f>IF(HS_DB[[#This Row],[Origin Count]]=1,"Single Source","Multiple Sources")</f>
        <v>Multiple Sources</v>
      </c>
      <c r="AR123" s="8">
        <f>HS_DB[[#This Row],[Annual Spend - USD]]*(HS_DB[[#This Row],[HS Code Risk Score]]/100)</f>
        <v>1800952.8</v>
      </c>
      <c r="AS123" s="8">
        <f>RANK(HS_DB[[#This Row],[Risk Exposure - USD]],HS_DB[Risk Exposure - USD],0)</f>
        <v>385</v>
      </c>
      <c r="AT123" s="8" t="str">
        <f>IF(HS_DB[[#This Row],[Risk Exposure Rank]]&lt;=10,"High",
 IF(HS_DB[[#This Row],[Risk Exposure Rank]]&lt;=30,"Medium",
 "Low"))</f>
        <v>Low</v>
      </c>
      <c r="AU123" s="8" t="str">
        <f>IF(HS_DB[[#This Row],[Risk Exposure Rank]]&lt;=5,"Immediate Action",
 IF(HS_DB[[#This Row],[Risk Exposure Rank]]&lt;=15,"Monitor Closely",
 "Routine Control"))</f>
        <v>Routine Control</v>
      </c>
      <c r="AV123" s="8">
        <f>SUMIFS(HS_DB[Trade Value - USD],HS_DB[HS Code],HS_DB[[#This Row],[HS Code]])</f>
        <v>5296920</v>
      </c>
      <c r="AW123" s="6">
        <f>HS_DB[[#This Row],[Annual Spend - USD]]/HS_DB[[#This Row],[Total Market Size - USD]]</f>
        <v>1</v>
      </c>
      <c r="AX123" s="6" cm="1">
        <f t="array" ref="AX123">COUNTA(_xlfn.UNIQUE(_xlfn._xlws.FILTER(HS_DB[Partner],HS_DB[HS Code]=HS_DB[[#This Row],[HS Code]])))</f>
        <v>1</v>
      </c>
      <c r="AY123" s="8" t="str">
        <f>IF(HS_DB[[#This Row],[Competition Intensity]]&lt;=2,"Highly Concentrated",
 IF(HS_DB[[#This Row],[Competition Intensity]]&lt;=5,"Moderate",
 "Highly Competitive"))</f>
        <v>Highly Concentrated</v>
      </c>
      <c r="AZ123" s="8">
        <f>HS_DB[[#This Row],[Total Market Size - USD]]
*
(1+IFERROR(#REF!,0))
/
HS_DB[[#This Row],[Competition Intensity]]</f>
        <v>5296920</v>
      </c>
      <c r="BA123" s="8" t="str">
        <f>IF(HS_DB[[#This Row],[Commercial Opportunity Score]]&gt;=PERCENTILE(HS_DB[Commercial Opportunity Score],0.9),"High Opportunity",
 IF(HS_DB[[#This Row],[Commercial Opportunity Score]]&gt;=PERCENTILE(HS_DB[Commercial Opportunity Score],0.6),"Medium Opportunity",
 "Routine Market"))</f>
        <v>Routine Market</v>
      </c>
      <c r="BB123" s="3" t="str">
        <f>IF(AND(HS_DB[[#This Row],[Product Rank]]&gt;0,HS_DB[[#This Row],[Product Rank]]&lt;=10),"Yes","No")</f>
        <v>No</v>
      </c>
      <c r="BC123" s="3" t="str">
        <f>IF(AND(HS_DB[[#This Row],[Origin Rank]]&gt;0,HS_DB[[#This Row],[Origin Rank]]&lt;=10),"Yes","No")</f>
        <v>Yes</v>
      </c>
    </row>
    <row r="124" spans="2:55" x14ac:dyDescent="0.3">
      <c r="B124" s="2">
        <f>HS_DB[[#This Row],[Commodity Code]]</f>
        <v>130232</v>
      </c>
      <c r="C124" s="2">
        <f>IFERROR(INDEX(HS_MD!C:C,MATCH(B124,HS_MD!B:B,0),1),"")</f>
        <v>3</v>
      </c>
      <c r="D124" s="17" t="str">
        <f>IFERROR(INDEX(HS_MD!D:D,MATCH(B124,HS_MD!B:B,0),1),"")</f>
        <v>Vegetable gums</v>
      </c>
      <c r="E124" s="17" t="str">
        <f>IFERROR(INDEX(HS_MD!E:E,MATCH(B124,HS_MD!B:B,0),1),"")</f>
        <v>Guar Gum</v>
      </c>
      <c r="F124" s="17" t="str">
        <f>IFERROR(INDEX(HS_MD!F:F,MATCH(B124,HS_MD!B:B,0),1),"")</f>
        <v>FUNCTIONAL INGREDIENTS</v>
      </c>
      <c r="G124" s="17" t="str">
        <f>IFERROR(INDEX(HS_MD!G:G,MATCH(B124,HS_MD!B:B,0),1),"")</f>
        <v>Hydrocolloids</v>
      </c>
      <c r="H124" s="17" t="str">
        <f>IFERROR(INDEX(HS_MD!H:H,MATCH(B124,HS_MD!B:B,0),1),"")</f>
        <v>Guar Gum</v>
      </c>
      <c r="I124" s="17" t="str">
        <f>IFERROR(INDEX(HS_MD!I:I,MATCH(B124,HS_MD!B:B,0),1),"")</f>
        <v>Sauces / Bakery / Dairy</v>
      </c>
      <c r="J124" s="17">
        <f>IFERROR(INDEX(Heat_Map[Index],MATCH(HS_DB[[#This Row],[Reporter]],Heat_Map[Global],0),1),"")</f>
        <v>118</v>
      </c>
      <c r="K124" s="17" t="str">
        <f>IF(AND(HS_DB[[#This Row],[Origin Rank]]&gt;1,HS_DB[[#This Row],[Origin Rank]]&lt;=10),"Yes","No")</f>
        <v>Yes</v>
      </c>
      <c r="L124" s="2">
        <v>2024</v>
      </c>
      <c r="M124" s="2" t="s">
        <v>57</v>
      </c>
      <c r="N124" s="2" t="s">
        <v>53</v>
      </c>
      <c r="O124" s="2" t="s">
        <v>22</v>
      </c>
      <c r="P124" s="2" t="s">
        <v>23</v>
      </c>
      <c r="Q124" s="2" t="s">
        <v>24</v>
      </c>
      <c r="R124" s="2" t="s">
        <v>25</v>
      </c>
      <c r="S124" s="2">
        <v>130232</v>
      </c>
      <c r="T124" s="3">
        <v>308500</v>
      </c>
      <c r="U124" s="3">
        <v>76425</v>
      </c>
      <c r="V124" s="3">
        <v>0</v>
      </c>
      <c r="W124" s="3">
        <v>76425</v>
      </c>
      <c r="X124" s="3" t="s">
        <v>58</v>
      </c>
      <c r="Y124" s="3">
        <v>76425</v>
      </c>
      <c r="Z124" s="3" t="s">
        <v>58</v>
      </c>
      <c r="AA124" s="6">
        <f>SUMIFS(HS_DB[Trade Value - USD],HS_DB[Reporter],HS_DB[[#This Row],[Reporter]])/SUM(HS_DB[Trade Value - USD])</f>
        <v>1.4561232389604124E-2</v>
      </c>
      <c r="AB124" s="8" cm="1">
        <f t="array" ref="AB124">SUMPRODUCT(
(HS_DB[Reporter]=HS_DB[[#This Row],[Reporter]])*
(HS_DB[Trade Value - USD]&gt;HS_DB[[#This Row],[Trade Value - USD]])
)+1</f>
        <v>9</v>
      </c>
      <c r="AC124" s="8" t="str">
        <f>IFERROR(IF(INDEX(Heat_Map[Crisis Impact %],MATCH(HS_DB[[#This Row],[Reporter]],Heat_Map[Global],0),1)&gt;0,"Yes","No"),"No")</f>
        <v>No</v>
      </c>
      <c r="AD124" s="6">
        <f>IFERROR(INDEX(Heat_Map[Crisis Impact %],MATCH(HS_DB[[#This Row],[Reporter]],Heat_Map[Global],0),1),0)</f>
        <v>0</v>
      </c>
      <c r="AE124" s="8">
        <f>HS_DB[[#This Row],[Crisis Impact%]]*HS_DB[[#This Row],[Trade Value - USD]]</f>
        <v>0</v>
      </c>
      <c r="AF124" s="8">
        <f>HS_DB[[#This Row],[Crisis Impact%]]*HS_DB[[#This Row],[Net Weight -KG]]</f>
        <v>0</v>
      </c>
      <c r="AG124" s="6">
        <f>SUMIFS(HS_DB[Trade Value - USD],HS_DB[Products],HS_DB[[#This Row],[Products]])/SUM(HS_DB[Trade Value - USD])</f>
        <v>2.8100247532808482E-3</v>
      </c>
      <c r="AH124" s="8">
        <f>_xlfn.RANK.EQ(HS_DB[[#This Row],[Trade Value - USD]], HS_DB[Trade Value - USD], 0)
 + COUNTIFS(HS_DB[Trade Value - USD],HS_DB[[#This Row],[Trade Value - USD]],
            HS_DB[HS Code],"&lt;"&amp;HS_DB[[#This Row],[HS Code]])</f>
        <v>185</v>
      </c>
      <c r="AI124" s="9">
        <f>IFERROR(HS_DB[[#This Row],[Trade Value - USD]]/HS_DB[[#This Row],[Net Weight -KG]],0)</f>
        <v>4.0366372260386001</v>
      </c>
      <c r="AJ124" s="17" cm="1">
        <f t="array" ref="AJ124">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24" s="17" t="str">
        <f>IF(HS_DB[[#This Row],[HS Code Risk Score]]&gt;=40,"High",
 IF(HS_DB[[#This Row],[HS Code Risk Score]]&gt;=25,"Medium","Low"))</f>
        <v>Medium</v>
      </c>
      <c r="AL124" s="17" t="str">
        <f>IF(RANK(HS_DB[[#This Row],[HS Code Risk Score]],HS_DB[HS Code Risk Score])&lt;=10,"Yes","No")</f>
        <v>No</v>
      </c>
      <c r="AM124" s="8">
        <f>SUMIFS(HS_DB[Net Weight -KG],HS_DB[HS Code],HS_DB[[#This Row],[HS Code]])</f>
        <v>2211416</v>
      </c>
      <c r="AN124" s="8">
        <f>SUMIFS(HS_DB[Trade Value - USD],HS_DB[HS Code],HS_DB[[#This Row],[HS Code]])</f>
        <v>5296920</v>
      </c>
      <c r="AO124" s="6">
        <f>_xlfn.MAXIFS(HS_DB[Origin Share%],HS_DB[HS Code],HS_DB[[#This Row],[HS Code]])</f>
        <v>6.321329281187793E-2</v>
      </c>
      <c r="AP124" s="8" cm="1">
        <f t="array" ref="AP124">_xlfn.LET(
_xlpm.hs,HS_DB[[#This Row],[HS Code]],
COUNTA(_xlfn.UNIQUE(_xlfn._xlws.FILTER(HS_DB[Reporter],HS_DB[HS Code]=_xlpm.hs)))
)</f>
        <v>11</v>
      </c>
      <c r="AQ124" s="17" t="str">
        <f>IF(HS_DB[[#This Row],[Origin Count]]=1,"Single Source","Multiple Sources")</f>
        <v>Multiple Sources</v>
      </c>
      <c r="AR124" s="8">
        <f>HS_DB[[#This Row],[Annual Spend - USD]]*(HS_DB[[#This Row],[HS Code Risk Score]]/100)</f>
        <v>1800952.8</v>
      </c>
      <c r="AS124" s="8">
        <f>RANK(HS_DB[[#This Row],[Risk Exposure - USD]],HS_DB[Risk Exposure - USD],0)</f>
        <v>385</v>
      </c>
      <c r="AT124" s="8" t="str">
        <f>IF(HS_DB[[#This Row],[Risk Exposure Rank]]&lt;=10,"High",
 IF(HS_DB[[#This Row],[Risk Exposure Rank]]&lt;=30,"Medium",
 "Low"))</f>
        <v>Low</v>
      </c>
      <c r="AU124" s="8" t="str">
        <f>IF(HS_DB[[#This Row],[Risk Exposure Rank]]&lt;=5,"Immediate Action",
 IF(HS_DB[[#This Row],[Risk Exposure Rank]]&lt;=15,"Monitor Closely",
 "Routine Control"))</f>
        <v>Routine Control</v>
      </c>
      <c r="AV124" s="8">
        <f>SUMIFS(HS_DB[Trade Value - USD],HS_DB[HS Code],HS_DB[[#This Row],[HS Code]])</f>
        <v>5296920</v>
      </c>
      <c r="AW124" s="6">
        <f>HS_DB[[#This Row],[Annual Spend - USD]]/HS_DB[[#This Row],[Total Market Size - USD]]</f>
        <v>1</v>
      </c>
      <c r="AX124" s="6" cm="1">
        <f t="array" ref="AX124">COUNTA(_xlfn.UNIQUE(_xlfn._xlws.FILTER(HS_DB[Partner],HS_DB[HS Code]=HS_DB[[#This Row],[HS Code]])))</f>
        <v>1</v>
      </c>
      <c r="AY124" s="8" t="str">
        <f>IF(HS_DB[[#This Row],[Competition Intensity]]&lt;=2,"Highly Concentrated",
 IF(HS_DB[[#This Row],[Competition Intensity]]&lt;=5,"Moderate",
 "Highly Competitive"))</f>
        <v>Highly Concentrated</v>
      </c>
      <c r="AZ124" s="8">
        <f>HS_DB[[#This Row],[Total Market Size - USD]]
*
(1+IFERROR(#REF!,0))
/
HS_DB[[#This Row],[Competition Intensity]]</f>
        <v>5296920</v>
      </c>
      <c r="BA124" s="8" t="str">
        <f>IF(HS_DB[[#This Row],[Commercial Opportunity Score]]&gt;=PERCENTILE(HS_DB[Commercial Opportunity Score],0.9),"High Opportunity",
 IF(HS_DB[[#This Row],[Commercial Opportunity Score]]&gt;=PERCENTILE(HS_DB[Commercial Opportunity Score],0.6),"Medium Opportunity",
 "Routine Market"))</f>
        <v>Routine Market</v>
      </c>
      <c r="BB124" s="3" t="str">
        <f>IF(AND(HS_DB[[#This Row],[Product Rank]]&gt;0,HS_DB[[#This Row],[Product Rank]]&lt;=10),"Yes","No")</f>
        <v>No</v>
      </c>
      <c r="BC124" s="3" t="str">
        <f>IF(AND(HS_DB[[#This Row],[Origin Rank]]&gt;0,HS_DB[[#This Row],[Origin Rank]]&lt;=10),"Yes","No")</f>
        <v>Yes</v>
      </c>
    </row>
    <row r="125" spans="2:55" x14ac:dyDescent="0.3">
      <c r="B125" s="2">
        <f>HS_DB[[#This Row],[Commodity Code]]</f>
        <v>130232</v>
      </c>
      <c r="C125" s="2">
        <f>IFERROR(INDEX(HS_MD!C:C,MATCH(B125,HS_MD!B:B,0),1),"")</f>
        <v>3</v>
      </c>
      <c r="D125" s="17" t="str">
        <f>IFERROR(INDEX(HS_MD!D:D,MATCH(B125,HS_MD!B:B,0),1),"")</f>
        <v>Vegetable gums</v>
      </c>
      <c r="E125" s="17" t="str">
        <f>IFERROR(INDEX(HS_MD!E:E,MATCH(B125,HS_MD!B:B,0),1),"")</f>
        <v>Guar Gum</v>
      </c>
      <c r="F125" s="17" t="str">
        <f>IFERROR(INDEX(HS_MD!F:F,MATCH(B125,HS_MD!B:B,0),1),"")</f>
        <v>FUNCTIONAL INGREDIENTS</v>
      </c>
      <c r="G125" s="17" t="str">
        <f>IFERROR(INDEX(HS_MD!G:G,MATCH(B125,HS_MD!B:B,0),1),"")</f>
        <v>Hydrocolloids</v>
      </c>
      <c r="H125" s="17" t="str">
        <f>IFERROR(INDEX(HS_MD!H:H,MATCH(B125,HS_MD!B:B,0),1),"")</f>
        <v>Guar Gum</v>
      </c>
      <c r="I125" s="17" t="str">
        <f>IFERROR(INDEX(HS_MD!I:I,MATCH(B125,HS_MD!B:B,0),1),"")</f>
        <v>Sauces / Bakery / Dairy</v>
      </c>
      <c r="J125" s="17">
        <f>IFERROR(INDEX(Heat_Map[Index],MATCH(HS_DB[[#This Row],[Reporter]],Heat_Map[Global],0),1),"")</f>
        <v>127</v>
      </c>
      <c r="K125" s="17" t="str">
        <f>IF(AND(HS_DB[[#This Row],[Origin Rank]]&gt;1,HS_DB[[#This Row],[Origin Rank]]&lt;=10),"Yes","No")</f>
        <v>Yes</v>
      </c>
      <c r="L125" s="2">
        <v>2024</v>
      </c>
      <c r="M125" s="2" t="s">
        <v>57</v>
      </c>
      <c r="N125" s="2" t="s">
        <v>54</v>
      </c>
      <c r="O125" s="2" t="s">
        <v>22</v>
      </c>
      <c r="P125" s="2" t="s">
        <v>23</v>
      </c>
      <c r="Q125" s="2" t="s">
        <v>24</v>
      </c>
      <c r="R125" s="2" t="s">
        <v>25</v>
      </c>
      <c r="S125" s="2">
        <v>130232</v>
      </c>
      <c r="T125" s="3">
        <v>161833</v>
      </c>
      <c r="U125" s="3">
        <v>60000</v>
      </c>
      <c r="V125" s="3">
        <v>0</v>
      </c>
      <c r="W125" s="3">
        <v>60000</v>
      </c>
      <c r="X125" s="3" t="s">
        <v>58</v>
      </c>
      <c r="Y125" s="3">
        <v>60000</v>
      </c>
      <c r="Z125" s="3" t="s">
        <v>58</v>
      </c>
      <c r="AA125" s="6">
        <f>SUMIFS(HS_DB[Trade Value - USD],HS_DB[Reporter],HS_DB[[#This Row],[Reporter]])/SUM(HS_DB[Trade Value - USD])</f>
        <v>3.82286909668397E-4</v>
      </c>
      <c r="AB125" s="8" cm="1">
        <f t="array" ref="AB125">SUMPRODUCT(
(HS_DB[Reporter]=HS_DB[[#This Row],[Reporter]])*
(HS_DB[Trade Value - USD]&gt;HS_DB[[#This Row],[Trade Value - USD]])
)+1</f>
        <v>2</v>
      </c>
      <c r="AC125" s="8" t="str">
        <f>IFERROR(IF(INDEX(Heat_Map[Crisis Impact %],MATCH(HS_DB[[#This Row],[Reporter]],Heat_Map[Global],0),1)&gt;0,"Yes","No"),"No")</f>
        <v>No</v>
      </c>
      <c r="AD125" s="6">
        <f>IFERROR(INDEX(Heat_Map[Crisis Impact %],MATCH(HS_DB[[#This Row],[Reporter]],Heat_Map[Global],0),1),0)</f>
        <v>0</v>
      </c>
      <c r="AE125" s="8">
        <f>HS_DB[[#This Row],[Crisis Impact%]]*HS_DB[[#This Row],[Trade Value - USD]]</f>
        <v>0</v>
      </c>
      <c r="AF125" s="8">
        <f>HS_DB[[#This Row],[Crisis Impact%]]*HS_DB[[#This Row],[Net Weight -KG]]</f>
        <v>0</v>
      </c>
      <c r="AG125" s="6">
        <f>SUMIFS(HS_DB[Trade Value - USD],HS_DB[Products],HS_DB[[#This Row],[Products]])/SUM(HS_DB[Trade Value - USD])</f>
        <v>2.8100247532808482E-3</v>
      </c>
      <c r="AH125" s="8">
        <f>_xlfn.RANK.EQ(HS_DB[[#This Row],[Trade Value - USD]], HS_DB[Trade Value - USD], 0)
 + COUNTIFS(HS_DB[Trade Value - USD],HS_DB[[#This Row],[Trade Value - USD]],
            HS_DB[HS Code],"&lt;"&amp;HS_DB[[#This Row],[HS Code]])</f>
        <v>236</v>
      </c>
      <c r="AI125" s="9">
        <f>IFERROR(HS_DB[[#This Row],[Trade Value - USD]]/HS_DB[[#This Row],[Net Weight -KG]],0)</f>
        <v>2.6972166666666668</v>
      </c>
      <c r="AJ125" s="17" cm="1">
        <f t="array" ref="AJ125">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25" s="17" t="str">
        <f>IF(HS_DB[[#This Row],[HS Code Risk Score]]&gt;=40,"High",
 IF(HS_DB[[#This Row],[HS Code Risk Score]]&gt;=25,"Medium","Low"))</f>
        <v>Medium</v>
      </c>
      <c r="AL125" s="17" t="str">
        <f>IF(RANK(HS_DB[[#This Row],[HS Code Risk Score]],HS_DB[HS Code Risk Score])&lt;=10,"Yes","No")</f>
        <v>No</v>
      </c>
      <c r="AM125" s="8">
        <f>SUMIFS(HS_DB[Net Weight -KG],HS_DB[HS Code],HS_DB[[#This Row],[HS Code]])</f>
        <v>2211416</v>
      </c>
      <c r="AN125" s="8">
        <f>SUMIFS(HS_DB[Trade Value - USD],HS_DB[HS Code],HS_DB[[#This Row],[HS Code]])</f>
        <v>5296920</v>
      </c>
      <c r="AO125" s="6">
        <f>_xlfn.MAXIFS(HS_DB[Origin Share%],HS_DB[HS Code],HS_DB[[#This Row],[HS Code]])</f>
        <v>6.321329281187793E-2</v>
      </c>
      <c r="AP125" s="8" cm="1">
        <f t="array" ref="AP125">_xlfn.LET(
_xlpm.hs,HS_DB[[#This Row],[HS Code]],
COUNTA(_xlfn.UNIQUE(_xlfn._xlws.FILTER(HS_DB[Reporter],HS_DB[HS Code]=_xlpm.hs)))
)</f>
        <v>11</v>
      </c>
      <c r="AQ125" s="17" t="str">
        <f>IF(HS_DB[[#This Row],[Origin Count]]=1,"Single Source","Multiple Sources")</f>
        <v>Multiple Sources</v>
      </c>
      <c r="AR125" s="8">
        <f>HS_DB[[#This Row],[Annual Spend - USD]]*(HS_DB[[#This Row],[HS Code Risk Score]]/100)</f>
        <v>1800952.8</v>
      </c>
      <c r="AS125" s="8">
        <f>RANK(HS_DB[[#This Row],[Risk Exposure - USD]],HS_DB[Risk Exposure - USD],0)</f>
        <v>385</v>
      </c>
      <c r="AT125" s="8" t="str">
        <f>IF(HS_DB[[#This Row],[Risk Exposure Rank]]&lt;=10,"High",
 IF(HS_DB[[#This Row],[Risk Exposure Rank]]&lt;=30,"Medium",
 "Low"))</f>
        <v>Low</v>
      </c>
      <c r="AU125" s="8" t="str">
        <f>IF(HS_DB[[#This Row],[Risk Exposure Rank]]&lt;=5,"Immediate Action",
 IF(HS_DB[[#This Row],[Risk Exposure Rank]]&lt;=15,"Monitor Closely",
 "Routine Control"))</f>
        <v>Routine Control</v>
      </c>
      <c r="AV125" s="8">
        <f>SUMIFS(HS_DB[Trade Value - USD],HS_DB[HS Code],HS_DB[[#This Row],[HS Code]])</f>
        <v>5296920</v>
      </c>
      <c r="AW125" s="6">
        <f>HS_DB[[#This Row],[Annual Spend - USD]]/HS_DB[[#This Row],[Total Market Size - USD]]</f>
        <v>1</v>
      </c>
      <c r="AX125" s="6" cm="1">
        <f t="array" ref="AX125">COUNTA(_xlfn.UNIQUE(_xlfn._xlws.FILTER(HS_DB[Partner],HS_DB[HS Code]=HS_DB[[#This Row],[HS Code]])))</f>
        <v>1</v>
      </c>
      <c r="AY125" s="8" t="str">
        <f>IF(HS_DB[[#This Row],[Competition Intensity]]&lt;=2,"Highly Concentrated",
 IF(HS_DB[[#This Row],[Competition Intensity]]&lt;=5,"Moderate",
 "Highly Competitive"))</f>
        <v>Highly Concentrated</v>
      </c>
      <c r="AZ125" s="8">
        <f>HS_DB[[#This Row],[Total Market Size - USD]]
*
(1+IFERROR(#REF!,0))
/
HS_DB[[#This Row],[Competition Intensity]]</f>
        <v>5296920</v>
      </c>
      <c r="BA125" s="8" t="str">
        <f>IF(HS_DB[[#This Row],[Commercial Opportunity Score]]&gt;=PERCENTILE(HS_DB[Commercial Opportunity Score],0.9),"High Opportunity",
 IF(HS_DB[[#This Row],[Commercial Opportunity Score]]&gt;=PERCENTILE(HS_DB[Commercial Opportunity Score],0.6),"Medium Opportunity",
 "Routine Market"))</f>
        <v>Routine Market</v>
      </c>
      <c r="BB125" s="3" t="str">
        <f>IF(AND(HS_DB[[#This Row],[Product Rank]]&gt;0,HS_DB[[#This Row],[Product Rank]]&lt;=10),"Yes","No")</f>
        <v>No</v>
      </c>
      <c r="BC125" s="3" t="str">
        <f>IF(AND(HS_DB[[#This Row],[Origin Rank]]&gt;0,HS_DB[[#This Row],[Origin Rank]]&lt;=10),"Yes","No")</f>
        <v>Yes</v>
      </c>
    </row>
    <row r="126" spans="2:55" x14ac:dyDescent="0.3">
      <c r="B126" s="2">
        <f>HS_DB[[#This Row],[Commodity Code]]</f>
        <v>130232</v>
      </c>
      <c r="C126" s="2">
        <f>IFERROR(INDEX(HS_MD!C:C,MATCH(B126,HS_MD!B:B,0),1),"")</f>
        <v>3</v>
      </c>
      <c r="D126" s="17" t="str">
        <f>IFERROR(INDEX(HS_MD!D:D,MATCH(B126,HS_MD!B:B,0),1),"")</f>
        <v>Vegetable gums</v>
      </c>
      <c r="E126" s="17" t="str">
        <f>IFERROR(INDEX(HS_MD!E:E,MATCH(B126,HS_MD!B:B,0),1),"")</f>
        <v>Guar Gum</v>
      </c>
      <c r="F126" s="17" t="str">
        <f>IFERROR(INDEX(HS_MD!F:F,MATCH(B126,HS_MD!B:B,0),1),"")</f>
        <v>FUNCTIONAL INGREDIENTS</v>
      </c>
      <c r="G126" s="17" t="str">
        <f>IFERROR(INDEX(HS_MD!G:G,MATCH(B126,HS_MD!B:B,0),1),"")</f>
        <v>Hydrocolloids</v>
      </c>
      <c r="H126" s="17" t="str">
        <f>IFERROR(INDEX(HS_MD!H:H,MATCH(B126,HS_MD!B:B,0),1),"")</f>
        <v>Guar Gum</v>
      </c>
      <c r="I126" s="17" t="str">
        <f>IFERROR(INDEX(HS_MD!I:I,MATCH(B126,HS_MD!B:B,0),1),"")</f>
        <v>Sauces / Bakery / Dairy</v>
      </c>
      <c r="J126" s="17">
        <f>IFERROR(INDEX(Heat_Map[Index],MATCH(HS_DB[[#This Row],[Reporter]],Heat_Map[Global],0),1),"")</f>
        <v>75</v>
      </c>
      <c r="K126" s="17" t="str">
        <f>IF(AND(HS_DB[[#This Row],[Origin Rank]]&gt;1,HS_DB[[#This Row],[Origin Rank]]&lt;=10),"Yes","No")</f>
        <v>Yes</v>
      </c>
      <c r="L126" s="2">
        <v>2024</v>
      </c>
      <c r="M126" s="2" t="s">
        <v>57</v>
      </c>
      <c r="N126" s="2" t="s">
        <v>8</v>
      </c>
      <c r="O126" s="2" t="s">
        <v>22</v>
      </c>
      <c r="P126" s="2" t="s">
        <v>23</v>
      </c>
      <c r="Q126" s="2" t="s">
        <v>24</v>
      </c>
      <c r="R126" s="2" t="s">
        <v>25</v>
      </c>
      <c r="S126" s="2">
        <v>130232</v>
      </c>
      <c r="T126" s="3">
        <v>3379500</v>
      </c>
      <c r="U126" s="3">
        <v>1905684</v>
      </c>
      <c r="V126" s="3">
        <v>0</v>
      </c>
      <c r="W126" s="3">
        <v>1905684</v>
      </c>
      <c r="X126" s="3" t="s">
        <v>58</v>
      </c>
      <c r="Y126" s="3">
        <v>1905684</v>
      </c>
      <c r="Z126" s="3" t="s">
        <v>58</v>
      </c>
      <c r="AA126" s="6">
        <f>SUMIFS(HS_DB[Trade Value - USD],HS_DB[Reporter],HS_DB[[#This Row],[Reporter]])/SUM(HS_DB[Trade Value - USD])</f>
        <v>2.2441761060335613E-2</v>
      </c>
      <c r="AB126" s="8" cm="1">
        <f t="array" ref="AB126">SUMPRODUCT(
(HS_DB[Reporter]=HS_DB[[#This Row],[Reporter]])*
(HS_DB[Trade Value - USD]&gt;HS_DB[[#This Row],[Trade Value - USD]])
)+1</f>
        <v>3</v>
      </c>
      <c r="AC126" s="8" t="str">
        <f>IFERROR(IF(INDEX(Heat_Map[Crisis Impact %],MATCH(HS_DB[[#This Row],[Reporter]],Heat_Map[Global],0),1)&gt;0,"Yes","No"),"No")</f>
        <v>No</v>
      </c>
      <c r="AD126" s="6">
        <f>IFERROR(INDEX(Heat_Map[Crisis Impact %],MATCH(HS_DB[[#This Row],[Reporter]],Heat_Map[Global],0),1),0)</f>
        <v>0</v>
      </c>
      <c r="AE126" s="8">
        <f>HS_DB[[#This Row],[Crisis Impact%]]*HS_DB[[#This Row],[Trade Value - USD]]</f>
        <v>0</v>
      </c>
      <c r="AF126" s="8">
        <f>HS_DB[[#This Row],[Crisis Impact%]]*HS_DB[[#This Row],[Net Weight -KG]]</f>
        <v>0</v>
      </c>
      <c r="AG126" s="6">
        <f>SUMIFS(HS_DB[Trade Value - USD],HS_DB[Products],HS_DB[[#This Row],[Products]])/SUM(HS_DB[Trade Value - USD])</f>
        <v>2.8100247532808482E-3</v>
      </c>
      <c r="AH126" s="8">
        <f>_xlfn.RANK.EQ(HS_DB[[#This Row],[Trade Value - USD]], HS_DB[Trade Value - USD], 0)
 + COUNTIFS(HS_DB[Trade Value - USD],HS_DB[[#This Row],[Trade Value - USD]],
            HS_DB[HS Code],"&lt;"&amp;HS_DB[[#This Row],[HS Code]])</f>
        <v>42</v>
      </c>
      <c r="AI126" s="9">
        <f>IFERROR(HS_DB[[#This Row],[Trade Value - USD]]/HS_DB[[#This Row],[Net Weight -KG]],0)</f>
        <v>1.7733790072226034</v>
      </c>
      <c r="AJ126" s="17" cm="1">
        <f t="array" ref="AJ126">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26" s="17" t="str">
        <f>IF(HS_DB[[#This Row],[HS Code Risk Score]]&gt;=40,"High",
 IF(HS_DB[[#This Row],[HS Code Risk Score]]&gt;=25,"Medium","Low"))</f>
        <v>Medium</v>
      </c>
      <c r="AL126" s="17" t="str">
        <f>IF(RANK(HS_DB[[#This Row],[HS Code Risk Score]],HS_DB[HS Code Risk Score])&lt;=10,"Yes","No")</f>
        <v>No</v>
      </c>
      <c r="AM126" s="8">
        <f>SUMIFS(HS_DB[Net Weight -KG],HS_DB[HS Code],HS_DB[[#This Row],[HS Code]])</f>
        <v>2211416</v>
      </c>
      <c r="AN126" s="8">
        <f>SUMIFS(HS_DB[Trade Value - USD],HS_DB[HS Code],HS_DB[[#This Row],[HS Code]])</f>
        <v>5296920</v>
      </c>
      <c r="AO126" s="6">
        <f>_xlfn.MAXIFS(HS_DB[Origin Share%],HS_DB[HS Code],HS_DB[[#This Row],[HS Code]])</f>
        <v>6.321329281187793E-2</v>
      </c>
      <c r="AP126" s="8" cm="1">
        <f t="array" ref="AP126">_xlfn.LET(
_xlpm.hs,HS_DB[[#This Row],[HS Code]],
COUNTA(_xlfn.UNIQUE(_xlfn._xlws.FILTER(HS_DB[Reporter],HS_DB[HS Code]=_xlpm.hs)))
)</f>
        <v>11</v>
      </c>
      <c r="AQ126" s="17" t="str">
        <f>IF(HS_DB[[#This Row],[Origin Count]]=1,"Single Source","Multiple Sources")</f>
        <v>Multiple Sources</v>
      </c>
      <c r="AR126" s="8">
        <f>HS_DB[[#This Row],[Annual Spend - USD]]*(HS_DB[[#This Row],[HS Code Risk Score]]/100)</f>
        <v>1800952.8</v>
      </c>
      <c r="AS126" s="8">
        <f>RANK(HS_DB[[#This Row],[Risk Exposure - USD]],HS_DB[Risk Exposure - USD],0)</f>
        <v>385</v>
      </c>
      <c r="AT126" s="8" t="str">
        <f>IF(HS_DB[[#This Row],[Risk Exposure Rank]]&lt;=10,"High",
 IF(HS_DB[[#This Row],[Risk Exposure Rank]]&lt;=30,"Medium",
 "Low"))</f>
        <v>Low</v>
      </c>
      <c r="AU126" s="8" t="str">
        <f>IF(HS_DB[[#This Row],[Risk Exposure Rank]]&lt;=5,"Immediate Action",
 IF(HS_DB[[#This Row],[Risk Exposure Rank]]&lt;=15,"Monitor Closely",
 "Routine Control"))</f>
        <v>Routine Control</v>
      </c>
      <c r="AV126" s="8">
        <f>SUMIFS(HS_DB[Trade Value - USD],HS_DB[HS Code],HS_DB[[#This Row],[HS Code]])</f>
        <v>5296920</v>
      </c>
      <c r="AW126" s="6">
        <f>HS_DB[[#This Row],[Annual Spend - USD]]/HS_DB[[#This Row],[Total Market Size - USD]]</f>
        <v>1</v>
      </c>
      <c r="AX126" s="6" cm="1">
        <f t="array" ref="AX126">COUNTA(_xlfn.UNIQUE(_xlfn._xlws.FILTER(HS_DB[Partner],HS_DB[HS Code]=HS_DB[[#This Row],[HS Code]])))</f>
        <v>1</v>
      </c>
      <c r="AY126" s="8" t="str">
        <f>IF(HS_DB[[#This Row],[Competition Intensity]]&lt;=2,"Highly Concentrated",
 IF(HS_DB[[#This Row],[Competition Intensity]]&lt;=5,"Moderate",
 "Highly Competitive"))</f>
        <v>Highly Concentrated</v>
      </c>
      <c r="AZ126" s="8">
        <f>HS_DB[[#This Row],[Total Market Size - USD]]
*
(1+IFERROR(#REF!,0))
/
HS_DB[[#This Row],[Competition Intensity]]</f>
        <v>5296920</v>
      </c>
      <c r="BA126" s="8" t="str">
        <f>IF(HS_DB[[#This Row],[Commercial Opportunity Score]]&gt;=PERCENTILE(HS_DB[Commercial Opportunity Score],0.9),"High Opportunity",
 IF(HS_DB[[#This Row],[Commercial Opportunity Score]]&gt;=PERCENTILE(HS_DB[Commercial Opportunity Score],0.6),"Medium Opportunity",
 "Routine Market"))</f>
        <v>Routine Market</v>
      </c>
      <c r="BB126" s="3" t="str">
        <f>IF(AND(HS_DB[[#This Row],[Product Rank]]&gt;0,HS_DB[[#This Row],[Product Rank]]&lt;=10),"Yes","No")</f>
        <v>No</v>
      </c>
      <c r="BC126" s="3" t="str">
        <f>IF(AND(HS_DB[[#This Row],[Origin Rank]]&gt;0,HS_DB[[#This Row],[Origin Rank]]&lt;=10),"Yes","No")</f>
        <v>Yes</v>
      </c>
    </row>
    <row r="127" spans="2:55" x14ac:dyDescent="0.3">
      <c r="B127" s="2">
        <f>HS_DB[[#This Row],[Commodity Code]]</f>
        <v>130232</v>
      </c>
      <c r="C127" s="2">
        <f>IFERROR(INDEX(HS_MD!C:C,MATCH(B127,HS_MD!B:B,0),1),"")</f>
        <v>3</v>
      </c>
      <c r="D127" s="17" t="str">
        <f>IFERROR(INDEX(HS_MD!D:D,MATCH(B127,HS_MD!B:B,0),1),"")</f>
        <v>Vegetable gums</v>
      </c>
      <c r="E127" s="17" t="str">
        <f>IFERROR(INDEX(HS_MD!E:E,MATCH(B127,HS_MD!B:B,0),1),"")</f>
        <v>Guar Gum</v>
      </c>
      <c r="F127" s="17" t="str">
        <f>IFERROR(INDEX(HS_MD!F:F,MATCH(B127,HS_MD!B:B,0),1),"")</f>
        <v>FUNCTIONAL INGREDIENTS</v>
      </c>
      <c r="G127" s="17" t="str">
        <f>IFERROR(INDEX(HS_MD!G:G,MATCH(B127,HS_MD!B:B,0),1),"")</f>
        <v>Hydrocolloids</v>
      </c>
      <c r="H127" s="17" t="str">
        <f>IFERROR(INDEX(HS_MD!H:H,MATCH(B127,HS_MD!B:B,0),1),"")</f>
        <v>Guar Gum</v>
      </c>
      <c r="I127" s="17" t="str">
        <f>IFERROR(INDEX(HS_MD!I:I,MATCH(B127,HS_MD!B:B,0),1),"")</f>
        <v>Sauces / Bakery / Dairy</v>
      </c>
      <c r="J127" s="17">
        <f>IFERROR(INDEX(Heat_Map[Index],MATCH(HS_DB[[#This Row],[Reporter]],Heat_Map[Global],0),1),"")</f>
        <v>159</v>
      </c>
      <c r="K127" s="17" t="str">
        <f>IF(AND(HS_DB[[#This Row],[Origin Rank]]&gt;1,HS_DB[[#This Row],[Origin Rank]]&lt;=10),"Yes","No")</f>
        <v>No</v>
      </c>
      <c r="L127" s="2">
        <v>2024</v>
      </c>
      <c r="M127" s="2" t="s">
        <v>57</v>
      </c>
      <c r="N127" s="2" t="s">
        <v>30</v>
      </c>
      <c r="O127" s="2" t="s">
        <v>22</v>
      </c>
      <c r="P127" s="2" t="s">
        <v>23</v>
      </c>
      <c r="Q127" s="2" t="s">
        <v>24</v>
      </c>
      <c r="R127" s="2" t="s">
        <v>25</v>
      </c>
      <c r="S127" s="2">
        <v>130232</v>
      </c>
      <c r="T127" s="3">
        <v>1066</v>
      </c>
      <c r="U127" s="3">
        <v>50</v>
      </c>
      <c r="V127" s="3">
        <v>0</v>
      </c>
      <c r="W127" s="3">
        <v>50</v>
      </c>
      <c r="X127" s="3" t="s">
        <v>58</v>
      </c>
      <c r="Y127" s="3">
        <v>50</v>
      </c>
      <c r="Z127" s="3" t="s">
        <v>58</v>
      </c>
      <c r="AA127" s="6">
        <f>SUMIFS(HS_DB[Trade Value - USD],HS_DB[Reporter],HS_DB[[#This Row],[Reporter]])/SUM(HS_DB[Trade Value - USD])</f>
        <v>6.110186869383482E-3</v>
      </c>
      <c r="AB127" s="8" cm="1">
        <f t="array" ref="AB127">SUMPRODUCT(
(HS_DB[Reporter]=HS_DB[[#This Row],[Reporter]])*
(HS_DB[Trade Value - USD]&gt;HS_DB[[#This Row],[Trade Value - USD]])
)+1</f>
        <v>23</v>
      </c>
      <c r="AC127" s="8" t="str">
        <f>IFERROR(IF(INDEX(Heat_Map[Crisis Impact %],MATCH(HS_DB[[#This Row],[Reporter]],Heat_Map[Global],0),1)&gt;0,"Yes","No"),"No")</f>
        <v>No</v>
      </c>
      <c r="AD127" s="6">
        <f>IFERROR(INDEX(Heat_Map[Crisis Impact %],MATCH(HS_DB[[#This Row],[Reporter]],Heat_Map[Global],0),1),0)</f>
        <v>0</v>
      </c>
      <c r="AE127" s="8">
        <f>HS_DB[[#This Row],[Crisis Impact%]]*HS_DB[[#This Row],[Trade Value - USD]]</f>
        <v>0</v>
      </c>
      <c r="AF127" s="8">
        <f>HS_DB[[#This Row],[Crisis Impact%]]*HS_DB[[#This Row],[Net Weight -KG]]</f>
        <v>0</v>
      </c>
      <c r="AG127" s="6">
        <f>SUMIFS(HS_DB[Trade Value - USD],HS_DB[Products],HS_DB[[#This Row],[Products]])/SUM(HS_DB[Trade Value - USD])</f>
        <v>2.8100247532808482E-3</v>
      </c>
      <c r="AH127" s="8">
        <f>_xlfn.RANK.EQ(HS_DB[[#This Row],[Trade Value - USD]], HS_DB[Trade Value - USD], 0)
 + COUNTIFS(HS_DB[Trade Value - USD],HS_DB[[#This Row],[Trade Value - USD]],
            HS_DB[HS Code],"&lt;"&amp;HS_DB[[#This Row],[HS Code]])</f>
        <v>483</v>
      </c>
      <c r="AI127" s="9">
        <f>IFERROR(HS_DB[[#This Row],[Trade Value - USD]]/HS_DB[[#This Row],[Net Weight -KG]],0)</f>
        <v>21.32</v>
      </c>
      <c r="AJ127" s="17" cm="1">
        <f t="array" ref="AJ127">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27" s="17" t="str">
        <f>IF(HS_DB[[#This Row],[HS Code Risk Score]]&gt;=40,"High",
 IF(HS_DB[[#This Row],[HS Code Risk Score]]&gt;=25,"Medium","Low"))</f>
        <v>Medium</v>
      </c>
      <c r="AL127" s="17" t="str">
        <f>IF(RANK(HS_DB[[#This Row],[HS Code Risk Score]],HS_DB[HS Code Risk Score])&lt;=10,"Yes","No")</f>
        <v>No</v>
      </c>
      <c r="AM127" s="8">
        <f>SUMIFS(HS_DB[Net Weight -KG],HS_DB[HS Code],HS_DB[[#This Row],[HS Code]])</f>
        <v>2211416</v>
      </c>
      <c r="AN127" s="8">
        <f>SUMIFS(HS_DB[Trade Value - USD],HS_DB[HS Code],HS_DB[[#This Row],[HS Code]])</f>
        <v>5296920</v>
      </c>
      <c r="AO127" s="6">
        <f>_xlfn.MAXIFS(HS_DB[Origin Share%],HS_DB[HS Code],HS_DB[[#This Row],[HS Code]])</f>
        <v>6.321329281187793E-2</v>
      </c>
      <c r="AP127" s="8" cm="1">
        <f t="array" ref="AP127">_xlfn.LET(
_xlpm.hs,HS_DB[[#This Row],[HS Code]],
COUNTA(_xlfn.UNIQUE(_xlfn._xlws.FILTER(HS_DB[Reporter],HS_DB[HS Code]=_xlpm.hs)))
)</f>
        <v>11</v>
      </c>
      <c r="AQ127" s="17" t="str">
        <f>IF(HS_DB[[#This Row],[Origin Count]]=1,"Single Source","Multiple Sources")</f>
        <v>Multiple Sources</v>
      </c>
      <c r="AR127" s="8">
        <f>HS_DB[[#This Row],[Annual Spend - USD]]*(HS_DB[[#This Row],[HS Code Risk Score]]/100)</f>
        <v>1800952.8</v>
      </c>
      <c r="AS127" s="8">
        <f>RANK(HS_DB[[#This Row],[Risk Exposure - USD]],HS_DB[Risk Exposure - USD],0)</f>
        <v>385</v>
      </c>
      <c r="AT127" s="8" t="str">
        <f>IF(HS_DB[[#This Row],[Risk Exposure Rank]]&lt;=10,"High",
 IF(HS_DB[[#This Row],[Risk Exposure Rank]]&lt;=30,"Medium",
 "Low"))</f>
        <v>Low</v>
      </c>
      <c r="AU127" s="8" t="str">
        <f>IF(HS_DB[[#This Row],[Risk Exposure Rank]]&lt;=5,"Immediate Action",
 IF(HS_DB[[#This Row],[Risk Exposure Rank]]&lt;=15,"Monitor Closely",
 "Routine Control"))</f>
        <v>Routine Control</v>
      </c>
      <c r="AV127" s="8">
        <f>SUMIFS(HS_DB[Trade Value - USD],HS_DB[HS Code],HS_DB[[#This Row],[HS Code]])</f>
        <v>5296920</v>
      </c>
      <c r="AW127" s="6">
        <f>HS_DB[[#This Row],[Annual Spend - USD]]/HS_DB[[#This Row],[Total Market Size - USD]]</f>
        <v>1</v>
      </c>
      <c r="AX127" s="6" cm="1">
        <f t="array" ref="AX127">COUNTA(_xlfn.UNIQUE(_xlfn._xlws.FILTER(HS_DB[Partner],HS_DB[HS Code]=HS_DB[[#This Row],[HS Code]])))</f>
        <v>1</v>
      </c>
      <c r="AY127" s="8" t="str">
        <f>IF(HS_DB[[#This Row],[Competition Intensity]]&lt;=2,"Highly Concentrated",
 IF(HS_DB[[#This Row],[Competition Intensity]]&lt;=5,"Moderate",
 "Highly Competitive"))</f>
        <v>Highly Concentrated</v>
      </c>
      <c r="AZ127" s="8">
        <f>HS_DB[[#This Row],[Total Market Size - USD]]
*
(1+IFERROR(#REF!,0))
/
HS_DB[[#This Row],[Competition Intensity]]</f>
        <v>5296920</v>
      </c>
      <c r="BA127" s="8" t="str">
        <f>IF(HS_DB[[#This Row],[Commercial Opportunity Score]]&gt;=PERCENTILE(HS_DB[Commercial Opportunity Score],0.9),"High Opportunity",
 IF(HS_DB[[#This Row],[Commercial Opportunity Score]]&gt;=PERCENTILE(HS_DB[Commercial Opportunity Score],0.6),"Medium Opportunity",
 "Routine Market"))</f>
        <v>Routine Market</v>
      </c>
      <c r="BB127" s="3" t="str">
        <f>IF(AND(HS_DB[[#This Row],[Product Rank]]&gt;0,HS_DB[[#This Row],[Product Rank]]&lt;=10),"Yes","No")</f>
        <v>No</v>
      </c>
      <c r="BC127" s="3" t="str">
        <f>IF(AND(HS_DB[[#This Row],[Origin Rank]]&gt;0,HS_DB[[#This Row],[Origin Rank]]&lt;=10),"Yes","No")</f>
        <v>No</v>
      </c>
    </row>
    <row r="128" spans="2:55" x14ac:dyDescent="0.3">
      <c r="B128" s="2">
        <f>HS_DB[[#This Row],[Commodity Code]]</f>
        <v>130232</v>
      </c>
      <c r="C128" s="2">
        <f>IFERROR(INDEX(HS_MD!C:C,MATCH(B128,HS_MD!B:B,0),1),"")</f>
        <v>3</v>
      </c>
      <c r="D128" s="17" t="str">
        <f>IFERROR(INDEX(HS_MD!D:D,MATCH(B128,HS_MD!B:B,0),1),"")</f>
        <v>Vegetable gums</v>
      </c>
      <c r="E128" s="17" t="str">
        <f>IFERROR(INDEX(HS_MD!E:E,MATCH(B128,HS_MD!B:B,0),1),"")</f>
        <v>Guar Gum</v>
      </c>
      <c r="F128" s="17" t="str">
        <f>IFERROR(INDEX(HS_MD!F:F,MATCH(B128,HS_MD!B:B,0),1),"")</f>
        <v>FUNCTIONAL INGREDIENTS</v>
      </c>
      <c r="G128" s="17" t="str">
        <f>IFERROR(INDEX(HS_MD!G:G,MATCH(B128,HS_MD!B:B,0),1),"")</f>
        <v>Hydrocolloids</v>
      </c>
      <c r="H128" s="17" t="str">
        <f>IFERROR(INDEX(HS_MD!H:H,MATCH(B128,HS_MD!B:B,0),1),"")</f>
        <v>Guar Gum</v>
      </c>
      <c r="I128" s="17" t="str">
        <f>IFERROR(INDEX(HS_MD!I:I,MATCH(B128,HS_MD!B:B,0),1),"")</f>
        <v>Sauces / Bakery / Dairy</v>
      </c>
      <c r="J128" s="17">
        <f>IFERROR(INDEX(Heat_Map[Index],MATCH(HS_DB[[#This Row],[Reporter]],Heat_Map[Global],0),1),"")</f>
        <v>181</v>
      </c>
      <c r="K128" s="17" t="str">
        <f>IF(AND(HS_DB[[#This Row],[Origin Rank]]&gt;1,HS_DB[[#This Row],[Origin Rank]]&lt;=10),"Yes","No")</f>
        <v>No</v>
      </c>
      <c r="L128" s="2">
        <v>2024</v>
      </c>
      <c r="M128" s="2" t="s">
        <v>57</v>
      </c>
      <c r="N128" s="2" t="s">
        <v>36</v>
      </c>
      <c r="O128" s="2" t="s">
        <v>22</v>
      </c>
      <c r="P128" s="2" t="s">
        <v>23</v>
      </c>
      <c r="Q128" s="2" t="s">
        <v>24</v>
      </c>
      <c r="R128" s="2" t="s">
        <v>25</v>
      </c>
      <c r="S128" s="2">
        <v>130232</v>
      </c>
      <c r="T128" s="3">
        <v>7978</v>
      </c>
      <c r="U128" s="3">
        <v>2750</v>
      </c>
      <c r="V128" s="3">
        <v>0</v>
      </c>
      <c r="W128" s="3">
        <v>2750</v>
      </c>
      <c r="X128" s="3" t="s">
        <v>58</v>
      </c>
      <c r="Y128" s="3">
        <v>2750</v>
      </c>
      <c r="Z128" s="3" t="s">
        <v>58</v>
      </c>
      <c r="AA128" s="6">
        <f>SUMIFS(HS_DB[Trade Value - USD],HS_DB[Reporter],HS_DB[[#This Row],[Reporter]])/SUM(HS_DB[Trade Value - USD])</f>
        <v>1.3104801671892474E-3</v>
      </c>
      <c r="AB128" s="8" cm="1">
        <f t="array" ref="AB128">SUMPRODUCT(
(HS_DB[Reporter]=HS_DB[[#This Row],[Reporter]])*
(HS_DB[Trade Value - USD]&gt;HS_DB[[#This Row],[Trade Value - USD]])
)+1</f>
        <v>14</v>
      </c>
      <c r="AC128" s="8" t="str">
        <f>IFERROR(IF(INDEX(Heat_Map[Crisis Impact %],MATCH(HS_DB[[#This Row],[Reporter]],Heat_Map[Global],0),1)&gt;0,"Yes","No"),"No")</f>
        <v>No</v>
      </c>
      <c r="AD128" s="6">
        <f>IFERROR(INDEX(Heat_Map[Crisis Impact %],MATCH(HS_DB[[#This Row],[Reporter]],Heat_Map[Global],0),1),0)</f>
        <v>0</v>
      </c>
      <c r="AE128" s="8">
        <f>HS_DB[[#This Row],[Crisis Impact%]]*HS_DB[[#This Row],[Trade Value - USD]]</f>
        <v>0</v>
      </c>
      <c r="AF128" s="8">
        <f>HS_DB[[#This Row],[Crisis Impact%]]*HS_DB[[#This Row],[Net Weight -KG]]</f>
        <v>0</v>
      </c>
      <c r="AG128" s="6">
        <f>SUMIFS(HS_DB[Trade Value - USD],HS_DB[Products],HS_DB[[#This Row],[Products]])/SUM(HS_DB[Trade Value - USD])</f>
        <v>2.8100247532808482E-3</v>
      </c>
      <c r="AH128" s="8">
        <f>_xlfn.RANK.EQ(HS_DB[[#This Row],[Trade Value - USD]], HS_DB[Trade Value - USD], 0)
 + COUNTIFS(HS_DB[Trade Value - USD],HS_DB[[#This Row],[Trade Value - USD]],
            HS_DB[HS Code],"&lt;"&amp;HS_DB[[#This Row],[HS Code]])</f>
        <v>422</v>
      </c>
      <c r="AI128" s="9">
        <f>IFERROR(HS_DB[[#This Row],[Trade Value - USD]]/HS_DB[[#This Row],[Net Weight -KG]],0)</f>
        <v>2.9010909090909092</v>
      </c>
      <c r="AJ128" s="17" cm="1">
        <f t="array" ref="AJ128">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28" s="17" t="str">
        <f>IF(HS_DB[[#This Row],[HS Code Risk Score]]&gt;=40,"High",
 IF(HS_DB[[#This Row],[HS Code Risk Score]]&gt;=25,"Medium","Low"))</f>
        <v>Medium</v>
      </c>
      <c r="AL128" s="17" t="str">
        <f>IF(RANK(HS_DB[[#This Row],[HS Code Risk Score]],HS_DB[HS Code Risk Score])&lt;=10,"Yes","No")</f>
        <v>No</v>
      </c>
      <c r="AM128" s="8">
        <f>SUMIFS(HS_DB[Net Weight -KG],HS_DB[HS Code],HS_DB[[#This Row],[HS Code]])</f>
        <v>2211416</v>
      </c>
      <c r="AN128" s="8">
        <f>SUMIFS(HS_DB[Trade Value - USD],HS_DB[HS Code],HS_DB[[#This Row],[HS Code]])</f>
        <v>5296920</v>
      </c>
      <c r="AO128" s="6">
        <f>_xlfn.MAXIFS(HS_DB[Origin Share%],HS_DB[HS Code],HS_DB[[#This Row],[HS Code]])</f>
        <v>6.321329281187793E-2</v>
      </c>
      <c r="AP128" s="8" cm="1">
        <f t="array" ref="AP128">_xlfn.LET(
_xlpm.hs,HS_DB[[#This Row],[HS Code]],
COUNTA(_xlfn.UNIQUE(_xlfn._xlws.FILTER(HS_DB[Reporter],HS_DB[HS Code]=_xlpm.hs)))
)</f>
        <v>11</v>
      </c>
      <c r="AQ128" s="17" t="str">
        <f>IF(HS_DB[[#This Row],[Origin Count]]=1,"Single Source","Multiple Sources")</f>
        <v>Multiple Sources</v>
      </c>
      <c r="AR128" s="8">
        <f>HS_DB[[#This Row],[Annual Spend - USD]]*(HS_DB[[#This Row],[HS Code Risk Score]]/100)</f>
        <v>1800952.8</v>
      </c>
      <c r="AS128" s="8">
        <f>RANK(HS_DB[[#This Row],[Risk Exposure - USD]],HS_DB[Risk Exposure - USD],0)</f>
        <v>385</v>
      </c>
      <c r="AT128" s="8" t="str">
        <f>IF(HS_DB[[#This Row],[Risk Exposure Rank]]&lt;=10,"High",
 IF(HS_DB[[#This Row],[Risk Exposure Rank]]&lt;=30,"Medium",
 "Low"))</f>
        <v>Low</v>
      </c>
      <c r="AU128" s="8" t="str">
        <f>IF(HS_DB[[#This Row],[Risk Exposure Rank]]&lt;=5,"Immediate Action",
 IF(HS_DB[[#This Row],[Risk Exposure Rank]]&lt;=15,"Monitor Closely",
 "Routine Control"))</f>
        <v>Routine Control</v>
      </c>
      <c r="AV128" s="8">
        <f>SUMIFS(HS_DB[Trade Value - USD],HS_DB[HS Code],HS_DB[[#This Row],[HS Code]])</f>
        <v>5296920</v>
      </c>
      <c r="AW128" s="6">
        <f>HS_DB[[#This Row],[Annual Spend - USD]]/HS_DB[[#This Row],[Total Market Size - USD]]</f>
        <v>1</v>
      </c>
      <c r="AX128" s="6" cm="1">
        <f t="array" ref="AX128">COUNTA(_xlfn.UNIQUE(_xlfn._xlws.FILTER(HS_DB[Partner],HS_DB[HS Code]=HS_DB[[#This Row],[HS Code]])))</f>
        <v>1</v>
      </c>
      <c r="AY128" s="8" t="str">
        <f>IF(HS_DB[[#This Row],[Competition Intensity]]&lt;=2,"Highly Concentrated",
 IF(HS_DB[[#This Row],[Competition Intensity]]&lt;=5,"Moderate",
 "Highly Competitive"))</f>
        <v>Highly Concentrated</v>
      </c>
      <c r="AZ128" s="8">
        <f>HS_DB[[#This Row],[Total Market Size - USD]]
*
(1+IFERROR(#REF!,0))
/
HS_DB[[#This Row],[Competition Intensity]]</f>
        <v>5296920</v>
      </c>
      <c r="BA128" s="8" t="str">
        <f>IF(HS_DB[[#This Row],[Commercial Opportunity Score]]&gt;=PERCENTILE(HS_DB[Commercial Opportunity Score],0.9),"High Opportunity",
 IF(HS_DB[[#This Row],[Commercial Opportunity Score]]&gt;=PERCENTILE(HS_DB[Commercial Opportunity Score],0.6),"Medium Opportunity",
 "Routine Market"))</f>
        <v>Routine Market</v>
      </c>
      <c r="BB128" s="3" t="str">
        <f>IF(AND(HS_DB[[#This Row],[Product Rank]]&gt;0,HS_DB[[#This Row],[Product Rank]]&lt;=10),"Yes","No")</f>
        <v>No</v>
      </c>
      <c r="BC128" s="3" t="str">
        <f>IF(AND(HS_DB[[#This Row],[Origin Rank]]&gt;0,HS_DB[[#This Row],[Origin Rank]]&lt;=10),"Yes","No")</f>
        <v>No</v>
      </c>
    </row>
    <row r="129" spans="2:55" x14ac:dyDescent="0.3">
      <c r="B129" s="2">
        <f>HS_DB[[#This Row],[Commodity Code]]</f>
        <v>130232</v>
      </c>
      <c r="C129" s="2">
        <f>IFERROR(INDEX(HS_MD!C:C,MATCH(B129,HS_MD!B:B,0),1),"")</f>
        <v>3</v>
      </c>
      <c r="D129" s="17" t="str">
        <f>IFERROR(INDEX(HS_MD!D:D,MATCH(B129,HS_MD!B:B,0),1),"")</f>
        <v>Vegetable gums</v>
      </c>
      <c r="E129" s="17" t="str">
        <f>IFERROR(INDEX(HS_MD!E:E,MATCH(B129,HS_MD!B:B,0),1),"")</f>
        <v>Guar Gum</v>
      </c>
      <c r="F129" s="17" t="str">
        <f>IFERROR(INDEX(HS_MD!F:F,MATCH(B129,HS_MD!B:B,0),1),"")</f>
        <v>FUNCTIONAL INGREDIENTS</v>
      </c>
      <c r="G129" s="17" t="str">
        <f>IFERROR(INDEX(HS_MD!G:G,MATCH(B129,HS_MD!B:B,0),1),"")</f>
        <v>Hydrocolloids</v>
      </c>
      <c r="H129" s="17" t="str">
        <f>IFERROR(INDEX(HS_MD!H:H,MATCH(B129,HS_MD!B:B,0),1),"")</f>
        <v>Guar Gum</v>
      </c>
      <c r="I129" s="17" t="str">
        <f>IFERROR(INDEX(HS_MD!I:I,MATCH(B129,HS_MD!B:B,0),1),"")</f>
        <v>Sauces / Bakery / Dairy</v>
      </c>
      <c r="J129" s="17">
        <f>IFERROR(INDEX(Heat_Map[Index],MATCH(HS_DB[[#This Row],[Reporter]],Heat_Map[Global],0),1),"")</f>
        <v>182</v>
      </c>
      <c r="K129" s="17" t="str">
        <f>IF(AND(HS_DB[[#This Row],[Origin Rank]]&gt;1,HS_DB[[#This Row],[Origin Rank]]&lt;=10),"Yes","No")</f>
        <v>No</v>
      </c>
      <c r="L129" s="2">
        <v>2024</v>
      </c>
      <c r="M129" s="2" t="s">
        <v>57</v>
      </c>
      <c r="N129" s="2" t="s">
        <v>56</v>
      </c>
      <c r="O129" s="2" t="s">
        <v>22</v>
      </c>
      <c r="P129" s="2" t="s">
        <v>23</v>
      </c>
      <c r="Q129" s="2" t="s">
        <v>24</v>
      </c>
      <c r="R129" s="2" t="s">
        <v>25</v>
      </c>
      <c r="S129" s="2">
        <v>130232</v>
      </c>
      <c r="T129" s="3">
        <v>33693</v>
      </c>
      <c r="U129" s="3">
        <v>5400</v>
      </c>
      <c r="V129" s="3">
        <v>0</v>
      </c>
      <c r="W129" s="3">
        <v>5400</v>
      </c>
      <c r="X129" s="3" t="s">
        <v>58</v>
      </c>
      <c r="Y129" s="3">
        <v>5400</v>
      </c>
      <c r="Z129" s="3" t="s">
        <v>58</v>
      </c>
      <c r="AA129" s="6">
        <f>SUMIFS(HS_DB[Trade Value - USD],HS_DB[Reporter],HS_DB[[#This Row],[Reporter]])/SUM(HS_DB[Trade Value - USD])</f>
        <v>9.425427433633813E-3</v>
      </c>
      <c r="AB129" s="8" cm="1">
        <f t="array" ref="AB129">SUMPRODUCT(
(HS_DB[Reporter]=HS_DB[[#This Row],[Reporter]])*
(HS_DB[Trade Value - USD]&gt;HS_DB[[#This Row],[Trade Value - USD]])
)+1</f>
        <v>17</v>
      </c>
      <c r="AC129" s="8" t="str">
        <f>IFERROR(IF(INDEX(Heat_Map[Crisis Impact %],MATCH(HS_DB[[#This Row],[Reporter]],Heat_Map[Global],0),1)&gt;0,"Yes","No"),"No")</f>
        <v>Yes</v>
      </c>
      <c r="AD129" s="6">
        <f>IFERROR(INDEX(Heat_Map[Crisis Impact %],MATCH(HS_DB[[#This Row],[Reporter]],Heat_Map[Global],0),1),0)</f>
        <v>4.0000000000000008E-2</v>
      </c>
      <c r="AE129" s="8">
        <f>HS_DB[[#This Row],[Crisis Impact%]]*HS_DB[[#This Row],[Trade Value - USD]]</f>
        <v>1347.7200000000003</v>
      </c>
      <c r="AF129" s="8">
        <f>HS_DB[[#This Row],[Crisis Impact%]]*HS_DB[[#This Row],[Net Weight -KG]]</f>
        <v>216.00000000000003</v>
      </c>
      <c r="AG129" s="6">
        <f>SUMIFS(HS_DB[Trade Value - USD],HS_DB[Products],HS_DB[[#This Row],[Products]])/SUM(HS_DB[Trade Value - USD])</f>
        <v>2.8100247532808482E-3</v>
      </c>
      <c r="AH129" s="8">
        <f>_xlfn.RANK.EQ(HS_DB[[#This Row],[Trade Value - USD]], HS_DB[Trade Value - USD], 0)
 + COUNTIFS(HS_DB[Trade Value - USD],HS_DB[[#This Row],[Trade Value - USD]],
            HS_DB[HS Code],"&lt;"&amp;HS_DB[[#This Row],[HS Code]])</f>
        <v>347</v>
      </c>
      <c r="AI129" s="9">
        <f>IFERROR(HS_DB[[#This Row],[Trade Value - USD]]/HS_DB[[#This Row],[Net Weight -KG]],0)</f>
        <v>6.2394444444444446</v>
      </c>
      <c r="AJ129" s="17" cm="1">
        <f t="array" ref="AJ129">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29" s="17" t="str">
        <f>IF(HS_DB[[#This Row],[HS Code Risk Score]]&gt;=40,"High",
 IF(HS_DB[[#This Row],[HS Code Risk Score]]&gt;=25,"Medium","Low"))</f>
        <v>Medium</v>
      </c>
      <c r="AL129" s="17" t="str">
        <f>IF(RANK(HS_DB[[#This Row],[HS Code Risk Score]],HS_DB[HS Code Risk Score])&lt;=10,"Yes","No")</f>
        <v>No</v>
      </c>
      <c r="AM129" s="8">
        <f>SUMIFS(HS_DB[Net Weight -KG],HS_DB[HS Code],HS_DB[[#This Row],[HS Code]])</f>
        <v>2211416</v>
      </c>
      <c r="AN129" s="8">
        <f>SUMIFS(HS_DB[Trade Value - USD],HS_DB[HS Code],HS_DB[[#This Row],[HS Code]])</f>
        <v>5296920</v>
      </c>
      <c r="AO129" s="6">
        <f>_xlfn.MAXIFS(HS_DB[Origin Share%],HS_DB[HS Code],HS_DB[[#This Row],[HS Code]])</f>
        <v>6.321329281187793E-2</v>
      </c>
      <c r="AP129" s="8" cm="1">
        <f t="array" ref="AP129">_xlfn.LET(
_xlpm.hs,HS_DB[[#This Row],[HS Code]],
COUNTA(_xlfn.UNIQUE(_xlfn._xlws.FILTER(HS_DB[Reporter],HS_DB[HS Code]=_xlpm.hs)))
)</f>
        <v>11</v>
      </c>
      <c r="AQ129" s="17" t="str">
        <f>IF(HS_DB[[#This Row],[Origin Count]]=1,"Single Source","Multiple Sources")</f>
        <v>Multiple Sources</v>
      </c>
      <c r="AR129" s="8">
        <f>HS_DB[[#This Row],[Annual Spend - USD]]*(HS_DB[[#This Row],[HS Code Risk Score]]/100)</f>
        <v>1800952.8</v>
      </c>
      <c r="AS129" s="8">
        <f>RANK(HS_DB[[#This Row],[Risk Exposure - USD]],HS_DB[Risk Exposure - USD],0)</f>
        <v>385</v>
      </c>
      <c r="AT129" s="8" t="str">
        <f>IF(HS_DB[[#This Row],[Risk Exposure Rank]]&lt;=10,"High",
 IF(HS_DB[[#This Row],[Risk Exposure Rank]]&lt;=30,"Medium",
 "Low"))</f>
        <v>Low</v>
      </c>
      <c r="AU129" s="8" t="str">
        <f>IF(HS_DB[[#This Row],[Risk Exposure Rank]]&lt;=5,"Immediate Action",
 IF(HS_DB[[#This Row],[Risk Exposure Rank]]&lt;=15,"Monitor Closely",
 "Routine Control"))</f>
        <v>Routine Control</v>
      </c>
      <c r="AV129" s="8">
        <f>SUMIFS(HS_DB[Trade Value - USD],HS_DB[HS Code],HS_DB[[#This Row],[HS Code]])</f>
        <v>5296920</v>
      </c>
      <c r="AW129" s="6">
        <f>HS_DB[[#This Row],[Annual Spend - USD]]/HS_DB[[#This Row],[Total Market Size - USD]]</f>
        <v>1</v>
      </c>
      <c r="AX129" s="6" cm="1">
        <f t="array" ref="AX129">COUNTA(_xlfn.UNIQUE(_xlfn._xlws.FILTER(HS_DB[Partner],HS_DB[HS Code]=HS_DB[[#This Row],[HS Code]])))</f>
        <v>1</v>
      </c>
      <c r="AY129" s="8" t="str">
        <f>IF(HS_DB[[#This Row],[Competition Intensity]]&lt;=2,"Highly Concentrated",
 IF(HS_DB[[#This Row],[Competition Intensity]]&lt;=5,"Moderate",
 "Highly Competitive"))</f>
        <v>Highly Concentrated</v>
      </c>
      <c r="AZ129" s="8">
        <f>HS_DB[[#This Row],[Total Market Size - USD]]
*
(1+IFERROR(#REF!,0))
/
HS_DB[[#This Row],[Competition Intensity]]</f>
        <v>5296920</v>
      </c>
      <c r="BA129" s="8" t="str">
        <f>IF(HS_DB[[#This Row],[Commercial Opportunity Score]]&gt;=PERCENTILE(HS_DB[Commercial Opportunity Score],0.9),"High Opportunity",
 IF(HS_DB[[#This Row],[Commercial Opportunity Score]]&gt;=PERCENTILE(HS_DB[Commercial Opportunity Score],0.6),"Medium Opportunity",
 "Routine Market"))</f>
        <v>Routine Market</v>
      </c>
      <c r="BB129" s="3" t="str">
        <f>IF(AND(HS_DB[[#This Row],[Product Rank]]&gt;0,HS_DB[[#This Row],[Product Rank]]&lt;=10),"Yes","No")</f>
        <v>No</v>
      </c>
      <c r="BC129" s="3" t="str">
        <f>IF(AND(HS_DB[[#This Row],[Origin Rank]]&gt;0,HS_DB[[#This Row],[Origin Rank]]&lt;=10),"Yes","No")</f>
        <v>No</v>
      </c>
    </row>
    <row r="130" spans="2:55" x14ac:dyDescent="0.3">
      <c r="B130" s="2">
        <f>HS_DB[[#This Row],[Commodity Code]]</f>
        <v>130239</v>
      </c>
      <c r="C130" s="2">
        <f>IFERROR(INDEX(HS_MD!C:C,MATCH(B130,HS_MD!B:B,0),1),"")</f>
        <v>4</v>
      </c>
      <c r="D130" s="17" t="str">
        <f>IFERROR(INDEX(HS_MD!D:D,MATCH(B130,HS_MD!B:B,0),1),"")</f>
        <v>Mucilages and thickeners</v>
      </c>
      <c r="E130" s="17" t="str">
        <f>IFERROR(INDEX(HS_MD!E:E,MATCH(B130,HS_MD!B:B,0),1),"")</f>
        <v>Carrageenan</v>
      </c>
      <c r="F130" s="17" t="str">
        <f>IFERROR(INDEX(HS_MD!F:F,MATCH(B130,HS_MD!B:B,0),1),"")</f>
        <v>FUNCTIONAL INGREDIENTS</v>
      </c>
      <c r="G130" s="17" t="str">
        <f>IFERROR(INDEX(HS_MD!G:G,MATCH(B130,HS_MD!B:B,0),1),"")</f>
        <v>Hydrocolloids</v>
      </c>
      <c r="H130" s="17" t="str">
        <f>IFERROR(INDEX(HS_MD!H:H,MATCH(B130,HS_MD!B:B,0),1),"")</f>
        <v>Carrageenan</v>
      </c>
      <c r="I130" s="17" t="str">
        <f>IFERROR(INDEX(HS_MD!I:I,MATCH(B130,HS_MD!B:B,0),1),"")</f>
        <v>Dairy / Processed Meat</v>
      </c>
      <c r="J130" s="17">
        <f>IFERROR(INDEX(Heat_Map[Index],MATCH(HS_DB[[#This Row],[Reporter]],Heat_Map[Global],0),1),"")</f>
        <v>17</v>
      </c>
      <c r="K130" s="17" t="str">
        <f>IF(AND(HS_DB[[#This Row],[Origin Rank]]&gt;1,HS_DB[[#This Row],[Origin Rank]]&lt;=10),"Yes","No")</f>
        <v>No</v>
      </c>
      <c r="L130" s="2">
        <v>2024</v>
      </c>
      <c r="M130" s="2" t="s">
        <v>57</v>
      </c>
      <c r="N130" s="2" t="s">
        <v>5</v>
      </c>
      <c r="O130" s="2" t="s">
        <v>22</v>
      </c>
      <c r="P130" s="2" t="s">
        <v>23</v>
      </c>
      <c r="Q130" s="2" t="s">
        <v>24</v>
      </c>
      <c r="R130" s="2" t="s">
        <v>25</v>
      </c>
      <c r="S130" s="2">
        <v>130239</v>
      </c>
      <c r="T130" s="3">
        <v>2756</v>
      </c>
      <c r="U130" s="3">
        <v>100</v>
      </c>
      <c r="V130" s="3">
        <v>0</v>
      </c>
      <c r="W130" s="3">
        <v>100</v>
      </c>
      <c r="X130" s="3" t="s">
        <v>58</v>
      </c>
      <c r="Y130" s="3">
        <v>100</v>
      </c>
      <c r="Z130" s="3" t="s">
        <v>58</v>
      </c>
      <c r="AA130" s="6">
        <f>SUMIFS(HS_DB[Trade Value - USD],HS_DB[Reporter],HS_DB[[#This Row],[Reporter]])/SUM(HS_DB[Trade Value - USD])</f>
        <v>5.3992075088500962E-3</v>
      </c>
      <c r="AB130" s="8" cm="1">
        <f t="array" ref="AB130">SUMPRODUCT(
(HS_DB[Reporter]=HS_DB[[#This Row],[Reporter]])*
(HS_DB[Trade Value - USD]&gt;HS_DB[[#This Row],[Trade Value - USD]])
)+1</f>
        <v>23</v>
      </c>
      <c r="AC130" s="8" t="str">
        <f>IFERROR(IF(INDEX(Heat_Map[Crisis Impact %],MATCH(HS_DB[[#This Row],[Reporter]],Heat_Map[Global],0),1)&gt;0,"Yes","No"),"No")</f>
        <v>No</v>
      </c>
      <c r="AD130" s="6">
        <f>IFERROR(INDEX(Heat_Map[Crisis Impact %],MATCH(HS_DB[[#This Row],[Reporter]],Heat_Map[Global],0),1),0)</f>
        <v>0</v>
      </c>
      <c r="AE130" s="8">
        <f>HS_DB[[#This Row],[Crisis Impact%]]*HS_DB[[#This Row],[Trade Value - USD]]</f>
        <v>0</v>
      </c>
      <c r="AF130" s="8">
        <f>HS_DB[[#This Row],[Crisis Impact%]]*HS_DB[[#This Row],[Net Weight -KG]]</f>
        <v>0</v>
      </c>
      <c r="AG130" s="6">
        <f>SUMIFS(HS_DB[Trade Value - USD],HS_DB[Products],HS_DB[[#This Row],[Products]])/SUM(HS_DB[Trade Value - USD])</f>
        <v>3.2821229382954242E-3</v>
      </c>
      <c r="AH130" s="8">
        <f>_xlfn.RANK.EQ(HS_DB[[#This Row],[Trade Value - USD]], HS_DB[Trade Value - USD], 0)
 + COUNTIFS(HS_DB[Trade Value - USD],HS_DB[[#This Row],[Trade Value - USD]],
            HS_DB[HS Code],"&lt;"&amp;HS_DB[[#This Row],[HS Code]])</f>
        <v>462</v>
      </c>
      <c r="AI130" s="9">
        <f>IFERROR(HS_DB[[#This Row],[Trade Value - USD]]/HS_DB[[#This Row],[Net Weight -KG]],0)</f>
        <v>27.56</v>
      </c>
      <c r="AJ130" s="17" cm="1">
        <f t="array" ref="AJ130">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30" s="17" t="str">
        <f>IF(HS_DB[[#This Row],[HS Code Risk Score]]&gt;=40,"High",
 IF(HS_DB[[#This Row],[HS Code Risk Score]]&gt;=25,"Medium","Low"))</f>
        <v>Medium</v>
      </c>
      <c r="AL130" s="17" t="str">
        <f>IF(RANK(HS_DB[[#This Row],[HS Code Risk Score]],HS_DB[HS Code Risk Score])&lt;=10,"Yes","No")</f>
        <v>No</v>
      </c>
      <c r="AM130" s="8">
        <f>SUMIFS(HS_DB[Net Weight -KG],HS_DB[HS Code],HS_DB[[#This Row],[HS Code]])</f>
        <v>1977514.1</v>
      </c>
      <c r="AN130" s="8">
        <f>SUMIFS(HS_DB[Trade Value - USD],HS_DB[HS Code],HS_DB[[#This Row],[HS Code]])</f>
        <v>6186829</v>
      </c>
      <c r="AO130" s="6">
        <f>_xlfn.MAXIFS(HS_DB[Origin Share%],HS_DB[HS Code],HS_DB[[#This Row],[HS Code]])</f>
        <v>6.321329281187793E-2</v>
      </c>
      <c r="AP130" s="8" cm="1">
        <f t="array" ref="AP130">_xlfn.LET(
_xlpm.hs,HS_DB[[#This Row],[HS Code]],
COUNTA(_xlfn.UNIQUE(_xlfn._xlws.FILTER(HS_DB[Reporter],HS_DB[HS Code]=_xlpm.hs)))
)</f>
        <v>16</v>
      </c>
      <c r="AQ130" s="17" t="str">
        <f>IF(HS_DB[[#This Row],[Origin Count]]=1,"Single Source","Multiple Sources")</f>
        <v>Multiple Sources</v>
      </c>
      <c r="AR130" s="8">
        <f>HS_DB[[#This Row],[Annual Spend - USD]]*(HS_DB[[#This Row],[HS Code Risk Score]]/100)</f>
        <v>2103521.8600000003</v>
      </c>
      <c r="AS130" s="8">
        <f>RANK(HS_DB[[#This Row],[Risk Exposure - USD]],HS_DB[Risk Exposure - USD],0)</f>
        <v>369</v>
      </c>
      <c r="AT130" s="8" t="str">
        <f>IF(HS_DB[[#This Row],[Risk Exposure Rank]]&lt;=10,"High",
 IF(HS_DB[[#This Row],[Risk Exposure Rank]]&lt;=30,"Medium",
 "Low"))</f>
        <v>Low</v>
      </c>
      <c r="AU130" s="8" t="str">
        <f>IF(HS_DB[[#This Row],[Risk Exposure Rank]]&lt;=5,"Immediate Action",
 IF(HS_DB[[#This Row],[Risk Exposure Rank]]&lt;=15,"Monitor Closely",
 "Routine Control"))</f>
        <v>Routine Control</v>
      </c>
      <c r="AV130" s="8">
        <f>SUMIFS(HS_DB[Trade Value - USD],HS_DB[HS Code],HS_DB[[#This Row],[HS Code]])</f>
        <v>6186829</v>
      </c>
      <c r="AW130" s="6">
        <f>HS_DB[[#This Row],[Annual Spend - USD]]/HS_DB[[#This Row],[Total Market Size - USD]]</f>
        <v>1</v>
      </c>
      <c r="AX130" s="6" cm="1">
        <f t="array" ref="AX130">COUNTA(_xlfn.UNIQUE(_xlfn._xlws.FILTER(HS_DB[Partner],HS_DB[HS Code]=HS_DB[[#This Row],[HS Code]])))</f>
        <v>1</v>
      </c>
      <c r="AY130" s="8" t="str">
        <f>IF(HS_DB[[#This Row],[Competition Intensity]]&lt;=2,"Highly Concentrated",
 IF(HS_DB[[#This Row],[Competition Intensity]]&lt;=5,"Moderate",
 "Highly Competitive"))</f>
        <v>Highly Concentrated</v>
      </c>
      <c r="AZ130" s="8">
        <f>HS_DB[[#This Row],[Total Market Size - USD]]
*
(1+IFERROR(#REF!,0))
/
HS_DB[[#This Row],[Competition Intensity]]</f>
        <v>6186829</v>
      </c>
      <c r="BA130" s="8" t="str">
        <f>IF(HS_DB[[#This Row],[Commercial Opportunity Score]]&gt;=PERCENTILE(HS_DB[Commercial Opportunity Score],0.9),"High Opportunity",
 IF(HS_DB[[#This Row],[Commercial Opportunity Score]]&gt;=PERCENTILE(HS_DB[Commercial Opportunity Score],0.6),"Medium Opportunity",
 "Routine Market"))</f>
        <v>Routine Market</v>
      </c>
      <c r="BB130" s="3" t="str">
        <f>IF(AND(HS_DB[[#This Row],[Product Rank]]&gt;0,HS_DB[[#This Row],[Product Rank]]&lt;=10),"Yes","No")</f>
        <v>No</v>
      </c>
      <c r="BC130" s="3" t="str">
        <f>IF(AND(HS_DB[[#This Row],[Origin Rank]]&gt;0,HS_DB[[#This Row],[Origin Rank]]&lt;=10),"Yes","No")</f>
        <v>No</v>
      </c>
    </row>
    <row r="131" spans="2:55" x14ac:dyDescent="0.3">
      <c r="B131" s="2">
        <f>HS_DB[[#This Row],[Commodity Code]]</f>
        <v>130239</v>
      </c>
      <c r="C131" s="2">
        <f>IFERROR(INDEX(HS_MD!C:C,MATCH(B131,HS_MD!B:B,0),1),"")</f>
        <v>4</v>
      </c>
      <c r="D131" s="17" t="str">
        <f>IFERROR(INDEX(HS_MD!D:D,MATCH(B131,HS_MD!B:B,0),1),"")</f>
        <v>Mucilages and thickeners</v>
      </c>
      <c r="E131" s="17" t="str">
        <f>IFERROR(INDEX(HS_MD!E:E,MATCH(B131,HS_MD!B:B,0),1),"")</f>
        <v>Carrageenan</v>
      </c>
      <c r="F131" s="17" t="str">
        <f>IFERROR(INDEX(HS_MD!F:F,MATCH(B131,HS_MD!B:B,0),1),"")</f>
        <v>FUNCTIONAL INGREDIENTS</v>
      </c>
      <c r="G131" s="17" t="str">
        <f>IFERROR(INDEX(HS_MD!G:G,MATCH(B131,HS_MD!B:B,0),1),"")</f>
        <v>Hydrocolloids</v>
      </c>
      <c r="H131" s="17" t="str">
        <f>IFERROR(INDEX(HS_MD!H:H,MATCH(B131,HS_MD!B:B,0),1),"")</f>
        <v>Carrageenan</v>
      </c>
      <c r="I131" s="17" t="str">
        <f>IFERROR(INDEX(HS_MD!I:I,MATCH(B131,HS_MD!B:B,0),1),"")</f>
        <v>Dairy / Processed Meat</v>
      </c>
      <c r="J131" s="17">
        <f>IFERROR(INDEX(Heat_Map[Index],MATCH(HS_DB[[#This Row],[Reporter]],Heat_Map[Global],0),1),"")</f>
        <v>35</v>
      </c>
      <c r="K131" s="17" t="str">
        <f>IF(AND(HS_DB[[#This Row],[Origin Rank]]&gt;1,HS_DB[[#This Row],[Origin Rank]]&lt;=10),"Yes","No")</f>
        <v>Yes</v>
      </c>
      <c r="L131" s="2">
        <v>2024</v>
      </c>
      <c r="M131" s="2" t="s">
        <v>57</v>
      </c>
      <c r="N131" s="2" t="s">
        <v>145</v>
      </c>
      <c r="O131" s="2" t="s">
        <v>22</v>
      </c>
      <c r="P131" s="2" t="s">
        <v>23</v>
      </c>
      <c r="Q131" s="2" t="s">
        <v>24</v>
      </c>
      <c r="R131" s="2" t="s">
        <v>25</v>
      </c>
      <c r="S131" s="2">
        <v>130239</v>
      </c>
      <c r="T131" s="3">
        <v>368089</v>
      </c>
      <c r="U131" s="3">
        <v>34000</v>
      </c>
      <c r="V131" s="3">
        <v>0</v>
      </c>
      <c r="W131" s="3">
        <v>34000</v>
      </c>
      <c r="X131" s="3" t="s">
        <v>58</v>
      </c>
      <c r="Y131" s="3">
        <v>34000</v>
      </c>
      <c r="Z131" s="3" t="s">
        <v>58</v>
      </c>
      <c r="AA131" s="6">
        <f>SUMIFS(HS_DB[Trade Value - USD],HS_DB[Reporter],HS_DB[[#This Row],[Reporter]])/SUM(HS_DB[Trade Value - USD])</f>
        <v>4.779968327630276E-4</v>
      </c>
      <c r="AB131" s="8" cm="1">
        <f t="array" ref="AB131">SUMPRODUCT(
(HS_DB[Reporter]=HS_DB[[#This Row],[Reporter]])*
(HS_DB[Trade Value - USD]&gt;HS_DB[[#This Row],[Trade Value - USD]])
)+1</f>
        <v>2</v>
      </c>
      <c r="AC131" s="8" t="str">
        <f>IFERROR(IF(INDEX(Heat_Map[Crisis Impact %],MATCH(HS_DB[[#This Row],[Reporter]],Heat_Map[Global],0),1)&gt;0,"Yes","No"),"No")</f>
        <v>No</v>
      </c>
      <c r="AD131" s="6">
        <f>IFERROR(INDEX(Heat_Map[Crisis Impact %],MATCH(HS_DB[[#This Row],[Reporter]],Heat_Map[Global],0),1),0)</f>
        <v>0</v>
      </c>
      <c r="AE131" s="8">
        <f>HS_DB[[#This Row],[Crisis Impact%]]*HS_DB[[#This Row],[Trade Value - USD]]</f>
        <v>0</v>
      </c>
      <c r="AF131" s="8">
        <f>HS_DB[[#This Row],[Crisis Impact%]]*HS_DB[[#This Row],[Net Weight -KG]]</f>
        <v>0</v>
      </c>
      <c r="AG131" s="6">
        <f>SUMIFS(HS_DB[Trade Value - USD],HS_DB[Products],HS_DB[[#This Row],[Products]])/SUM(HS_DB[Trade Value - USD])</f>
        <v>3.2821229382954242E-3</v>
      </c>
      <c r="AH131" s="8">
        <f>_xlfn.RANK.EQ(HS_DB[[#This Row],[Trade Value - USD]], HS_DB[Trade Value - USD], 0)
 + COUNTIFS(HS_DB[Trade Value - USD],HS_DB[[#This Row],[Trade Value - USD]],
            HS_DB[HS Code],"&lt;"&amp;HS_DB[[#This Row],[HS Code]])</f>
        <v>170</v>
      </c>
      <c r="AI131" s="9">
        <f>IFERROR(HS_DB[[#This Row],[Trade Value - USD]]/HS_DB[[#This Row],[Net Weight -KG]],0)</f>
        <v>10.82614705882353</v>
      </c>
      <c r="AJ131" s="17" cm="1">
        <f t="array" ref="AJ131">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31" s="17" t="str">
        <f>IF(HS_DB[[#This Row],[HS Code Risk Score]]&gt;=40,"High",
 IF(HS_DB[[#This Row],[HS Code Risk Score]]&gt;=25,"Medium","Low"))</f>
        <v>Medium</v>
      </c>
      <c r="AL131" s="17" t="str">
        <f>IF(RANK(HS_DB[[#This Row],[HS Code Risk Score]],HS_DB[HS Code Risk Score])&lt;=10,"Yes","No")</f>
        <v>No</v>
      </c>
      <c r="AM131" s="8">
        <f>SUMIFS(HS_DB[Net Weight -KG],HS_DB[HS Code],HS_DB[[#This Row],[HS Code]])</f>
        <v>1977514.1</v>
      </c>
      <c r="AN131" s="8">
        <f>SUMIFS(HS_DB[Trade Value - USD],HS_DB[HS Code],HS_DB[[#This Row],[HS Code]])</f>
        <v>6186829</v>
      </c>
      <c r="AO131" s="6">
        <f>_xlfn.MAXIFS(HS_DB[Origin Share%],HS_DB[HS Code],HS_DB[[#This Row],[HS Code]])</f>
        <v>6.321329281187793E-2</v>
      </c>
      <c r="AP131" s="8" cm="1">
        <f t="array" ref="AP131">_xlfn.LET(
_xlpm.hs,HS_DB[[#This Row],[HS Code]],
COUNTA(_xlfn.UNIQUE(_xlfn._xlws.FILTER(HS_DB[Reporter],HS_DB[HS Code]=_xlpm.hs)))
)</f>
        <v>16</v>
      </c>
      <c r="AQ131" s="17" t="str">
        <f>IF(HS_DB[[#This Row],[Origin Count]]=1,"Single Source","Multiple Sources")</f>
        <v>Multiple Sources</v>
      </c>
      <c r="AR131" s="8">
        <f>HS_DB[[#This Row],[Annual Spend - USD]]*(HS_DB[[#This Row],[HS Code Risk Score]]/100)</f>
        <v>2103521.8600000003</v>
      </c>
      <c r="AS131" s="8">
        <f>RANK(HS_DB[[#This Row],[Risk Exposure - USD]],HS_DB[Risk Exposure - USD],0)</f>
        <v>369</v>
      </c>
      <c r="AT131" s="8" t="str">
        <f>IF(HS_DB[[#This Row],[Risk Exposure Rank]]&lt;=10,"High",
 IF(HS_DB[[#This Row],[Risk Exposure Rank]]&lt;=30,"Medium",
 "Low"))</f>
        <v>Low</v>
      </c>
      <c r="AU131" s="8" t="str">
        <f>IF(HS_DB[[#This Row],[Risk Exposure Rank]]&lt;=5,"Immediate Action",
 IF(HS_DB[[#This Row],[Risk Exposure Rank]]&lt;=15,"Monitor Closely",
 "Routine Control"))</f>
        <v>Routine Control</v>
      </c>
      <c r="AV131" s="8">
        <f>SUMIFS(HS_DB[Trade Value - USD],HS_DB[HS Code],HS_DB[[#This Row],[HS Code]])</f>
        <v>6186829</v>
      </c>
      <c r="AW131" s="6">
        <f>HS_DB[[#This Row],[Annual Spend - USD]]/HS_DB[[#This Row],[Total Market Size - USD]]</f>
        <v>1</v>
      </c>
      <c r="AX131" s="6" cm="1">
        <f t="array" ref="AX131">COUNTA(_xlfn.UNIQUE(_xlfn._xlws.FILTER(HS_DB[Partner],HS_DB[HS Code]=HS_DB[[#This Row],[HS Code]])))</f>
        <v>1</v>
      </c>
      <c r="AY131" s="8" t="str">
        <f>IF(HS_DB[[#This Row],[Competition Intensity]]&lt;=2,"Highly Concentrated",
 IF(HS_DB[[#This Row],[Competition Intensity]]&lt;=5,"Moderate",
 "Highly Competitive"))</f>
        <v>Highly Concentrated</v>
      </c>
      <c r="AZ131" s="8">
        <f>HS_DB[[#This Row],[Total Market Size - USD]]
*
(1+IFERROR(#REF!,0))
/
HS_DB[[#This Row],[Competition Intensity]]</f>
        <v>6186829</v>
      </c>
      <c r="BA131" s="8" t="str">
        <f>IF(HS_DB[[#This Row],[Commercial Opportunity Score]]&gt;=PERCENTILE(HS_DB[Commercial Opportunity Score],0.9),"High Opportunity",
 IF(HS_DB[[#This Row],[Commercial Opportunity Score]]&gt;=PERCENTILE(HS_DB[Commercial Opportunity Score],0.6),"Medium Opportunity",
 "Routine Market"))</f>
        <v>Routine Market</v>
      </c>
      <c r="BB131" s="3" t="str">
        <f>IF(AND(HS_DB[[#This Row],[Product Rank]]&gt;0,HS_DB[[#This Row],[Product Rank]]&lt;=10),"Yes","No")</f>
        <v>No</v>
      </c>
      <c r="BC131" s="3" t="str">
        <f>IF(AND(HS_DB[[#This Row],[Origin Rank]]&gt;0,HS_DB[[#This Row],[Origin Rank]]&lt;=10),"Yes","No")</f>
        <v>Yes</v>
      </c>
    </row>
    <row r="132" spans="2:55" x14ac:dyDescent="0.3">
      <c r="B132" s="2">
        <f>HS_DB[[#This Row],[Commodity Code]]</f>
        <v>130239</v>
      </c>
      <c r="C132" s="2">
        <f>IFERROR(INDEX(HS_MD!C:C,MATCH(B132,HS_MD!B:B,0),1),"")</f>
        <v>4</v>
      </c>
      <c r="D132" s="17" t="str">
        <f>IFERROR(INDEX(HS_MD!D:D,MATCH(B132,HS_MD!B:B,0),1),"")</f>
        <v>Mucilages and thickeners</v>
      </c>
      <c r="E132" s="17" t="str">
        <f>IFERROR(INDEX(HS_MD!E:E,MATCH(B132,HS_MD!B:B,0),1),"")</f>
        <v>Carrageenan</v>
      </c>
      <c r="F132" s="17" t="str">
        <f>IFERROR(INDEX(HS_MD!F:F,MATCH(B132,HS_MD!B:B,0),1),"")</f>
        <v>FUNCTIONAL INGREDIENTS</v>
      </c>
      <c r="G132" s="17" t="str">
        <f>IFERROR(INDEX(HS_MD!G:G,MATCH(B132,HS_MD!B:B,0),1),"")</f>
        <v>Hydrocolloids</v>
      </c>
      <c r="H132" s="17" t="str">
        <f>IFERROR(INDEX(HS_MD!H:H,MATCH(B132,HS_MD!B:B,0),1),"")</f>
        <v>Carrageenan</v>
      </c>
      <c r="I132" s="17" t="str">
        <f>IFERROR(INDEX(HS_MD!I:I,MATCH(B132,HS_MD!B:B,0),1),"")</f>
        <v>Dairy / Processed Meat</v>
      </c>
      <c r="J132" s="17">
        <f>IFERROR(INDEX(Heat_Map[Index],MATCH(HS_DB[[#This Row],[Reporter]],Heat_Map[Global],0),1),"")</f>
        <v>36</v>
      </c>
      <c r="K132" s="17" t="str">
        <f>IF(AND(HS_DB[[#This Row],[Origin Rank]]&gt;1,HS_DB[[#This Row],[Origin Rank]]&lt;=10),"Yes","No")</f>
        <v>No</v>
      </c>
      <c r="L132" s="2">
        <v>2024</v>
      </c>
      <c r="M132" s="2" t="s">
        <v>57</v>
      </c>
      <c r="N132" s="2" t="s">
        <v>1</v>
      </c>
      <c r="O132" s="2" t="s">
        <v>22</v>
      </c>
      <c r="P132" s="2" t="s">
        <v>23</v>
      </c>
      <c r="Q132" s="2" t="s">
        <v>24</v>
      </c>
      <c r="R132" s="2" t="s">
        <v>25</v>
      </c>
      <c r="S132" s="2">
        <v>130239</v>
      </c>
      <c r="T132" s="3">
        <v>1500699</v>
      </c>
      <c r="U132" s="3">
        <v>276640</v>
      </c>
      <c r="V132" s="3">
        <v>0</v>
      </c>
      <c r="W132" s="3">
        <v>276640</v>
      </c>
      <c r="X132" s="3" t="s">
        <v>58</v>
      </c>
      <c r="Y132" s="3">
        <v>276640</v>
      </c>
      <c r="Z132" s="3" t="s">
        <v>58</v>
      </c>
      <c r="AA132" s="6">
        <f>SUMIFS(HS_DB[Trade Value - USD],HS_DB[Reporter],HS_DB[[#This Row],[Reporter]])/SUM(HS_DB[Trade Value - USD])</f>
        <v>6.321329281187793E-2</v>
      </c>
      <c r="AB132" s="8" cm="1">
        <f t="array" ref="AB132">SUMPRODUCT(
(HS_DB[Reporter]=HS_DB[[#This Row],[Reporter]])*
(HS_DB[Trade Value - USD]&gt;HS_DB[[#This Row],[Trade Value - USD]])
)+1</f>
        <v>18</v>
      </c>
      <c r="AC132" s="8" t="str">
        <f>IFERROR(IF(INDEX(Heat_Map[Crisis Impact %],MATCH(HS_DB[[#This Row],[Reporter]],Heat_Map[Global],0),1)&gt;0,"Yes","No"),"No")</f>
        <v>Yes</v>
      </c>
      <c r="AD132" s="6">
        <f>IFERROR(INDEX(Heat_Map[Crisis Impact %],MATCH(HS_DB[[#This Row],[Reporter]],Heat_Map[Global],0),1),0)</f>
        <v>0.14000000000000001</v>
      </c>
      <c r="AE132" s="8">
        <f>HS_DB[[#This Row],[Crisis Impact%]]*HS_DB[[#This Row],[Trade Value - USD]]</f>
        <v>210097.86000000002</v>
      </c>
      <c r="AF132" s="8">
        <f>HS_DB[[#This Row],[Crisis Impact%]]*HS_DB[[#This Row],[Net Weight -KG]]</f>
        <v>38729.600000000006</v>
      </c>
      <c r="AG132" s="6">
        <f>SUMIFS(HS_DB[Trade Value - USD],HS_DB[Products],HS_DB[[#This Row],[Products]])/SUM(HS_DB[Trade Value - USD])</f>
        <v>3.2821229382954242E-3</v>
      </c>
      <c r="AH132" s="8">
        <f>_xlfn.RANK.EQ(HS_DB[[#This Row],[Trade Value - USD]], HS_DB[Trade Value - USD], 0)
 + COUNTIFS(HS_DB[Trade Value - USD],HS_DB[[#This Row],[Trade Value - USD]],
            HS_DB[HS Code],"&lt;"&amp;HS_DB[[#This Row],[HS Code]])</f>
        <v>76</v>
      </c>
      <c r="AI132" s="9">
        <f>IFERROR(HS_DB[[#This Row],[Trade Value - USD]]/HS_DB[[#This Row],[Net Weight -KG]],0)</f>
        <v>5.424736119144014</v>
      </c>
      <c r="AJ132" s="17" cm="1">
        <f t="array" ref="AJ132">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32" s="17" t="str">
        <f>IF(HS_DB[[#This Row],[HS Code Risk Score]]&gt;=40,"High",
 IF(HS_DB[[#This Row],[HS Code Risk Score]]&gt;=25,"Medium","Low"))</f>
        <v>Medium</v>
      </c>
      <c r="AL132" s="17" t="str">
        <f>IF(RANK(HS_DB[[#This Row],[HS Code Risk Score]],HS_DB[HS Code Risk Score])&lt;=10,"Yes","No")</f>
        <v>No</v>
      </c>
      <c r="AM132" s="8">
        <f>SUMIFS(HS_DB[Net Weight -KG],HS_DB[HS Code],HS_DB[[#This Row],[HS Code]])</f>
        <v>1977514.1</v>
      </c>
      <c r="AN132" s="8">
        <f>SUMIFS(HS_DB[Trade Value - USD],HS_DB[HS Code],HS_DB[[#This Row],[HS Code]])</f>
        <v>6186829</v>
      </c>
      <c r="AO132" s="6">
        <f>_xlfn.MAXIFS(HS_DB[Origin Share%],HS_DB[HS Code],HS_DB[[#This Row],[HS Code]])</f>
        <v>6.321329281187793E-2</v>
      </c>
      <c r="AP132" s="8" cm="1">
        <f t="array" ref="AP132">_xlfn.LET(
_xlpm.hs,HS_DB[[#This Row],[HS Code]],
COUNTA(_xlfn.UNIQUE(_xlfn._xlws.FILTER(HS_DB[Reporter],HS_DB[HS Code]=_xlpm.hs)))
)</f>
        <v>16</v>
      </c>
      <c r="AQ132" s="17" t="str">
        <f>IF(HS_DB[[#This Row],[Origin Count]]=1,"Single Source","Multiple Sources")</f>
        <v>Multiple Sources</v>
      </c>
      <c r="AR132" s="8">
        <f>HS_DB[[#This Row],[Annual Spend - USD]]*(HS_DB[[#This Row],[HS Code Risk Score]]/100)</f>
        <v>2103521.8600000003</v>
      </c>
      <c r="AS132" s="8">
        <f>RANK(HS_DB[[#This Row],[Risk Exposure - USD]],HS_DB[Risk Exposure - USD],0)</f>
        <v>369</v>
      </c>
      <c r="AT132" s="8" t="str">
        <f>IF(HS_DB[[#This Row],[Risk Exposure Rank]]&lt;=10,"High",
 IF(HS_DB[[#This Row],[Risk Exposure Rank]]&lt;=30,"Medium",
 "Low"))</f>
        <v>Low</v>
      </c>
      <c r="AU132" s="8" t="str">
        <f>IF(HS_DB[[#This Row],[Risk Exposure Rank]]&lt;=5,"Immediate Action",
 IF(HS_DB[[#This Row],[Risk Exposure Rank]]&lt;=15,"Monitor Closely",
 "Routine Control"))</f>
        <v>Routine Control</v>
      </c>
      <c r="AV132" s="8">
        <f>SUMIFS(HS_DB[Trade Value - USD],HS_DB[HS Code],HS_DB[[#This Row],[HS Code]])</f>
        <v>6186829</v>
      </c>
      <c r="AW132" s="6">
        <f>HS_DB[[#This Row],[Annual Spend - USD]]/HS_DB[[#This Row],[Total Market Size - USD]]</f>
        <v>1</v>
      </c>
      <c r="AX132" s="6" cm="1">
        <f t="array" ref="AX132">COUNTA(_xlfn.UNIQUE(_xlfn._xlws.FILTER(HS_DB[Partner],HS_DB[HS Code]=HS_DB[[#This Row],[HS Code]])))</f>
        <v>1</v>
      </c>
      <c r="AY132" s="8" t="str">
        <f>IF(HS_DB[[#This Row],[Competition Intensity]]&lt;=2,"Highly Concentrated",
 IF(HS_DB[[#This Row],[Competition Intensity]]&lt;=5,"Moderate",
 "Highly Competitive"))</f>
        <v>Highly Concentrated</v>
      </c>
      <c r="AZ132" s="8">
        <f>HS_DB[[#This Row],[Total Market Size - USD]]
*
(1+IFERROR(#REF!,0))
/
HS_DB[[#This Row],[Competition Intensity]]</f>
        <v>6186829</v>
      </c>
      <c r="BA132" s="8" t="str">
        <f>IF(HS_DB[[#This Row],[Commercial Opportunity Score]]&gt;=PERCENTILE(HS_DB[Commercial Opportunity Score],0.9),"High Opportunity",
 IF(HS_DB[[#This Row],[Commercial Opportunity Score]]&gt;=PERCENTILE(HS_DB[Commercial Opportunity Score],0.6),"Medium Opportunity",
 "Routine Market"))</f>
        <v>Routine Market</v>
      </c>
      <c r="BB132" s="3" t="str">
        <f>IF(AND(HS_DB[[#This Row],[Product Rank]]&gt;0,HS_DB[[#This Row],[Product Rank]]&lt;=10),"Yes","No")</f>
        <v>No</v>
      </c>
      <c r="BC132" s="3" t="str">
        <f>IF(AND(HS_DB[[#This Row],[Origin Rank]]&gt;0,HS_DB[[#This Row],[Origin Rank]]&lt;=10),"Yes","No")</f>
        <v>No</v>
      </c>
    </row>
    <row r="133" spans="2:55" x14ac:dyDescent="0.3">
      <c r="B133" s="2">
        <f>HS_DB[[#This Row],[Commodity Code]]</f>
        <v>130239</v>
      </c>
      <c r="C133" s="2">
        <f>IFERROR(INDEX(HS_MD!C:C,MATCH(B133,HS_MD!B:B,0),1),"")</f>
        <v>4</v>
      </c>
      <c r="D133" s="17" t="str">
        <f>IFERROR(INDEX(HS_MD!D:D,MATCH(B133,HS_MD!B:B,0),1),"")</f>
        <v>Mucilages and thickeners</v>
      </c>
      <c r="E133" s="17" t="str">
        <f>IFERROR(INDEX(HS_MD!E:E,MATCH(B133,HS_MD!B:B,0),1),"")</f>
        <v>Carrageenan</v>
      </c>
      <c r="F133" s="17" t="str">
        <f>IFERROR(INDEX(HS_MD!F:F,MATCH(B133,HS_MD!B:B,0),1),"")</f>
        <v>FUNCTIONAL INGREDIENTS</v>
      </c>
      <c r="G133" s="17" t="str">
        <f>IFERROR(INDEX(HS_MD!G:G,MATCH(B133,HS_MD!B:B,0),1),"")</f>
        <v>Hydrocolloids</v>
      </c>
      <c r="H133" s="17" t="str">
        <f>IFERROR(INDEX(HS_MD!H:H,MATCH(B133,HS_MD!B:B,0),1),"")</f>
        <v>Carrageenan</v>
      </c>
      <c r="I133" s="17" t="str">
        <f>IFERROR(INDEX(HS_MD!I:I,MATCH(B133,HS_MD!B:B,0),1),"")</f>
        <v>Dairy / Processed Meat</v>
      </c>
      <c r="J133" s="17">
        <f>IFERROR(INDEX(Heat_Map[Index],MATCH(HS_DB[[#This Row],[Reporter]],Heat_Map[Global],0),1),"")</f>
        <v>59</v>
      </c>
      <c r="K133" s="17" t="str">
        <f>IF(AND(HS_DB[[#This Row],[Origin Rank]]&gt;1,HS_DB[[#This Row],[Origin Rank]]&lt;=10),"Yes","No")</f>
        <v>No</v>
      </c>
      <c r="L133" s="2">
        <v>2024</v>
      </c>
      <c r="M133" s="2" t="s">
        <v>57</v>
      </c>
      <c r="N133" s="2" t="s">
        <v>44</v>
      </c>
      <c r="O133" s="2" t="s">
        <v>22</v>
      </c>
      <c r="P133" s="2" t="s">
        <v>23</v>
      </c>
      <c r="Q133" s="2" t="s">
        <v>24</v>
      </c>
      <c r="R133" s="2" t="s">
        <v>25</v>
      </c>
      <c r="S133" s="2">
        <v>130239</v>
      </c>
      <c r="T133" s="3">
        <v>247951</v>
      </c>
      <c r="U133" s="3">
        <v>12299</v>
      </c>
      <c r="V133" s="3">
        <v>0</v>
      </c>
      <c r="W133" s="3">
        <v>12299</v>
      </c>
      <c r="X133" s="3" t="s">
        <v>58</v>
      </c>
      <c r="Y133" s="3">
        <v>12299</v>
      </c>
      <c r="Z133" s="3" t="s">
        <v>58</v>
      </c>
      <c r="AA133" s="6">
        <f>SUMIFS(HS_DB[Trade Value - USD],HS_DB[Reporter],HS_DB[[#This Row],[Reporter]])/SUM(HS_DB[Trade Value - USD])</f>
        <v>1.6951290293147386E-2</v>
      </c>
      <c r="AB133" s="8" cm="1">
        <f t="array" ref="AB133">SUMPRODUCT(
(HS_DB[Reporter]=HS_DB[[#This Row],[Reporter]])*
(HS_DB[Trade Value - USD]&gt;HS_DB[[#This Row],[Trade Value - USD]])
)+1</f>
        <v>16</v>
      </c>
      <c r="AC133" s="8" t="str">
        <f>IFERROR(IF(INDEX(Heat_Map[Crisis Impact %],MATCH(HS_DB[[#This Row],[Reporter]],Heat_Map[Global],0),1)&gt;0,"Yes","No"),"No")</f>
        <v>No</v>
      </c>
      <c r="AD133" s="6">
        <f>IFERROR(INDEX(Heat_Map[Crisis Impact %],MATCH(HS_DB[[#This Row],[Reporter]],Heat_Map[Global],0),1),0)</f>
        <v>0</v>
      </c>
      <c r="AE133" s="8">
        <f>HS_DB[[#This Row],[Crisis Impact%]]*HS_DB[[#This Row],[Trade Value - USD]]</f>
        <v>0</v>
      </c>
      <c r="AF133" s="8">
        <f>HS_DB[[#This Row],[Crisis Impact%]]*HS_DB[[#This Row],[Net Weight -KG]]</f>
        <v>0</v>
      </c>
      <c r="AG133" s="6">
        <f>SUMIFS(HS_DB[Trade Value - USD],HS_DB[Products],HS_DB[[#This Row],[Products]])/SUM(HS_DB[Trade Value - USD])</f>
        <v>3.2821229382954242E-3</v>
      </c>
      <c r="AH133" s="8">
        <f>_xlfn.RANK.EQ(HS_DB[[#This Row],[Trade Value - USD]], HS_DB[Trade Value - USD], 0)
 + COUNTIFS(HS_DB[Trade Value - USD],HS_DB[[#This Row],[Trade Value - USD]],
            HS_DB[HS Code],"&lt;"&amp;HS_DB[[#This Row],[HS Code]])</f>
        <v>203</v>
      </c>
      <c r="AI133" s="9">
        <f>IFERROR(HS_DB[[#This Row],[Trade Value - USD]]/HS_DB[[#This Row],[Net Weight -KG]],0)</f>
        <v>20.160256931457841</v>
      </c>
      <c r="AJ133" s="17" cm="1">
        <f t="array" ref="AJ133">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33" s="17" t="str">
        <f>IF(HS_DB[[#This Row],[HS Code Risk Score]]&gt;=40,"High",
 IF(HS_DB[[#This Row],[HS Code Risk Score]]&gt;=25,"Medium","Low"))</f>
        <v>Medium</v>
      </c>
      <c r="AL133" s="17" t="str">
        <f>IF(RANK(HS_DB[[#This Row],[HS Code Risk Score]],HS_DB[HS Code Risk Score])&lt;=10,"Yes","No")</f>
        <v>No</v>
      </c>
      <c r="AM133" s="8">
        <f>SUMIFS(HS_DB[Net Weight -KG],HS_DB[HS Code],HS_DB[[#This Row],[HS Code]])</f>
        <v>1977514.1</v>
      </c>
      <c r="AN133" s="8">
        <f>SUMIFS(HS_DB[Trade Value - USD],HS_DB[HS Code],HS_DB[[#This Row],[HS Code]])</f>
        <v>6186829</v>
      </c>
      <c r="AO133" s="6">
        <f>_xlfn.MAXIFS(HS_DB[Origin Share%],HS_DB[HS Code],HS_DB[[#This Row],[HS Code]])</f>
        <v>6.321329281187793E-2</v>
      </c>
      <c r="AP133" s="8" cm="1">
        <f t="array" ref="AP133">_xlfn.LET(
_xlpm.hs,HS_DB[[#This Row],[HS Code]],
COUNTA(_xlfn.UNIQUE(_xlfn._xlws.FILTER(HS_DB[Reporter],HS_DB[HS Code]=_xlpm.hs)))
)</f>
        <v>16</v>
      </c>
      <c r="AQ133" s="17" t="str">
        <f>IF(HS_DB[[#This Row],[Origin Count]]=1,"Single Source","Multiple Sources")</f>
        <v>Multiple Sources</v>
      </c>
      <c r="AR133" s="8">
        <f>HS_DB[[#This Row],[Annual Spend - USD]]*(HS_DB[[#This Row],[HS Code Risk Score]]/100)</f>
        <v>2103521.8600000003</v>
      </c>
      <c r="AS133" s="8">
        <f>RANK(HS_DB[[#This Row],[Risk Exposure - USD]],HS_DB[Risk Exposure - USD],0)</f>
        <v>369</v>
      </c>
      <c r="AT133" s="8" t="str">
        <f>IF(HS_DB[[#This Row],[Risk Exposure Rank]]&lt;=10,"High",
 IF(HS_DB[[#This Row],[Risk Exposure Rank]]&lt;=30,"Medium",
 "Low"))</f>
        <v>Low</v>
      </c>
      <c r="AU133" s="8" t="str">
        <f>IF(HS_DB[[#This Row],[Risk Exposure Rank]]&lt;=5,"Immediate Action",
 IF(HS_DB[[#This Row],[Risk Exposure Rank]]&lt;=15,"Monitor Closely",
 "Routine Control"))</f>
        <v>Routine Control</v>
      </c>
      <c r="AV133" s="8">
        <f>SUMIFS(HS_DB[Trade Value - USD],HS_DB[HS Code],HS_DB[[#This Row],[HS Code]])</f>
        <v>6186829</v>
      </c>
      <c r="AW133" s="6">
        <f>HS_DB[[#This Row],[Annual Spend - USD]]/HS_DB[[#This Row],[Total Market Size - USD]]</f>
        <v>1</v>
      </c>
      <c r="AX133" s="6" cm="1">
        <f t="array" ref="AX133">COUNTA(_xlfn.UNIQUE(_xlfn._xlws.FILTER(HS_DB[Partner],HS_DB[HS Code]=HS_DB[[#This Row],[HS Code]])))</f>
        <v>1</v>
      </c>
      <c r="AY133" s="8" t="str">
        <f>IF(HS_DB[[#This Row],[Competition Intensity]]&lt;=2,"Highly Concentrated",
 IF(HS_DB[[#This Row],[Competition Intensity]]&lt;=5,"Moderate",
 "Highly Competitive"))</f>
        <v>Highly Concentrated</v>
      </c>
      <c r="AZ133" s="8">
        <f>HS_DB[[#This Row],[Total Market Size - USD]]
*
(1+IFERROR(#REF!,0))
/
HS_DB[[#This Row],[Competition Intensity]]</f>
        <v>6186829</v>
      </c>
      <c r="BA133" s="8" t="str">
        <f>IF(HS_DB[[#This Row],[Commercial Opportunity Score]]&gt;=PERCENTILE(HS_DB[Commercial Opportunity Score],0.9),"High Opportunity",
 IF(HS_DB[[#This Row],[Commercial Opportunity Score]]&gt;=PERCENTILE(HS_DB[Commercial Opportunity Score],0.6),"Medium Opportunity",
 "Routine Market"))</f>
        <v>Routine Market</v>
      </c>
      <c r="BB133" s="3" t="str">
        <f>IF(AND(HS_DB[[#This Row],[Product Rank]]&gt;0,HS_DB[[#This Row],[Product Rank]]&lt;=10),"Yes","No")</f>
        <v>No</v>
      </c>
      <c r="BC133" s="3" t="str">
        <f>IF(AND(HS_DB[[#This Row],[Origin Rank]]&gt;0,HS_DB[[#This Row],[Origin Rank]]&lt;=10),"Yes","No")</f>
        <v>No</v>
      </c>
    </row>
    <row r="134" spans="2:55" x14ac:dyDescent="0.3">
      <c r="B134" s="2">
        <f>HS_DB[[#This Row],[Commodity Code]]</f>
        <v>130239</v>
      </c>
      <c r="C134" s="2">
        <f>IFERROR(INDEX(HS_MD!C:C,MATCH(B134,HS_MD!B:B,0),1),"")</f>
        <v>4</v>
      </c>
      <c r="D134" s="17" t="str">
        <f>IFERROR(INDEX(HS_MD!D:D,MATCH(B134,HS_MD!B:B,0),1),"")</f>
        <v>Mucilages and thickeners</v>
      </c>
      <c r="E134" s="17" t="str">
        <f>IFERROR(INDEX(HS_MD!E:E,MATCH(B134,HS_MD!B:B,0),1),"")</f>
        <v>Carrageenan</v>
      </c>
      <c r="F134" s="17" t="str">
        <f>IFERROR(INDEX(HS_MD!F:F,MATCH(B134,HS_MD!B:B,0),1),"")</f>
        <v>FUNCTIONAL INGREDIENTS</v>
      </c>
      <c r="G134" s="17" t="str">
        <f>IFERROR(INDEX(HS_MD!G:G,MATCH(B134,HS_MD!B:B,0),1),"")</f>
        <v>Hydrocolloids</v>
      </c>
      <c r="H134" s="17" t="str">
        <f>IFERROR(INDEX(HS_MD!H:H,MATCH(B134,HS_MD!B:B,0),1),"")</f>
        <v>Carrageenan</v>
      </c>
      <c r="I134" s="17" t="str">
        <f>IFERROR(INDEX(HS_MD!I:I,MATCH(B134,HS_MD!B:B,0),1),"")</f>
        <v>Dairy / Processed Meat</v>
      </c>
      <c r="J134" s="17">
        <f>IFERROR(INDEX(Heat_Map[Index],MATCH(HS_DB[[#This Row],[Reporter]],Heat_Map[Global],0),1),"")</f>
        <v>63</v>
      </c>
      <c r="K134" s="17" t="str">
        <f>IF(AND(HS_DB[[#This Row],[Origin Rank]]&gt;1,HS_DB[[#This Row],[Origin Rank]]&lt;=10),"Yes","No")</f>
        <v>No</v>
      </c>
      <c r="L134" s="2">
        <v>2024</v>
      </c>
      <c r="M134" s="2" t="s">
        <v>57</v>
      </c>
      <c r="N134" s="2" t="s">
        <v>2</v>
      </c>
      <c r="O134" s="2" t="s">
        <v>22</v>
      </c>
      <c r="P134" s="2" t="s">
        <v>23</v>
      </c>
      <c r="Q134" s="2" t="s">
        <v>24</v>
      </c>
      <c r="R134" s="2" t="s">
        <v>25</v>
      </c>
      <c r="S134" s="2">
        <v>130239</v>
      </c>
      <c r="T134" s="3">
        <v>539</v>
      </c>
      <c r="U134" s="3">
        <v>20</v>
      </c>
      <c r="V134" s="3">
        <v>0</v>
      </c>
      <c r="W134" s="3">
        <v>20</v>
      </c>
      <c r="X134" s="3" t="s">
        <v>58</v>
      </c>
      <c r="Y134" s="3">
        <v>20</v>
      </c>
      <c r="Z134" s="3" t="s">
        <v>58</v>
      </c>
      <c r="AA134" s="6">
        <f>SUMIFS(HS_DB[Trade Value - USD],HS_DB[Reporter],HS_DB[[#This Row],[Reporter]])/SUM(HS_DB[Trade Value - USD])</f>
        <v>1.1674623358397021E-2</v>
      </c>
      <c r="AB134" s="8" cm="1">
        <f t="array" ref="AB134">SUMPRODUCT(
(HS_DB[Reporter]=HS_DB[[#This Row],[Reporter]])*
(HS_DB[Trade Value - USD]&gt;HS_DB[[#This Row],[Trade Value - USD]])
)+1</f>
        <v>33</v>
      </c>
      <c r="AC134" s="8" t="str">
        <f>IFERROR(IF(INDEX(Heat_Map[Crisis Impact %],MATCH(HS_DB[[#This Row],[Reporter]],Heat_Map[Global],0),1)&gt;0,"Yes","No"),"No")</f>
        <v>No</v>
      </c>
      <c r="AD134" s="6">
        <f>IFERROR(INDEX(Heat_Map[Crisis Impact %],MATCH(HS_DB[[#This Row],[Reporter]],Heat_Map[Global],0),1),0)</f>
        <v>0</v>
      </c>
      <c r="AE134" s="8">
        <f>HS_DB[[#This Row],[Crisis Impact%]]*HS_DB[[#This Row],[Trade Value - USD]]</f>
        <v>0</v>
      </c>
      <c r="AF134" s="8">
        <f>HS_DB[[#This Row],[Crisis Impact%]]*HS_DB[[#This Row],[Net Weight -KG]]</f>
        <v>0</v>
      </c>
      <c r="AG134" s="6">
        <f>SUMIFS(HS_DB[Trade Value - USD],HS_DB[Products],HS_DB[[#This Row],[Products]])/SUM(HS_DB[Trade Value - USD])</f>
        <v>3.2821229382954242E-3</v>
      </c>
      <c r="AH134" s="8">
        <f>_xlfn.RANK.EQ(HS_DB[[#This Row],[Trade Value - USD]], HS_DB[Trade Value - USD], 0)
 + COUNTIFS(HS_DB[Trade Value - USD],HS_DB[[#This Row],[Trade Value - USD]],
            HS_DB[HS Code],"&lt;"&amp;HS_DB[[#This Row],[HS Code]])</f>
        <v>497</v>
      </c>
      <c r="AI134" s="9">
        <f>IFERROR(HS_DB[[#This Row],[Trade Value - USD]]/HS_DB[[#This Row],[Net Weight -KG]],0)</f>
        <v>26.95</v>
      </c>
      <c r="AJ134" s="17" cm="1">
        <f t="array" ref="AJ134">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34" s="17" t="str">
        <f>IF(HS_DB[[#This Row],[HS Code Risk Score]]&gt;=40,"High",
 IF(HS_DB[[#This Row],[HS Code Risk Score]]&gt;=25,"Medium","Low"))</f>
        <v>Medium</v>
      </c>
      <c r="AL134" s="17" t="str">
        <f>IF(RANK(HS_DB[[#This Row],[HS Code Risk Score]],HS_DB[HS Code Risk Score])&lt;=10,"Yes","No")</f>
        <v>No</v>
      </c>
      <c r="AM134" s="8">
        <f>SUMIFS(HS_DB[Net Weight -KG],HS_DB[HS Code],HS_DB[[#This Row],[HS Code]])</f>
        <v>1977514.1</v>
      </c>
      <c r="AN134" s="8">
        <f>SUMIFS(HS_DB[Trade Value - USD],HS_DB[HS Code],HS_DB[[#This Row],[HS Code]])</f>
        <v>6186829</v>
      </c>
      <c r="AO134" s="6">
        <f>_xlfn.MAXIFS(HS_DB[Origin Share%],HS_DB[HS Code],HS_DB[[#This Row],[HS Code]])</f>
        <v>6.321329281187793E-2</v>
      </c>
      <c r="AP134" s="8" cm="1">
        <f t="array" ref="AP134">_xlfn.LET(
_xlpm.hs,HS_DB[[#This Row],[HS Code]],
COUNTA(_xlfn.UNIQUE(_xlfn._xlws.FILTER(HS_DB[Reporter],HS_DB[HS Code]=_xlpm.hs)))
)</f>
        <v>16</v>
      </c>
      <c r="AQ134" s="17" t="str">
        <f>IF(HS_DB[[#This Row],[Origin Count]]=1,"Single Source","Multiple Sources")</f>
        <v>Multiple Sources</v>
      </c>
      <c r="AR134" s="8">
        <f>HS_DB[[#This Row],[Annual Spend - USD]]*(HS_DB[[#This Row],[HS Code Risk Score]]/100)</f>
        <v>2103521.8600000003</v>
      </c>
      <c r="AS134" s="8">
        <f>RANK(HS_DB[[#This Row],[Risk Exposure - USD]],HS_DB[Risk Exposure - USD],0)</f>
        <v>369</v>
      </c>
      <c r="AT134" s="8" t="str">
        <f>IF(HS_DB[[#This Row],[Risk Exposure Rank]]&lt;=10,"High",
 IF(HS_DB[[#This Row],[Risk Exposure Rank]]&lt;=30,"Medium",
 "Low"))</f>
        <v>Low</v>
      </c>
      <c r="AU134" s="8" t="str">
        <f>IF(HS_DB[[#This Row],[Risk Exposure Rank]]&lt;=5,"Immediate Action",
 IF(HS_DB[[#This Row],[Risk Exposure Rank]]&lt;=15,"Monitor Closely",
 "Routine Control"))</f>
        <v>Routine Control</v>
      </c>
      <c r="AV134" s="8">
        <f>SUMIFS(HS_DB[Trade Value - USD],HS_DB[HS Code],HS_DB[[#This Row],[HS Code]])</f>
        <v>6186829</v>
      </c>
      <c r="AW134" s="6">
        <f>HS_DB[[#This Row],[Annual Spend - USD]]/HS_DB[[#This Row],[Total Market Size - USD]]</f>
        <v>1</v>
      </c>
      <c r="AX134" s="6" cm="1">
        <f t="array" ref="AX134">COUNTA(_xlfn.UNIQUE(_xlfn._xlws.FILTER(HS_DB[Partner],HS_DB[HS Code]=HS_DB[[#This Row],[HS Code]])))</f>
        <v>1</v>
      </c>
      <c r="AY134" s="8" t="str">
        <f>IF(HS_DB[[#This Row],[Competition Intensity]]&lt;=2,"Highly Concentrated",
 IF(HS_DB[[#This Row],[Competition Intensity]]&lt;=5,"Moderate",
 "Highly Competitive"))</f>
        <v>Highly Concentrated</v>
      </c>
      <c r="AZ134" s="8">
        <f>HS_DB[[#This Row],[Total Market Size - USD]]
*
(1+IFERROR(#REF!,0))
/
HS_DB[[#This Row],[Competition Intensity]]</f>
        <v>6186829</v>
      </c>
      <c r="BA134" s="8" t="str">
        <f>IF(HS_DB[[#This Row],[Commercial Opportunity Score]]&gt;=PERCENTILE(HS_DB[Commercial Opportunity Score],0.9),"High Opportunity",
 IF(HS_DB[[#This Row],[Commercial Opportunity Score]]&gt;=PERCENTILE(HS_DB[Commercial Opportunity Score],0.6),"Medium Opportunity",
 "Routine Market"))</f>
        <v>Routine Market</v>
      </c>
      <c r="BB134" s="3" t="str">
        <f>IF(AND(HS_DB[[#This Row],[Product Rank]]&gt;0,HS_DB[[#This Row],[Product Rank]]&lt;=10),"Yes","No")</f>
        <v>No</v>
      </c>
      <c r="BC134" s="3" t="str">
        <f>IF(AND(HS_DB[[#This Row],[Origin Rank]]&gt;0,HS_DB[[#This Row],[Origin Rank]]&lt;=10),"Yes","No")</f>
        <v>No</v>
      </c>
    </row>
    <row r="135" spans="2:55" x14ac:dyDescent="0.3">
      <c r="B135" s="2">
        <f>HS_DB[[#This Row],[Commodity Code]]</f>
        <v>130239</v>
      </c>
      <c r="C135" s="2">
        <f>IFERROR(INDEX(HS_MD!C:C,MATCH(B135,HS_MD!B:B,0),1),"")</f>
        <v>4</v>
      </c>
      <c r="D135" s="17" t="str">
        <f>IFERROR(INDEX(HS_MD!D:D,MATCH(B135,HS_MD!B:B,0),1),"")</f>
        <v>Mucilages and thickeners</v>
      </c>
      <c r="E135" s="17" t="str">
        <f>IFERROR(INDEX(HS_MD!E:E,MATCH(B135,HS_MD!B:B,0),1),"")</f>
        <v>Carrageenan</v>
      </c>
      <c r="F135" s="17" t="str">
        <f>IFERROR(INDEX(HS_MD!F:F,MATCH(B135,HS_MD!B:B,0),1),"")</f>
        <v>FUNCTIONAL INGREDIENTS</v>
      </c>
      <c r="G135" s="17" t="str">
        <f>IFERROR(INDEX(HS_MD!G:G,MATCH(B135,HS_MD!B:B,0),1),"")</f>
        <v>Hydrocolloids</v>
      </c>
      <c r="H135" s="17" t="str">
        <f>IFERROR(INDEX(HS_MD!H:H,MATCH(B135,HS_MD!B:B,0),1),"")</f>
        <v>Carrageenan</v>
      </c>
      <c r="I135" s="17" t="str">
        <f>IFERROR(INDEX(HS_MD!I:I,MATCH(B135,HS_MD!B:B,0),1),"")</f>
        <v>Dairy / Processed Meat</v>
      </c>
      <c r="J135" s="17">
        <f>IFERROR(INDEX(Heat_Map[Index],MATCH(HS_DB[[#This Row],[Reporter]],Heat_Map[Global],0),1),"")</f>
        <v>81</v>
      </c>
      <c r="K135" s="17" t="str">
        <f>IF(AND(HS_DB[[#This Row],[Origin Rank]]&gt;1,HS_DB[[#This Row],[Origin Rank]]&lt;=10),"Yes","No")</f>
        <v>No</v>
      </c>
      <c r="L135" s="2">
        <v>2024</v>
      </c>
      <c r="M135" s="2" t="s">
        <v>57</v>
      </c>
      <c r="N135" s="2" t="s">
        <v>49</v>
      </c>
      <c r="O135" s="2" t="s">
        <v>22</v>
      </c>
      <c r="P135" s="2" t="s">
        <v>23</v>
      </c>
      <c r="Q135" s="2" t="s">
        <v>24</v>
      </c>
      <c r="R135" s="2" t="s">
        <v>25</v>
      </c>
      <c r="S135" s="2">
        <v>130239</v>
      </c>
      <c r="T135" s="3">
        <v>156348</v>
      </c>
      <c r="U135" s="3">
        <v>10075</v>
      </c>
      <c r="V135" s="3">
        <v>0</v>
      </c>
      <c r="W135" s="3">
        <v>10075</v>
      </c>
      <c r="X135" s="3" t="s">
        <v>58</v>
      </c>
      <c r="Y135" s="3">
        <v>10075</v>
      </c>
      <c r="Z135" s="3" t="s">
        <v>58</v>
      </c>
      <c r="AA135" s="6">
        <f>SUMIFS(HS_DB[Trade Value - USD],HS_DB[Reporter],HS_DB[[#This Row],[Reporter]])/SUM(HS_DB[Trade Value - USD])</f>
        <v>1.1178535358665947E-2</v>
      </c>
      <c r="AB135" s="8" cm="1">
        <f t="array" ref="AB135">SUMPRODUCT(
(HS_DB[Reporter]=HS_DB[[#This Row],[Reporter]])*
(HS_DB[Trade Value - USD]&gt;HS_DB[[#This Row],[Trade Value - USD]])
)+1</f>
        <v>11</v>
      </c>
      <c r="AC135" s="8" t="str">
        <f>IFERROR(IF(INDEX(Heat_Map[Crisis Impact %],MATCH(HS_DB[[#This Row],[Reporter]],Heat_Map[Global],0),1)&gt;0,"Yes","No"),"No")</f>
        <v>No</v>
      </c>
      <c r="AD135" s="6">
        <f>IFERROR(INDEX(Heat_Map[Crisis Impact %],MATCH(HS_DB[[#This Row],[Reporter]],Heat_Map[Global],0),1),0)</f>
        <v>0</v>
      </c>
      <c r="AE135" s="8">
        <f>HS_DB[[#This Row],[Crisis Impact%]]*HS_DB[[#This Row],[Trade Value - USD]]</f>
        <v>0</v>
      </c>
      <c r="AF135" s="8">
        <f>HS_DB[[#This Row],[Crisis Impact%]]*HS_DB[[#This Row],[Net Weight -KG]]</f>
        <v>0</v>
      </c>
      <c r="AG135" s="6">
        <f>SUMIFS(HS_DB[Trade Value - USD],HS_DB[Products],HS_DB[[#This Row],[Products]])/SUM(HS_DB[Trade Value - USD])</f>
        <v>3.2821229382954242E-3</v>
      </c>
      <c r="AH135" s="8">
        <f>_xlfn.RANK.EQ(HS_DB[[#This Row],[Trade Value - USD]], HS_DB[Trade Value - USD], 0)
 + COUNTIFS(HS_DB[Trade Value - USD],HS_DB[[#This Row],[Trade Value - USD]],
            HS_DB[HS Code],"&lt;"&amp;HS_DB[[#This Row],[HS Code]])</f>
        <v>242</v>
      </c>
      <c r="AI135" s="9">
        <f>IFERROR(HS_DB[[#This Row],[Trade Value - USD]]/HS_DB[[#This Row],[Net Weight -KG]],0)</f>
        <v>15.518411910669975</v>
      </c>
      <c r="AJ135" s="17" cm="1">
        <f t="array" ref="AJ135">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35" s="17" t="str">
        <f>IF(HS_DB[[#This Row],[HS Code Risk Score]]&gt;=40,"High",
 IF(HS_DB[[#This Row],[HS Code Risk Score]]&gt;=25,"Medium","Low"))</f>
        <v>Medium</v>
      </c>
      <c r="AL135" s="17" t="str">
        <f>IF(RANK(HS_DB[[#This Row],[HS Code Risk Score]],HS_DB[HS Code Risk Score])&lt;=10,"Yes","No")</f>
        <v>No</v>
      </c>
      <c r="AM135" s="8">
        <f>SUMIFS(HS_DB[Net Weight -KG],HS_DB[HS Code],HS_DB[[#This Row],[HS Code]])</f>
        <v>1977514.1</v>
      </c>
      <c r="AN135" s="8">
        <f>SUMIFS(HS_DB[Trade Value - USD],HS_DB[HS Code],HS_DB[[#This Row],[HS Code]])</f>
        <v>6186829</v>
      </c>
      <c r="AO135" s="6">
        <f>_xlfn.MAXIFS(HS_DB[Origin Share%],HS_DB[HS Code],HS_DB[[#This Row],[HS Code]])</f>
        <v>6.321329281187793E-2</v>
      </c>
      <c r="AP135" s="8" cm="1">
        <f t="array" ref="AP135">_xlfn.LET(
_xlpm.hs,HS_DB[[#This Row],[HS Code]],
COUNTA(_xlfn.UNIQUE(_xlfn._xlws.FILTER(HS_DB[Reporter],HS_DB[HS Code]=_xlpm.hs)))
)</f>
        <v>16</v>
      </c>
      <c r="AQ135" s="17" t="str">
        <f>IF(HS_DB[[#This Row],[Origin Count]]=1,"Single Source","Multiple Sources")</f>
        <v>Multiple Sources</v>
      </c>
      <c r="AR135" s="8">
        <f>HS_DB[[#This Row],[Annual Spend - USD]]*(HS_DB[[#This Row],[HS Code Risk Score]]/100)</f>
        <v>2103521.8600000003</v>
      </c>
      <c r="AS135" s="8">
        <f>RANK(HS_DB[[#This Row],[Risk Exposure - USD]],HS_DB[Risk Exposure - USD],0)</f>
        <v>369</v>
      </c>
      <c r="AT135" s="8" t="str">
        <f>IF(HS_DB[[#This Row],[Risk Exposure Rank]]&lt;=10,"High",
 IF(HS_DB[[#This Row],[Risk Exposure Rank]]&lt;=30,"Medium",
 "Low"))</f>
        <v>Low</v>
      </c>
      <c r="AU135" s="8" t="str">
        <f>IF(HS_DB[[#This Row],[Risk Exposure Rank]]&lt;=5,"Immediate Action",
 IF(HS_DB[[#This Row],[Risk Exposure Rank]]&lt;=15,"Monitor Closely",
 "Routine Control"))</f>
        <v>Routine Control</v>
      </c>
      <c r="AV135" s="8">
        <f>SUMIFS(HS_DB[Trade Value - USD],HS_DB[HS Code],HS_DB[[#This Row],[HS Code]])</f>
        <v>6186829</v>
      </c>
      <c r="AW135" s="6">
        <f>HS_DB[[#This Row],[Annual Spend - USD]]/HS_DB[[#This Row],[Total Market Size - USD]]</f>
        <v>1</v>
      </c>
      <c r="AX135" s="6" cm="1">
        <f t="array" ref="AX135">COUNTA(_xlfn.UNIQUE(_xlfn._xlws.FILTER(HS_DB[Partner],HS_DB[HS Code]=HS_DB[[#This Row],[HS Code]])))</f>
        <v>1</v>
      </c>
      <c r="AY135" s="8" t="str">
        <f>IF(HS_DB[[#This Row],[Competition Intensity]]&lt;=2,"Highly Concentrated",
 IF(HS_DB[[#This Row],[Competition Intensity]]&lt;=5,"Moderate",
 "Highly Competitive"))</f>
        <v>Highly Concentrated</v>
      </c>
      <c r="AZ135" s="8">
        <f>HS_DB[[#This Row],[Total Market Size - USD]]
*
(1+IFERROR(#REF!,0))
/
HS_DB[[#This Row],[Competition Intensity]]</f>
        <v>6186829</v>
      </c>
      <c r="BA135" s="8" t="str">
        <f>IF(HS_DB[[#This Row],[Commercial Opportunity Score]]&gt;=PERCENTILE(HS_DB[Commercial Opportunity Score],0.9),"High Opportunity",
 IF(HS_DB[[#This Row],[Commercial Opportunity Score]]&gt;=PERCENTILE(HS_DB[Commercial Opportunity Score],0.6),"Medium Opportunity",
 "Routine Market"))</f>
        <v>Routine Market</v>
      </c>
      <c r="BB135" s="3" t="str">
        <f>IF(AND(HS_DB[[#This Row],[Product Rank]]&gt;0,HS_DB[[#This Row],[Product Rank]]&lt;=10),"Yes","No")</f>
        <v>No</v>
      </c>
      <c r="BC135" s="3" t="str">
        <f>IF(AND(HS_DB[[#This Row],[Origin Rank]]&gt;0,HS_DB[[#This Row],[Origin Rank]]&lt;=10),"Yes","No")</f>
        <v>No</v>
      </c>
    </row>
    <row r="136" spans="2:55" x14ac:dyDescent="0.3">
      <c r="B136" s="2">
        <f>HS_DB[[#This Row],[Commodity Code]]</f>
        <v>130239</v>
      </c>
      <c r="C136" s="2">
        <f>IFERROR(INDEX(HS_MD!C:C,MATCH(B136,HS_MD!B:B,0),1),"")</f>
        <v>4</v>
      </c>
      <c r="D136" s="17" t="str">
        <f>IFERROR(INDEX(HS_MD!D:D,MATCH(B136,HS_MD!B:B,0),1),"")</f>
        <v>Mucilages and thickeners</v>
      </c>
      <c r="E136" s="17" t="str">
        <f>IFERROR(INDEX(HS_MD!E:E,MATCH(B136,HS_MD!B:B,0),1),"")</f>
        <v>Carrageenan</v>
      </c>
      <c r="F136" s="17" t="str">
        <f>IFERROR(INDEX(HS_MD!F:F,MATCH(B136,HS_MD!B:B,0),1),"")</f>
        <v>FUNCTIONAL INGREDIENTS</v>
      </c>
      <c r="G136" s="17" t="str">
        <f>IFERROR(INDEX(HS_MD!G:G,MATCH(B136,HS_MD!B:B,0),1),"")</f>
        <v>Hydrocolloids</v>
      </c>
      <c r="H136" s="17" t="str">
        <f>IFERROR(INDEX(HS_MD!H:H,MATCH(B136,HS_MD!B:B,0),1),"")</f>
        <v>Carrageenan</v>
      </c>
      <c r="I136" s="17" t="str">
        <f>IFERROR(INDEX(HS_MD!I:I,MATCH(B136,HS_MD!B:B,0),1),"")</f>
        <v>Dairy / Processed Meat</v>
      </c>
      <c r="J136" s="17">
        <f>IFERROR(INDEX(Heat_Map[Index],MATCH(HS_DB[[#This Row],[Reporter]],Heat_Map[Global],0),1),"")</f>
        <v>123</v>
      </c>
      <c r="K136" s="17" t="str">
        <f>IF(AND(HS_DB[[#This Row],[Origin Rank]]&gt;1,HS_DB[[#This Row],[Origin Rank]]&lt;=10),"Yes","No")</f>
        <v>Yes</v>
      </c>
      <c r="L136" s="2">
        <v>2024</v>
      </c>
      <c r="M136" s="2" t="s">
        <v>57</v>
      </c>
      <c r="N136" s="2" t="s">
        <v>330</v>
      </c>
      <c r="O136" s="2" t="s">
        <v>22</v>
      </c>
      <c r="P136" s="2" t="s">
        <v>23</v>
      </c>
      <c r="Q136" s="2" t="s">
        <v>24</v>
      </c>
      <c r="R136" s="2" t="s">
        <v>25</v>
      </c>
      <c r="S136" s="2">
        <v>130239</v>
      </c>
      <c r="T136" s="3">
        <v>292080</v>
      </c>
      <c r="U136" s="3">
        <v>42503</v>
      </c>
      <c r="V136" s="3">
        <v>0</v>
      </c>
      <c r="W136" s="3">
        <v>42503</v>
      </c>
      <c r="X136" s="3" t="s">
        <v>58</v>
      </c>
      <c r="Y136" s="3">
        <v>42503</v>
      </c>
      <c r="Z136" s="3" t="s">
        <v>58</v>
      </c>
      <c r="AA136" s="6">
        <f>SUMIFS(HS_DB[Trade Value - USD],HS_DB[Reporter],HS_DB[[#This Row],[Reporter]])/SUM(HS_DB[Trade Value - USD])</f>
        <v>1.389484063100993E-2</v>
      </c>
      <c r="AB136" s="8" cm="1">
        <f t="array" ref="AB136">SUMPRODUCT(
(HS_DB[Reporter]=HS_DB[[#This Row],[Reporter]])*
(HS_DB[Trade Value - USD]&gt;HS_DB[[#This Row],[Trade Value - USD]])
)+1</f>
        <v>4</v>
      </c>
      <c r="AC136" s="8" t="str">
        <f>IFERROR(IF(INDEX(Heat_Map[Crisis Impact %],MATCH(HS_DB[[#This Row],[Reporter]],Heat_Map[Global],0),1)&gt;0,"Yes","No"),"No")</f>
        <v>No</v>
      </c>
      <c r="AD136" s="6">
        <f>IFERROR(INDEX(Heat_Map[Crisis Impact %],MATCH(HS_DB[[#This Row],[Reporter]],Heat_Map[Global],0),1),0)</f>
        <v>0</v>
      </c>
      <c r="AE136" s="8">
        <f>HS_DB[[#This Row],[Crisis Impact%]]*HS_DB[[#This Row],[Trade Value - USD]]</f>
        <v>0</v>
      </c>
      <c r="AF136" s="8">
        <f>HS_DB[[#This Row],[Crisis Impact%]]*HS_DB[[#This Row],[Net Weight -KG]]</f>
        <v>0</v>
      </c>
      <c r="AG136" s="6">
        <f>SUMIFS(HS_DB[Trade Value - USD],HS_DB[Products],HS_DB[[#This Row],[Products]])/SUM(HS_DB[Trade Value - USD])</f>
        <v>3.2821229382954242E-3</v>
      </c>
      <c r="AH136" s="8">
        <f>_xlfn.RANK.EQ(HS_DB[[#This Row],[Trade Value - USD]], HS_DB[Trade Value - USD], 0)
 + COUNTIFS(HS_DB[Trade Value - USD],HS_DB[[#This Row],[Trade Value - USD]],
            HS_DB[HS Code],"&lt;"&amp;HS_DB[[#This Row],[HS Code]])</f>
        <v>192</v>
      </c>
      <c r="AI136" s="9">
        <f>IFERROR(HS_DB[[#This Row],[Trade Value - USD]]/HS_DB[[#This Row],[Net Weight -KG]],0)</f>
        <v>6.8719855069053946</v>
      </c>
      <c r="AJ136" s="17" cm="1">
        <f t="array" ref="AJ136">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36" s="17" t="str">
        <f>IF(HS_DB[[#This Row],[HS Code Risk Score]]&gt;=40,"High",
 IF(HS_DB[[#This Row],[HS Code Risk Score]]&gt;=25,"Medium","Low"))</f>
        <v>Medium</v>
      </c>
      <c r="AL136" s="17" t="str">
        <f>IF(RANK(HS_DB[[#This Row],[HS Code Risk Score]],HS_DB[HS Code Risk Score])&lt;=10,"Yes","No")</f>
        <v>No</v>
      </c>
      <c r="AM136" s="8">
        <f>SUMIFS(HS_DB[Net Weight -KG],HS_DB[HS Code],HS_DB[[#This Row],[HS Code]])</f>
        <v>1977514.1</v>
      </c>
      <c r="AN136" s="8">
        <f>SUMIFS(HS_DB[Trade Value - USD],HS_DB[HS Code],HS_DB[[#This Row],[HS Code]])</f>
        <v>6186829</v>
      </c>
      <c r="AO136" s="6">
        <f>_xlfn.MAXIFS(HS_DB[Origin Share%],HS_DB[HS Code],HS_DB[[#This Row],[HS Code]])</f>
        <v>6.321329281187793E-2</v>
      </c>
      <c r="AP136" s="8" cm="1">
        <f t="array" ref="AP136">_xlfn.LET(
_xlpm.hs,HS_DB[[#This Row],[HS Code]],
COUNTA(_xlfn.UNIQUE(_xlfn._xlws.FILTER(HS_DB[Reporter],HS_DB[HS Code]=_xlpm.hs)))
)</f>
        <v>16</v>
      </c>
      <c r="AQ136" s="17" t="str">
        <f>IF(HS_DB[[#This Row],[Origin Count]]=1,"Single Source","Multiple Sources")</f>
        <v>Multiple Sources</v>
      </c>
      <c r="AR136" s="8">
        <f>HS_DB[[#This Row],[Annual Spend - USD]]*(HS_DB[[#This Row],[HS Code Risk Score]]/100)</f>
        <v>2103521.8600000003</v>
      </c>
      <c r="AS136" s="8">
        <f>RANK(HS_DB[[#This Row],[Risk Exposure - USD]],HS_DB[Risk Exposure - USD],0)</f>
        <v>369</v>
      </c>
      <c r="AT136" s="8" t="str">
        <f>IF(HS_DB[[#This Row],[Risk Exposure Rank]]&lt;=10,"High",
 IF(HS_DB[[#This Row],[Risk Exposure Rank]]&lt;=30,"Medium",
 "Low"))</f>
        <v>Low</v>
      </c>
      <c r="AU136" s="8" t="str">
        <f>IF(HS_DB[[#This Row],[Risk Exposure Rank]]&lt;=5,"Immediate Action",
 IF(HS_DB[[#This Row],[Risk Exposure Rank]]&lt;=15,"Monitor Closely",
 "Routine Control"))</f>
        <v>Routine Control</v>
      </c>
      <c r="AV136" s="8">
        <f>SUMIFS(HS_DB[Trade Value - USD],HS_DB[HS Code],HS_DB[[#This Row],[HS Code]])</f>
        <v>6186829</v>
      </c>
      <c r="AW136" s="6">
        <f>HS_DB[[#This Row],[Annual Spend - USD]]/HS_DB[[#This Row],[Total Market Size - USD]]</f>
        <v>1</v>
      </c>
      <c r="AX136" s="6" cm="1">
        <f t="array" ref="AX136">COUNTA(_xlfn.UNIQUE(_xlfn._xlws.FILTER(HS_DB[Partner],HS_DB[HS Code]=HS_DB[[#This Row],[HS Code]])))</f>
        <v>1</v>
      </c>
      <c r="AY136" s="8" t="str">
        <f>IF(HS_DB[[#This Row],[Competition Intensity]]&lt;=2,"Highly Concentrated",
 IF(HS_DB[[#This Row],[Competition Intensity]]&lt;=5,"Moderate",
 "Highly Competitive"))</f>
        <v>Highly Concentrated</v>
      </c>
      <c r="AZ136" s="8">
        <f>HS_DB[[#This Row],[Total Market Size - USD]]
*
(1+IFERROR(#REF!,0))
/
HS_DB[[#This Row],[Competition Intensity]]</f>
        <v>6186829</v>
      </c>
      <c r="BA136" s="8" t="str">
        <f>IF(HS_DB[[#This Row],[Commercial Opportunity Score]]&gt;=PERCENTILE(HS_DB[Commercial Opportunity Score],0.9),"High Opportunity",
 IF(HS_DB[[#This Row],[Commercial Opportunity Score]]&gt;=PERCENTILE(HS_DB[Commercial Opportunity Score],0.6),"Medium Opportunity",
 "Routine Market"))</f>
        <v>Routine Market</v>
      </c>
      <c r="BB136" s="3" t="str">
        <f>IF(AND(HS_DB[[#This Row],[Product Rank]]&gt;0,HS_DB[[#This Row],[Product Rank]]&lt;=10),"Yes","No")</f>
        <v>No</v>
      </c>
      <c r="BC136" s="3" t="str">
        <f>IF(AND(HS_DB[[#This Row],[Origin Rank]]&gt;0,HS_DB[[#This Row],[Origin Rank]]&lt;=10),"Yes","No")</f>
        <v>Yes</v>
      </c>
    </row>
    <row r="137" spans="2:55" x14ac:dyDescent="0.3">
      <c r="B137" s="2">
        <f>HS_DB[[#This Row],[Commodity Code]]</f>
        <v>130239</v>
      </c>
      <c r="C137" s="2">
        <f>IFERROR(INDEX(HS_MD!C:C,MATCH(B137,HS_MD!B:B,0),1),"")</f>
        <v>4</v>
      </c>
      <c r="D137" s="17" t="str">
        <f>IFERROR(INDEX(HS_MD!D:D,MATCH(B137,HS_MD!B:B,0),1),"")</f>
        <v>Mucilages and thickeners</v>
      </c>
      <c r="E137" s="17" t="str">
        <f>IFERROR(INDEX(HS_MD!E:E,MATCH(B137,HS_MD!B:B,0),1),"")</f>
        <v>Carrageenan</v>
      </c>
      <c r="F137" s="17" t="str">
        <f>IFERROR(INDEX(HS_MD!F:F,MATCH(B137,HS_MD!B:B,0),1),"")</f>
        <v>FUNCTIONAL INGREDIENTS</v>
      </c>
      <c r="G137" s="17" t="str">
        <f>IFERROR(INDEX(HS_MD!G:G,MATCH(B137,HS_MD!B:B,0),1),"")</f>
        <v>Hydrocolloids</v>
      </c>
      <c r="H137" s="17" t="str">
        <f>IFERROR(INDEX(HS_MD!H:H,MATCH(B137,HS_MD!B:B,0),1),"")</f>
        <v>Carrageenan</v>
      </c>
      <c r="I137" s="17" t="str">
        <f>IFERROR(INDEX(HS_MD!I:I,MATCH(B137,HS_MD!B:B,0),1),"")</f>
        <v>Dairy / Processed Meat</v>
      </c>
      <c r="J137" s="17">
        <f>IFERROR(INDEX(Heat_Map[Index],MATCH(HS_DB[[#This Row],[Reporter]],Heat_Map[Global],0),1),"")</f>
        <v>118</v>
      </c>
      <c r="K137" s="17" t="str">
        <f>IF(AND(HS_DB[[#This Row],[Origin Rank]]&gt;1,HS_DB[[#This Row],[Origin Rank]]&lt;=10),"Yes","No")</f>
        <v>No</v>
      </c>
      <c r="L137" s="2">
        <v>2024</v>
      </c>
      <c r="M137" s="2" t="s">
        <v>57</v>
      </c>
      <c r="N137" s="2" t="s">
        <v>53</v>
      </c>
      <c r="O137" s="2" t="s">
        <v>22</v>
      </c>
      <c r="P137" s="2" t="s">
        <v>23</v>
      </c>
      <c r="Q137" s="2" t="s">
        <v>24</v>
      </c>
      <c r="R137" s="2" t="s">
        <v>25</v>
      </c>
      <c r="S137" s="2">
        <v>130239</v>
      </c>
      <c r="T137" s="3">
        <v>181917</v>
      </c>
      <c r="U137" s="3">
        <v>18000</v>
      </c>
      <c r="V137" s="3">
        <v>0</v>
      </c>
      <c r="W137" s="3">
        <v>18000</v>
      </c>
      <c r="X137" s="3" t="s">
        <v>58</v>
      </c>
      <c r="Y137" s="3">
        <v>18000</v>
      </c>
      <c r="Z137" s="3" t="s">
        <v>58</v>
      </c>
      <c r="AA137" s="6">
        <f>SUMIFS(HS_DB[Trade Value - USD],HS_DB[Reporter],HS_DB[[#This Row],[Reporter]])/SUM(HS_DB[Trade Value - USD])</f>
        <v>1.4561232389604124E-2</v>
      </c>
      <c r="AB137" s="8" cm="1">
        <f t="array" ref="AB137">SUMPRODUCT(
(HS_DB[Reporter]=HS_DB[[#This Row],[Reporter]])*
(HS_DB[Trade Value - USD]&gt;HS_DB[[#This Row],[Trade Value - USD]])
)+1</f>
        <v>12</v>
      </c>
      <c r="AC137" s="8" t="str">
        <f>IFERROR(IF(INDEX(Heat_Map[Crisis Impact %],MATCH(HS_DB[[#This Row],[Reporter]],Heat_Map[Global],0),1)&gt;0,"Yes","No"),"No")</f>
        <v>No</v>
      </c>
      <c r="AD137" s="6">
        <f>IFERROR(INDEX(Heat_Map[Crisis Impact %],MATCH(HS_DB[[#This Row],[Reporter]],Heat_Map[Global],0),1),0)</f>
        <v>0</v>
      </c>
      <c r="AE137" s="8">
        <f>HS_DB[[#This Row],[Crisis Impact%]]*HS_DB[[#This Row],[Trade Value - USD]]</f>
        <v>0</v>
      </c>
      <c r="AF137" s="8">
        <f>HS_DB[[#This Row],[Crisis Impact%]]*HS_DB[[#This Row],[Net Weight -KG]]</f>
        <v>0</v>
      </c>
      <c r="AG137" s="6">
        <f>SUMIFS(HS_DB[Trade Value - USD],HS_DB[Products],HS_DB[[#This Row],[Products]])/SUM(HS_DB[Trade Value - USD])</f>
        <v>3.2821229382954242E-3</v>
      </c>
      <c r="AH137" s="8">
        <f>_xlfn.RANK.EQ(HS_DB[[#This Row],[Trade Value - USD]], HS_DB[Trade Value - USD], 0)
 + COUNTIFS(HS_DB[Trade Value - USD],HS_DB[[#This Row],[Trade Value - USD]],
            HS_DB[HS Code],"&lt;"&amp;HS_DB[[#This Row],[HS Code]])</f>
        <v>226</v>
      </c>
      <c r="AI137" s="9">
        <f>IFERROR(HS_DB[[#This Row],[Trade Value - USD]]/HS_DB[[#This Row],[Net Weight -KG]],0)</f>
        <v>10.1065</v>
      </c>
      <c r="AJ137" s="17" cm="1">
        <f t="array" ref="AJ137">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37" s="17" t="str">
        <f>IF(HS_DB[[#This Row],[HS Code Risk Score]]&gt;=40,"High",
 IF(HS_DB[[#This Row],[HS Code Risk Score]]&gt;=25,"Medium","Low"))</f>
        <v>Medium</v>
      </c>
      <c r="AL137" s="17" t="str">
        <f>IF(RANK(HS_DB[[#This Row],[HS Code Risk Score]],HS_DB[HS Code Risk Score])&lt;=10,"Yes","No")</f>
        <v>No</v>
      </c>
      <c r="AM137" s="8">
        <f>SUMIFS(HS_DB[Net Weight -KG],HS_DB[HS Code],HS_DB[[#This Row],[HS Code]])</f>
        <v>1977514.1</v>
      </c>
      <c r="AN137" s="8">
        <f>SUMIFS(HS_DB[Trade Value - USD],HS_DB[HS Code],HS_DB[[#This Row],[HS Code]])</f>
        <v>6186829</v>
      </c>
      <c r="AO137" s="6">
        <f>_xlfn.MAXIFS(HS_DB[Origin Share%],HS_DB[HS Code],HS_DB[[#This Row],[HS Code]])</f>
        <v>6.321329281187793E-2</v>
      </c>
      <c r="AP137" s="8" cm="1">
        <f t="array" ref="AP137">_xlfn.LET(
_xlpm.hs,HS_DB[[#This Row],[HS Code]],
COUNTA(_xlfn.UNIQUE(_xlfn._xlws.FILTER(HS_DB[Reporter],HS_DB[HS Code]=_xlpm.hs)))
)</f>
        <v>16</v>
      </c>
      <c r="AQ137" s="17" t="str">
        <f>IF(HS_DB[[#This Row],[Origin Count]]=1,"Single Source","Multiple Sources")</f>
        <v>Multiple Sources</v>
      </c>
      <c r="AR137" s="8">
        <f>HS_DB[[#This Row],[Annual Spend - USD]]*(HS_DB[[#This Row],[HS Code Risk Score]]/100)</f>
        <v>2103521.8600000003</v>
      </c>
      <c r="AS137" s="8">
        <f>RANK(HS_DB[[#This Row],[Risk Exposure - USD]],HS_DB[Risk Exposure - USD],0)</f>
        <v>369</v>
      </c>
      <c r="AT137" s="8" t="str">
        <f>IF(HS_DB[[#This Row],[Risk Exposure Rank]]&lt;=10,"High",
 IF(HS_DB[[#This Row],[Risk Exposure Rank]]&lt;=30,"Medium",
 "Low"))</f>
        <v>Low</v>
      </c>
      <c r="AU137" s="8" t="str">
        <f>IF(HS_DB[[#This Row],[Risk Exposure Rank]]&lt;=5,"Immediate Action",
 IF(HS_DB[[#This Row],[Risk Exposure Rank]]&lt;=15,"Monitor Closely",
 "Routine Control"))</f>
        <v>Routine Control</v>
      </c>
      <c r="AV137" s="8">
        <f>SUMIFS(HS_DB[Trade Value - USD],HS_DB[HS Code],HS_DB[[#This Row],[HS Code]])</f>
        <v>6186829</v>
      </c>
      <c r="AW137" s="6">
        <f>HS_DB[[#This Row],[Annual Spend - USD]]/HS_DB[[#This Row],[Total Market Size - USD]]</f>
        <v>1</v>
      </c>
      <c r="AX137" s="6" cm="1">
        <f t="array" ref="AX137">COUNTA(_xlfn.UNIQUE(_xlfn._xlws.FILTER(HS_DB[Partner],HS_DB[HS Code]=HS_DB[[#This Row],[HS Code]])))</f>
        <v>1</v>
      </c>
      <c r="AY137" s="8" t="str">
        <f>IF(HS_DB[[#This Row],[Competition Intensity]]&lt;=2,"Highly Concentrated",
 IF(HS_DB[[#This Row],[Competition Intensity]]&lt;=5,"Moderate",
 "Highly Competitive"))</f>
        <v>Highly Concentrated</v>
      </c>
      <c r="AZ137" s="8">
        <f>HS_DB[[#This Row],[Total Market Size - USD]]
*
(1+IFERROR(#REF!,0))
/
HS_DB[[#This Row],[Competition Intensity]]</f>
        <v>6186829</v>
      </c>
      <c r="BA137" s="8" t="str">
        <f>IF(HS_DB[[#This Row],[Commercial Opportunity Score]]&gt;=PERCENTILE(HS_DB[Commercial Opportunity Score],0.9),"High Opportunity",
 IF(HS_DB[[#This Row],[Commercial Opportunity Score]]&gt;=PERCENTILE(HS_DB[Commercial Opportunity Score],0.6),"Medium Opportunity",
 "Routine Market"))</f>
        <v>Routine Market</v>
      </c>
      <c r="BB137" s="3" t="str">
        <f>IF(AND(HS_DB[[#This Row],[Product Rank]]&gt;0,HS_DB[[#This Row],[Product Rank]]&lt;=10),"Yes","No")</f>
        <v>No</v>
      </c>
      <c r="BC137" s="3" t="str">
        <f>IF(AND(HS_DB[[#This Row],[Origin Rank]]&gt;0,HS_DB[[#This Row],[Origin Rank]]&lt;=10),"Yes","No")</f>
        <v>No</v>
      </c>
    </row>
    <row r="138" spans="2:55" x14ac:dyDescent="0.3">
      <c r="B138" s="2">
        <f>HS_DB[[#This Row],[Commodity Code]]</f>
        <v>130239</v>
      </c>
      <c r="C138" s="2">
        <f>IFERROR(INDEX(HS_MD!C:C,MATCH(B138,HS_MD!B:B,0),1),"")</f>
        <v>4</v>
      </c>
      <c r="D138" s="17" t="str">
        <f>IFERROR(INDEX(HS_MD!D:D,MATCH(B138,HS_MD!B:B,0),1),"")</f>
        <v>Mucilages and thickeners</v>
      </c>
      <c r="E138" s="17" t="str">
        <f>IFERROR(INDEX(HS_MD!E:E,MATCH(B138,HS_MD!B:B,0),1),"")</f>
        <v>Carrageenan</v>
      </c>
      <c r="F138" s="17" t="str">
        <f>IFERROR(INDEX(HS_MD!F:F,MATCH(B138,HS_MD!B:B,0),1),"")</f>
        <v>FUNCTIONAL INGREDIENTS</v>
      </c>
      <c r="G138" s="17" t="str">
        <f>IFERROR(INDEX(HS_MD!G:G,MATCH(B138,HS_MD!B:B,0),1),"")</f>
        <v>Hydrocolloids</v>
      </c>
      <c r="H138" s="17" t="str">
        <f>IFERROR(INDEX(HS_MD!H:H,MATCH(B138,HS_MD!B:B,0),1),"")</f>
        <v>Carrageenan</v>
      </c>
      <c r="I138" s="17" t="str">
        <f>IFERROR(INDEX(HS_MD!I:I,MATCH(B138,HS_MD!B:B,0),1),"")</f>
        <v>Dairy / Processed Meat</v>
      </c>
      <c r="J138" s="17">
        <f>IFERROR(INDEX(Heat_Map[Index],MATCH(HS_DB[[#This Row],[Reporter]],Heat_Map[Global],0),1),"")</f>
        <v>132</v>
      </c>
      <c r="K138" s="17" t="str">
        <f>IF(AND(HS_DB[[#This Row],[Origin Rank]]&gt;1,HS_DB[[#This Row],[Origin Rank]]&lt;=10),"Yes","No")</f>
        <v>No</v>
      </c>
      <c r="L138" s="2">
        <v>2024</v>
      </c>
      <c r="M138" s="2" t="s">
        <v>57</v>
      </c>
      <c r="N138" s="2" t="s">
        <v>146</v>
      </c>
      <c r="O138" s="2" t="s">
        <v>22</v>
      </c>
      <c r="P138" s="2" t="s">
        <v>23</v>
      </c>
      <c r="Q138" s="2" t="s">
        <v>24</v>
      </c>
      <c r="R138" s="2" t="s">
        <v>25</v>
      </c>
      <c r="S138" s="2">
        <v>130239</v>
      </c>
      <c r="T138" s="3">
        <v>100098</v>
      </c>
      <c r="U138" s="3">
        <v>23000</v>
      </c>
      <c r="V138" s="3">
        <v>0</v>
      </c>
      <c r="W138" s="3">
        <v>23000</v>
      </c>
      <c r="X138" s="3" t="s">
        <v>58</v>
      </c>
      <c r="Y138" s="3">
        <v>23000</v>
      </c>
      <c r="Z138" s="3" t="s">
        <v>58</v>
      </c>
      <c r="AA138" s="6">
        <f>SUMIFS(HS_DB[Trade Value - USD],HS_DB[Reporter],HS_DB[[#This Row],[Reporter]])/SUM(HS_DB[Trade Value - USD])</f>
        <v>5.3102153280379235E-5</v>
      </c>
      <c r="AB138" s="8" cm="1">
        <f t="array" ref="AB138">SUMPRODUCT(
(HS_DB[Reporter]=HS_DB[[#This Row],[Reporter]])*
(HS_DB[Trade Value - USD]&gt;HS_DB[[#This Row],[Trade Value - USD]])
)+1</f>
        <v>1</v>
      </c>
      <c r="AC138" s="8" t="str">
        <f>IFERROR(IF(INDEX(Heat_Map[Crisis Impact %],MATCH(HS_DB[[#This Row],[Reporter]],Heat_Map[Global],0),1)&gt;0,"Yes","No"),"No")</f>
        <v>No</v>
      </c>
      <c r="AD138" s="6">
        <f>IFERROR(INDEX(Heat_Map[Crisis Impact %],MATCH(HS_DB[[#This Row],[Reporter]],Heat_Map[Global],0),1),0)</f>
        <v>0</v>
      </c>
      <c r="AE138" s="8">
        <f>HS_DB[[#This Row],[Crisis Impact%]]*HS_DB[[#This Row],[Trade Value - USD]]</f>
        <v>0</v>
      </c>
      <c r="AF138" s="8">
        <f>HS_DB[[#This Row],[Crisis Impact%]]*HS_DB[[#This Row],[Net Weight -KG]]</f>
        <v>0</v>
      </c>
      <c r="AG138" s="6">
        <f>SUMIFS(HS_DB[Trade Value - USD],HS_DB[Products],HS_DB[[#This Row],[Products]])/SUM(HS_DB[Trade Value - USD])</f>
        <v>3.2821229382954242E-3</v>
      </c>
      <c r="AH138" s="8">
        <f>_xlfn.RANK.EQ(HS_DB[[#This Row],[Trade Value - USD]], HS_DB[Trade Value - USD], 0)
 + COUNTIFS(HS_DB[Trade Value - USD],HS_DB[[#This Row],[Trade Value - USD]],
            HS_DB[HS Code],"&lt;"&amp;HS_DB[[#This Row],[HS Code]])</f>
        <v>277</v>
      </c>
      <c r="AI138" s="9">
        <f>IFERROR(HS_DB[[#This Row],[Trade Value - USD]]/HS_DB[[#This Row],[Net Weight -KG]],0)</f>
        <v>4.352086956521739</v>
      </c>
      <c r="AJ138" s="17" cm="1">
        <f t="array" ref="AJ138">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38" s="17" t="str">
        <f>IF(HS_DB[[#This Row],[HS Code Risk Score]]&gt;=40,"High",
 IF(HS_DB[[#This Row],[HS Code Risk Score]]&gt;=25,"Medium","Low"))</f>
        <v>Medium</v>
      </c>
      <c r="AL138" s="17" t="str">
        <f>IF(RANK(HS_DB[[#This Row],[HS Code Risk Score]],HS_DB[HS Code Risk Score])&lt;=10,"Yes","No")</f>
        <v>No</v>
      </c>
      <c r="AM138" s="8">
        <f>SUMIFS(HS_DB[Net Weight -KG],HS_DB[HS Code],HS_DB[[#This Row],[HS Code]])</f>
        <v>1977514.1</v>
      </c>
      <c r="AN138" s="8">
        <f>SUMIFS(HS_DB[Trade Value - USD],HS_DB[HS Code],HS_DB[[#This Row],[HS Code]])</f>
        <v>6186829</v>
      </c>
      <c r="AO138" s="6">
        <f>_xlfn.MAXIFS(HS_DB[Origin Share%],HS_DB[HS Code],HS_DB[[#This Row],[HS Code]])</f>
        <v>6.321329281187793E-2</v>
      </c>
      <c r="AP138" s="8" cm="1">
        <f t="array" ref="AP138">_xlfn.LET(
_xlpm.hs,HS_DB[[#This Row],[HS Code]],
COUNTA(_xlfn.UNIQUE(_xlfn._xlws.FILTER(HS_DB[Reporter],HS_DB[HS Code]=_xlpm.hs)))
)</f>
        <v>16</v>
      </c>
      <c r="AQ138" s="17" t="str">
        <f>IF(HS_DB[[#This Row],[Origin Count]]=1,"Single Source","Multiple Sources")</f>
        <v>Multiple Sources</v>
      </c>
      <c r="AR138" s="8">
        <f>HS_DB[[#This Row],[Annual Spend - USD]]*(HS_DB[[#This Row],[HS Code Risk Score]]/100)</f>
        <v>2103521.8600000003</v>
      </c>
      <c r="AS138" s="8">
        <f>RANK(HS_DB[[#This Row],[Risk Exposure - USD]],HS_DB[Risk Exposure - USD],0)</f>
        <v>369</v>
      </c>
      <c r="AT138" s="8" t="str">
        <f>IF(HS_DB[[#This Row],[Risk Exposure Rank]]&lt;=10,"High",
 IF(HS_DB[[#This Row],[Risk Exposure Rank]]&lt;=30,"Medium",
 "Low"))</f>
        <v>Low</v>
      </c>
      <c r="AU138" s="8" t="str">
        <f>IF(HS_DB[[#This Row],[Risk Exposure Rank]]&lt;=5,"Immediate Action",
 IF(HS_DB[[#This Row],[Risk Exposure Rank]]&lt;=15,"Monitor Closely",
 "Routine Control"))</f>
        <v>Routine Control</v>
      </c>
      <c r="AV138" s="8">
        <f>SUMIFS(HS_DB[Trade Value - USD],HS_DB[HS Code],HS_DB[[#This Row],[HS Code]])</f>
        <v>6186829</v>
      </c>
      <c r="AW138" s="6">
        <f>HS_DB[[#This Row],[Annual Spend - USD]]/HS_DB[[#This Row],[Total Market Size - USD]]</f>
        <v>1</v>
      </c>
      <c r="AX138" s="6" cm="1">
        <f t="array" ref="AX138">COUNTA(_xlfn.UNIQUE(_xlfn._xlws.FILTER(HS_DB[Partner],HS_DB[HS Code]=HS_DB[[#This Row],[HS Code]])))</f>
        <v>1</v>
      </c>
      <c r="AY138" s="8" t="str">
        <f>IF(HS_DB[[#This Row],[Competition Intensity]]&lt;=2,"Highly Concentrated",
 IF(HS_DB[[#This Row],[Competition Intensity]]&lt;=5,"Moderate",
 "Highly Competitive"))</f>
        <v>Highly Concentrated</v>
      </c>
      <c r="AZ138" s="8">
        <f>HS_DB[[#This Row],[Total Market Size - USD]]
*
(1+IFERROR(#REF!,0))
/
HS_DB[[#This Row],[Competition Intensity]]</f>
        <v>6186829</v>
      </c>
      <c r="BA138" s="8" t="str">
        <f>IF(HS_DB[[#This Row],[Commercial Opportunity Score]]&gt;=PERCENTILE(HS_DB[Commercial Opportunity Score],0.9),"High Opportunity",
 IF(HS_DB[[#This Row],[Commercial Opportunity Score]]&gt;=PERCENTILE(HS_DB[Commercial Opportunity Score],0.6),"Medium Opportunity",
 "Routine Market"))</f>
        <v>Routine Market</v>
      </c>
      <c r="BB138" s="3" t="str">
        <f>IF(AND(HS_DB[[#This Row],[Product Rank]]&gt;0,HS_DB[[#This Row],[Product Rank]]&lt;=10),"Yes","No")</f>
        <v>No</v>
      </c>
      <c r="BC138" s="3" t="str">
        <f>IF(AND(HS_DB[[#This Row],[Origin Rank]]&gt;0,HS_DB[[#This Row],[Origin Rank]]&lt;=10),"Yes","No")</f>
        <v>Yes</v>
      </c>
    </row>
    <row r="139" spans="2:55" x14ac:dyDescent="0.3">
      <c r="B139" s="2">
        <f>HS_DB[[#This Row],[Commodity Code]]</f>
        <v>130239</v>
      </c>
      <c r="C139" s="2">
        <f>IFERROR(INDEX(HS_MD!C:C,MATCH(B139,HS_MD!B:B,0),1),"")</f>
        <v>4</v>
      </c>
      <c r="D139" s="17" t="str">
        <f>IFERROR(INDEX(HS_MD!D:D,MATCH(B139,HS_MD!B:B,0),1),"")</f>
        <v>Mucilages and thickeners</v>
      </c>
      <c r="E139" s="17" t="str">
        <f>IFERROR(INDEX(HS_MD!E:E,MATCH(B139,HS_MD!B:B,0),1),"")</f>
        <v>Carrageenan</v>
      </c>
      <c r="F139" s="17" t="str">
        <f>IFERROR(INDEX(HS_MD!F:F,MATCH(B139,HS_MD!B:B,0),1),"")</f>
        <v>FUNCTIONAL INGREDIENTS</v>
      </c>
      <c r="G139" s="17" t="str">
        <f>IFERROR(INDEX(HS_MD!G:G,MATCH(B139,HS_MD!B:B,0),1),"")</f>
        <v>Hydrocolloids</v>
      </c>
      <c r="H139" s="17" t="str">
        <f>IFERROR(INDEX(HS_MD!H:H,MATCH(B139,HS_MD!B:B,0),1),"")</f>
        <v>Carrageenan</v>
      </c>
      <c r="I139" s="17" t="str">
        <f>IFERROR(INDEX(HS_MD!I:I,MATCH(B139,HS_MD!B:B,0),1),"")</f>
        <v>Dairy / Processed Meat</v>
      </c>
      <c r="J139" s="17">
        <f>IFERROR(INDEX(Heat_Map[Index],MATCH(HS_DB[[#This Row],[Reporter]],Heat_Map[Global],0),1),"")</f>
        <v>133</v>
      </c>
      <c r="K139" s="17" t="str">
        <f>IF(AND(HS_DB[[#This Row],[Origin Rank]]&gt;1,HS_DB[[#This Row],[Origin Rank]]&lt;=10),"Yes","No")</f>
        <v>No</v>
      </c>
      <c r="L139" s="2">
        <v>2024</v>
      </c>
      <c r="M139" s="2" t="s">
        <v>57</v>
      </c>
      <c r="N139" s="2" t="s">
        <v>147</v>
      </c>
      <c r="O139" s="2" t="s">
        <v>22</v>
      </c>
      <c r="P139" s="2" t="s">
        <v>23</v>
      </c>
      <c r="Q139" s="2" t="s">
        <v>24</v>
      </c>
      <c r="R139" s="2" t="s">
        <v>25</v>
      </c>
      <c r="S139" s="2">
        <v>130239</v>
      </c>
      <c r="T139" s="3">
        <v>1074786</v>
      </c>
      <c r="U139" s="3">
        <v>131255</v>
      </c>
      <c r="V139" s="3">
        <v>131255</v>
      </c>
      <c r="W139" s="3">
        <v>131255</v>
      </c>
      <c r="X139" s="3" t="s">
        <v>58</v>
      </c>
      <c r="Y139" s="3">
        <v>131255</v>
      </c>
      <c r="Z139" s="3" t="s">
        <v>58</v>
      </c>
      <c r="AA139" s="6">
        <f>SUMIFS(HS_DB[Trade Value - USD],HS_DB[Reporter],HS_DB[[#This Row],[Reporter]])/SUM(HS_DB[Trade Value - USD])</f>
        <v>5.701757369338615E-4</v>
      </c>
      <c r="AB139" s="8" cm="1">
        <f t="array" ref="AB139">SUMPRODUCT(
(HS_DB[Reporter]=HS_DB[[#This Row],[Reporter]])*
(HS_DB[Trade Value - USD]&gt;HS_DB[[#This Row],[Trade Value - USD]])
)+1</f>
        <v>1</v>
      </c>
      <c r="AC139" s="8" t="str">
        <f>IFERROR(IF(INDEX(Heat_Map[Crisis Impact %],MATCH(HS_DB[[#This Row],[Reporter]],Heat_Map[Global],0),1)&gt;0,"Yes","No"),"No")</f>
        <v>No</v>
      </c>
      <c r="AD139" s="6">
        <f>IFERROR(INDEX(Heat_Map[Crisis Impact %],MATCH(HS_DB[[#This Row],[Reporter]],Heat_Map[Global],0),1),0)</f>
        <v>0</v>
      </c>
      <c r="AE139" s="8">
        <f>HS_DB[[#This Row],[Crisis Impact%]]*HS_DB[[#This Row],[Trade Value - USD]]</f>
        <v>0</v>
      </c>
      <c r="AF139" s="8">
        <f>HS_DB[[#This Row],[Crisis Impact%]]*HS_DB[[#This Row],[Net Weight -KG]]</f>
        <v>0</v>
      </c>
      <c r="AG139" s="6">
        <f>SUMIFS(HS_DB[Trade Value - USD],HS_DB[Products],HS_DB[[#This Row],[Products]])/SUM(HS_DB[Trade Value - USD])</f>
        <v>3.2821229382954242E-3</v>
      </c>
      <c r="AH139" s="8">
        <f>_xlfn.RANK.EQ(HS_DB[[#This Row],[Trade Value - USD]], HS_DB[Trade Value - USD], 0)
 + COUNTIFS(HS_DB[Trade Value - USD],HS_DB[[#This Row],[Trade Value - USD]],
            HS_DB[HS Code],"&lt;"&amp;HS_DB[[#This Row],[HS Code]])</f>
        <v>101</v>
      </c>
      <c r="AI139" s="9">
        <f>IFERROR(HS_DB[[#This Row],[Trade Value - USD]]/HS_DB[[#This Row],[Net Weight -KG]],0)</f>
        <v>8.1885337701420902</v>
      </c>
      <c r="AJ139" s="17" cm="1">
        <f t="array" ref="AJ139">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39" s="17" t="str">
        <f>IF(HS_DB[[#This Row],[HS Code Risk Score]]&gt;=40,"High",
 IF(HS_DB[[#This Row],[HS Code Risk Score]]&gt;=25,"Medium","Low"))</f>
        <v>Medium</v>
      </c>
      <c r="AL139" s="17" t="str">
        <f>IF(RANK(HS_DB[[#This Row],[HS Code Risk Score]],HS_DB[HS Code Risk Score])&lt;=10,"Yes","No")</f>
        <v>No</v>
      </c>
      <c r="AM139" s="8">
        <f>SUMIFS(HS_DB[Net Weight -KG],HS_DB[HS Code],HS_DB[[#This Row],[HS Code]])</f>
        <v>1977514.1</v>
      </c>
      <c r="AN139" s="8">
        <f>SUMIFS(HS_DB[Trade Value - USD],HS_DB[HS Code],HS_DB[[#This Row],[HS Code]])</f>
        <v>6186829</v>
      </c>
      <c r="AO139" s="6">
        <f>_xlfn.MAXIFS(HS_DB[Origin Share%],HS_DB[HS Code],HS_DB[[#This Row],[HS Code]])</f>
        <v>6.321329281187793E-2</v>
      </c>
      <c r="AP139" s="8" cm="1">
        <f t="array" ref="AP139">_xlfn.LET(
_xlpm.hs,HS_DB[[#This Row],[HS Code]],
COUNTA(_xlfn.UNIQUE(_xlfn._xlws.FILTER(HS_DB[Reporter],HS_DB[HS Code]=_xlpm.hs)))
)</f>
        <v>16</v>
      </c>
      <c r="AQ139" s="17" t="str">
        <f>IF(HS_DB[[#This Row],[Origin Count]]=1,"Single Source","Multiple Sources")</f>
        <v>Multiple Sources</v>
      </c>
      <c r="AR139" s="8">
        <f>HS_DB[[#This Row],[Annual Spend - USD]]*(HS_DB[[#This Row],[HS Code Risk Score]]/100)</f>
        <v>2103521.8600000003</v>
      </c>
      <c r="AS139" s="8">
        <f>RANK(HS_DB[[#This Row],[Risk Exposure - USD]],HS_DB[Risk Exposure - USD],0)</f>
        <v>369</v>
      </c>
      <c r="AT139" s="8" t="str">
        <f>IF(HS_DB[[#This Row],[Risk Exposure Rank]]&lt;=10,"High",
 IF(HS_DB[[#This Row],[Risk Exposure Rank]]&lt;=30,"Medium",
 "Low"))</f>
        <v>Low</v>
      </c>
      <c r="AU139" s="8" t="str">
        <f>IF(HS_DB[[#This Row],[Risk Exposure Rank]]&lt;=5,"Immediate Action",
 IF(HS_DB[[#This Row],[Risk Exposure Rank]]&lt;=15,"Monitor Closely",
 "Routine Control"))</f>
        <v>Routine Control</v>
      </c>
      <c r="AV139" s="8">
        <f>SUMIFS(HS_DB[Trade Value - USD],HS_DB[HS Code],HS_DB[[#This Row],[HS Code]])</f>
        <v>6186829</v>
      </c>
      <c r="AW139" s="6">
        <f>HS_DB[[#This Row],[Annual Spend - USD]]/HS_DB[[#This Row],[Total Market Size - USD]]</f>
        <v>1</v>
      </c>
      <c r="AX139" s="6" cm="1">
        <f t="array" ref="AX139">COUNTA(_xlfn.UNIQUE(_xlfn._xlws.FILTER(HS_DB[Partner],HS_DB[HS Code]=HS_DB[[#This Row],[HS Code]])))</f>
        <v>1</v>
      </c>
      <c r="AY139" s="8" t="str">
        <f>IF(HS_DB[[#This Row],[Competition Intensity]]&lt;=2,"Highly Concentrated",
 IF(HS_DB[[#This Row],[Competition Intensity]]&lt;=5,"Moderate",
 "Highly Competitive"))</f>
        <v>Highly Concentrated</v>
      </c>
      <c r="AZ139" s="8">
        <f>HS_DB[[#This Row],[Total Market Size - USD]]
*
(1+IFERROR(#REF!,0))
/
HS_DB[[#This Row],[Competition Intensity]]</f>
        <v>6186829</v>
      </c>
      <c r="BA139" s="8" t="str">
        <f>IF(HS_DB[[#This Row],[Commercial Opportunity Score]]&gt;=PERCENTILE(HS_DB[Commercial Opportunity Score],0.9),"High Opportunity",
 IF(HS_DB[[#This Row],[Commercial Opportunity Score]]&gt;=PERCENTILE(HS_DB[Commercial Opportunity Score],0.6),"Medium Opportunity",
 "Routine Market"))</f>
        <v>Routine Market</v>
      </c>
      <c r="BB139" s="3" t="str">
        <f>IF(AND(HS_DB[[#This Row],[Product Rank]]&gt;0,HS_DB[[#This Row],[Product Rank]]&lt;=10),"Yes","No")</f>
        <v>No</v>
      </c>
      <c r="BC139" s="3" t="str">
        <f>IF(AND(HS_DB[[#This Row],[Origin Rank]]&gt;0,HS_DB[[#This Row],[Origin Rank]]&lt;=10),"Yes","No")</f>
        <v>Yes</v>
      </c>
    </row>
    <row r="140" spans="2:55" x14ac:dyDescent="0.3">
      <c r="B140" s="2">
        <f>HS_DB[[#This Row],[Commodity Code]]</f>
        <v>130239</v>
      </c>
      <c r="C140" s="2">
        <f>IFERROR(INDEX(HS_MD!C:C,MATCH(B140,HS_MD!B:B,0),1),"")</f>
        <v>4</v>
      </c>
      <c r="D140" s="17" t="str">
        <f>IFERROR(INDEX(HS_MD!D:D,MATCH(B140,HS_MD!B:B,0),1),"")</f>
        <v>Mucilages and thickeners</v>
      </c>
      <c r="E140" s="17" t="str">
        <f>IFERROR(INDEX(HS_MD!E:E,MATCH(B140,HS_MD!B:B,0),1),"")</f>
        <v>Carrageenan</v>
      </c>
      <c r="F140" s="17" t="str">
        <f>IFERROR(INDEX(HS_MD!F:F,MATCH(B140,HS_MD!B:B,0),1),"")</f>
        <v>FUNCTIONAL INGREDIENTS</v>
      </c>
      <c r="G140" s="17" t="str">
        <f>IFERROR(INDEX(HS_MD!G:G,MATCH(B140,HS_MD!B:B,0),1),"")</f>
        <v>Hydrocolloids</v>
      </c>
      <c r="H140" s="17" t="str">
        <f>IFERROR(INDEX(HS_MD!H:H,MATCH(B140,HS_MD!B:B,0),1),"")</f>
        <v>Carrageenan</v>
      </c>
      <c r="I140" s="17" t="str">
        <f>IFERROR(INDEX(HS_MD!I:I,MATCH(B140,HS_MD!B:B,0),1),"")</f>
        <v>Dairy / Processed Meat</v>
      </c>
      <c r="J140" s="17">
        <f>IFERROR(INDEX(Heat_Map[Index],MATCH(HS_DB[[#This Row],[Reporter]],Heat_Map[Global],0),1),"")</f>
        <v>134</v>
      </c>
      <c r="K140" s="17" t="str">
        <f>IF(AND(HS_DB[[#This Row],[Origin Rank]]&gt;1,HS_DB[[#This Row],[Origin Rank]]&lt;=10),"Yes","No")</f>
        <v>Yes</v>
      </c>
      <c r="L140" s="2">
        <v>2024</v>
      </c>
      <c r="M140" s="2" t="s">
        <v>57</v>
      </c>
      <c r="N140" s="2" t="s">
        <v>55</v>
      </c>
      <c r="O140" s="2" t="s">
        <v>22</v>
      </c>
      <c r="P140" s="2" t="s">
        <v>23</v>
      </c>
      <c r="Q140" s="2" t="s">
        <v>24</v>
      </c>
      <c r="R140" s="2" t="s">
        <v>25</v>
      </c>
      <c r="S140" s="2">
        <v>130239</v>
      </c>
      <c r="T140" s="3">
        <v>54383</v>
      </c>
      <c r="U140" s="3">
        <v>3769</v>
      </c>
      <c r="V140" s="3">
        <v>0</v>
      </c>
      <c r="W140" s="3">
        <v>3769</v>
      </c>
      <c r="X140" s="3" t="s">
        <v>58</v>
      </c>
      <c r="Y140" s="3">
        <v>3769</v>
      </c>
      <c r="Z140" s="3" t="s">
        <v>58</v>
      </c>
      <c r="AA140" s="6">
        <f>SUMIFS(HS_DB[Trade Value - USD],HS_DB[Reporter],HS_DB[[#This Row],[Reporter]])/SUM(HS_DB[Trade Value - USD])</f>
        <v>6.3855771678493602E-3</v>
      </c>
      <c r="AB140" s="8" cm="1">
        <f t="array" ref="AB140">SUMPRODUCT(
(HS_DB[Reporter]=HS_DB[[#This Row],[Reporter]])*
(HS_DB[Trade Value - USD]&gt;HS_DB[[#This Row],[Trade Value - USD]])
)+1</f>
        <v>7</v>
      </c>
      <c r="AC140" s="8" t="str">
        <f>IFERROR(IF(INDEX(Heat_Map[Crisis Impact %],MATCH(HS_DB[[#This Row],[Reporter]],Heat_Map[Global],0),1)&gt;0,"Yes","No"),"No")</f>
        <v>Yes</v>
      </c>
      <c r="AD140" s="6">
        <f>IFERROR(INDEX(Heat_Map[Crisis Impact %],MATCH(HS_DB[[#This Row],[Reporter]],Heat_Map[Global],0),1),0)</f>
        <v>0.06</v>
      </c>
      <c r="AE140" s="8">
        <f>HS_DB[[#This Row],[Crisis Impact%]]*HS_DB[[#This Row],[Trade Value - USD]]</f>
        <v>3262.98</v>
      </c>
      <c r="AF140" s="8">
        <f>HS_DB[[#This Row],[Crisis Impact%]]*HS_DB[[#This Row],[Net Weight -KG]]</f>
        <v>226.14</v>
      </c>
      <c r="AG140" s="6">
        <f>SUMIFS(HS_DB[Trade Value - USD],HS_DB[Products],HS_DB[[#This Row],[Products]])/SUM(HS_DB[Trade Value - USD])</f>
        <v>3.2821229382954242E-3</v>
      </c>
      <c r="AH140" s="8">
        <f>_xlfn.RANK.EQ(HS_DB[[#This Row],[Trade Value - USD]], HS_DB[Trade Value - USD], 0)
 + COUNTIFS(HS_DB[Trade Value - USD],HS_DB[[#This Row],[Trade Value - USD]],
            HS_DB[HS Code],"&lt;"&amp;HS_DB[[#This Row],[HS Code]])</f>
        <v>319</v>
      </c>
      <c r="AI140" s="9">
        <f>IFERROR(HS_DB[[#This Row],[Trade Value - USD]]/HS_DB[[#This Row],[Net Weight -KG]],0)</f>
        <v>14.429026266914301</v>
      </c>
      <c r="AJ140" s="17" cm="1">
        <f t="array" ref="AJ140">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40" s="17" t="str">
        <f>IF(HS_DB[[#This Row],[HS Code Risk Score]]&gt;=40,"High",
 IF(HS_DB[[#This Row],[HS Code Risk Score]]&gt;=25,"Medium","Low"))</f>
        <v>Medium</v>
      </c>
      <c r="AL140" s="17" t="str">
        <f>IF(RANK(HS_DB[[#This Row],[HS Code Risk Score]],HS_DB[HS Code Risk Score])&lt;=10,"Yes","No")</f>
        <v>No</v>
      </c>
      <c r="AM140" s="8">
        <f>SUMIFS(HS_DB[Net Weight -KG],HS_DB[HS Code],HS_DB[[#This Row],[HS Code]])</f>
        <v>1977514.1</v>
      </c>
      <c r="AN140" s="8">
        <f>SUMIFS(HS_DB[Trade Value - USD],HS_DB[HS Code],HS_DB[[#This Row],[HS Code]])</f>
        <v>6186829</v>
      </c>
      <c r="AO140" s="6">
        <f>_xlfn.MAXIFS(HS_DB[Origin Share%],HS_DB[HS Code],HS_DB[[#This Row],[HS Code]])</f>
        <v>6.321329281187793E-2</v>
      </c>
      <c r="AP140" s="8" cm="1">
        <f t="array" ref="AP140">_xlfn.LET(
_xlpm.hs,HS_DB[[#This Row],[HS Code]],
COUNTA(_xlfn.UNIQUE(_xlfn._xlws.FILTER(HS_DB[Reporter],HS_DB[HS Code]=_xlpm.hs)))
)</f>
        <v>16</v>
      </c>
      <c r="AQ140" s="17" t="str">
        <f>IF(HS_DB[[#This Row],[Origin Count]]=1,"Single Source","Multiple Sources")</f>
        <v>Multiple Sources</v>
      </c>
      <c r="AR140" s="8">
        <f>HS_DB[[#This Row],[Annual Spend - USD]]*(HS_DB[[#This Row],[HS Code Risk Score]]/100)</f>
        <v>2103521.8600000003</v>
      </c>
      <c r="AS140" s="8">
        <f>RANK(HS_DB[[#This Row],[Risk Exposure - USD]],HS_DB[Risk Exposure - USD],0)</f>
        <v>369</v>
      </c>
      <c r="AT140" s="8" t="str">
        <f>IF(HS_DB[[#This Row],[Risk Exposure Rank]]&lt;=10,"High",
 IF(HS_DB[[#This Row],[Risk Exposure Rank]]&lt;=30,"Medium",
 "Low"))</f>
        <v>Low</v>
      </c>
      <c r="AU140" s="8" t="str">
        <f>IF(HS_DB[[#This Row],[Risk Exposure Rank]]&lt;=5,"Immediate Action",
 IF(HS_DB[[#This Row],[Risk Exposure Rank]]&lt;=15,"Monitor Closely",
 "Routine Control"))</f>
        <v>Routine Control</v>
      </c>
      <c r="AV140" s="8">
        <f>SUMIFS(HS_DB[Trade Value - USD],HS_DB[HS Code],HS_DB[[#This Row],[HS Code]])</f>
        <v>6186829</v>
      </c>
      <c r="AW140" s="6">
        <f>HS_DB[[#This Row],[Annual Spend - USD]]/HS_DB[[#This Row],[Total Market Size - USD]]</f>
        <v>1</v>
      </c>
      <c r="AX140" s="6" cm="1">
        <f t="array" ref="AX140">COUNTA(_xlfn.UNIQUE(_xlfn._xlws.FILTER(HS_DB[Partner],HS_DB[HS Code]=HS_DB[[#This Row],[HS Code]])))</f>
        <v>1</v>
      </c>
      <c r="AY140" s="8" t="str">
        <f>IF(HS_DB[[#This Row],[Competition Intensity]]&lt;=2,"Highly Concentrated",
 IF(HS_DB[[#This Row],[Competition Intensity]]&lt;=5,"Moderate",
 "Highly Competitive"))</f>
        <v>Highly Concentrated</v>
      </c>
      <c r="AZ140" s="8">
        <f>HS_DB[[#This Row],[Total Market Size - USD]]
*
(1+IFERROR(#REF!,0))
/
HS_DB[[#This Row],[Competition Intensity]]</f>
        <v>6186829</v>
      </c>
      <c r="BA140" s="8" t="str">
        <f>IF(HS_DB[[#This Row],[Commercial Opportunity Score]]&gt;=PERCENTILE(HS_DB[Commercial Opportunity Score],0.9),"High Opportunity",
 IF(HS_DB[[#This Row],[Commercial Opportunity Score]]&gt;=PERCENTILE(HS_DB[Commercial Opportunity Score],0.6),"Medium Opportunity",
 "Routine Market"))</f>
        <v>Routine Market</v>
      </c>
      <c r="BB140" s="3" t="str">
        <f>IF(AND(HS_DB[[#This Row],[Product Rank]]&gt;0,HS_DB[[#This Row],[Product Rank]]&lt;=10),"Yes","No")</f>
        <v>No</v>
      </c>
      <c r="BC140" s="3" t="str">
        <f>IF(AND(HS_DB[[#This Row],[Origin Rank]]&gt;0,HS_DB[[#This Row],[Origin Rank]]&lt;=10),"Yes","No")</f>
        <v>Yes</v>
      </c>
    </row>
    <row r="141" spans="2:55" x14ac:dyDescent="0.3">
      <c r="B141" s="2">
        <f>HS_DB[[#This Row],[Commodity Code]]</f>
        <v>130239</v>
      </c>
      <c r="C141" s="2">
        <f>IFERROR(INDEX(HS_MD!C:C,MATCH(B141,HS_MD!B:B,0),1),"")</f>
        <v>4</v>
      </c>
      <c r="D141" s="17" t="str">
        <f>IFERROR(INDEX(HS_MD!D:D,MATCH(B141,HS_MD!B:B,0),1),"")</f>
        <v>Mucilages and thickeners</v>
      </c>
      <c r="E141" s="17" t="str">
        <f>IFERROR(INDEX(HS_MD!E:E,MATCH(B141,HS_MD!B:B,0),1),"")</f>
        <v>Carrageenan</v>
      </c>
      <c r="F141" s="17" t="str">
        <f>IFERROR(INDEX(HS_MD!F:F,MATCH(B141,HS_MD!B:B,0),1),"")</f>
        <v>FUNCTIONAL INGREDIENTS</v>
      </c>
      <c r="G141" s="17" t="str">
        <f>IFERROR(INDEX(HS_MD!G:G,MATCH(B141,HS_MD!B:B,0),1),"")</f>
        <v>Hydrocolloids</v>
      </c>
      <c r="H141" s="17" t="str">
        <f>IFERROR(INDEX(HS_MD!H:H,MATCH(B141,HS_MD!B:B,0),1),"")</f>
        <v>Carrageenan</v>
      </c>
      <c r="I141" s="17" t="str">
        <f>IFERROR(INDEX(HS_MD!I:I,MATCH(B141,HS_MD!B:B,0),1),"")</f>
        <v>Dairy / Processed Meat</v>
      </c>
      <c r="J141" s="17">
        <f>IFERROR(INDEX(Heat_Map[Index],MATCH(HS_DB[[#This Row],[Reporter]],Heat_Map[Global],0),1),"")</f>
        <v>75</v>
      </c>
      <c r="K141" s="17" t="str">
        <f>IF(AND(HS_DB[[#This Row],[Origin Rank]]&gt;1,HS_DB[[#This Row],[Origin Rank]]&lt;=10),"Yes","No")</f>
        <v>Yes</v>
      </c>
      <c r="L141" s="2">
        <v>2024</v>
      </c>
      <c r="M141" s="2" t="s">
        <v>57</v>
      </c>
      <c r="N141" s="2" t="s">
        <v>8</v>
      </c>
      <c r="O141" s="2" t="s">
        <v>22</v>
      </c>
      <c r="P141" s="2" t="s">
        <v>23</v>
      </c>
      <c r="Q141" s="2" t="s">
        <v>24</v>
      </c>
      <c r="R141" s="2" t="s">
        <v>25</v>
      </c>
      <c r="S141" s="2">
        <v>130239</v>
      </c>
      <c r="T141" s="3">
        <v>1307026</v>
      </c>
      <c r="U141" s="3">
        <v>1323500</v>
      </c>
      <c r="V141" s="3">
        <v>0</v>
      </c>
      <c r="W141" s="3">
        <v>1323500</v>
      </c>
      <c r="X141" s="3" t="s">
        <v>58</v>
      </c>
      <c r="Y141" s="3">
        <v>1323500</v>
      </c>
      <c r="Z141" s="3" t="s">
        <v>58</v>
      </c>
      <c r="AA141" s="6">
        <f>SUMIFS(HS_DB[Trade Value - USD],HS_DB[Reporter],HS_DB[[#This Row],[Reporter]])/SUM(HS_DB[Trade Value - USD])</f>
        <v>2.2441761060335613E-2</v>
      </c>
      <c r="AB141" s="8" cm="1">
        <f t="array" ref="AB141">SUMPRODUCT(
(HS_DB[Reporter]=HS_DB[[#This Row],[Reporter]])*
(HS_DB[Trade Value - USD]&gt;HS_DB[[#This Row],[Trade Value - USD]])
)+1</f>
        <v>8</v>
      </c>
      <c r="AC141" s="8" t="str">
        <f>IFERROR(IF(INDEX(Heat_Map[Crisis Impact %],MATCH(HS_DB[[#This Row],[Reporter]],Heat_Map[Global],0),1)&gt;0,"Yes","No"),"No")</f>
        <v>No</v>
      </c>
      <c r="AD141" s="6">
        <f>IFERROR(INDEX(Heat_Map[Crisis Impact %],MATCH(HS_DB[[#This Row],[Reporter]],Heat_Map[Global],0),1),0)</f>
        <v>0</v>
      </c>
      <c r="AE141" s="8">
        <f>HS_DB[[#This Row],[Crisis Impact%]]*HS_DB[[#This Row],[Trade Value - USD]]</f>
        <v>0</v>
      </c>
      <c r="AF141" s="8">
        <f>HS_DB[[#This Row],[Crisis Impact%]]*HS_DB[[#This Row],[Net Weight -KG]]</f>
        <v>0</v>
      </c>
      <c r="AG141" s="6">
        <f>SUMIFS(HS_DB[Trade Value - USD],HS_DB[Products],HS_DB[[#This Row],[Products]])/SUM(HS_DB[Trade Value - USD])</f>
        <v>3.2821229382954242E-3</v>
      </c>
      <c r="AH141" s="8">
        <f>_xlfn.RANK.EQ(HS_DB[[#This Row],[Trade Value - USD]], HS_DB[Trade Value - USD], 0)
 + COUNTIFS(HS_DB[Trade Value - USD],HS_DB[[#This Row],[Trade Value - USD]],
            HS_DB[HS Code],"&lt;"&amp;HS_DB[[#This Row],[HS Code]])</f>
        <v>85</v>
      </c>
      <c r="AI141" s="9">
        <f>IFERROR(HS_DB[[#This Row],[Trade Value - USD]]/HS_DB[[#This Row],[Net Weight -KG]],0)</f>
        <v>0.98755270117113714</v>
      </c>
      <c r="AJ141" s="17" cm="1">
        <f t="array" ref="AJ141">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41" s="17" t="str">
        <f>IF(HS_DB[[#This Row],[HS Code Risk Score]]&gt;=40,"High",
 IF(HS_DB[[#This Row],[HS Code Risk Score]]&gt;=25,"Medium","Low"))</f>
        <v>Medium</v>
      </c>
      <c r="AL141" s="17" t="str">
        <f>IF(RANK(HS_DB[[#This Row],[HS Code Risk Score]],HS_DB[HS Code Risk Score])&lt;=10,"Yes","No")</f>
        <v>No</v>
      </c>
      <c r="AM141" s="8">
        <f>SUMIFS(HS_DB[Net Weight -KG],HS_DB[HS Code],HS_DB[[#This Row],[HS Code]])</f>
        <v>1977514.1</v>
      </c>
      <c r="AN141" s="8">
        <f>SUMIFS(HS_DB[Trade Value - USD],HS_DB[HS Code],HS_DB[[#This Row],[HS Code]])</f>
        <v>6186829</v>
      </c>
      <c r="AO141" s="6">
        <f>_xlfn.MAXIFS(HS_DB[Origin Share%],HS_DB[HS Code],HS_DB[[#This Row],[HS Code]])</f>
        <v>6.321329281187793E-2</v>
      </c>
      <c r="AP141" s="8" cm="1">
        <f t="array" ref="AP141">_xlfn.LET(
_xlpm.hs,HS_DB[[#This Row],[HS Code]],
COUNTA(_xlfn.UNIQUE(_xlfn._xlws.FILTER(HS_DB[Reporter],HS_DB[HS Code]=_xlpm.hs)))
)</f>
        <v>16</v>
      </c>
      <c r="AQ141" s="17" t="str">
        <f>IF(HS_DB[[#This Row],[Origin Count]]=1,"Single Source","Multiple Sources")</f>
        <v>Multiple Sources</v>
      </c>
      <c r="AR141" s="8">
        <f>HS_DB[[#This Row],[Annual Spend - USD]]*(HS_DB[[#This Row],[HS Code Risk Score]]/100)</f>
        <v>2103521.8600000003</v>
      </c>
      <c r="AS141" s="8">
        <f>RANK(HS_DB[[#This Row],[Risk Exposure - USD]],HS_DB[Risk Exposure - USD],0)</f>
        <v>369</v>
      </c>
      <c r="AT141" s="8" t="str">
        <f>IF(HS_DB[[#This Row],[Risk Exposure Rank]]&lt;=10,"High",
 IF(HS_DB[[#This Row],[Risk Exposure Rank]]&lt;=30,"Medium",
 "Low"))</f>
        <v>Low</v>
      </c>
      <c r="AU141" s="8" t="str">
        <f>IF(HS_DB[[#This Row],[Risk Exposure Rank]]&lt;=5,"Immediate Action",
 IF(HS_DB[[#This Row],[Risk Exposure Rank]]&lt;=15,"Monitor Closely",
 "Routine Control"))</f>
        <v>Routine Control</v>
      </c>
      <c r="AV141" s="8">
        <f>SUMIFS(HS_DB[Trade Value - USD],HS_DB[HS Code],HS_DB[[#This Row],[HS Code]])</f>
        <v>6186829</v>
      </c>
      <c r="AW141" s="6">
        <f>HS_DB[[#This Row],[Annual Spend - USD]]/HS_DB[[#This Row],[Total Market Size - USD]]</f>
        <v>1</v>
      </c>
      <c r="AX141" s="6" cm="1">
        <f t="array" ref="AX141">COUNTA(_xlfn.UNIQUE(_xlfn._xlws.FILTER(HS_DB[Partner],HS_DB[HS Code]=HS_DB[[#This Row],[HS Code]])))</f>
        <v>1</v>
      </c>
      <c r="AY141" s="8" t="str">
        <f>IF(HS_DB[[#This Row],[Competition Intensity]]&lt;=2,"Highly Concentrated",
 IF(HS_DB[[#This Row],[Competition Intensity]]&lt;=5,"Moderate",
 "Highly Competitive"))</f>
        <v>Highly Concentrated</v>
      </c>
      <c r="AZ141" s="8">
        <f>HS_DB[[#This Row],[Total Market Size - USD]]
*
(1+IFERROR(#REF!,0))
/
HS_DB[[#This Row],[Competition Intensity]]</f>
        <v>6186829</v>
      </c>
      <c r="BA141" s="8" t="str">
        <f>IF(HS_DB[[#This Row],[Commercial Opportunity Score]]&gt;=PERCENTILE(HS_DB[Commercial Opportunity Score],0.9),"High Opportunity",
 IF(HS_DB[[#This Row],[Commercial Opportunity Score]]&gt;=PERCENTILE(HS_DB[Commercial Opportunity Score],0.6),"Medium Opportunity",
 "Routine Market"))</f>
        <v>Routine Market</v>
      </c>
      <c r="BB141" s="3" t="str">
        <f>IF(AND(HS_DB[[#This Row],[Product Rank]]&gt;0,HS_DB[[#This Row],[Product Rank]]&lt;=10),"Yes","No")</f>
        <v>No</v>
      </c>
      <c r="BC141" s="3" t="str">
        <f>IF(AND(HS_DB[[#This Row],[Origin Rank]]&gt;0,HS_DB[[#This Row],[Origin Rank]]&lt;=10),"Yes","No")</f>
        <v>Yes</v>
      </c>
    </row>
    <row r="142" spans="2:55" x14ac:dyDescent="0.3">
      <c r="B142" s="2">
        <f>HS_DB[[#This Row],[Commodity Code]]</f>
        <v>130239</v>
      </c>
      <c r="C142" s="2">
        <f>IFERROR(INDEX(HS_MD!C:C,MATCH(B142,HS_MD!B:B,0),1),"")</f>
        <v>4</v>
      </c>
      <c r="D142" s="17" t="str">
        <f>IFERROR(INDEX(HS_MD!D:D,MATCH(B142,HS_MD!B:B,0),1),"")</f>
        <v>Mucilages and thickeners</v>
      </c>
      <c r="E142" s="17" t="str">
        <f>IFERROR(INDEX(HS_MD!E:E,MATCH(B142,HS_MD!B:B,0),1),"")</f>
        <v>Carrageenan</v>
      </c>
      <c r="F142" s="17" t="str">
        <f>IFERROR(INDEX(HS_MD!F:F,MATCH(B142,HS_MD!B:B,0),1),"")</f>
        <v>FUNCTIONAL INGREDIENTS</v>
      </c>
      <c r="G142" s="17" t="str">
        <f>IFERROR(INDEX(HS_MD!G:G,MATCH(B142,HS_MD!B:B,0),1),"")</f>
        <v>Hydrocolloids</v>
      </c>
      <c r="H142" s="17" t="str">
        <f>IFERROR(INDEX(HS_MD!H:H,MATCH(B142,HS_MD!B:B,0),1),"")</f>
        <v>Carrageenan</v>
      </c>
      <c r="I142" s="17" t="str">
        <f>IFERROR(INDEX(HS_MD!I:I,MATCH(B142,HS_MD!B:B,0),1),"")</f>
        <v>Dairy / Processed Meat</v>
      </c>
      <c r="J142" s="17">
        <f>IFERROR(INDEX(Heat_Map[Index],MATCH(HS_DB[[#This Row],[Reporter]],Heat_Map[Global],0),1),"")</f>
        <v>159</v>
      </c>
      <c r="K142" s="17" t="str">
        <f>IF(AND(HS_DB[[#This Row],[Origin Rank]]&gt;1,HS_DB[[#This Row],[Origin Rank]]&lt;=10),"Yes","No")</f>
        <v>Yes</v>
      </c>
      <c r="L142" s="2">
        <v>2024</v>
      </c>
      <c r="M142" s="2" t="s">
        <v>57</v>
      </c>
      <c r="N142" s="2" t="s">
        <v>30</v>
      </c>
      <c r="O142" s="2" t="s">
        <v>22</v>
      </c>
      <c r="P142" s="2" t="s">
        <v>23</v>
      </c>
      <c r="Q142" s="2" t="s">
        <v>24</v>
      </c>
      <c r="R142" s="2" t="s">
        <v>25</v>
      </c>
      <c r="S142" s="2">
        <v>130239</v>
      </c>
      <c r="T142" s="3">
        <v>710929</v>
      </c>
      <c r="U142" s="3">
        <v>94498.1</v>
      </c>
      <c r="V142" s="3">
        <v>0</v>
      </c>
      <c r="W142" s="3">
        <v>94498</v>
      </c>
      <c r="X142" s="3" t="s">
        <v>58</v>
      </c>
      <c r="Y142" s="3">
        <v>94498</v>
      </c>
      <c r="Z142" s="3" t="s">
        <v>58</v>
      </c>
      <c r="AA142" s="6">
        <f>SUMIFS(HS_DB[Trade Value - USD],HS_DB[Reporter],HS_DB[[#This Row],[Reporter]])/SUM(HS_DB[Trade Value - USD])</f>
        <v>6.110186869383482E-3</v>
      </c>
      <c r="AB142" s="8" cm="1">
        <f t="array" ref="AB142">SUMPRODUCT(
(HS_DB[Reporter]=HS_DB[[#This Row],[Reporter]])*
(HS_DB[Trade Value - USD]&gt;HS_DB[[#This Row],[Trade Value - USD]])
)+1</f>
        <v>6</v>
      </c>
      <c r="AC142" s="8" t="str">
        <f>IFERROR(IF(INDEX(Heat_Map[Crisis Impact %],MATCH(HS_DB[[#This Row],[Reporter]],Heat_Map[Global],0),1)&gt;0,"Yes","No"),"No")</f>
        <v>No</v>
      </c>
      <c r="AD142" s="6">
        <f>IFERROR(INDEX(Heat_Map[Crisis Impact %],MATCH(HS_DB[[#This Row],[Reporter]],Heat_Map[Global],0),1),0)</f>
        <v>0</v>
      </c>
      <c r="AE142" s="8">
        <f>HS_DB[[#This Row],[Crisis Impact%]]*HS_DB[[#This Row],[Trade Value - USD]]</f>
        <v>0</v>
      </c>
      <c r="AF142" s="8">
        <f>HS_DB[[#This Row],[Crisis Impact%]]*HS_DB[[#This Row],[Net Weight -KG]]</f>
        <v>0</v>
      </c>
      <c r="AG142" s="6">
        <f>SUMIFS(HS_DB[Trade Value - USD],HS_DB[Products],HS_DB[[#This Row],[Products]])/SUM(HS_DB[Trade Value - USD])</f>
        <v>3.2821229382954242E-3</v>
      </c>
      <c r="AH142" s="8">
        <f>_xlfn.RANK.EQ(HS_DB[[#This Row],[Trade Value - USD]], HS_DB[Trade Value - USD], 0)
 + COUNTIFS(HS_DB[Trade Value - USD],HS_DB[[#This Row],[Trade Value - USD]],
            HS_DB[HS Code],"&lt;"&amp;HS_DB[[#This Row],[HS Code]])</f>
        <v>124</v>
      </c>
      <c r="AI142" s="9">
        <f>IFERROR(HS_DB[[#This Row],[Trade Value - USD]]/HS_DB[[#This Row],[Net Weight -KG]],0)</f>
        <v>7.5232094613542486</v>
      </c>
      <c r="AJ142" s="17" cm="1">
        <f t="array" ref="AJ142">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42" s="17" t="str">
        <f>IF(HS_DB[[#This Row],[HS Code Risk Score]]&gt;=40,"High",
 IF(HS_DB[[#This Row],[HS Code Risk Score]]&gt;=25,"Medium","Low"))</f>
        <v>Medium</v>
      </c>
      <c r="AL142" s="17" t="str">
        <f>IF(RANK(HS_DB[[#This Row],[HS Code Risk Score]],HS_DB[HS Code Risk Score])&lt;=10,"Yes","No")</f>
        <v>No</v>
      </c>
      <c r="AM142" s="8">
        <f>SUMIFS(HS_DB[Net Weight -KG],HS_DB[HS Code],HS_DB[[#This Row],[HS Code]])</f>
        <v>1977514.1</v>
      </c>
      <c r="AN142" s="8">
        <f>SUMIFS(HS_DB[Trade Value - USD],HS_DB[HS Code],HS_DB[[#This Row],[HS Code]])</f>
        <v>6186829</v>
      </c>
      <c r="AO142" s="6">
        <f>_xlfn.MAXIFS(HS_DB[Origin Share%],HS_DB[HS Code],HS_DB[[#This Row],[HS Code]])</f>
        <v>6.321329281187793E-2</v>
      </c>
      <c r="AP142" s="8" cm="1">
        <f t="array" ref="AP142">_xlfn.LET(
_xlpm.hs,HS_DB[[#This Row],[HS Code]],
COUNTA(_xlfn.UNIQUE(_xlfn._xlws.FILTER(HS_DB[Reporter],HS_DB[HS Code]=_xlpm.hs)))
)</f>
        <v>16</v>
      </c>
      <c r="AQ142" s="17" t="str">
        <f>IF(HS_DB[[#This Row],[Origin Count]]=1,"Single Source","Multiple Sources")</f>
        <v>Multiple Sources</v>
      </c>
      <c r="AR142" s="8">
        <f>HS_DB[[#This Row],[Annual Spend - USD]]*(HS_DB[[#This Row],[HS Code Risk Score]]/100)</f>
        <v>2103521.8600000003</v>
      </c>
      <c r="AS142" s="8">
        <f>RANK(HS_DB[[#This Row],[Risk Exposure - USD]],HS_DB[Risk Exposure - USD],0)</f>
        <v>369</v>
      </c>
      <c r="AT142" s="8" t="str">
        <f>IF(HS_DB[[#This Row],[Risk Exposure Rank]]&lt;=10,"High",
 IF(HS_DB[[#This Row],[Risk Exposure Rank]]&lt;=30,"Medium",
 "Low"))</f>
        <v>Low</v>
      </c>
      <c r="AU142" s="8" t="str">
        <f>IF(HS_DB[[#This Row],[Risk Exposure Rank]]&lt;=5,"Immediate Action",
 IF(HS_DB[[#This Row],[Risk Exposure Rank]]&lt;=15,"Monitor Closely",
 "Routine Control"))</f>
        <v>Routine Control</v>
      </c>
      <c r="AV142" s="8">
        <f>SUMIFS(HS_DB[Trade Value - USD],HS_DB[HS Code],HS_DB[[#This Row],[HS Code]])</f>
        <v>6186829</v>
      </c>
      <c r="AW142" s="6">
        <f>HS_DB[[#This Row],[Annual Spend - USD]]/HS_DB[[#This Row],[Total Market Size - USD]]</f>
        <v>1</v>
      </c>
      <c r="AX142" s="6" cm="1">
        <f t="array" ref="AX142">COUNTA(_xlfn.UNIQUE(_xlfn._xlws.FILTER(HS_DB[Partner],HS_DB[HS Code]=HS_DB[[#This Row],[HS Code]])))</f>
        <v>1</v>
      </c>
      <c r="AY142" s="8" t="str">
        <f>IF(HS_DB[[#This Row],[Competition Intensity]]&lt;=2,"Highly Concentrated",
 IF(HS_DB[[#This Row],[Competition Intensity]]&lt;=5,"Moderate",
 "Highly Competitive"))</f>
        <v>Highly Concentrated</v>
      </c>
      <c r="AZ142" s="8">
        <f>HS_DB[[#This Row],[Total Market Size - USD]]
*
(1+IFERROR(#REF!,0))
/
HS_DB[[#This Row],[Competition Intensity]]</f>
        <v>6186829</v>
      </c>
      <c r="BA142" s="8" t="str">
        <f>IF(HS_DB[[#This Row],[Commercial Opportunity Score]]&gt;=PERCENTILE(HS_DB[Commercial Opportunity Score],0.9),"High Opportunity",
 IF(HS_DB[[#This Row],[Commercial Opportunity Score]]&gt;=PERCENTILE(HS_DB[Commercial Opportunity Score],0.6),"Medium Opportunity",
 "Routine Market"))</f>
        <v>Routine Market</v>
      </c>
      <c r="BB142" s="3" t="str">
        <f>IF(AND(HS_DB[[#This Row],[Product Rank]]&gt;0,HS_DB[[#This Row],[Product Rank]]&lt;=10),"Yes","No")</f>
        <v>No</v>
      </c>
      <c r="BC142" s="3" t="str">
        <f>IF(AND(HS_DB[[#This Row],[Origin Rank]]&gt;0,HS_DB[[#This Row],[Origin Rank]]&lt;=10),"Yes","No")</f>
        <v>Yes</v>
      </c>
    </row>
    <row r="143" spans="2:55" x14ac:dyDescent="0.3">
      <c r="B143" s="2">
        <f>HS_DB[[#This Row],[Commodity Code]]</f>
        <v>130239</v>
      </c>
      <c r="C143" s="2">
        <f>IFERROR(INDEX(HS_MD!C:C,MATCH(B143,HS_MD!B:B,0),1),"")</f>
        <v>4</v>
      </c>
      <c r="D143" s="17" t="str">
        <f>IFERROR(INDEX(HS_MD!D:D,MATCH(B143,HS_MD!B:B,0),1),"")</f>
        <v>Mucilages and thickeners</v>
      </c>
      <c r="E143" s="17" t="str">
        <f>IFERROR(INDEX(HS_MD!E:E,MATCH(B143,HS_MD!B:B,0),1),"")</f>
        <v>Carrageenan</v>
      </c>
      <c r="F143" s="17" t="str">
        <f>IFERROR(INDEX(HS_MD!F:F,MATCH(B143,HS_MD!B:B,0),1),"")</f>
        <v>FUNCTIONAL INGREDIENTS</v>
      </c>
      <c r="G143" s="17" t="str">
        <f>IFERROR(INDEX(HS_MD!G:G,MATCH(B143,HS_MD!B:B,0),1),"")</f>
        <v>Hydrocolloids</v>
      </c>
      <c r="H143" s="17" t="str">
        <f>IFERROR(INDEX(HS_MD!H:H,MATCH(B143,HS_MD!B:B,0),1),"")</f>
        <v>Carrageenan</v>
      </c>
      <c r="I143" s="17" t="str">
        <f>IFERROR(INDEX(HS_MD!I:I,MATCH(B143,HS_MD!B:B,0),1),"")</f>
        <v>Dairy / Processed Meat</v>
      </c>
      <c r="J143" s="17">
        <f>IFERROR(INDEX(Heat_Map[Index],MATCH(HS_DB[[#This Row],[Reporter]],Heat_Map[Global],0),1),"")</f>
        <v>175</v>
      </c>
      <c r="K143" s="17" t="str">
        <f>IF(AND(HS_DB[[#This Row],[Origin Rank]]&gt;1,HS_DB[[#This Row],[Origin Rank]]&lt;=10),"Yes","No")</f>
        <v>No</v>
      </c>
      <c r="L143" s="2">
        <v>2024</v>
      </c>
      <c r="M143" s="2" t="s">
        <v>57</v>
      </c>
      <c r="N143" s="2" t="s">
        <v>34</v>
      </c>
      <c r="O143" s="2" t="s">
        <v>22</v>
      </c>
      <c r="P143" s="2" t="s">
        <v>23</v>
      </c>
      <c r="Q143" s="2" t="s">
        <v>24</v>
      </c>
      <c r="R143" s="2" t="s">
        <v>25</v>
      </c>
      <c r="S143" s="2">
        <v>130239</v>
      </c>
      <c r="T143" s="3">
        <v>5403</v>
      </c>
      <c r="U143" s="3">
        <v>255</v>
      </c>
      <c r="V143" s="3">
        <v>0</v>
      </c>
      <c r="W143" s="3">
        <v>255</v>
      </c>
      <c r="X143" s="3" t="s">
        <v>58</v>
      </c>
      <c r="Y143" s="3">
        <v>255</v>
      </c>
      <c r="Z143" s="3" t="s">
        <v>58</v>
      </c>
      <c r="AA143" s="6">
        <f>SUMIFS(HS_DB[Trade Value - USD],HS_DB[Reporter],HS_DB[[#This Row],[Reporter]])/SUM(HS_DB[Trade Value - USD])</f>
        <v>4.7522902002533667E-2</v>
      </c>
      <c r="AB143" s="8" cm="1">
        <f t="array" ref="AB143">SUMPRODUCT(
(HS_DB[Reporter]=HS_DB[[#This Row],[Reporter]])*
(HS_DB[Trade Value - USD]&gt;HS_DB[[#This Row],[Trade Value - USD]])
)+1</f>
        <v>32</v>
      </c>
      <c r="AC143" s="8" t="str">
        <f>IFERROR(IF(INDEX(Heat_Map[Crisis Impact %],MATCH(HS_DB[[#This Row],[Reporter]],Heat_Map[Global],0),1)&gt;0,"Yes","No"),"No")</f>
        <v>Yes</v>
      </c>
      <c r="AD143" s="6">
        <f>IFERROR(INDEX(Heat_Map[Crisis Impact %],MATCH(HS_DB[[#This Row],[Reporter]],Heat_Map[Global],0),1),0)</f>
        <v>0.1</v>
      </c>
      <c r="AE143" s="8">
        <f>HS_DB[[#This Row],[Crisis Impact%]]*HS_DB[[#This Row],[Trade Value - USD]]</f>
        <v>540.30000000000007</v>
      </c>
      <c r="AF143" s="8">
        <f>HS_DB[[#This Row],[Crisis Impact%]]*HS_DB[[#This Row],[Net Weight -KG]]</f>
        <v>25.5</v>
      </c>
      <c r="AG143" s="6">
        <f>SUMIFS(HS_DB[Trade Value - USD],HS_DB[Products],HS_DB[[#This Row],[Products]])/SUM(HS_DB[Trade Value - USD])</f>
        <v>3.2821229382954242E-3</v>
      </c>
      <c r="AH143" s="8">
        <f>_xlfn.RANK.EQ(HS_DB[[#This Row],[Trade Value - USD]], HS_DB[Trade Value - USD], 0)
 + COUNTIFS(HS_DB[Trade Value - USD],HS_DB[[#This Row],[Trade Value - USD]],
            HS_DB[HS Code],"&lt;"&amp;HS_DB[[#This Row],[HS Code]])</f>
        <v>439</v>
      </c>
      <c r="AI143" s="9">
        <f>IFERROR(HS_DB[[#This Row],[Trade Value - USD]]/HS_DB[[#This Row],[Net Weight -KG]],0)</f>
        <v>21.188235294117646</v>
      </c>
      <c r="AJ143" s="17" cm="1">
        <f t="array" ref="AJ143">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43" s="17" t="str">
        <f>IF(HS_DB[[#This Row],[HS Code Risk Score]]&gt;=40,"High",
 IF(HS_DB[[#This Row],[HS Code Risk Score]]&gt;=25,"Medium","Low"))</f>
        <v>Medium</v>
      </c>
      <c r="AL143" s="17" t="str">
        <f>IF(RANK(HS_DB[[#This Row],[HS Code Risk Score]],HS_DB[HS Code Risk Score])&lt;=10,"Yes","No")</f>
        <v>No</v>
      </c>
      <c r="AM143" s="8">
        <f>SUMIFS(HS_DB[Net Weight -KG],HS_DB[HS Code],HS_DB[[#This Row],[HS Code]])</f>
        <v>1977514.1</v>
      </c>
      <c r="AN143" s="8">
        <f>SUMIFS(HS_DB[Trade Value - USD],HS_DB[HS Code],HS_DB[[#This Row],[HS Code]])</f>
        <v>6186829</v>
      </c>
      <c r="AO143" s="6">
        <f>_xlfn.MAXIFS(HS_DB[Origin Share%],HS_DB[HS Code],HS_DB[[#This Row],[HS Code]])</f>
        <v>6.321329281187793E-2</v>
      </c>
      <c r="AP143" s="8" cm="1">
        <f t="array" ref="AP143">_xlfn.LET(
_xlpm.hs,HS_DB[[#This Row],[HS Code]],
COUNTA(_xlfn.UNIQUE(_xlfn._xlws.FILTER(HS_DB[Reporter],HS_DB[HS Code]=_xlpm.hs)))
)</f>
        <v>16</v>
      </c>
      <c r="AQ143" s="17" t="str">
        <f>IF(HS_DB[[#This Row],[Origin Count]]=1,"Single Source","Multiple Sources")</f>
        <v>Multiple Sources</v>
      </c>
      <c r="AR143" s="8">
        <f>HS_DB[[#This Row],[Annual Spend - USD]]*(HS_DB[[#This Row],[HS Code Risk Score]]/100)</f>
        <v>2103521.8600000003</v>
      </c>
      <c r="AS143" s="8">
        <f>RANK(HS_DB[[#This Row],[Risk Exposure - USD]],HS_DB[Risk Exposure - USD],0)</f>
        <v>369</v>
      </c>
      <c r="AT143" s="8" t="str">
        <f>IF(HS_DB[[#This Row],[Risk Exposure Rank]]&lt;=10,"High",
 IF(HS_DB[[#This Row],[Risk Exposure Rank]]&lt;=30,"Medium",
 "Low"))</f>
        <v>Low</v>
      </c>
      <c r="AU143" s="8" t="str">
        <f>IF(HS_DB[[#This Row],[Risk Exposure Rank]]&lt;=5,"Immediate Action",
 IF(HS_DB[[#This Row],[Risk Exposure Rank]]&lt;=15,"Monitor Closely",
 "Routine Control"))</f>
        <v>Routine Control</v>
      </c>
      <c r="AV143" s="8">
        <f>SUMIFS(HS_DB[Trade Value - USD],HS_DB[HS Code],HS_DB[[#This Row],[HS Code]])</f>
        <v>6186829</v>
      </c>
      <c r="AW143" s="6">
        <f>HS_DB[[#This Row],[Annual Spend - USD]]/HS_DB[[#This Row],[Total Market Size - USD]]</f>
        <v>1</v>
      </c>
      <c r="AX143" s="6" cm="1">
        <f t="array" ref="AX143">COUNTA(_xlfn.UNIQUE(_xlfn._xlws.FILTER(HS_DB[Partner],HS_DB[HS Code]=HS_DB[[#This Row],[HS Code]])))</f>
        <v>1</v>
      </c>
      <c r="AY143" s="8" t="str">
        <f>IF(HS_DB[[#This Row],[Competition Intensity]]&lt;=2,"Highly Concentrated",
 IF(HS_DB[[#This Row],[Competition Intensity]]&lt;=5,"Moderate",
 "Highly Competitive"))</f>
        <v>Highly Concentrated</v>
      </c>
      <c r="AZ143" s="8">
        <f>HS_DB[[#This Row],[Total Market Size - USD]]
*
(1+IFERROR(#REF!,0))
/
HS_DB[[#This Row],[Competition Intensity]]</f>
        <v>6186829</v>
      </c>
      <c r="BA143" s="8" t="str">
        <f>IF(HS_DB[[#This Row],[Commercial Opportunity Score]]&gt;=PERCENTILE(HS_DB[Commercial Opportunity Score],0.9),"High Opportunity",
 IF(HS_DB[[#This Row],[Commercial Opportunity Score]]&gt;=PERCENTILE(HS_DB[Commercial Opportunity Score],0.6),"Medium Opportunity",
 "Routine Market"))</f>
        <v>Routine Market</v>
      </c>
      <c r="BB143" s="3" t="str">
        <f>IF(AND(HS_DB[[#This Row],[Product Rank]]&gt;0,HS_DB[[#This Row],[Product Rank]]&lt;=10),"Yes","No")</f>
        <v>No</v>
      </c>
      <c r="BC143" s="3" t="str">
        <f>IF(AND(HS_DB[[#This Row],[Origin Rank]]&gt;0,HS_DB[[#This Row],[Origin Rank]]&lt;=10),"Yes","No")</f>
        <v>No</v>
      </c>
    </row>
    <row r="144" spans="2:55" x14ac:dyDescent="0.3">
      <c r="B144" s="2">
        <f>HS_DB[[#This Row],[Commodity Code]]</f>
        <v>130239</v>
      </c>
      <c r="C144" s="2">
        <f>IFERROR(INDEX(HS_MD!C:C,MATCH(B144,HS_MD!B:B,0),1),"")</f>
        <v>4</v>
      </c>
      <c r="D144" s="17" t="str">
        <f>IFERROR(INDEX(HS_MD!D:D,MATCH(B144,HS_MD!B:B,0),1),"")</f>
        <v>Mucilages and thickeners</v>
      </c>
      <c r="E144" s="17" t="str">
        <f>IFERROR(INDEX(HS_MD!E:E,MATCH(B144,HS_MD!B:B,0),1),"")</f>
        <v>Carrageenan</v>
      </c>
      <c r="F144" s="17" t="str">
        <f>IFERROR(INDEX(HS_MD!F:F,MATCH(B144,HS_MD!B:B,0),1),"")</f>
        <v>FUNCTIONAL INGREDIENTS</v>
      </c>
      <c r="G144" s="17" t="str">
        <f>IFERROR(INDEX(HS_MD!G:G,MATCH(B144,HS_MD!B:B,0),1),"")</f>
        <v>Hydrocolloids</v>
      </c>
      <c r="H144" s="17" t="str">
        <f>IFERROR(INDEX(HS_MD!H:H,MATCH(B144,HS_MD!B:B,0),1),"")</f>
        <v>Carrageenan</v>
      </c>
      <c r="I144" s="17" t="str">
        <f>IFERROR(INDEX(HS_MD!I:I,MATCH(B144,HS_MD!B:B,0),1),"")</f>
        <v>Dairy / Processed Meat</v>
      </c>
      <c r="J144" s="17">
        <f>IFERROR(INDEX(Heat_Map[Index],MATCH(HS_DB[[#This Row],[Reporter]],Heat_Map[Global],0),1),"")</f>
        <v>181</v>
      </c>
      <c r="K144" s="17" t="str">
        <f>IF(AND(HS_DB[[#This Row],[Origin Rank]]&gt;1,HS_DB[[#This Row],[Origin Rank]]&lt;=10),"Yes","No")</f>
        <v>No</v>
      </c>
      <c r="L144" s="2">
        <v>2024</v>
      </c>
      <c r="M144" s="2" t="s">
        <v>57</v>
      </c>
      <c r="N144" s="2" t="s">
        <v>36</v>
      </c>
      <c r="O144" s="2" t="s">
        <v>22</v>
      </c>
      <c r="P144" s="2" t="s">
        <v>23</v>
      </c>
      <c r="Q144" s="2" t="s">
        <v>24</v>
      </c>
      <c r="R144" s="2" t="s">
        <v>25</v>
      </c>
      <c r="S144" s="2">
        <v>130239</v>
      </c>
      <c r="T144" s="3">
        <v>18016</v>
      </c>
      <c r="U144" s="3">
        <v>1000</v>
      </c>
      <c r="V144" s="3">
        <v>0</v>
      </c>
      <c r="W144" s="3">
        <v>1000</v>
      </c>
      <c r="X144" s="3" t="s">
        <v>58</v>
      </c>
      <c r="Y144" s="3">
        <v>1000</v>
      </c>
      <c r="Z144" s="3" t="s">
        <v>58</v>
      </c>
      <c r="AA144" s="6">
        <f>SUMIFS(HS_DB[Trade Value - USD],HS_DB[Reporter],HS_DB[[#This Row],[Reporter]])/SUM(HS_DB[Trade Value - USD])</f>
        <v>1.3104801671892474E-3</v>
      </c>
      <c r="AB144" s="8" cm="1">
        <f t="array" ref="AB144">SUMPRODUCT(
(HS_DB[Reporter]=HS_DB[[#This Row],[Reporter]])*
(HS_DB[Trade Value - USD]&gt;HS_DB[[#This Row],[Trade Value - USD]])
)+1</f>
        <v>11</v>
      </c>
      <c r="AC144" s="8" t="str">
        <f>IFERROR(IF(INDEX(Heat_Map[Crisis Impact %],MATCH(HS_DB[[#This Row],[Reporter]],Heat_Map[Global],0),1)&gt;0,"Yes","No"),"No")</f>
        <v>No</v>
      </c>
      <c r="AD144" s="6">
        <f>IFERROR(INDEX(Heat_Map[Crisis Impact %],MATCH(HS_DB[[#This Row],[Reporter]],Heat_Map[Global],0),1),0)</f>
        <v>0</v>
      </c>
      <c r="AE144" s="8">
        <f>HS_DB[[#This Row],[Crisis Impact%]]*HS_DB[[#This Row],[Trade Value - USD]]</f>
        <v>0</v>
      </c>
      <c r="AF144" s="8">
        <f>HS_DB[[#This Row],[Crisis Impact%]]*HS_DB[[#This Row],[Net Weight -KG]]</f>
        <v>0</v>
      </c>
      <c r="AG144" s="6">
        <f>SUMIFS(HS_DB[Trade Value - USD],HS_DB[Products],HS_DB[[#This Row],[Products]])/SUM(HS_DB[Trade Value - USD])</f>
        <v>3.2821229382954242E-3</v>
      </c>
      <c r="AH144" s="8">
        <f>_xlfn.RANK.EQ(HS_DB[[#This Row],[Trade Value - USD]], HS_DB[Trade Value - USD], 0)
 + COUNTIFS(HS_DB[Trade Value - USD],HS_DB[[#This Row],[Trade Value - USD]],
            HS_DB[HS Code],"&lt;"&amp;HS_DB[[#This Row],[HS Code]])</f>
        <v>385</v>
      </c>
      <c r="AI144" s="9">
        <f>IFERROR(HS_DB[[#This Row],[Trade Value - USD]]/HS_DB[[#This Row],[Net Weight -KG]],0)</f>
        <v>18.015999999999998</v>
      </c>
      <c r="AJ144" s="17" cm="1">
        <f t="array" ref="AJ144">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44" s="17" t="str">
        <f>IF(HS_DB[[#This Row],[HS Code Risk Score]]&gt;=40,"High",
 IF(HS_DB[[#This Row],[HS Code Risk Score]]&gt;=25,"Medium","Low"))</f>
        <v>Medium</v>
      </c>
      <c r="AL144" s="17" t="str">
        <f>IF(RANK(HS_DB[[#This Row],[HS Code Risk Score]],HS_DB[HS Code Risk Score])&lt;=10,"Yes","No")</f>
        <v>No</v>
      </c>
      <c r="AM144" s="8">
        <f>SUMIFS(HS_DB[Net Weight -KG],HS_DB[HS Code],HS_DB[[#This Row],[HS Code]])</f>
        <v>1977514.1</v>
      </c>
      <c r="AN144" s="8">
        <f>SUMIFS(HS_DB[Trade Value - USD],HS_DB[HS Code],HS_DB[[#This Row],[HS Code]])</f>
        <v>6186829</v>
      </c>
      <c r="AO144" s="6">
        <f>_xlfn.MAXIFS(HS_DB[Origin Share%],HS_DB[HS Code],HS_DB[[#This Row],[HS Code]])</f>
        <v>6.321329281187793E-2</v>
      </c>
      <c r="AP144" s="8" cm="1">
        <f t="array" ref="AP144">_xlfn.LET(
_xlpm.hs,HS_DB[[#This Row],[HS Code]],
COUNTA(_xlfn.UNIQUE(_xlfn._xlws.FILTER(HS_DB[Reporter],HS_DB[HS Code]=_xlpm.hs)))
)</f>
        <v>16</v>
      </c>
      <c r="AQ144" s="17" t="str">
        <f>IF(HS_DB[[#This Row],[Origin Count]]=1,"Single Source","Multiple Sources")</f>
        <v>Multiple Sources</v>
      </c>
      <c r="AR144" s="8">
        <f>HS_DB[[#This Row],[Annual Spend - USD]]*(HS_DB[[#This Row],[HS Code Risk Score]]/100)</f>
        <v>2103521.8600000003</v>
      </c>
      <c r="AS144" s="8">
        <f>RANK(HS_DB[[#This Row],[Risk Exposure - USD]],HS_DB[Risk Exposure - USD],0)</f>
        <v>369</v>
      </c>
      <c r="AT144" s="8" t="str">
        <f>IF(HS_DB[[#This Row],[Risk Exposure Rank]]&lt;=10,"High",
 IF(HS_DB[[#This Row],[Risk Exposure Rank]]&lt;=30,"Medium",
 "Low"))</f>
        <v>Low</v>
      </c>
      <c r="AU144" s="8" t="str">
        <f>IF(HS_DB[[#This Row],[Risk Exposure Rank]]&lt;=5,"Immediate Action",
 IF(HS_DB[[#This Row],[Risk Exposure Rank]]&lt;=15,"Monitor Closely",
 "Routine Control"))</f>
        <v>Routine Control</v>
      </c>
      <c r="AV144" s="8">
        <f>SUMIFS(HS_DB[Trade Value - USD],HS_DB[HS Code],HS_DB[[#This Row],[HS Code]])</f>
        <v>6186829</v>
      </c>
      <c r="AW144" s="6">
        <f>HS_DB[[#This Row],[Annual Spend - USD]]/HS_DB[[#This Row],[Total Market Size - USD]]</f>
        <v>1</v>
      </c>
      <c r="AX144" s="6" cm="1">
        <f t="array" ref="AX144">COUNTA(_xlfn.UNIQUE(_xlfn._xlws.FILTER(HS_DB[Partner],HS_DB[HS Code]=HS_DB[[#This Row],[HS Code]])))</f>
        <v>1</v>
      </c>
      <c r="AY144" s="8" t="str">
        <f>IF(HS_DB[[#This Row],[Competition Intensity]]&lt;=2,"Highly Concentrated",
 IF(HS_DB[[#This Row],[Competition Intensity]]&lt;=5,"Moderate",
 "Highly Competitive"))</f>
        <v>Highly Concentrated</v>
      </c>
      <c r="AZ144" s="8">
        <f>HS_DB[[#This Row],[Total Market Size - USD]]
*
(1+IFERROR(#REF!,0))
/
HS_DB[[#This Row],[Competition Intensity]]</f>
        <v>6186829</v>
      </c>
      <c r="BA144" s="8" t="str">
        <f>IF(HS_DB[[#This Row],[Commercial Opportunity Score]]&gt;=PERCENTILE(HS_DB[Commercial Opportunity Score],0.9),"High Opportunity",
 IF(HS_DB[[#This Row],[Commercial Opportunity Score]]&gt;=PERCENTILE(HS_DB[Commercial Opportunity Score],0.6),"Medium Opportunity",
 "Routine Market"))</f>
        <v>Routine Market</v>
      </c>
      <c r="BB144" s="3" t="str">
        <f>IF(AND(HS_DB[[#This Row],[Product Rank]]&gt;0,HS_DB[[#This Row],[Product Rank]]&lt;=10),"Yes","No")</f>
        <v>No</v>
      </c>
      <c r="BC144" s="3" t="str">
        <f>IF(AND(HS_DB[[#This Row],[Origin Rank]]&gt;0,HS_DB[[#This Row],[Origin Rank]]&lt;=10),"Yes","No")</f>
        <v>No</v>
      </c>
    </row>
    <row r="145" spans="2:55" x14ac:dyDescent="0.3">
      <c r="B145" s="2">
        <f>HS_DB[[#This Row],[Commodity Code]]</f>
        <v>130239</v>
      </c>
      <c r="C145" s="2">
        <f>IFERROR(INDEX(HS_MD!C:C,MATCH(B145,HS_MD!B:B,0),1),"")</f>
        <v>4</v>
      </c>
      <c r="D145" s="17" t="str">
        <f>IFERROR(INDEX(HS_MD!D:D,MATCH(B145,HS_MD!B:B,0),1),"")</f>
        <v>Mucilages and thickeners</v>
      </c>
      <c r="E145" s="17" t="str">
        <f>IFERROR(INDEX(HS_MD!E:E,MATCH(B145,HS_MD!B:B,0),1),"")</f>
        <v>Carrageenan</v>
      </c>
      <c r="F145" s="17" t="str">
        <f>IFERROR(INDEX(HS_MD!F:F,MATCH(B145,HS_MD!B:B,0),1),"")</f>
        <v>FUNCTIONAL INGREDIENTS</v>
      </c>
      <c r="G145" s="17" t="str">
        <f>IFERROR(INDEX(HS_MD!G:G,MATCH(B145,HS_MD!B:B,0),1),"")</f>
        <v>Hydrocolloids</v>
      </c>
      <c r="H145" s="17" t="str">
        <f>IFERROR(INDEX(HS_MD!H:H,MATCH(B145,HS_MD!B:B,0),1),"")</f>
        <v>Carrageenan</v>
      </c>
      <c r="I145" s="17" t="str">
        <f>IFERROR(INDEX(HS_MD!I:I,MATCH(B145,HS_MD!B:B,0),1),"")</f>
        <v>Dairy / Processed Meat</v>
      </c>
      <c r="J145" s="17">
        <f>IFERROR(INDEX(Heat_Map[Index],MATCH(HS_DB[[#This Row],[Reporter]],Heat_Map[Global],0),1),"")</f>
        <v>182</v>
      </c>
      <c r="K145" s="17" t="str">
        <f>IF(AND(HS_DB[[#This Row],[Origin Rank]]&gt;1,HS_DB[[#This Row],[Origin Rank]]&lt;=10),"Yes","No")</f>
        <v>No</v>
      </c>
      <c r="L145" s="2">
        <v>2024</v>
      </c>
      <c r="M145" s="2" t="s">
        <v>57</v>
      </c>
      <c r="N145" s="2" t="s">
        <v>56</v>
      </c>
      <c r="O145" s="2" t="s">
        <v>22</v>
      </c>
      <c r="P145" s="2" t="s">
        <v>23</v>
      </c>
      <c r="Q145" s="2" t="s">
        <v>24</v>
      </c>
      <c r="R145" s="2" t="s">
        <v>25</v>
      </c>
      <c r="S145" s="2">
        <v>130239</v>
      </c>
      <c r="T145" s="3">
        <v>165809</v>
      </c>
      <c r="U145" s="3">
        <v>6600</v>
      </c>
      <c r="V145" s="3">
        <v>0</v>
      </c>
      <c r="W145" s="3">
        <v>6600</v>
      </c>
      <c r="X145" s="3" t="s">
        <v>58</v>
      </c>
      <c r="Y145" s="3">
        <v>6600</v>
      </c>
      <c r="Z145" s="3" t="s">
        <v>58</v>
      </c>
      <c r="AA145" s="6">
        <f>SUMIFS(HS_DB[Trade Value - USD],HS_DB[Reporter],HS_DB[[#This Row],[Reporter]])/SUM(HS_DB[Trade Value - USD])</f>
        <v>9.425427433633813E-3</v>
      </c>
      <c r="AB145" s="8" cm="1">
        <f t="array" ref="AB145">SUMPRODUCT(
(HS_DB[Reporter]=HS_DB[[#This Row],[Reporter]])*
(HS_DB[Trade Value - USD]&gt;HS_DB[[#This Row],[Trade Value - USD]])
)+1</f>
        <v>11</v>
      </c>
      <c r="AC145" s="8" t="str">
        <f>IFERROR(IF(INDEX(Heat_Map[Crisis Impact %],MATCH(HS_DB[[#This Row],[Reporter]],Heat_Map[Global],0),1)&gt;0,"Yes","No"),"No")</f>
        <v>Yes</v>
      </c>
      <c r="AD145" s="6">
        <f>IFERROR(INDEX(Heat_Map[Crisis Impact %],MATCH(HS_DB[[#This Row],[Reporter]],Heat_Map[Global],0),1),0)</f>
        <v>4.0000000000000008E-2</v>
      </c>
      <c r="AE145" s="8">
        <f>HS_DB[[#This Row],[Crisis Impact%]]*HS_DB[[#This Row],[Trade Value - USD]]</f>
        <v>6632.3600000000015</v>
      </c>
      <c r="AF145" s="8">
        <f>HS_DB[[#This Row],[Crisis Impact%]]*HS_DB[[#This Row],[Net Weight -KG]]</f>
        <v>264.00000000000006</v>
      </c>
      <c r="AG145" s="6">
        <f>SUMIFS(HS_DB[Trade Value - USD],HS_DB[Products],HS_DB[[#This Row],[Products]])/SUM(HS_DB[Trade Value - USD])</f>
        <v>3.2821229382954242E-3</v>
      </c>
      <c r="AH145" s="8">
        <f>_xlfn.RANK.EQ(HS_DB[[#This Row],[Trade Value - USD]], HS_DB[Trade Value - USD], 0)
 + COUNTIFS(HS_DB[Trade Value - USD],HS_DB[[#This Row],[Trade Value - USD]],
            HS_DB[HS Code],"&lt;"&amp;HS_DB[[#This Row],[HS Code]])</f>
        <v>234</v>
      </c>
      <c r="AI145" s="9">
        <f>IFERROR(HS_DB[[#This Row],[Trade Value - USD]]/HS_DB[[#This Row],[Net Weight -KG]],0)</f>
        <v>25.122575757575756</v>
      </c>
      <c r="AJ145" s="17" cm="1">
        <f t="array" ref="AJ145">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45" s="17" t="str">
        <f>IF(HS_DB[[#This Row],[HS Code Risk Score]]&gt;=40,"High",
 IF(HS_DB[[#This Row],[HS Code Risk Score]]&gt;=25,"Medium","Low"))</f>
        <v>Medium</v>
      </c>
      <c r="AL145" s="17" t="str">
        <f>IF(RANK(HS_DB[[#This Row],[HS Code Risk Score]],HS_DB[HS Code Risk Score])&lt;=10,"Yes","No")</f>
        <v>No</v>
      </c>
      <c r="AM145" s="8">
        <f>SUMIFS(HS_DB[Net Weight -KG],HS_DB[HS Code],HS_DB[[#This Row],[HS Code]])</f>
        <v>1977514.1</v>
      </c>
      <c r="AN145" s="8">
        <f>SUMIFS(HS_DB[Trade Value - USD],HS_DB[HS Code],HS_DB[[#This Row],[HS Code]])</f>
        <v>6186829</v>
      </c>
      <c r="AO145" s="6">
        <f>_xlfn.MAXIFS(HS_DB[Origin Share%],HS_DB[HS Code],HS_DB[[#This Row],[HS Code]])</f>
        <v>6.321329281187793E-2</v>
      </c>
      <c r="AP145" s="8" cm="1">
        <f t="array" ref="AP145">_xlfn.LET(
_xlpm.hs,HS_DB[[#This Row],[HS Code]],
COUNTA(_xlfn.UNIQUE(_xlfn._xlws.FILTER(HS_DB[Reporter],HS_DB[HS Code]=_xlpm.hs)))
)</f>
        <v>16</v>
      </c>
      <c r="AQ145" s="17" t="str">
        <f>IF(HS_DB[[#This Row],[Origin Count]]=1,"Single Source","Multiple Sources")</f>
        <v>Multiple Sources</v>
      </c>
      <c r="AR145" s="8">
        <f>HS_DB[[#This Row],[Annual Spend - USD]]*(HS_DB[[#This Row],[HS Code Risk Score]]/100)</f>
        <v>2103521.8600000003</v>
      </c>
      <c r="AS145" s="8">
        <f>RANK(HS_DB[[#This Row],[Risk Exposure - USD]],HS_DB[Risk Exposure - USD],0)</f>
        <v>369</v>
      </c>
      <c r="AT145" s="8" t="str">
        <f>IF(HS_DB[[#This Row],[Risk Exposure Rank]]&lt;=10,"High",
 IF(HS_DB[[#This Row],[Risk Exposure Rank]]&lt;=30,"Medium",
 "Low"))</f>
        <v>Low</v>
      </c>
      <c r="AU145" s="8" t="str">
        <f>IF(HS_DB[[#This Row],[Risk Exposure Rank]]&lt;=5,"Immediate Action",
 IF(HS_DB[[#This Row],[Risk Exposure Rank]]&lt;=15,"Monitor Closely",
 "Routine Control"))</f>
        <v>Routine Control</v>
      </c>
      <c r="AV145" s="8">
        <f>SUMIFS(HS_DB[Trade Value - USD],HS_DB[HS Code],HS_DB[[#This Row],[HS Code]])</f>
        <v>6186829</v>
      </c>
      <c r="AW145" s="6">
        <f>HS_DB[[#This Row],[Annual Spend - USD]]/HS_DB[[#This Row],[Total Market Size - USD]]</f>
        <v>1</v>
      </c>
      <c r="AX145" s="6" cm="1">
        <f t="array" ref="AX145">COUNTA(_xlfn.UNIQUE(_xlfn._xlws.FILTER(HS_DB[Partner],HS_DB[HS Code]=HS_DB[[#This Row],[HS Code]])))</f>
        <v>1</v>
      </c>
      <c r="AY145" s="8" t="str">
        <f>IF(HS_DB[[#This Row],[Competition Intensity]]&lt;=2,"Highly Concentrated",
 IF(HS_DB[[#This Row],[Competition Intensity]]&lt;=5,"Moderate",
 "Highly Competitive"))</f>
        <v>Highly Concentrated</v>
      </c>
      <c r="AZ145" s="8">
        <f>HS_DB[[#This Row],[Total Market Size - USD]]
*
(1+IFERROR(#REF!,0))
/
HS_DB[[#This Row],[Competition Intensity]]</f>
        <v>6186829</v>
      </c>
      <c r="BA145" s="8" t="str">
        <f>IF(HS_DB[[#This Row],[Commercial Opportunity Score]]&gt;=PERCENTILE(HS_DB[Commercial Opportunity Score],0.9),"High Opportunity",
 IF(HS_DB[[#This Row],[Commercial Opportunity Score]]&gt;=PERCENTILE(HS_DB[Commercial Opportunity Score],0.6),"Medium Opportunity",
 "Routine Market"))</f>
        <v>Routine Market</v>
      </c>
      <c r="BB145" s="3" t="str">
        <f>IF(AND(HS_DB[[#This Row],[Product Rank]]&gt;0,HS_DB[[#This Row],[Product Rank]]&lt;=10),"Yes","No")</f>
        <v>No</v>
      </c>
      <c r="BC145" s="3" t="str">
        <f>IF(AND(HS_DB[[#This Row],[Origin Rank]]&gt;0,HS_DB[[#This Row],[Origin Rank]]&lt;=10),"Yes","No")</f>
        <v>No</v>
      </c>
    </row>
    <row r="146" spans="2:55" x14ac:dyDescent="0.3">
      <c r="B146" s="2">
        <f>HS_DB[[#This Row],[Commodity Code]]</f>
        <v>291811</v>
      </c>
      <c r="C146" s="2">
        <f>IFERROR(INDEX(HS_MD!C:C,MATCH(B146,HS_MD!B:B,0),1),"")</f>
        <v>7</v>
      </c>
      <c r="D146" s="17" t="str">
        <f>IFERROR(INDEX(HS_MD!D:D,MATCH(B146,HS_MD!B:B,0),1),"")</f>
        <v>Lactic acid and salts</v>
      </c>
      <c r="E146" s="17" t="str">
        <f>IFERROR(INDEX(HS_MD!E:E,MATCH(B146,HS_MD!B:B,0),1),"")</f>
        <v>Lactic Acid</v>
      </c>
      <c r="F146" s="17" t="str">
        <f>IFERROR(INDEX(HS_MD!F:F,MATCH(B146,HS_MD!B:B,0),1),"")</f>
        <v>ACIDULANTS &amp; REGULATORS</v>
      </c>
      <c r="G146" s="17" t="str">
        <f>IFERROR(INDEX(HS_MD!G:G,MATCH(B146,HS_MD!B:B,0),1),"")</f>
        <v>Organic Acids</v>
      </c>
      <c r="H146" s="17" t="str">
        <f>IFERROR(INDEX(HS_MD!H:H,MATCH(B146,HS_MD!B:B,0),1),"")</f>
        <v>Lactic Acid</v>
      </c>
      <c r="I146" s="17" t="str">
        <f>IFERROR(INDEX(HS_MD!I:I,MATCH(B146,HS_MD!B:B,0),1),"")</f>
        <v>Dairy / Meat / Sauces</v>
      </c>
      <c r="J146" s="17">
        <f>IFERROR(INDEX(Heat_Map[Index],MATCH(HS_DB[[#This Row],[Reporter]],Heat_Map[Global],0),1),"")</f>
        <v>10</v>
      </c>
      <c r="K146" s="17" t="str">
        <f>IF(AND(HS_DB[[#This Row],[Origin Rank]]&gt;1,HS_DB[[#This Row],[Origin Rank]]&lt;=10),"Yes","No")</f>
        <v>Yes</v>
      </c>
      <c r="L146" s="2">
        <v>2024</v>
      </c>
      <c r="M146" s="2" t="s">
        <v>57</v>
      </c>
      <c r="N146" s="2" t="s">
        <v>148</v>
      </c>
      <c r="O146" s="2" t="s">
        <v>22</v>
      </c>
      <c r="P146" s="2" t="s">
        <v>23</v>
      </c>
      <c r="Q146" s="2" t="s">
        <v>24</v>
      </c>
      <c r="R146" s="2" t="s">
        <v>25</v>
      </c>
      <c r="S146" s="2">
        <v>291811</v>
      </c>
      <c r="T146" s="3">
        <v>36137</v>
      </c>
      <c r="U146" s="3">
        <v>4500</v>
      </c>
      <c r="V146" s="3">
        <v>0</v>
      </c>
      <c r="W146" s="3">
        <v>4500</v>
      </c>
      <c r="X146" s="3" t="s">
        <v>58</v>
      </c>
      <c r="Y146" s="3">
        <v>4500</v>
      </c>
      <c r="Z146" s="3" t="s">
        <v>58</v>
      </c>
      <c r="AA146" s="6">
        <f>SUMIFS(HS_DB[Trade Value - USD],HS_DB[Reporter],HS_DB[[#This Row],[Reporter]])/SUM(HS_DB[Trade Value - USD])</f>
        <v>9.4529556942970843E-5</v>
      </c>
      <c r="AB146" s="8" cm="1">
        <f t="array" ref="AB146">SUMPRODUCT(
(HS_DB[Reporter]=HS_DB[[#This Row],[Reporter]])*
(HS_DB[Trade Value - USD]&gt;HS_DB[[#This Row],[Trade Value - USD]])
)+1</f>
        <v>2</v>
      </c>
      <c r="AC146" s="8" t="str">
        <f>IFERROR(IF(INDEX(Heat_Map[Crisis Impact %],MATCH(HS_DB[[#This Row],[Reporter]],Heat_Map[Global],0),1)&gt;0,"Yes","No"),"No")</f>
        <v>No</v>
      </c>
      <c r="AD146" s="6">
        <f>IFERROR(INDEX(Heat_Map[Crisis Impact %],MATCH(HS_DB[[#This Row],[Reporter]],Heat_Map[Global],0),1),0)</f>
        <v>0</v>
      </c>
      <c r="AE146" s="8">
        <f>HS_DB[[#This Row],[Crisis Impact%]]*HS_DB[[#This Row],[Trade Value - USD]]</f>
        <v>0</v>
      </c>
      <c r="AF146" s="8">
        <f>HS_DB[[#This Row],[Crisis Impact%]]*HS_DB[[#This Row],[Net Weight -KG]]</f>
        <v>0</v>
      </c>
      <c r="AG146" s="6">
        <f>SUMIFS(HS_DB[Trade Value - USD],HS_DB[Products],HS_DB[[#This Row],[Products]])/SUM(HS_DB[Trade Value - USD])</f>
        <v>1.0627836458986936E-3</v>
      </c>
      <c r="AH146" s="8">
        <f>_xlfn.RANK.EQ(HS_DB[[#This Row],[Trade Value - USD]], HS_DB[Trade Value - USD], 0)
 + COUNTIFS(HS_DB[Trade Value - USD],HS_DB[[#This Row],[Trade Value - USD]],
            HS_DB[HS Code],"&lt;"&amp;HS_DB[[#This Row],[HS Code]])</f>
        <v>340</v>
      </c>
      <c r="AI146" s="9">
        <f>IFERROR(HS_DB[[#This Row],[Trade Value - USD]]/HS_DB[[#This Row],[Net Weight -KG]],0)</f>
        <v>8.0304444444444449</v>
      </c>
      <c r="AJ146" s="17" cm="1">
        <f t="array" ref="AJ146">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46" s="17" t="str">
        <f>IF(HS_DB[[#This Row],[HS Code Risk Score]]&gt;=40,"High",
 IF(HS_DB[[#This Row],[HS Code Risk Score]]&gt;=25,"Medium","Low"))</f>
        <v>Medium</v>
      </c>
      <c r="AL146" s="17" t="str">
        <f>IF(RANK(HS_DB[[#This Row],[HS Code Risk Score]],HS_DB[HS Code Risk Score])&lt;=10,"Yes","No")</f>
        <v>No</v>
      </c>
      <c r="AM146" s="8">
        <f>SUMIFS(HS_DB[Net Weight -KG],HS_DB[HS Code],HS_DB[[#This Row],[HS Code]])</f>
        <v>1513457.4</v>
      </c>
      <c r="AN146" s="8">
        <f>SUMIFS(HS_DB[Trade Value - USD],HS_DB[HS Code],HS_DB[[#This Row],[HS Code]])</f>
        <v>2003356</v>
      </c>
      <c r="AO146" s="6">
        <f>_xlfn.MAXIFS(HS_DB[Origin Share%],HS_DB[HS Code],HS_DB[[#This Row],[HS Code]])</f>
        <v>6.321329281187793E-2</v>
      </c>
      <c r="AP146" s="8" cm="1">
        <f t="array" ref="AP146">_xlfn.LET(
_xlpm.hs,HS_DB[[#This Row],[HS Code]],
COUNTA(_xlfn.UNIQUE(_xlfn._xlws.FILTER(HS_DB[Reporter],HS_DB[HS Code]=_xlpm.hs)))
)</f>
        <v>12</v>
      </c>
      <c r="AQ146" s="17" t="str">
        <f>IF(HS_DB[[#This Row],[Origin Count]]=1,"Single Source","Multiple Sources")</f>
        <v>Multiple Sources</v>
      </c>
      <c r="AR146" s="8">
        <f>HS_DB[[#This Row],[Annual Spend - USD]]*(HS_DB[[#This Row],[HS Code Risk Score]]/100)</f>
        <v>681141.04</v>
      </c>
      <c r="AS146" s="8">
        <f>RANK(HS_DB[[#This Row],[Risk Exposure - USD]],HS_DB[Risk Exposure - USD],0)</f>
        <v>476</v>
      </c>
      <c r="AT146" s="8" t="str">
        <f>IF(HS_DB[[#This Row],[Risk Exposure Rank]]&lt;=10,"High",
 IF(HS_DB[[#This Row],[Risk Exposure Rank]]&lt;=30,"Medium",
 "Low"))</f>
        <v>Low</v>
      </c>
      <c r="AU146" s="8" t="str">
        <f>IF(HS_DB[[#This Row],[Risk Exposure Rank]]&lt;=5,"Immediate Action",
 IF(HS_DB[[#This Row],[Risk Exposure Rank]]&lt;=15,"Monitor Closely",
 "Routine Control"))</f>
        <v>Routine Control</v>
      </c>
      <c r="AV146" s="8">
        <f>SUMIFS(HS_DB[Trade Value - USD],HS_DB[HS Code],HS_DB[[#This Row],[HS Code]])</f>
        <v>2003356</v>
      </c>
      <c r="AW146" s="6">
        <f>HS_DB[[#This Row],[Annual Spend - USD]]/HS_DB[[#This Row],[Total Market Size - USD]]</f>
        <v>1</v>
      </c>
      <c r="AX146" s="6" cm="1">
        <f t="array" ref="AX146">COUNTA(_xlfn.UNIQUE(_xlfn._xlws.FILTER(HS_DB[Partner],HS_DB[HS Code]=HS_DB[[#This Row],[HS Code]])))</f>
        <v>1</v>
      </c>
      <c r="AY146" s="8" t="str">
        <f>IF(HS_DB[[#This Row],[Competition Intensity]]&lt;=2,"Highly Concentrated",
 IF(HS_DB[[#This Row],[Competition Intensity]]&lt;=5,"Moderate",
 "Highly Competitive"))</f>
        <v>Highly Concentrated</v>
      </c>
      <c r="AZ146" s="8">
        <f>HS_DB[[#This Row],[Total Market Size - USD]]
*
(1+IFERROR(#REF!,0))
/
HS_DB[[#This Row],[Competition Intensity]]</f>
        <v>2003356</v>
      </c>
      <c r="BA146" s="8" t="str">
        <f>IF(HS_DB[[#This Row],[Commercial Opportunity Score]]&gt;=PERCENTILE(HS_DB[Commercial Opportunity Score],0.9),"High Opportunity",
 IF(HS_DB[[#This Row],[Commercial Opportunity Score]]&gt;=PERCENTILE(HS_DB[Commercial Opportunity Score],0.6),"Medium Opportunity",
 "Routine Market"))</f>
        <v>Routine Market</v>
      </c>
      <c r="BB146" s="3" t="str">
        <f>IF(AND(HS_DB[[#This Row],[Product Rank]]&gt;0,HS_DB[[#This Row],[Product Rank]]&lt;=10),"Yes","No")</f>
        <v>No</v>
      </c>
      <c r="BC146" s="3" t="str">
        <f>IF(AND(HS_DB[[#This Row],[Origin Rank]]&gt;0,HS_DB[[#This Row],[Origin Rank]]&lt;=10),"Yes","No")</f>
        <v>Yes</v>
      </c>
    </row>
    <row r="147" spans="2:55" x14ac:dyDescent="0.3">
      <c r="B147" s="2">
        <f>HS_DB[[#This Row],[Commodity Code]]</f>
        <v>291811</v>
      </c>
      <c r="C147" s="2">
        <f>IFERROR(INDEX(HS_MD!C:C,MATCH(B147,HS_MD!B:B,0),1),"")</f>
        <v>7</v>
      </c>
      <c r="D147" s="17" t="str">
        <f>IFERROR(INDEX(HS_MD!D:D,MATCH(B147,HS_MD!B:B,0),1),"")</f>
        <v>Lactic acid and salts</v>
      </c>
      <c r="E147" s="17" t="str">
        <f>IFERROR(INDEX(HS_MD!E:E,MATCH(B147,HS_MD!B:B,0),1),"")</f>
        <v>Lactic Acid</v>
      </c>
      <c r="F147" s="17" t="str">
        <f>IFERROR(INDEX(HS_MD!F:F,MATCH(B147,HS_MD!B:B,0),1),"")</f>
        <v>ACIDULANTS &amp; REGULATORS</v>
      </c>
      <c r="G147" s="17" t="str">
        <f>IFERROR(INDEX(HS_MD!G:G,MATCH(B147,HS_MD!B:B,0),1),"")</f>
        <v>Organic Acids</v>
      </c>
      <c r="H147" s="17" t="str">
        <f>IFERROR(INDEX(HS_MD!H:H,MATCH(B147,HS_MD!B:B,0),1),"")</f>
        <v>Lactic Acid</v>
      </c>
      <c r="I147" s="17" t="str">
        <f>IFERROR(INDEX(HS_MD!I:I,MATCH(B147,HS_MD!B:B,0),1),"")</f>
        <v>Dairy / Meat / Sauces</v>
      </c>
      <c r="J147" s="17">
        <f>IFERROR(INDEX(Heat_Map[Index],MATCH(HS_DB[[#This Row],[Reporter]],Heat_Map[Global],0),1),"")</f>
        <v>17</v>
      </c>
      <c r="K147" s="17" t="str">
        <f>IF(AND(HS_DB[[#This Row],[Origin Rank]]&gt;1,HS_DB[[#This Row],[Origin Rank]]&lt;=10),"Yes","No")</f>
        <v>Yes</v>
      </c>
      <c r="L147" s="2">
        <v>2024</v>
      </c>
      <c r="M147" s="2" t="s">
        <v>57</v>
      </c>
      <c r="N147" s="2" t="s">
        <v>5</v>
      </c>
      <c r="O147" s="2" t="s">
        <v>22</v>
      </c>
      <c r="P147" s="2" t="s">
        <v>23</v>
      </c>
      <c r="Q147" s="2" t="s">
        <v>24</v>
      </c>
      <c r="R147" s="2" t="s">
        <v>25</v>
      </c>
      <c r="S147" s="2">
        <v>291811</v>
      </c>
      <c r="T147" s="3">
        <v>182757</v>
      </c>
      <c r="U147" s="3">
        <v>74790.5</v>
      </c>
      <c r="V147" s="3">
        <v>0</v>
      </c>
      <c r="W147" s="3">
        <v>74791</v>
      </c>
      <c r="X147" s="3" t="s">
        <v>58</v>
      </c>
      <c r="Y147" s="3">
        <v>74791</v>
      </c>
      <c r="Z147" s="3" t="s">
        <v>58</v>
      </c>
      <c r="AA147" s="6">
        <f>SUMIFS(HS_DB[Trade Value - USD],HS_DB[Reporter],HS_DB[[#This Row],[Reporter]])/SUM(HS_DB[Trade Value - USD])</f>
        <v>5.3992075088500962E-3</v>
      </c>
      <c r="AB147" s="8" cm="1">
        <f t="array" ref="AB147">SUMPRODUCT(
(HS_DB[Reporter]=HS_DB[[#This Row],[Reporter]])*
(HS_DB[Trade Value - USD]&gt;HS_DB[[#This Row],[Trade Value - USD]])
)+1</f>
        <v>7</v>
      </c>
      <c r="AC147" s="8" t="str">
        <f>IFERROR(IF(INDEX(Heat_Map[Crisis Impact %],MATCH(HS_DB[[#This Row],[Reporter]],Heat_Map[Global],0),1)&gt;0,"Yes","No"),"No")</f>
        <v>No</v>
      </c>
      <c r="AD147" s="6">
        <f>IFERROR(INDEX(Heat_Map[Crisis Impact %],MATCH(HS_DB[[#This Row],[Reporter]],Heat_Map[Global],0),1),0)</f>
        <v>0</v>
      </c>
      <c r="AE147" s="8">
        <f>HS_DB[[#This Row],[Crisis Impact%]]*HS_DB[[#This Row],[Trade Value - USD]]</f>
        <v>0</v>
      </c>
      <c r="AF147" s="8">
        <f>HS_DB[[#This Row],[Crisis Impact%]]*HS_DB[[#This Row],[Net Weight -KG]]</f>
        <v>0</v>
      </c>
      <c r="AG147" s="6">
        <f>SUMIFS(HS_DB[Trade Value - USD],HS_DB[Products],HS_DB[[#This Row],[Products]])/SUM(HS_DB[Trade Value - USD])</f>
        <v>1.0627836458986936E-3</v>
      </c>
      <c r="AH147" s="8">
        <f>_xlfn.RANK.EQ(HS_DB[[#This Row],[Trade Value - USD]], HS_DB[Trade Value - USD], 0)
 + COUNTIFS(HS_DB[Trade Value - USD],HS_DB[[#This Row],[Trade Value - USD]],
            HS_DB[HS Code],"&lt;"&amp;HS_DB[[#This Row],[HS Code]])</f>
        <v>225</v>
      </c>
      <c r="AI147" s="9">
        <f>IFERROR(HS_DB[[#This Row],[Trade Value - USD]]/HS_DB[[#This Row],[Net Weight -KG]],0)</f>
        <v>2.4435857495270121</v>
      </c>
      <c r="AJ147" s="17" cm="1">
        <f t="array" ref="AJ147">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47" s="17" t="str">
        <f>IF(HS_DB[[#This Row],[HS Code Risk Score]]&gt;=40,"High",
 IF(HS_DB[[#This Row],[HS Code Risk Score]]&gt;=25,"Medium","Low"))</f>
        <v>Medium</v>
      </c>
      <c r="AL147" s="17" t="str">
        <f>IF(RANK(HS_DB[[#This Row],[HS Code Risk Score]],HS_DB[HS Code Risk Score])&lt;=10,"Yes","No")</f>
        <v>No</v>
      </c>
      <c r="AM147" s="8">
        <f>SUMIFS(HS_DB[Net Weight -KG],HS_DB[HS Code],HS_DB[[#This Row],[HS Code]])</f>
        <v>1513457.4</v>
      </c>
      <c r="AN147" s="8">
        <f>SUMIFS(HS_DB[Trade Value - USD],HS_DB[HS Code],HS_DB[[#This Row],[HS Code]])</f>
        <v>2003356</v>
      </c>
      <c r="AO147" s="6">
        <f>_xlfn.MAXIFS(HS_DB[Origin Share%],HS_DB[HS Code],HS_DB[[#This Row],[HS Code]])</f>
        <v>6.321329281187793E-2</v>
      </c>
      <c r="AP147" s="8" cm="1">
        <f t="array" ref="AP147">_xlfn.LET(
_xlpm.hs,HS_DB[[#This Row],[HS Code]],
COUNTA(_xlfn.UNIQUE(_xlfn._xlws.FILTER(HS_DB[Reporter],HS_DB[HS Code]=_xlpm.hs)))
)</f>
        <v>12</v>
      </c>
      <c r="AQ147" s="17" t="str">
        <f>IF(HS_DB[[#This Row],[Origin Count]]=1,"Single Source","Multiple Sources")</f>
        <v>Multiple Sources</v>
      </c>
      <c r="AR147" s="8">
        <f>HS_DB[[#This Row],[Annual Spend - USD]]*(HS_DB[[#This Row],[HS Code Risk Score]]/100)</f>
        <v>681141.04</v>
      </c>
      <c r="AS147" s="8">
        <f>RANK(HS_DB[[#This Row],[Risk Exposure - USD]],HS_DB[Risk Exposure - USD],0)</f>
        <v>476</v>
      </c>
      <c r="AT147" s="8" t="str">
        <f>IF(HS_DB[[#This Row],[Risk Exposure Rank]]&lt;=10,"High",
 IF(HS_DB[[#This Row],[Risk Exposure Rank]]&lt;=30,"Medium",
 "Low"))</f>
        <v>Low</v>
      </c>
      <c r="AU147" s="8" t="str">
        <f>IF(HS_DB[[#This Row],[Risk Exposure Rank]]&lt;=5,"Immediate Action",
 IF(HS_DB[[#This Row],[Risk Exposure Rank]]&lt;=15,"Monitor Closely",
 "Routine Control"))</f>
        <v>Routine Control</v>
      </c>
      <c r="AV147" s="8">
        <f>SUMIFS(HS_DB[Trade Value - USD],HS_DB[HS Code],HS_DB[[#This Row],[HS Code]])</f>
        <v>2003356</v>
      </c>
      <c r="AW147" s="6">
        <f>HS_DB[[#This Row],[Annual Spend - USD]]/HS_DB[[#This Row],[Total Market Size - USD]]</f>
        <v>1</v>
      </c>
      <c r="AX147" s="6" cm="1">
        <f t="array" ref="AX147">COUNTA(_xlfn.UNIQUE(_xlfn._xlws.FILTER(HS_DB[Partner],HS_DB[HS Code]=HS_DB[[#This Row],[HS Code]])))</f>
        <v>1</v>
      </c>
      <c r="AY147" s="8" t="str">
        <f>IF(HS_DB[[#This Row],[Competition Intensity]]&lt;=2,"Highly Concentrated",
 IF(HS_DB[[#This Row],[Competition Intensity]]&lt;=5,"Moderate",
 "Highly Competitive"))</f>
        <v>Highly Concentrated</v>
      </c>
      <c r="AZ147" s="8">
        <f>HS_DB[[#This Row],[Total Market Size - USD]]
*
(1+IFERROR(#REF!,0))
/
HS_DB[[#This Row],[Competition Intensity]]</f>
        <v>2003356</v>
      </c>
      <c r="BA147" s="8" t="str">
        <f>IF(HS_DB[[#This Row],[Commercial Opportunity Score]]&gt;=PERCENTILE(HS_DB[Commercial Opportunity Score],0.9),"High Opportunity",
 IF(HS_DB[[#This Row],[Commercial Opportunity Score]]&gt;=PERCENTILE(HS_DB[Commercial Opportunity Score],0.6),"Medium Opportunity",
 "Routine Market"))</f>
        <v>Routine Market</v>
      </c>
      <c r="BB147" s="3" t="str">
        <f>IF(AND(HS_DB[[#This Row],[Product Rank]]&gt;0,HS_DB[[#This Row],[Product Rank]]&lt;=10),"Yes","No")</f>
        <v>No</v>
      </c>
      <c r="BC147" s="3" t="str">
        <f>IF(AND(HS_DB[[#This Row],[Origin Rank]]&gt;0,HS_DB[[#This Row],[Origin Rank]]&lt;=10),"Yes","No")</f>
        <v>Yes</v>
      </c>
    </row>
    <row r="148" spans="2:55" x14ac:dyDescent="0.3">
      <c r="B148" s="2">
        <f>HS_DB[[#This Row],[Commodity Code]]</f>
        <v>291811</v>
      </c>
      <c r="C148" s="2">
        <f>IFERROR(INDEX(HS_MD!C:C,MATCH(B148,HS_MD!B:B,0),1),"")</f>
        <v>7</v>
      </c>
      <c r="D148" s="17" t="str">
        <f>IFERROR(INDEX(HS_MD!D:D,MATCH(B148,HS_MD!B:B,0),1),"")</f>
        <v>Lactic acid and salts</v>
      </c>
      <c r="E148" s="17" t="str">
        <f>IFERROR(INDEX(HS_MD!E:E,MATCH(B148,HS_MD!B:B,0),1),"")</f>
        <v>Lactic Acid</v>
      </c>
      <c r="F148" s="17" t="str">
        <f>IFERROR(INDEX(HS_MD!F:F,MATCH(B148,HS_MD!B:B,0),1),"")</f>
        <v>ACIDULANTS &amp; REGULATORS</v>
      </c>
      <c r="G148" s="17" t="str">
        <f>IFERROR(INDEX(HS_MD!G:G,MATCH(B148,HS_MD!B:B,0),1),"")</f>
        <v>Organic Acids</v>
      </c>
      <c r="H148" s="17" t="str">
        <f>IFERROR(INDEX(HS_MD!H:H,MATCH(B148,HS_MD!B:B,0),1),"")</f>
        <v>Lactic Acid</v>
      </c>
      <c r="I148" s="17" t="str">
        <f>IFERROR(INDEX(HS_MD!I:I,MATCH(B148,HS_MD!B:B,0),1),"")</f>
        <v>Dairy / Meat / Sauces</v>
      </c>
      <c r="J148" s="17">
        <f>IFERROR(INDEX(Heat_Map[Index],MATCH(HS_DB[[#This Row],[Reporter]],Heat_Map[Global],0),1),"")</f>
        <v>36</v>
      </c>
      <c r="K148" s="17" t="str">
        <f>IF(AND(HS_DB[[#This Row],[Origin Rank]]&gt;1,HS_DB[[#This Row],[Origin Rank]]&lt;=10),"Yes","No")</f>
        <v>No</v>
      </c>
      <c r="L148" s="2">
        <v>2024</v>
      </c>
      <c r="M148" s="2" t="s">
        <v>57</v>
      </c>
      <c r="N148" s="2" t="s">
        <v>1</v>
      </c>
      <c r="O148" s="2" t="s">
        <v>22</v>
      </c>
      <c r="P148" s="2" t="s">
        <v>23</v>
      </c>
      <c r="Q148" s="2" t="s">
        <v>24</v>
      </c>
      <c r="R148" s="2" t="s">
        <v>25</v>
      </c>
      <c r="S148" s="2">
        <v>291811</v>
      </c>
      <c r="T148" s="3">
        <v>1109353</v>
      </c>
      <c r="U148" s="3">
        <v>1095525</v>
      </c>
      <c r="V148" s="3">
        <v>0</v>
      </c>
      <c r="W148" s="3">
        <v>1095525</v>
      </c>
      <c r="X148" s="3" t="s">
        <v>58</v>
      </c>
      <c r="Y148" s="3">
        <v>1095525</v>
      </c>
      <c r="Z148" s="3" t="s">
        <v>58</v>
      </c>
      <c r="AA148" s="6">
        <f>SUMIFS(HS_DB[Trade Value - USD],HS_DB[Reporter],HS_DB[[#This Row],[Reporter]])/SUM(HS_DB[Trade Value - USD])</f>
        <v>6.321329281187793E-2</v>
      </c>
      <c r="AB148" s="8" cm="1">
        <f t="array" ref="AB148">SUMPRODUCT(
(HS_DB[Reporter]=HS_DB[[#This Row],[Reporter]])*
(HS_DB[Trade Value - USD]&gt;HS_DB[[#This Row],[Trade Value - USD]])
)+1</f>
        <v>21</v>
      </c>
      <c r="AC148" s="8" t="str">
        <f>IFERROR(IF(INDEX(Heat_Map[Crisis Impact %],MATCH(HS_DB[[#This Row],[Reporter]],Heat_Map[Global],0),1)&gt;0,"Yes","No"),"No")</f>
        <v>Yes</v>
      </c>
      <c r="AD148" s="6">
        <f>IFERROR(INDEX(Heat_Map[Crisis Impact %],MATCH(HS_DB[[#This Row],[Reporter]],Heat_Map[Global],0),1),0)</f>
        <v>0.14000000000000001</v>
      </c>
      <c r="AE148" s="8">
        <f>HS_DB[[#This Row],[Crisis Impact%]]*HS_DB[[#This Row],[Trade Value - USD]]</f>
        <v>155309.42000000001</v>
      </c>
      <c r="AF148" s="8">
        <f>HS_DB[[#This Row],[Crisis Impact%]]*HS_DB[[#This Row],[Net Weight -KG]]</f>
        <v>153373.50000000003</v>
      </c>
      <c r="AG148" s="6">
        <f>SUMIFS(HS_DB[Trade Value - USD],HS_DB[Products],HS_DB[[#This Row],[Products]])/SUM(HS_DB[Trade Value - USD])</f>
        <v>1.0627836458986936E-3</v>
      </c>
      <c r="AH148" s="8">
        <f>_xlfn.RANK.EQ(HS_DB[[#This Row],[Trade Value - USD]], HS_DB[Trade Value - USD], 0)
 + COUNTIFS(HS_DB[Trade Value - USD],HS_DB[[#This Row],[Trade Value - USD]],
            HS_DB[HS Code],"&lt;"&amp;HS_DB[[#This Row],[HS Code]])</f>
        <v>99</v>
      </c>
      <c r="AI148" s="9">
        <f>IFERROR(HS_DB[[#This Row],[Trade Value - USD]]/HS_DB[[#This Row],[Net Weight -KG]],0)</f>
        <v>1.0126222587343967</v>
      </c>
      <c r="AJ148" s="17" cm="1">
        <f t="array" ref="AJ148">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48" s="17" t="str">
        <f>IF(HS_DB[[#This Row],[HS Code Risk Score]]&gt;=40,"High",
 IF(HS_DB[[#This Row],[HS Code Risk Score]]&gt;=25,"Medium","Low"))</f>
        <v>Medium</v>
      </c>
      <c r="AL148" s="17" t="str">
        <f>IF(RANK(HS_DB[[#This Row],[HS Code Risk Score]],HS_DB[HS Code Risk Score])&lt;=10,"Yes","No")</f>
        <v>No</v>
      </c>
      <c r="AM148" s="8">
        <f>SUMIFS(HS_DB[Net Weight -KG],HS_DB[HS Code],HS_DB[[#This Row],[HS Code]])</f>
        <v>1513457.4</v>
      </c>
      <c r="AN148" s="8">
        <f>SUMIFS(HS_DB[Trade Value - USD],HS_DB[HS Code],HS_DB[[#This Row],[HS Code]])</f>
        <v>2003356</v>
      </c>
      <c r="AO148" s="6">
        <f>_xlfn.MAXIFS(HS_DB[Origin Share%],HS_DB[HS Code],HS_DB[[#This Row],[HS Code]])</f>
        <v>6.321329281187793E-2</v>
      </c>
      <c r="AP148" s="8" cm="1">
        <f t="array" ref="AP148">_xlfn.LET(
_xlpm.hs,HS_DB[[#This Row],[HS Code]],
COUNTA(_xlfn.UNIQUE(_xlfn._xlws.FILTER(HS_DB[Reporter],HS_DB[HS Code]=_xlpm.hs)))
)</f>
        <v>12</v>
      </c>
      <c r="AQ148" s="17" t="str">
        <f>IF(HS_DB[[#This Row],[Origin Count]]=1,"Single Source","Multiple Sources")</f>
        <v>Multiple Sources</v>
      </c>
      <c r="AR148" s="8">
        <f>HS_DB[[#This Row],[Annual Spend - USD]]*(HS_DB[[#This Row],[HS Code Risk Score]]/100)</f>
        <v>681141.04</v>
      </c>
      <c r="AS148" s="8">
        <f>RANK(HS_DB[[#This Row],[Risk Exposure - USD]],HS_DB[Risk Exposure - USD],0)</f>
        <v>476</v>
      </c>
      <c r="AT148" s="8" t="str">
        <f>IF(HS_DB[[#This Row],[Risk Exposure Rank]]&lt;=10,"High",
 IF(HS_DB[[#This Row],[Risk Exposure Rank]]&lt;=30,"Medium",
 "Low"))</f>
        <v>Low</v>
      </c>
      <c r="AU148" s="8" t="str">
        <f>IF(HS_DB[[#This Row],[Risk Exposure Rank]]&lt;=5,"Immediate Action",
 IF(HS_DB[[#This Row],[Risk Exposure Rank]]&lt;=15,"Monitor Closely",
 "Routine Control"))</f>
        <v>Routine Control</v>
      </c>
      <c r="AV148" s="8">
        <f>SUMIFS(HS_DB[Trade Value - USD],HS_DB[HS Code],HS_DB[[#This Row],[HS Code]])</f>
        <v>2003356</v>
      </c>
      <c r="AW148" s="6">
        <f>HS_DB[[#This Row],[Annual Spend - USD]]/HS_DB[[#This Row],[Total Market Size - USD]]</f>
        <v>1</v>
      </c>
      <c r="AX148" s="6" cm="1">
        <f t="array" ref="AX148">COUNTA(_xlfn.UNIQUE(_xlfn._xlws.FILTER(HS_DB[Partner],HS_DB[HS Code]=HS_DB[[#This Row],[HS Code]])))</f>
        <v>1</v>
      </c>
      <c r="AY148" s="8" t="str">
        <f>IF(HS_DB[[#This Row],[Competition Intensity]]&lt;=2,"Highly Concentrated",
 IF(HS_DB[[#This Row],[Competition Intensity]]&lt;=5,"Moderate",
 "Highly Competitive"))</f>
        <v>Highly Concentrated</v>
      </c>
      <c r="AZ148" s="8">
        <f>HS_DB[[#This Row],[Total Market Size - USD]]
*
(1+IFERROR(#REF!,0))
/
HS_DB[[#This Row],[Competition Intensity]]</f>
        <v>2003356</v>
      </c>
      <c r="BA148" s="8" t="str">
        <f>IF(HS_DB[[#This Row],[Commercial Opportunity Score]]&gt;=PERCENTILE(HS_DB[Commercial Opportunity Score],0.9),"High Opportunity",
 IF(HS_DB[[#This Row],[Commercial Opportunity Score]]&gt;=PERCENTILE(HS_DB[Commercial Opportunity Score],0.6),"Medium Opportunity",
 "Routine Market"))</f>
        <v>Routine Market</v>
      </c>
      <c r="BB148" s="3" t="str">
        <f>IF(AND(HS_DB[[#This Row],[Product Rank]]&gt;0,HS_DB[[#This Row],[Product Rank]]&lt;=10),"Yes","No")</f>
        <v>No</v>
      </c>
      <c r="BC148" s="3" t="str">
        <f>IF(AND(HS_DB[[#This Row],[Origin Rank]]&gt;0,HS_DB[[#This Row],[Origin Rank]]&lt;=10),"Yes","No")</f>
        <v>No</v>
      </c>
    </row>
    <row r="149" spans="2:55" x14ac:dyDescent="0.3">
      <c r="B149" s="2">
        <f>HS_DB[[#This Row],[Commodity Code]]</f>
        <v>291811</v>
      </c>
      <c r="C149" s="2">
        <f>IFERROR(INDEX(HS_MD!C:C,MATCH(B149,HS_MD!B:B,0),1),"")</f>
        <v>7</v>
      </c>
      <c r="D149" s="17" t="str">
        <f>IFERROR(INDEX(HS_MD!D:D,MATCH(B149,HS_MD!B:B,0),1),"")</f>
        <v>Lactic acid and salts</v>
      </c>
      <c r="E149" s="17" t="str">
        <f>IFERROR(INDEX(HS_MD!E:E,MATCH(B149,HS_MD!B:B,0),1),"")</f>
        <v>Lactic Acid</v>
      </c>
      <c r="F149" s="17" t="str">
        <f>IFERROR(INDEX(HS_MD!F:F,MATCH(B149,HS_MD!B:B,0),1),"")</f>
        <v>ACIDULANTS &amp; REGULATORS</v>
      </c>
      <c r="G149" s="17" t="str">
        <f>IFERROR(INDEX(HS_MD!G:G,MATCH(B149,HS_MD!B:B,0),1),"")</f>
        <v>Organic Acids</v>
      </c>
      <c r="H149" s="17" t="str">
        <f>IFERROR(INDEX(HS_MD!H:H,MATCH(B149,HS_MD!B:B,0),1),"")</f>
        <v>Lactic Acid</v>
      </c>
      <c r="I149" s="17" t="str">
        <f>IFERROR(INDEX(HS_MD!I:I,MATCH(B149,HS_MD!B:B,0),1),"")</f>
        <v>Dairy / Meat / Sauces</v>
      </c>
      <c r="J149" s="17">
        <f>IFERROR(INDEX(Heat_Map[Index],MATCH(HS_DB[[#This Row],[Reporter]],Heat_Map[Global],0),1),"")</f>
        <v>59</v>
      </c>
      <c r="K149" s="17" t="str">
        <f>IF(AND(HS_DB[[#This Row],[Origin Rank]]&gt;1,HS_DB[[#This Row],[Origin Rank]]&lt;=10),"Yes","No")</f>
        <v>No</v>
      </c>
      <c r="L149" s="2">
        <v>2024</v>
      </c>
      <c r="M149" s="2" t="s">
        <v>57</v>
      </c>
      <c r="N149" s="2" t="s">
        <v>44</v>
      </c>
      <c r="O149" s="2" t="s">
        <v>22</v>
      </c>
      <c r="P149" s="2" t="s">
        <v>23</v>
      </c>
      <c r="Q149" s="2" t="s">
        <v>24</v>
      </c>
      <c r="R149" s="2" t="s">
        <v>25</v>
      </c>
      <c r="S149" s="2">
        <v>291811</v>
      </c>
      <c r="T149" s="3">
        <v>134312</v>
      </c>
      <c r="U149" s="3">
        <v>97250</v>
      </c>
      <c r="V149" s="3">
        <v>0</v>
      </c>
      <c r="W149" s="3">
        <v>97250</v>
      </c>
      <c r="X149" s="3" t="s">
        <v>58</v>
      </c>
      <c r="Y149" s="3">
        <v>97250</v>
      </c>
      <c r="Z149" s="3" t="s">
        <v>58</v>
      </c>
      <c r="AA149" s="6">
        <f>SUMIFS(HS_DB[Trade Value - USD],HS_DB[Reporter],HS_DB[[#This Row],[Reporter]])/SUM(HS_DB[Trade Value - USD])</f>
        <v>1.6951290293147386E-2</v>
      </c>
      <c r="AB149" s="8" cm="1">
        <f t="array" ref="AB149">SUMPRODUCT(
(HS_DB[Reporter]=HS_DB[[#This Row],[Reporter]])*
(HS_DB[Trade Value - USD]&gt;HS_DB[[#This Row],[Trade Value - USD]])
)+1</f>
        <v>22</v>
      </c>
      <c r="AC149" s="8" t="str">
        <f>IFERROR(IF(INDEX(Heat_Map[Crisis Impact %],MATCH(HS_DB[[#This Row],[Reporter]],Heat_Map[Global],0),1)&gt;0,"Yes","No"),"No")</f>
        <v>No</v>
      </c>
      <c r="AD149" s="6">
        <f>IFERROR(INDEX(Heat_Map[Crisis Impact %],MATCH(HS_DB[[#This Row],[Reporter]],Heat_Map[Global],0),1),0)</f>
        <v>0</v>
      </c>
      <c r="AE149" s="8">
        <f>HS_DB[[#This Row],[Crisis Impact%]]*HS_DB[[#This Row],[Trade Value - USD]]</f>
        <v>0</v>
      </c>
      <c r="AF149" s="8">
        <f>HS_DB[[#This Row],[Crisis Impact%]]*HS_DB[[#This Row],[Net Weight -KG]]</f>
        <v>0</v>
      </c>
      <c r="AG149" s="6">
        <f>SUMIFS(HS_DB[Trade Value - USD],HS_DB[Products],HS_DB[[#This Row],[Products]])/SUM(HS_DB[Trade Value - USD])</f>
        <v>1.0627836458986936E-3</v>
      </c>
      <c r="AH149" s="8">
        <f>_xlfn.RANK.EQ(HS_DB[[#This Row],[Trade Value - USD]], HS_DB[Trade Value - USD], 0)
 + COUNTIFS(HS_DB[Trade Value - USD],HS_DB[[#This Row],[Trade Value - USD]],
            HS_DB[HS Code],"&lt;"&amp;HS_DB[[#This Row],[HS Code]])</f>
        <v>256</v>
      </c>
      <c r="AI149" s="9">
        <f>IFERROR(HS_DB[[#This Row],[Trade Value - USD]]/HS_DB[[#This Row],[Net Weight -KG]],0)</f>
        <v>1.3811002570694086</v>
      </c>
      <c r="AJ149" s="17" cm="1">
        <f t="array" ref="AJ149">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49" s="17" t="str">
        <f>IF(HS_DB[[#This Row],[HS Code Risk Score]]&gt;=40,"High",
 IF(HS_DB[[#This Row],[HS Code Risk Score]]&gt;=25,"Medium","Low"))</f>
        <v>Medium</v>
      </c>
      <c r="AL149" s="17" t="str">
        <f>IF(RANK(HS_DB[[#This Row],[HS Code Risk Score]],HS_DB[HS Code Risk Score])&lt;=10,"Yes","No")</f>
        <v>No</v>
      </c>
      <c r="AM149" s="8">
        <f>SUMIFS(HS_DB[Net Weight -KG],HS_DB[HS Code],HS_DB[[#This Row],[HS Code]])</f>
        <v>1513457.4</v>
      </c>
      <c r="AN149" s="8">
        <f>SUMIFS(HS_DB[Trade Value - USD],HS_DB[HS Code],HS_DB[[#This Row],[HS Code]])</f>
        <v>2003356</v>
      </c>
      <c r="AO149" s="6">
        <f>_xlfn.MAXIFS(HS_DB[Origin Share%],HS_DB[HS Code],HS_DB[[#This Row],[HS Code]])</f>
        <v>6.321329281187793E-2</v>
      </c>
      <c r="AP149" s="8" cm="1">
        <f t="array" ref="AP149">_xlfn.LET(
_xlpm.hs,HS_DB[[#This Row],[HS Code]],
COUNTA(_xlfn.UNIQUE(_xlfn._xlws.FILTER(HS_DB[Reporter],HS_DB[HS Code]=_xlpm.hs)))
)</f>
        <v>12</v>
      </c>
      <c r="AQ149" s="17" t="str">
        <f>IF(HS_DB[[#This Row],[Origin Count]]=1,"Single Source","Multiple Sources")</f>
        <v>Multiple Sources</v>
      </c>
      <c r="AR149" s="8">
        <f>HS_DB[[#This Row],[Annual Spend - USD]]*(HS_DB[[#This Row],[HS Code Risk Score]]/100)</f>
        <v>681141.04</v>
      </c>
      <c r="AS149" s="8">
        <f>RANK(HS_DB[[#This Row],[Risk Exposure - USD]],HS_DB[Risk Exposure - USD],0)</f>
        <v>476</v>
      </c>
      <c r="AT149" s="8" t="str">
        <f>IF(HS_DB[[#This Row],[Risk Exposure Rank]]&lt;=10,"High",
 IF(HS_DB[[#This Row],[Risk Exposure Rank]]&lt;=30,"Medium",
 "Low"))</f>
        <v>Low</v>
      </c>
      <c r="AU149" s="8" t="str">
        <f>IF(HS_DB[[#This Row],[Risk Exposure Rank]]&lt;=5,"Immediate Action",
 IF(HS_DB[[#This Row],[Risk Exposure Rank]]&lt;=15,"Monitor Closely",
 "Routine Control"))</f>
        <v>Routine Control</v>
      </c>
      <c r="AV149" s="8">
        <f>SUMIFS(HS_DB[Trade Value - USD],HS_DB[HS Code],HS_DB[[#This Row],[HS Code]])</f>
        <v>2003356</v>
      </c>
      <c r="AW149" s="6">
        <f>HS_DB[[#This Row],[Annual Spend - USD]]/HS_DB[[#This Row],[Total Market Size - USD]]</f>
        <v>1</v>
      </c>
      <c r="AX149" s="6" cm="1">
        <f t="array" ref="AX149">COUNTA(_xlfn.UNIQUE(_xlfn._xlws.FILTER(HS_DB[Partner],HS_DB[HS Code]=HS_DB[[#This Row],[HS Code]])))</f>
        <v>1</v>
      </c>
      <c r="AY149" s="8" t="str">
        <f>IF(HS_DB[[#This Row],[Competition Intensity]]&lt;=2,"Highly Concentrated",
 IF(HS_DB[[#This Row],[Competition Intensity]]&lt;=5,"Moderate",
 "Highly Competitive"))</f>
        <v>Highly Concentrated</v>
      </c>
      <c r="AZ149" s="8">
        <f>HS_DB[[#This Row],[Total Market Size - USD]]
*
(1+IFERROR(#REF!,0))
/
HS_DB[[#This Row],[Competition Intensity]]</f>
        <v>2003356</v>
      </c>
      <c r="BA149" s="8" t="str">
        <f>IF(HS_DB[[#This Row],[Commercial Opportunity Score]]&gt;=PERCENTILE(HS_DB[Commercial Opportunity Score],0.9),"High Opportunity",
 IF(HS_DB[[#This Row],[Commercial Opportunity Score]]&gt;=PERCENTILE(HS_DB[Commercial Opportunity Score],0.6),"Medium Opportunity",
 "Routine Market"))</f>
        <v>Routine Market</v>
      </c>
      <c r="BB149" s="3" t="str">
        <f>IF(AND(HS_DB[[#This Row],[Product Rank]]&gt;0,HS_DB[[#This Row],[Product Rank]]&lt;=10),"Yes","No")</f>
        <v>No</v>
      </c>
      <c r="BC149" s="3" t="str">
        <f>IF(AND(HS_DB[[#This Row],[Origin Rank]]&gt;0,HS_DB[[#This Row],[Origin Rank]]&lt;=10),"Yes","No")</f>
        <v>No</v>
      </c>
    </row>
    <row r="150" spans="2:55" x14ac:dyDescent="0.3">
      <c r="B150" s="2">
        <f>HS_DB[[#This Row],[Commodity Code]]</f>
        <v>291811</v>
      </c>
      <c r="C150" s="2">
        <f>IFERROR(INDEX(HS_MD!C:C,MATCH(B150,HS_MD!B:B,0),1),"")</f>
        <v>7</v>
      </c>
      <c r="D150" s="17" t="str">
        <f>IFERROR(INDEX(HS_MD!D:D,MATCH(B150,HS_MD!B:B,0),1),"")</f>
        <v>Lactic acid and salts</v>
      </c>
      <c r="E150" s="17" t="str">
        <f>IFERROR(INDEX(HS_MD!E:E,MATCH(B150,HS_MD!B:B,0),1),"")</f>
        <v>Lactic Acid</v>
      </c>
      <c r="F150" s="17" t="str">
        <f>IFERROR(INDEX(HS_MD!F:F,MATCH(B150,HS_MD!B:B,0),1),"")</f>
        <v>ACIDULANTS &amp; REGULATORS</v>
      </c>
      <c r="G150" s="17" t="str">
        <f>IFERROR(INDEX(HS_MD!G:G,MATCH(B150,HS_MD!B:B,0),1),"")</f>
        <v>Organic Acids</v>
      </c>
      <c r="H150" s="17" t="str">
        <f>IFERROR(INDEX(HS_MD!H:H,MATCH(B150,HS_MD!B:B,0),1),"")</f>
        <v>Lactic Acid</v>
      </c>
      <c r="I150" s="17" t="str">
        <f>IFERROR(INDEX(HS_MD!I:I,MATCH(B150,HS_MD!B:B,0),1),"")</f>
        <v>Dairy / Meat / Sauces</v>
      </c>
      <c r="J150" s="17">
        <f>IFERROR(INDEX(Heat_Map[Index],MATCH(HS_DB[[#This Row],[Reporter]],Heat_Map[Global],0),1),"")</f>
        <v>63</v>
      </c>
      <c r="K150" s="17" t="str">
        <f>IF(AND(HS_DB[[#This Row],[Origin Rank]]&gt;1,HS_DB[[#This Row],[Origin Rank]]&lt;=10),"Yes","No")</f>
        <v>No</v>
      </c>
      <c r="L150" s="2">
        <v>2024</v>
      </c>
      <c r="M150" s="2" t="s">
        <v>57</v>
      </c>
      <c r="N150" s="2" t="s">
        <v>2</v>
      </c>
      <c r="O150" s="2" t="s">
        <v>22</v>
      </c>
      <c r="P150" s="2" t="s">
        <v>23</v>
      </c>
      <c r="Q150" s="2" t="s">
        <v>24</v>
      </c>
      <c r="R150" s="2" t="s">
        <v>25</v>
      </c>
      <c r="S150" s="2">
        <v>291811</v>
      </c>
      <c r="T150" s="3">
        <v>41393</v>
      </c>
      <c r="U150" s="3">
        <v>7680.9</v>
      </c>
      <c r="V150" s="3">
        <v>0</v>
      </c>
      <c r="W150" s="3">
        <v>7681</v>
      </c>
      <c r="X150" s="3" t="s">
        <v>58</v>
      </c>
      <c r="Y150" s="3">
        <v>0</v>
      </c>
      <c r="Z150" s="3" t="s">
        <v>26</v>
      </c>
      <c r="AA150" s="6">
        <f>SUMIFS(HS_DB[Trade Value - USD],HS_DB[Reporter],HS_DB[[#This Row],[Reporter]])/SUM(HS_DB[Trade Value - USD])</f>
        <v>1.1674623358397021E-2</v>
      </c>
      <c r="AB150" s="8" cm="1">
        <f t="array" ref="AB150">SUMPRODUCT(
(HS_DB[Reporter]=HS_DB[[#This Row],[Reporter]])*
(HS_DB[Trade Value - USD]&gt;HS_DB[[#This Row],[Trade Value - USD]])
)+1</f>
        <v>27</v>
      </c>
      <c r="AC150" s="8" t="str">
        <f>IFERROR(IF(INDEX(Heat_Map[Crisis Impact %],MATCH(HS_DB[[#This Row],[Reporter]],Heat_Map[Global],0),1)&gt;0,"Yes","No"),"No")</f>
        <v>No</v>
      </c>
      <c r="AD150" s="6">
        <f>IFERROR(INDEX(Heat_Map[Crisis Impact %],MATCH(HS_DB[[#This Row],[Reporter]],Heat_Map[Global],0),1),0)</f>
        <v>0</v>
      </c>
      <c r="AE150" s="8">
        <f>HS_DB[[#This Row],[Crisis Impact%]]*HS_DB[[#This Row],[Trade Value - USD]]</f>
        <v>0</v>
      </c>
      <c r="AF150" s="8">
        <f>HS_DB[[#This Row],[Crisis Impact%]]*HS_DB[[#This Row],[Net Weight -KG]]</f>
        <v>0</v>
      </c>
      <c r="AG150" s="6">
        <f>SUMIFS(HS_DB[Trade Value - USD],HS_DB[Products],HS_DB[[#This Row],[Products]])/SUM(HS_DB[Trade Value - USD])</f>
        <v>1.0627836458986936E-3</v>
      </c>
      <c r="AH150" s="8">
        <f>_xlfn.RANK.EQ(HS_DB[[#This Row],[Trade Value - USD]], HS_DB[Trade Value - USD], 0)
 + COUNTIFS(HS_DB[Trade Value - USD],HS_DB[[#This Row],[Trade Value - USD]],
            HS_DB[HS Code],"&lt;"&amp;HS_DB[[#This Row],[HS Code]])</f>
        <v>331</v>
      </c>
      <c r="AI150" s="9">
        <f>IFERROR(HS_DB[[#This Row],[Trade Value - USD]]/HS_DB[[#This Row],[Net Weight -KG]],0)</f>
        <v>5.3890820086187823</v>
      </c>
      <c r="AJ150" s="17" cm="1">
        <f t="array" ref="AJ150">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50" s="17" t="str">
        <f>IF(HS_DB[[#This Row],[HS Code Risk Score]]&gt;=40,"High",
 IF(HS_DB[[#This Row],[HS Code Risk Score]]&gt;=25,"Medium","Low"))</f>
        <v>Medium</v>
      </c>
      <c r="AL150" s="17" t="str">
        <f>IF(RANK(HS_DB[[#This Row],[HS Code Risk Score]],HS_DB[HS Code Risk Score])&lt;=10,"Yes","No")</f>
        <v>No</v>
      </c>
      <c r="AM150" s="8">
        <f>SUMIFS(HS_DB[Net Weight -KG],HS_DB[HS Code],HS_DB[[#This Row],[HS Code]])</f>
        <v>1513457.4</v>
      </c>
      <c r="AN150" s="8">
        <f>SUMIFS(HS_DB[Trade Value - USD],HS_DB[HS Code],HS_DB[[#This Row],[HS Code]])</f>
        <v>2003356</v>
      </c>
      <c r="AO150" s="6">
        <f>_xlfn.MAXIFS(HS_DB[Origin Share%],HS_DB[HS Code],HS_DB[[#This Row],[HS Code]])</f>
        <v>6.321329281187793E-2</v>
      </c>
      <c r="AP150" s="8" cm="1">
        <f t="array" ref="AP150">_xlfn.LET(
_xlpm.hs,HS_DB[[#This Row],[HS Code]],
COUNTA(_xlfn.UNIQUE(_xlfn._xlws.FILTER(HS_DB[Reporter],HS_DB[HS Code]=_xlpm.hs)))
)</f>
        <v>12</v>
      </c>
      <c r="AQ150" s="17" t="str">
        <f>IF(HS_DB[[#This Row],[Origin Count]]=1,"Single Source","Multiple Sources")</f>
        <v>Multiple Sources</v>
      </c>
      <c r="AR150" s="8">
        <f>HS_DB[[#This Row],[Annual Spend - USD]]*(HS_DB[[#This Row],[HS Code Risk Score]]/100)</f>
        <v>681141.04</v>
      </c>
      <c r="AS150" s="8">
        <f>RANK(HS_DB[[#This Row],[Risk Exposure - USD]],HS_DB[Risk Exposure - USD],0)</f>
        <v>476</v>
      </c>
      <c r="AT150" s="8" t="str">
        <f>IF(HS_DB[[#This Row],[Risk Exposure Rank]]&lt;=10,"High",
 IF(HS_DB[[#This Row],[Risk Exposure Rank]]&lt;=30,"Medium",
 "Low"))</f>
        <v>Low</v>
      </c>
      <c r="AU150" s="8" t="str">
        <f>IF(HS_DB[[#This Row],[Risk Exposure Rank]]&lt;=5,"Immediate Action",
 IF(HS_DB[[#This Row],[Risk Exposure Rank]]&lt;=15,"Monitor Closely",
 "Routine Control"))</f>
        <v>Routine Control</v>
      </c>
      <c r="AV150" s="8">
        <f>SUMIFS(HS_DB[Trade Value - USD],HS_DB[HS Code],HS_DB[[#This Row],[HS Code]])</f>
        <v>2003356</v>
      </c>
      <c r="AW150" s="6">
        <f>HS_DB[[#This Row],[Annual Spend - USD]]/HS_DB[[#This Row],[Total Market Size - USD]]</f>
        <v>1</v>
      </c>
      <c r="AX150" s="6" cm="1">
        <f t="array" ref="AX150">COUNTA(_xlfn.UNIQUE(_xlfn._xlws.FILTER(HS_DB[Partner],HS_DB[HS Code]=HS_DB[[#This Row],[HS Code]])))</f>
        <v>1</v>
      </c>
      <c r="AY150" s="8" t="str">
        <f>IF(HS_DB[[#This Row],[Competition Intensity]]&lt;=2,"Highly Concentrated",
 IF(HS_DB[[#This Row],[Competition Intensity]]&lt;=5,"Moderate",
 "Highly Competitive"))</f>
        <v>Highly Concentrated</v>
      </c>
      <c r="AZ150" s="8">
        <f>HS_DB[[#This Row],[Total Market Size - USD]]
*
(1+IFERROR(#REF!,0))
/
HS_DB[[#This Row],[Competition Intensity]]</f>
        <v>2003356</v>
      </c>
      <c r="BA150" s="8" t="str">
        <f>IF(HS_DB[[#This Row],[Commercial Opportunity Score]]&gt;=PERCENTILE(HS_DB[Commercial Opportunity Score],0.9),"High Opportunity",
 IF(HS_DB[[#This Row],[Commercial Opportunity Score]]&gt;=PERCENTILE(HS_DB[Commercial Opportunity Score],0.6),"Medium Opportunity",
 "Routine Market"))</f>
        <v>Routine Market</v>
      </c>
      <c r="BB150" s="3" t="str">
        <f>IF(AND(HS_DB[[#This Row],[Product Rank]]&gt;0,HS_DB[[#This Row],[Product Rank]]&lt;=10),"Yes","No")</f>
        <v>No</v>
      </c>
      <c r="BC150" s="3" t="str">
        <f>IF(AND(HS_DB[[#This Row],[Origin Rank]]&gt;0,HS_DB[[#This Row],[Origin Rank]]&lt;=10),"Yes","No")</f>
        <v>No</v>
      </c>
    </row>
    <row r="151" spans="2:55" x14ac:dyDescent="0.3">
      <c r="B151" s="2">
        <f>HS_DB[[#This Row],[Commodity Code]]</f>
        <v>291811</v>
      </c>
      <c r="C151" s="2">
        <f>IFERROR(INDEX(HS_MD!C:C,MATCH(B151,HS_MD!B:B,0),1),"")</f>
        <v>7</v>
      </c>
      <c r="D151" s="17" t="str">
        <f>IFERROR(INDEX(HS_MD!D:D,MATCH(B151,HS_MD!B:B,0),1),"")</f>
        <v>Lactic acid and salts</v>
      </c>
      <c r="E151" s="17" t="str">
        <f>IFERROR(INDEX(HS_MD!E:E,MATCH(B151,HS_MD!B:B,0),1),"")</f>
        <v>Lactic Acid</v>
      </c>
      <c r="F151" s="17" t="str">
        <f>IFERROR(INDEX(HS_MD!F:F,MATCH(B151,HS_MD!B:B,0),1),"")</f>
        <v>ACIDULANTS &amp; REGULATORS</v>
      </c>
      <c r="G151" s="17" t="str">
        <f>IFERROR(INDEX(HS_MD!G:G,MATCH(B151,HS_MD!B:B,0),1),"")</f>
        <v>Organic Acids</v>
      </c>
      <c r="H151" s="17" t="str">
        <f>IFERROR(INDEX(HS_MD!H:H,MATCH(B151,HS_MD!B:B,0),1),"")</f>
        <v>Lactic Acid</v>
      </c>
      <c r="I151" s="17" t="str">
        <f>IFERROR(INDEX(HS_MD!I:I,MATCH(B151,HS_MD!B:B,0),1),"")</f>
        <v>Dairy / Meat / Sauces</v>
      </c>
      <c r="J151" s="17">
        <f>IFERROR(INDEX(Heat_Map[Index],MATCH(HS_DB[[#This Row],[Reporter]],Heat_Map[Global],0),1),"")</f>
        <v>83</v>
      </c>
      <c r="K151" s="17" t="str">
        <f>IF(AND(HS_DB[[#This Row],[Origin Rank]]&gt;1,HS_DB[[#This Row],[Origin Rank]]&lt;=10),"Yes","No")</f>
        <v>Yes</v>
      </c>
      <c r="L151" s="2">
        <v>2024</v>
      </c>
      <c r="M151" s="2" t="s">
        <v>57</v>
      </c>
      <c r="N151" s="2" t="s">
        <v>143</v>
      </c>
      <c r="O151" s="2" t="s">
        <v>22</v>
      </c>
      <c r="P151" s="2" t="s">
        <v>23</v>
      </c>
      <c r="Q151" s="2" t="s">
        <v>24</v>
      </c>
      <c r="R151" s="2" t="s">
        <v>25</v>
      </c>
      <c r="S151" s="2">
        <v>291811</v>
      </c>
      <c r="T151" s="3">
        <v>12909</v>
      </c>
      <c r="U151" s="3">
        <v>920</v>
      </c>
      <c r="V151" s="3">
        <v>0</v>
      </c>
      <c r="W151" s="3">
        <v>920</v>
      </c>
      <c r="X151" s="3" t="s">
        <v>58</v>
      </c>
      <c r="Y151" s="3">
        <v>920</v>
      </c>
      <c r="Z151" s="3" t="s">
        <v>58</v>
      </c>
      <c r="AA151" s="6">
        <f>SUMIFS(HS_DB[Trade Value - USD],HS_DB[Reporter],HS_DB[[#This Row],[Reporter]])/SUM(HS_DB[Trade Value - USD])</f>
        <v>1.4722693747111796E-4</v>
      </c>
      <c r="AB151" s="8" cm="1">
        <f t="array" ref="AB151">SUMPRODUCT(
(HS_DB[Reporter]=HS_DB[[#This Row],[Reporter]])*
(HS_DB[Trade Value - USD]&gt;HS_DB[[#This Row],[Trade Value - USD]])
)+1</f>
        <v>3</v>
      </c>
      <c r="AC151" s="8" t="str">
        <f>IFERROR(IF(INDEX(Heat_Map[Crisis Impact %],MATCH(HS_DB[[#This Row],[Reporter]],Heat_Map[Global],0),1)&gt;0,"Yes","No"),"No")</f>
        <v>No</v>
      </c>
      <c r="AD151" s="6">
        <f>IFERROR(INDEX(Heat_Map[Crisis Impact %],MATCH(HS_DB[[#This Row],[Reporter]],Heat_Map[Global],0),1),0)</f>
        <v>0</v>
      </c>
      <c r="AE151" s="8">
        <f>HS_DB[[#This Row],[Crisis Impact%]]*HS_DB[[#This Row],[Trade Value - USD]]</f>
        <v>0</v>
      </c>
      <c r="AF151" s="8">
        <f>HS_DB[[#This Row],[Crisis Impact%]]*HS_DB[[#This Row],[Net Weight -KG]]</f>
        <v>0</v>
      </c>
      <c r="AG151" s="6">
        <f>SUMIFS(HS_DB[Trade Value - USD],HS_DB[Products],HS_DB[[#This Row],[Products]])/SUM(HS_DB[Trade Value - USD])</f>
        <v>1.0627836458986936E-3</v>
      </c>
      <c r="AH151" s="8">
        <f>_xlfn.RANK.EQ(HS_DB[[#This Row],[Trade Value - USD]], HS_DB[Trade Value - USD], 0)
 + COUNTIFS(HS_DB[Trade Value - USD],HS_DB[[#This Row],[Trade Value - USD]],
            HS_DB[HS Code],"&lt;"&amp;HS_DB[[#This Row],[HS Code]])</f>
        <v>401</v>
      </c>
      <c r="AI151" s="9">
        <f>IFERROR(HS_DB[[#This Row],[Trade Value - USD]]/HS_DB[[#This Row],[Net Weight -KG]],0)</f>
        <v>14.031521739130435</v>
      </c>
      <c r="AJ151" s="17" cm="1">
        <f t="array" ref="AJ151">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51" s="17" t="str">
        <f>IF(HS_DB[[#This Row],[HS Code Risk Score]]&gt;=40,"High",
 IF(HS_DB[[#This Row],[HS Code Risk Score]]&gt;=25,"Medium","Low"))</f>
        <v>Medium</v>
      </c>
      <c r="AL151" s="17" t="str">
        <f>IF(RANK(HS_DB[[#This Row],[HS Code Risk Score]],HS_DB[HS Code Risk Score])&lt;=10,"Yes","No")</f>
        <v>No</v>
      </c>
      <c r="AM151" s="8">
        <f>SUMIFS(HS_DB[Net Weight -KG],HS_DB[HS Code],HS_DB[[#This Row],[HS Code]])</f>
        <v>1513457.4</v>
      </c>
      <c r="AN151" s="8">
        <f>SUMIFS(HS_DB[Trade Value - USD],HS_DB[HS Code],HS_DB[[#This Row],[HS Code]])</f>
        <v>2003356</v>
      </c>
      <c r="AO151" s="6">
        <f>_xlfn.MAXIFS(HS_DB[Origin Share%],HS_DB[HS Code],HS_DB[[#This Row],[HS Code]])</f>
        <v>6.321329281187793E-2</v>
      </c>
      <c r="AP151" s="8" cm="1">
        <f t="array" ref="AP151">_xlfn.LET(
_xlpm.hs,HS_DB[[#This Row],[HS Code]],
COUNTA(_xlfn.UNIQUE(_xlfn._xlws.FILTER(HS_DB[Reporter],HS_DB[HS Code]=_xlpm.hs)))
)</f>
        <v>12</v>
      </c>
      <c r="AQ151" s="17" t="str">
        <f>IF(HS_DB[[#This Row],[Origin Count]]=1,"Single Source","Multiple Sources")</f>
        <v>Multiple Sources</v>
      </c>
      <c r="AR151" s="8">
        <f>HS_DB[[#This Row],[Annual Spend - USD]]*(HS_DB[[#This Row],[HS Code Risk Score]]/100)</f>
        <v>681141.04</v>
      </c>
      <c r="AS151" s="8">
        <f>RANK(HS_DB[[#This Row],[Risk Exposure - USD]],HS_DB[Risk Exposure - USD],0)</f>
        <v>476</v>
      </c>
      <c r="AT151" s="8" t="str">
        <f>IF(HS_DB[[#This Row],[Risk Exposure Rank]]&lt;=10,"High",
 IF(HS_DB[[#This Row],[Risk Exposure Rank]]&lt;=30,"Medium",
 "Low"))</f>
        <v>Low</v>
      </c>
      <c r="AU151" s="8" t="str">
        <f>IF(HS_DB[[#This Row],[Risk Exposure Rank]]&lt;=5,"Immediate Action",
 IF(HS_DB[[#This Row],[Risk Exposure Rank]]&lt;=15,"Monitor Closely",
 "Routine Control"))</f>
        <v>Routine Control</v>
      </c>
      <c r="AV151" s="8">
        <f>SUMIFS(HS_DB[Trade Value - USD],HS_DB[HS Code],HS_DB[[#This Row],[HS Code]])</f>
        <v>2003356</v>
      </c>
      <c r="AW151" s="6">
        <f>HS_DB[[#This Row],[Annual Spend - USD]]/HS_DB[[#This Row],[Total Market Size - USD]]</f>
        <v>1</v>
      </c>
      <c r="AX151" s="6" cm="1">
        <f t="array" ref="AX151">COUNTA(_xlfn.UNIQUE(_xlfn._xlws.FILTER(HS_DB[Partner],HS_DB[HS Code]=HS_DB[[#This Row],[HS Code]])))</f>
        <v>1</v>
      </c>
      <c r="AY151" s="8" t="str">
        <f>IF(HS_DB[[#This Row],[Competition Intensity]]&lt;=2,"Highly Concentrated",
 IF(HS_DB[[#This Row],[Competition Intensity]]&lt;=5,"Moderate",
 "Highly Competitive"))</f>
        <v>Highly Concentrated</v>
      </c>
      <c r="AZ151" s="8">
        <f>HS_DB[[#This Row],[Total Market Size - USD]]
*
(1+IFERROR(#REF!,0))
/
HS_DB[[#This Row],[Competition Intensity]]</f>
        <v>2003356</v>
      </c>
      <c r="BA151" s="8" t="str">
        <f>IF(HS_DB[[#This Row],[Commercial Opportunity Score]]&gt;=PERCENTILE(HS_DB[Commercial Opportunity Score],0.9),"High Opportunity",
 IF(HS_DB[[#This Row],[Commercial Opportunity Score]]&gt;=PERCENTILE(HS_DB[Commercial Opportunity Score],0.6),"Medium Opportunity",
 "Routine Market"))</f>
        <v>Routine Market</v>
      </c>
      <c r="BB151" s="3" t="str">
        <f>IF(AND(HS_DB[[#This Row],[Product Rank]]&gt;0,HS_DB[[#This Row],[Product Rank]]&lt;=10),"Yes","No")</f>
        <v>No</v>
      </c>
      <c r="BC151" s="3" t="str">
        <f>IF(AND(HS_DB[[#This Row],[Origin Rank]]&gt;0,HS_DB[[#This Row],[Origin Rank]]&lt;=10),"Yes","No")</f>
        <v>Yes</v>
      </c>
    </row>
    <row r="152" spans="2:55" x14ac:dyDescent="0.3">
      <c r="B152" s="2">
        <f>HS_DB[[#This Row],[Commodity Code]]</f>
        <v>291811</v>
      </c>
      <c r="C152" s="2">
        <f>IFERROR(INDEX(HS_MD!C:C,MATCH(B152,HS_MD!B:B,0),1),"")</f>
        <v>7</v>
      </c>
      <c r="D152" s="17" t="str">
        <f>IFERROR(INDEX(HS_MD!D:D,MATCH(B152,HS_MD!B:B,0),1),"")</f>
        <v>Lactic acid and salts</v>
      </c>
      <c r="E152" s="17" t="str">
        <f>IFERROR(INDEX(HS_MD!E:E,MATCH(B152,HS_MD!B:B,0),1),"")</f>
        <v>Lactic Acid</v>
      </c>
      <c r="F152" s="17" t="str">
        <f>IFERROR(INDEX(HS_MD!F:F,MATCH(B152,HS_MD!B:B,0),1),"")</f>
        <v>ACIDULANTS &amp; REGULATORS</v>
      </c>
      <c r="G152" s="17" t="str">
        <f>IFERROR(INDEX(HS_MD!G:G,MATCH(B152,HS_MD!B:B,0),1),"")</f>
        <v>Organic Acids</v>
      </c>
      <c r="H152" s="17" t="str">
        <f>IFERROR(INDEX(HS_MD!H:H,MATCH(B152,HS_MD!B:B,0),1),"")</f>
        <v>Lactic Acid</v>
      </c>
      <c r="I152" s="17" t="str">
        <f>IFERROR(INDEX(HS_MD!I:I,MATCH(B152,HS_MD!B:B,0),1),"")</f>
        <v>Dairy / Meat / Sauces</v>
      </c>
      <c r="J152" s="17">
        <f>IFERROR(INDEX(Heat_Map[Index],MATCH(HS_DB[[#This Row],[Reporter]],Heat_Map[Global],0),1),"")</f>
        <v>75</v>
      </c>
      <c r="K152" s="17" t="str">
        <f>IF(AND(HS_DB[[#This Row],[Origin Rank]]&gt;1,HS_DB[[#This Row],[Origin Rank]]&lt;=10),"Yes","No")</f>
        <v>No</v>
      </c>
      <c r="L152" s="2">
        <v>2024</v>
      </c>
      <c r="M152" s="2" t="s">
        <v>57</v>
      </c>
      <c r="N152" s="2" t="s">
        <v>8</v>
      </c>
      <c r="O152" s="2" t="s">
        <v>22</v>
      </c>
      <c r="P152" s="2" t="s">
        <v>23</v>
      </c>
      <c r="Q152" s="2" t="s">
        <v>24</v>
      </c>
      <c r="R152" s="2" t="s">
        <v>25</v>
      </c>
      <c r="S152" s="2">
        <v>291811</v>
      </c>
      <c r="T152" s="3">
        <v>113648</v>
      </c>
      <c r="U152" s="3">
        <v>13859</v>
      </c>
      <c r="V152" s="3">
        <v>0</v>
      </c>
      <c r="W152" s="3">
        <v>13859</v>
      </c>
      <c r="X152" s="3" t="s">
        <v>58</v>
      </c>
      <c r="Y152" s="3">
        <v>13859</v>
      </c>
      <c r="Z152" s="3" t="s">
        <v>58</v>
      </c>
      <c r="AA152" s="6">
        <f>SUMIFS(HS_DB[Trade Value - USD],HS_DB[Reporter],HS_DB[[#This Row],[Reporter]])/SUM(HS_DB[Trade Value - USD])</f>
        <v>2.2441761060335613E-2</v>
      </c>
      <c r="AB152" s="8" cm="1">
        <f t="array" ref="AB152">SUMPRODUCT(
(HS_DB[Reporter]=HS_DB[[#This Row],[Reporter]])*
(HS_DB[Trade Value - USD]&gt;HS_DB[[#This Row],[Trade Value - USD]])
)+1</f>
        <v>22</v>
      </c>
      <c r="AC152" s="8" t="str">
        <f>IFERROR(IF(INDEX(Heat_Map[Crisis Impact %],MATCH(HS_DB[[#This Row],[Reporter]],Heat_Map[Global],0),1)&gt;0,"Yes","No"),"No")</f>
        <v>No</v>
      </c>
      <c r="AD152" s="6">
        <f>IFERROR(INDEX(Heat_Map[Crisis Impact %],MATCH(HS_DB[[#This Row],[Reporter]],Heat_Map[Global],0),1),0)</f>
        <v>0</v>
      </c>
      <c r="AE152" s="8">
        <f>HS_DB[[#This Row],[Crisis Impact%]]*HS_DB[[#This Row],[Trade Value - USD]]</f>
        <v>0</v>
      </c>
      <c r="AF152" s="8">
        <f>HS_DB[[#This Row],[Crisis Impact%]]*HS_DB[[#This Row],[Net Weight -KG]]</f>
        <v>0</v>
      </c>
      <c r="AG152" s="6">
        <f>SUMIFS(HS_DB[Trade Value - USD],HS_DB[Products],HS_DB[[#This Row],[Products]])/SUM(HS_DB[Trade Value - USD])</f>
        <v>1.0627836458986936E-3</v>
      </c>
      <c r="AH152" s="8">
        <f>_xlfn.RANK.EQ(HS_DB[[#This Row],[Trade Value - USD]], HS_DB[Trade Value - USD], 0)
 + COUNTIFS(HS_DB[Trade Value - USD],HS_DB[[#This Row],[Trade Value - USD]],
            HS_DB[HS Code],"&lt;"&amp;HS_DB[[#This Row],[HS Code]])</f>
        <v>267</v>
      </c>
      <c r="AI152" s="9">
        <f>IFERROR(HS_DB[[#This Row],[Trade Value - USD]]/HS_DB[[#This Row],[Net Weight -KG]],0)</f>
        <v>8.200303052168266</v>
      </c>
      <c r="AJ152" s="17" cm="1">
        <f t="array" ref="AJ152">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52" s="17" t="str">
        <f>IF(HS_DB[[#This Row],[HS Code Risk Score]]&gt;=40,"High",
 IF(HS_DB[[#This Row],[HS Code Risk Score]]&gt;=25,"Medium","Low"))</f>
        <v>Medium</v>
      </c>
      <c r="AL152" s="17" t="str">
        <f>IF(RANK(HS_DB[[#This Row],[HS Code Risk Score]],HS_DB[HS Code Risk Score])&lt;=10,"Yes","No")</f>
        <v>No</v>
      </c>
      <c r="AM152" s="8">
        <f>SUMIFS(HS_DB[Net Weight -KG],HS_DB[HS Code],HS_DB[[#This Row],[HS Code]])</f>
        <v>1513457.4</v>
      </c>
      <c r="AN152" s="8">
        <f>SUMIFS(HS_DB[Trade Value - USD],HS_DB[HS Code],HS_DB[[#This Row],[HS Code]])</f>
        <v>2003356</v>
      </c>
      <c r="AO152" s="6">
        <f>_xlfn.MAXIFS(HS_DB[Origin Share%],HS_DB[HS Code],HS_DB[[#This Row],[HS Code]])</f>
        <v>6.321329281187793E-2</v>
      </c>
      <c r="AP152" s="8" cm="1">
        <f t="array" ref="AP152">_xlfn.LET(
_xlpm.hs,HS_DB[[#This Row],[HS Code]],
COUNTA(_xlfn.UNIQUE(_xlfn._xlws.FILTER(HS_DB[Reporter],HS_DB[HS Code]=_xlpm.hs)))
)</f>
        <v>12</v>
      </c>
      <c r="AQ152" s="17" t="str">
        <f>IF(HS_DB[[#This Row],[Origin Count]]=1,"Single Source","Multiple Sources")</f>
        <v>Multiple Sources</v>
      </c>
      <c r="AR152" s="8">
        <f>HS_DB[[#This Row],[Annual Spend - USD]]*(HS_DB[[#This Row],[HS Code Risk Score]]/100)</f>
        <v>681141.04</v>
      </c>
      <c r="AS152" s="8">
        <f>RANK(HS_DB[[#This Row],[Risk Exposure - USD]],HS_DB[Risk Exposure - USD],0)</f>
        <v>476</v>
      </c>
      <c r="AT152" s="8" t="str">
        <f>IF(HS_DB[[#This Row],[Risk Exposure Rank]]&lt;=10,"High",
 IF(HS_DB[[#This Row],[Risk Exposure Rank]]&lt;=30,"Medium",
 "Low"))</f>
        <v>Low</v>
      </c>
      <c r="AU152" s="8" t="str">
        <f>IF(HS_DB[[#This Row],[Risk Exposure Rank]]&lt;=5,"Immediate Action",
 IF(HS_DB[[#This Row],[Risk Exposure Rank]]&lt;=15,"Monitor Closely",
 "Routine Control"))</f>
        <v>Routine Control</v>
      </c>
      <c r="AV152" s="8">
        <f>SUMIFS(HS_DB[Trade Value - USD],HS_DB[HS Code],HS_DB[[#This Row],[HS Code]])</f>
        <v>2003356</v>
      </c>
      <c r="AW152" s="6">
        <f>HS_DB[[#This Row],[Annual Spend - USD]]/HS_DB[[#This Row],[Total Market Size - USD]]</f>
        <v>1</v>
      </c>
      <c r="AX152" s="6" cm="1">
        <f t="array" ref="AX152">COUNTA(_xlfn.UNIQUE(_xlfn._xlws.FILTER(HS_DB[Partner],HS_DB[HS Code]=HS_DB[[#This Row],[HS Code]])))</f>
        <v>1</v>
      </c>
      <c r="AY152" s="8" t="str">
        <f>IF(HS_DB[[#This Row],[Competition Intensity]]&lt;=2,"Highly Concentrated",
 IF(HS_DB[[#This Row],[Competition Intensity]]&lt;=5,"Moderate",
 "Highly Competitive"))</f>
        <v>Highly Concentrated</v>
      </c>
      <c r="AZ152" s="8">
        <f>HS_DB[[#This Row],[Total Market Size - USD]]
*
(1+IFERROR(#REF!,0))
/
HS_DB[[#This Row],[Competition Intensity]]</f>
        <v>2003356</v>
      </c>
      <c r="BA152" s="8" t="str">
        <f>IF(HS_DB[[#This Row],[Commercial Opportunity Score]]&gt;=PERCENTILE(HS_DB[Commercial Opportunity Score],0.9),"High Opportunity",
 IF(HS_DB[[#This Row],[Commercial Opportunity Score]]&gt;=PERCENTILE(HS_DB[Commercial Opportunity Score],0.6),"Medium Opportunity",
 "Routine Market"))</f>
        <v>Routine Market</v>
      </c>
      <c r="BB152" s="3" t="str">
        <f>IF(AND(HS_DB[[#This Row],[Product Rank]]&gt;0,HS_DB[[#This Row],[Product Rank]]&lt;=10),"Yes","No")</f>
        <v>No</v>
      </c>
      <c r="BC152" s="3" t="str">
        <f>IF(AND(HS_DB[[#This Row],[Origin Rank]]&gt;0,HS_DB[[#This Row],[Origin Rank]]&lt;=10),"Yes","No")</f>
        <v>No</v>
      </c>
    </row>
    <row r="153" spans="2:55" x14ac:dyDescent="0.3">
      <c r="B153" s="2">
        <f>HS_DB[[#This Row],[Commodity Code]]</f>
        <v>291811</v>
      </c>
      <c r="C153" s="2">
        <f>IFERROR(INDEX(HS_MD!C:C,MATCH(B153,HS_MD!B:B,0),1),"")</f>
        <v>7</v>
      </c>
      <c r="D153" s="17" t="str">
        <f>IFERROR(INDEX(HS_MD!D:D,MATCH(B153,HS_MD!B:B,0),1),"")</f>
        <v>Lactic acid and salts</v>
      </c>
      <c r="E153" s="17" t="str">
        <f>IFERROR(INDEX(HS_MD!E:E,MATCH(B153,HS_MD!B:B,0),1),"")</f>
        <v>Lactic Acid</v>
      </c>
      <c r="F153" s="17" t="str">
        <f>IFERROR(INDEX(HS_MD!F:F,MATCH(B153,HS_MD!B:B,0),1),"")</f>
        <v>ACIDULANTS &amp; REGULATORS</v>
      </c>
      <c r="G153" s="17" t="str">
        <f>IFERROR(INDEX(HS_MD!G:G,MATCH(B153,HS_MD!B:B,0),1),"")</f>
        <v>Organic Acids</v>
      </c>
      <c r="H153" s="17" t="str">
        <f>IFERROR(INDEX(HS_MD!H:H,MATCH(B153,HS_MD!B:B,0),1),"")</f>
        <v>Lactic Acid</v>
      </c>
      <c r="I153" s="17" t="str">
        <f>IFERROR(INDEX(HS_MD!I:I,MATCH(B153,HS_MD!B:B,0),1),"")</f>
        <v>Dairy / Meat / Sauces</v>
      </c>
      <c r="J153" s="17">
        <f>IFERROR(INDEX(Heat_Map[Index],MATCH(HS_DB[[#This Row],[Reporter]],Heat_Map[Global],0),1),"")</f>
        <v>151</v>
      </c>
      <c r="K153" s="17" t="str">
        <f>IF(AND(HS_DB[[#This Row],[Origin Rank]]&gt;1,HS_DB[[#This Row],[Origin Rank]]&lt;=10),"Yes","No")</f>
        <v>Yes</v>
      </c>
      <c r="L153" s="2">
        <v>2024</v>
      </c>
      <c r="M153" s="2" t="s">
        <v>57</v>
      </c>
      <c r="N153" s="2" t="s">
        <v>28</v>
      </c>
      <c r="O153" s="2" t="s">
        <v>22</v>
      </c>
      <c r="P153" s="2" t="s">
        <v>23</v>
      </c>
      <c r="Q153" s="2" t="s">
        <v>24</v>
      </c>
      <c r="R153" s="2" t="s">
        <v>25</v>
      </c>
      <c r="S153" s="2">
        <v>291811</v>
      </c>
      <c r="T153" s="3">
        <v>63</v>
      </c>
      <c r="U153" s="3">
        <v>1</v>
      </c>
      <c r="V153" s="3">
        <v>0</v>
      </c>
      <c r="W153" s="3">
        <v>1</v>
      </c>
      <c r="X153" s="3" t="s">
        <v>58</v>
      </c>
      <c r="Y153" s="3">
        <v>1</v>
      </c>
      <c r="Z153" s="3" t="s">
        <v>58</v>
      </c>
      <c r="AA153" s="6">
        <f>SUMIFS(HS_DB[Trade Value - USD],HS_DB[Reporter],HS_DB[[#This Row],[Reporter]])/SUM(HS_DB[Trade Value - USD])</f>
        <v>8.2796770445636432E-4</v>
      </c>
      <c r="AB153" s="8" cm="1">
        <f t="array" ref="AB153">SUMPRODUCT(
(HS_DB[Reporter]=HS_DB[[#This Row],[Reporter]])*
(HS_DB[Trade Value - USD]&gt;HS_DB[[#This Row],[Trade Value - USD]])
)+1</f>
        <v>7</v>
      </c>
      <c r="AC153" s="8" t="str">
        <f>IFERROR(IF(INDEX(Heat_Map[Crisis Impact %],MATCH(HS_DB[[#This Row],[Reporter]],Heat_Map[Global],0),1)&gt;0,"Yes","No"),"No")</f>
        <v>Yes</v>
      </c>
      <c r="AD153" s="6">
        <f>IFERROR(INDEX(Heat_Map[Crisis Impact %],MATCH(HS_DB[[#This Row],[Reporter]],Heat_Map[Global],0),1),0)</f>
        <v>0.06</v>
      </c>
      <c r="AE153" s="8">
        <f>HS_DB[[#This Row],[Crisis Impact%]]*HS_DB[[#This Row],[Trade Value - USD]]</f>
        <v>3.78</v>
      </c>
      <c r="AF153" s="8">
        <f>HS_DB[[#This Row],[Crisis Impact%]]*HS_DB[[#This Row],[Net Weight -KG]]</f>
        <v>0.06</v>
      </c>
      <c r="AG153" s="6">
        <f>SUMIFS(HS_DB[Trade Value - USD],HS_DB[Products],HS_DB[[#This Row],[Products]])/SUM(HS_DB[Trade Value - USD])</f>
        <v>1.0627836458986936E-3</v>
      </c>
      <c r="AH153" s="8">
        <f>_xlfn.RANK.EQ(HS_DB[[#This Row],[Trade Value - USD]], HS_DB[Trade Value - USD], 0)
 + COUNTIFS(HS_DB[Trade Value - USD],HS_DB[[#This Row],[Trade Value - USD]],
            HS_DB[HS Code],"&lt;"&amp;HS_DB[[#This Row],[HS Code]])</f>
        <v>524</v>
      </c>
      <c r="AI153" s="9">
        <f>IFERROR(HS_DB[[#This Row],[Trade Value - USD]]/HS_DB[[#This Row],[Net Weight -KG]],0)</f>
        <v>63</v>
      </c>
      <c r="AJ153" s="17" cm="1">
        <f t="array" ref="AJ153">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53" s="17" t="str">
        <f>IF(HS_DB[[#This Row],[HS Code Risk Score]]&gt;=40,"High",
 IF(HS_DB[[#This Row],[HS Code Risk Score]]&gt;=25,"Medium","Low"))</f>
        <v>Medium</v>
      </c>
      <c r="AL153" s="17" t="str">
        <f>IF(RANK(HS_DB[[#This Row],[HS Code Risk Score]],HS_DB[HS Code Risk Score])&lt;=10,"Yes","No")</f>
        <v>No</v>
      </c>
      <c r="AM153" s="8">
        <f>SUMIFS(HS_DB[Net Weight -KG],HS_DB[HS Code],HS_DB[[#This Row],[HS Code]])</f>
        <v>1513457.4</v>
      </c>
      <c r="AN153" s="8">
        <f>SUMIFS(HS_DB[Trade Value - USD],HS_DB[HS Code],HS_DB[[#This Row],[HS Code]])</f>
        <v>2003356</v>
      </c>
      <c r="AO153" s="6">
        <f>_xlfn.MAXIFS(HS_DB[Origin Share%],HS_DB[HS Code],HS_DB[[#This Row],[HS Code]])</f>
        <v>6.321329281187793E-2</v>
      </c>
      <c r="AP153" s="8" cm="1">
        <f t="array" ref="AP153">_xlfn.LET(
_xlpm.hs,HS_DB[[#This Row],[HS Code]],
COUNTA(_xlfn.UNIQUE(_xlfn._xlws.FILTER(HS_DB[Reporter],HS_DB[HS Code]=_xlpm.hs)))
)</f>
        <v>12</v>
      </c>
      <c r="AQ153" s="17" t="str">
        <f>IF(HS_DB[[#This Row],[Origin Count]]=1,"Single Source","Multiple Sources")</f>
        <v>Multiple Sources</v>
      </c>
      <c r="AR153" s="8">
        <f>HS_DB[[#This Row],[Annual Spend - USD]]*(HS_DB[[#This Row],[HS Code Risk Score]]/100)</f>
        <v>681141.04</v>
      </c>
      <c r="AS153" s="8">
        <f>RANK(HS_DB[[#This Row],[Risk Exposure - USD]],HS_DB[Risk Exposure - USD],0)</f>
        <v>476</v>
      </c>
      <c r="AT153" s="8" t="str">
        <f>IF(HS_DB[[#This Row],[Risk Exposure Rank]]&lt;=10,"High",
 IF(HS_DB[[#This Row],[Risk Exposure Rank]]&lt;=30,"Medium",
 "Low"))</f>
        <v>Low</v>
      </c>
      <c r="AU153" s="8" t="str">
        <f>IF(HS_DB[[#This Row],[Risk Exposure Rank]]&lt;=5,"Immediate Action",
 IF(HS_DB[[#This Row],[Risk Exposure Rank]]&lt;=15,"Monitor Closely",
 "Routine Control"))</f>
        <v>Routine Control</v>
      </c>
      <c r="AV153" s="8">
        <f>SUMIFS(HS_DB[Trade Value - USD],HS_DB[HS Code],HS_DB[[#This Row],[HS Code]])</f>
        <v>2003356</v>
      </c>
      <c r="AW153" s="6">
        <f>HS_DB[[#This Row],[Annual Spend - USD]]/HS_DB[[#This Row],[Total Market Size - USD]]</f>
        <v>1</v>
      </c>
      <c r="AX153" s="6" cm="1">
        <f t="array" ref="AX153">COUNTA(_xlfn.UNIQUE(_xlfn._xlws.FILTER(HS_DB[Partner],HS_DB[HS Code]=HS_DB[[#This Row],[HS Code]])))</f>
        <v>1</v>
      </c>
      <c r="AY153" s="8" t="str">
        <f>IF(HS_DB[[#This Row],[Competition Intensity]]&lt;=2,"Highly Concentrated",
 IF(HS_DB[[#This Row],[Competition Intensity]]&lt;=5,"Moderate",
 "Highly Competitive"))</f>
        <v>Highly Concentrated</v>
      </c>
      <c r="AZ153" s="8">
        <f>HS_DB[[#This Row],[Total Market Size - USD]]
*
(1+IFERROR(#REF!,0))
/
HS_DB[[#This Row],[Competition Intensity]]</f>
        <v>2003356</v>
      </c>
      <c r="BA153" s="8" t="str">
        <f>IF(HS_DB[[#This Row],[Commercial Opportunity Score]]&gt;=PERCENTILE(HS_DB[Commercial Opportunity Score],0.9),"High Opportunity",
 IF(HS_DB[[#This Row],[Commercial Opportunity Score]]&gt;=PERCENTILE(HS_DB[Commercial Opportunity Score],0.6),"Medium Opportunity",
 "Routine Market"))</f>
        <v>Routine Market</v>
      </c>
      <c r="BB153" s="3" t="str">
        <f>IF(AND(HS_DB[[#This Row],[Product Rank]]&gt;0,HS_DB[[#This Row],[Product Rank]]&lt;=10),"Yes","No")</f>
        <v>No</v>
      </c>
      <c r="BC153" s="3" t="str">
        <f>IF(AND(HS_DB[[#This Row],[Origin Rank]]&gt;0,HS_DB[[#This Row],[Origin Rank]]&lt;=10),"Yes","No")</f>
        <v>Yes</v>
      </c>
    </row>
    <row r="154" spans="2:55" x14ac:dyDescent="0.3">
      <c r="B154" s="2">
        <f>HS_DB[[#This Row],[Commodity Code]]</f>
        <v>291811</v>
      </c>
      <c r="C154" s="2">
        <f>IFERROR(INDEX(HS_MD!C:C,MATCH(B154,HS_MD!B:B,0),1),"")</f>
        <v>7</v>
      </c>
      <c r="D154" s="17" t="str">
        <f>IFERROR(INDEX(HS_MD!D:D,MATCH(B154,HS_MD!B:B,0),1),"")</f>
        <v>Lactic acid and salts</v>
      </c>
      <c r="E154" s="17" t="str">
        <f>IFERROR(INDEX(HS_MD!E:E,MATCH(B154,HS_MD!B:B,0),1),"")</f>
        <v>Lactic Acid</v>
      </c>
      <c r="F154" s="17" t="str">
        <f>IFERROR(INDEX(HS_MD!F:F,MATCH(B154,HS_MD!B:B,0),1),"")</f>
        <v>ACIDULANTS &amp; REGULATORS</v>
      </c>
      <c r="G154" s="17" t="str">
        <f>IFERROR(INDEX(HS_MD!G:G,MATCH(B154,HS_MD!B:B,0),1),"")</f>
        <v>Organic Acids</v>
      </c>
      <c r="H154" s="17" t="str">
        <f>IFERROR(INDEX(HS_MD!H:H,MATCH(B154,HS_MD!B:B,0),1),"")</f>
        <v>Lactic Acid</v>
      </c>
      <c r="I154" s="17" t="str">
        <f>IFERROR(INDEX(HS_MD!I:I,MATCH(B154,HS_MD!B:B,0),1),"")</f>
        <v>Dairy / Meat / Sauces</v>
      </c>
      <c r="J154" s="17">
        <f>IFERROR(INDEX(Heat_Map[Index],MATCH(HS_DB[[#This Row],[Reporter]],Heat_Map[Global],0),1),"")</f>
        <v>159</v>
      </c>
      <c r="K154" s="17" t="str">
        <f>IF(AND(HS_DB[[#This Row],[Origin Rank]]&gt;1,HS_DB[[#This Row],[Origin Rank]]&lt;=10),"Yes","No")</f>
        <v>Yes</v>
      </c>
      <c r="L154" s="2">
        <v>2024</v>
      </c>
      <c r="M154" s="2" t="s">
        <v>57</v>
      </c>
      <c r="N154" s="2" t="s">
        <v>30</v>
      </c>
      <c r="O154" s="2" t="s">
        <v>22</v>
      </c>
      <c r="P154" s="2" t="s">
        <v>23</v>
      </c>
      <c r="Q154" s="2" t="s">
        <v>24</v>
      </c>
      <c r="R154" s="2" t="s">
        <v>25</v>
      </c>
      <c r="S154" s="2">
        <v>291811</v>
      </c>
      <c r="T154" s="3">
        <v>350832</v>
      </c>
      <c r="U154" s="3">
        <v>215730</v>
      </c>
      <c r="V154" s="3">
        <v>0</v>
      </c>
      <c r="W154" s="3">
        <v>215730</v>
      </c>
      <c r="X154" s="3" t="s">
        <v>58</v>
      </c>
      <c r="Y154" s="3">
        <v>215730</v>
      </c>
      <c r="Z154" s="3" t="s">
        <v>58</v>
      </c>
      <c r="AA154" s="6">
        <f>SUMIFS(HS_DB[Trade Value - USD],HS_DB[Reporter],HS_DB[[#This Row],[Reporter]])/SUM(HS_DB[Trade Value - USD])</f>
        <v>6.110186869383482E-3</v>
      </c>
      <c r="AB154" s="8" cm="1">
        <f t="array" ref="AB154">SUMPRODUCT(
(HS_DB[Reporter]=HS_DB[[#This Row],[Reporter]])*
(HS_DB[Trade Value - USD]&gt;HS_DB[[#This Row],[Trade Value - USD]])
)+1</f>
        <v>9</v>
      </c>
      <c r="AC154" s="8" t="str">
        <f>IFERROR(IF(INDEX(Heat_Map[Crisis Impact %],MATCH(HS_DB[[#This Row],[Reporter]],Heat_Map[Global],0),1)&gt;0,"Yes","No"),"No")</f>
        <v>No</v>
      </c>
      <c r="AD154" s="6">
        <f>IFERROR(INDEX(Heat_Map[Crisis Impact %],MATCH(HS_DB[[#This Row],[Reporter]],Heat_Map[Global],0),1),0)</f>
        <v>0</v>
      </c>
      <c r="AE154" s="8">
        <f>HS_DB[[#This Row],[Crisis Impact%]]*HS_DB[[#This Row],[Trade Value - USD]]</f>
        <v>0</v>
      </c>
      <c r="AF154" s="8">
        <f>HS_DB[[#This Row],[Crisis Impact%]]*HS_DB[[#This Row],[Net Weight -KG]]</f>
        <v>0</v>
      </c>
      <c r="AG154" s="6">
        <f>SUMIFS(HS_DB[Trade Value - USD],HS_DB[Products],HS_DB[[#This Row],[Products]])/SUM(HS_DB[Trade Value - USD])</f>
        <v>1.0627836458986936E-3</v>
      </c>
      <c r="AH154" s="8">
        <f>_xlfn.RANK.EQ(HS_DB[[#This Row],[Trade Value - USD]], HS_DB[Trade Value - USD], 0)
 + COUNTIFS(HS_DB[Trade Value - USD],HS_DB[[#This Row],[Trade Value - USD]],
            HS_DB[HS Code],"&lt;"&amp;HS_DB[[#This Row],[HS Code]])</f>
        <v>176</v>
      </c>
      <c r="AI154" s="9">
        <f>IFERROR(HS_DB[[#This Row],[Trade Value - USD]]/HS_DB[[#This Row],[Net Weight -KG]],0)</f>
        <v>1.6262550410235015</v>
      </c>
      <c r="AJ154" s="17" cm="1">
        <f t="array" ref="AJ154">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54" s="17" t="str">
        <f>IF(HS_DB[[#This Row],[HS Code Risk Score]]&gt;=40,"High",
 IF(HS_DB[[#This Row],[HS Code Risk Score]]&gt;=25,"Medium","Low"))</f>
        <v>Medium</v>
      </c>
      <c r="AL154" s="17" t="str">
        <f>IF(RANK(HS_DB[[#This Row],[HS Code Risk Score]],HS_DB[HS Code Risk Score])&lt;=10,"Yes","No")</f>
        <v>No</v>
      </c>
      <c r="AM154" s="8">
        <f>SUMIFS(HS_DB[Net Weight -KG],HS_DB[HS Code],HS_DB[[#This Row],[HS Code]])</f>
        <v>1513457.4</v>
      </c>
      <c r="AN154" s="8">
        <f>SUMIFS(HS_DB[Trade Value - USD],HS_DB[HS Code],HS_DB[[#This Row],[HS Code]])</f>
        <v>2003356</v>
      </c>
      <c r="AO154" s="6">
        <f>_xlfn.MAXIFS(HS_DB[Origin Share%],HS_DB[HS Code],HS_DB[[#This Row],[HS Code]])</f>
        <v>6.321329281187793E-2</v>
      </c>
      <c r="AP154" s="8" cm="1">
        <f t="array" ref="AP154">_xlfn.LET(
_xlpm.hs,HS_DB[[#This Row],[HS Code]],
COUNTA(_xlfn.UNIQUE(_xlfn._xlws.FILTER(HS_DB[Reporter],HS_DB[HS Code]=_xlpm.hs)))
)</f>
        <v>12</v>
      </c>
      <c r="AQ154" s="17" t="str">
        <f>IF(HS_DB[[#This Row],[Origin Count]]=1,"Single Source","Multiple Sources")</f>
        <v>Multiple Sources</v>
      </c>
      <c r="AR154" s="8">
        <f>HS_DB[[#This Row],[Annual Spend - USD]]*(HS_DB[[#This Row],[HS Code Risk Score]]/100)</f>
        <v>681141.04</v>
      </c>
      <c r="AS154" s="8">
        <f>RANK(HS_DB[[#This Row],[Risk Exposure - USD]],HS_DB[Risk Exposure - USD],0)</f>
        <v>476</v>
      </c>
      <c r="AT154" s="8" t="str">
        <f>IF(HS_DB[[#This Row],[Risk Exposure Rank]]&lt;=10,"High",
 IF(HS_DB[[#This Row],[Risk Exposure Rank]]&lt;=30,"Medium",
 "Low"))</f>
        <v>Low</v>
      </c>
      <c r="AU154" s="8" t="str">
        <f>IF(HS_DB[[#This Row],[Risk Exposure Rank]]&lt;=5,"Immediate Action",
 IF(HS_DB[[#This Row],[Risk Exposure Rank]]&lt;=15,"Monitor Closely",
 "Routine Control"))</f>
        <v>Routine Control</v>
      </c>
      <c r="AV154" s="8">
        <f>SUMIFS(HS_DB[Trade Value - USD],HS_DB[HS Code],HS_DB[[#This Row],[HS Code]])</f>
        <v>2003356</v>
      </c>
      <c r="AW154" s="6">
        <f>HS_DB[[#This Row],[Annual Spend - USD]]/HS_DB[[#This Row],[Total Market Size - USD]]</f>
        <v>1</v>
      </c>
      <c r="AX154" s="6" cm="1">
        <f t="array" ref="AX154">COUNTA(_xlfn.UNIQUE(_xlfn._xlws.FILTER(HS_DB[Partner],HS_DB[HS Code]=HS_DB[[#This Row],[HS Code]])))</f>
        <v>1</v>
      </c>
      <c r="AY154" s="8" t="str">
        <f>IF(HS_DB[[#This Row],[Competition Intensity]]&lt;=2,"Highly Concentrated",
 IF(HS_DB[[#This Row],[Competition Intensity]]&lt;=5,"Moderate",
 "Highly Competitive"))</f>
        <v>Highly Concentrated</v>
      </c>
      <c r="AZ154" s="8">
        <f>HS_DB[[#This Row],[Total Market Size - USD]]
*
(1+IFERROR(#REF!,0))
/
HS_DB[[#This Row],[Competition Intensity]]</f>
        <v>2003356</v>
      </c>
      <c r="BA154" s="8" t="str">
        <f>IF(HS_DB[[#This Row],[Commercial Opportunity Score]]&gt;=PERCENTILE(HS_DB[Commercial Opportunity Score],0.9),"High Opportunity",
 IF(HS_DB[[#This Row],[Commercial Opportunity Score]]&gt;=PERCENTILE(HS_DB[Commercial Opportunity Score],0.6),"Medium Opportunity",
 "Routine Market"))</f>
        <v>Routine Market</v>
      </c>
      <c r="BB154" s="3" t="str">
        <f>IF(AND(HS_DB[[#This Row],[Product Rank]]&gt;0,HS_DB[[#This Row],[Product Rank]]&lt;=10),"Yes","No")</f>
        <v>No</v>
      </c>
      <c r="BC154" s="3" t="str">
        <f>IF(AND(HS_DB[[#This Row],[Origin Rank]]&gt;0,HS_DB[[#This Row],[Origin Rank]]&lt;=10),"Yes","No")</f>
        <v>Yes</v>
      </c>
    </row>
    <row r="155" spans="2:55" x14ac:dyDescent="0.3">
      <c r="B155" s="2">
        <f>HS_DB[[#This Row],[Commodity Code]]</f>
        <v>291811</v>
      </c>
      <c r="C155" s="2">
        <f>IFERROR(INDEX(HS_MD!C:C,MATCH(B155,HS_MD!B:B,0),1),"")</f>
        <v>7</v>
      </c>
      <c r="D155" s="17" t="str">
        <f>IFERROR(INDEX(HS_MD!D:D,MATCH(B155,HS_MD!B:B,0),1),"")</f>
        <v>Lactic acid and salts</v>
      </c>
      <c r="E155" s="17" t="str">
        <f>IFERROR(INDEX(HS_MD!E:E,MATCH(B155,HS_MD!B:B,0),1),"")</f>
        <v>Lactic Acid</v>
      </c>
      <c r="F155" s="17" t="str">
        <f>IFERROR(INDEX(HS_MD!F:F,MATCH(B155,HS_MD!B:B,0),1),"")</f>
        <v>ACIDULANTS &amp; REGULATORS</v>
      </c>
      <c r="G155" s="17" t="str">
        <f>IFERROR(INDEX(HS_MD!G:G,MATCH(B155,HS_MD!B:B,0),1),"")</f>
        <v>Organic Acids</v>
      </c>
      <c r="H155" s="17" t="str">
        <f>IFERROR(INDEX(HS_MD!H:H,MATCH(B155,HS_MD!B:B,0),1),"")</f>
        <v>Lactic Acid</v>
      </c>
      <c r="I155" s="17" t="str">
        <f>IFERROR(INDEX(HS_MD!I:I,MATCH(B155,HS_MD!B:B,0),1),"")</f>
        <v>Dairy / Meat / Sauces</v>
      </c>
      <c r="J155" s="17">
        <f>IFERROR(INDEX(Heat_Map[Index],MATCH(HS_DB[[#This Row],[Reporter]],Heat_Map[Global],0),1),"")</f>
        <v>175</v>
      </c>
      <c r="K155" s="17" t="str">
        <f>IF(AND(HS_DB[[#This Row],[Origin Rank]]&gt;1,HS_DB[[#This Row],[Origin Rank]]&lt;=10),"Yes","No")</f>
        <v>No</v>
      </c>
      <c r="L155" s="2">
        <v>2024</v>
      </c>
      <c r="M155" s="2" t="s">
        <v>57</v>
      </c>
      <c r="N155" s="2" t="s">
        <v>34</v>
      </c>
      <c r="O155" s="2" t="s">
        <v>22</v>
      </c>
      <c r="P155" s="2" t="s">
        <v>23</v>
      </c>
      <c r="Q155" s="2" t="s">
        <v>24</v>
      </c>
      <c r="R155" s="2" t="s">
        <v>25</v>
      </c>
      <c r="S155" s="2">
        <v>291811</v>
      </c>
      <c r="T155" s="3">
        <v>5646</v>
      </c>
      <c r="U155" s="3">
        <v>1286</v>
      </c>
      <c r="V155" s="3">
        <v>0</v>
      </c>
      <c r="W155" s="3">
        <v>1286</v>
      </c>
      <c r="X155" s="3" t="s">
        <v>58</v>
      </c>
      <c r="Y155" s="3">
        <v>1286</v>
      </c>
      <c r="Z155" s="3" t="s">
        <v>58</v>
      </c>
      <c r="AA155" s="6">
        <f>SUMIFS(HS_DB[Trade Value - USD],HS_DB[Reporter],HS_DB[[#This Row],[Reporter]])/SUM(HS_DB[Trade Value - USD])</f>
        <v>4.7522902002533667E-2</v>
      </c>
      <c r="AB155" s="8" cm="1">
        <f t="array" ref="AB155">SUMPRODUCT(
(HS_DB[Reporter]=HS_DB[[#This Row],[Reporter]])*
(HS_DB[Trade Value - USD]&gt;HS_DB[[#This Row],[Trade Value - USD]])
)+1</f>
        <v>31</v>
      </c>
      <c r="AC155" s="8" t="str">
        <f>IFERROR(IF(INDEX(Heat_Map[Crisis Impact %],MATCH(HS_DB[[#This Row],[Reporter]],Heat_Map[Global],0),1)&gt;0,"Yes","No"),"No")</f>
        <v>Yes</v>
      </c>
      <c r="AD155" s="6">
        <f>IFERROR(INDEX(Heat_Map[Crisis Impact %],MATCH(HS_DB[[#This Row],[Reporter]],Heat_Map[Global],0),1),0)</f>
        <v>0.1</v>
      </c>
      <c r="AE155" s="8">
        <f>HS_DB[[#This Row],[Crisis Impact%]]*HS_DB[[#This Row],[Trade Value - USD]]</f>
        <v>564.6</v>
      </c>
      <c r="AF155" s="8">
        <f>HS_DB[[#This Row],[Crisis Impact%]]*HS_DB[[#This Row],[Net Weight -KG]]</f>
        <v>128.6</v>
      </c>
      <c r="AG155" s="6">
        <f>SUMIFS(HS_DB[Trade Value - USD],HS_DB[Products],HS_DB[[#This Row],[Products]])/SUM(HS_DB[Trade Value - USD])</f>
        <v>1.0627836458986936E-3</v>
      </c>
      <c r="AH155" s="8">
        <f>_xlfn.RANK.EQ(HS_DB[[#This Row],[Trade Value - USD]], HS_DB[Trade Value - USD], 0)
 + COUNTIFS(HS_DB[Trade Value - USD],HS_DB[[#This Row],[Trade Value - USD]],
            HS_DB[HS Code],"&lt;"&amp;HS_DB[[#This Row],[HS Code]])</f>
        <v>435</v>
      </c>
      <c r="AI155" s="9">
        <f>IFERROR(HS_DB[[#This Row],[Trade Value - USD]]/HS_DB[[#This Row],[Net Weight -KG]],0)</f>
        <v>4.3903576982892689</v>
      </c>
      <c r="AJ155" s="17" cm="1">
        <f t="array" ref="AJ155">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55" s="17" t="str">
        <f>IF(HS_DB[[#This Row],[HS Code Risk Score]]&gt;=40,"High",
 IF(HS_DB[[#This Row],[HS Code Risk Score]]&gt;=25,"Medium","Low"))</f>
        <v>Medium</v>
      </c>
      <c r="AL155" s="17" t="str">
        <f>IF(RANK(HS_DB[[#This Row],[HS Code Risk Score]],HS_DB[HS Code Risk Score])&lt;=10,"Yes","No")</f>
        <v>No</v>
      </c>
      <c r="AM155" s="8">
        <f>SUMIFS(HS_DB[Net Weight -KG],HS_DB[HS Code],HS_DB[[#This Row],[HS Code]])</f>
        <v>1513457.4</v>
      </c>
      <c r="AN155" s="8">
        <f>SUMIFS(HS_DB[Trade Value - USD],HS_DB[HS Code],HS_DB[[#This Row],[HS Code]])</f>
        <v>2003356</v>
      </c>
      <c r="AO155" s="6">
        <f>_xlfn.MAXIFS(HS_DB[Origin Share%],HS_DB[HS Code],HS_DB[[#This Row],[HS Code]])</f>
        <v>6.321329281187793E-2</v>
      </c>
      <c r="AP155" s="8" cm="1">
        <f t="array" ref="AP155">_xlfn.LET(
_xlpm.hs,HS_DB[[#This Row],[HS Code]],
COUNTA(_xlfn.UNIQUE(_xlfn._xlws.FILTER(HS_DB[Reporter],HS_DB[HS Code]=_xlpm.hs)))
)</f>
        <v>12</v>
      </c>
      <c r="AQ155" s="17" t="str">
        <f>IF(HS_DB[[#This Row],[Origin Count]]=1,"Single Source","Multiple Sources")</f>
        <v>Multiple Sources</v>
      </c>
      <c r="AR155" s="8">
        <f>HS_DB[[#This Row],[Annual Spend - USD]]*(HS_DB[[#This Row],[HS Code Risk Score]]/100)</f>
        <v>681141.04</v>
      </c>
      <c r="AS155" s="8">
        <f>RANK(HS_DB[[#This Row],[Risk Exposure - USD]],HS_DB[Risk Exposure - USD],0)</f>
        <v>476</v>
      </c>
      <c r="AT155" s="8" t="str">
        <f>IF(HS_DB[[#This Row],[Risk Exposure Rank]]&lt;=10,"High",
 IF(HS_DB[[#This Row],[Risk Exposure Rank]]&lt;=30,"Medium",
 "Low"))</f>
        <v>Low</v>
      </c>
      <c r="AU155" s="8" t="str">
        <f>IF(HS_DB[[#This Row],[Risk Exposure Rank]]&lt;=5,"Immediate Action",
 IF(HS_DB[[#This Row],[Risk Exposure Rank]]&lt;=15,"Monitor Closely",
 "Routine Control"))</f>
        <v>Routine Control</v>
      </c>
      <c r="AV155" s="8">
        <f>SUMIFS(HS_DB[Trade Value - USD],HS_DB[HS Code],HS_DB[[#This Row],[HS Code]])</f>
        <v>2003356</v>
      </c>
      <c r="AW155" s="6">
        <f>HS_DB[[#This Row],[Annual Spend - USD]]/HS_DB[[#This Row],[Total Market Size - USD]]</f>
        <v>1</v>
      </c>
      <c r="AX155" s="6" cm="1">
        <f t="array" ref="AX155">COUNTA(_xlfn.UNIQUE(_xlfn._xlws.FILTER(HS_DB[Partner],HS_DB[HS Code]=HS_DB[[#This Row],[HS Code]])))</f>
        <v>1</v>
      </c>
      <c r="AY155" s="8" t="str">
        <f>IF(HS_DB[[#This Row],[Competition Intensity]]&lt;=2,"Highly Concentrated",
 IF(HS_DB[[#This Row],[Competition Intensity]]&lt;=5,"Moderate",
 "Highly Competitive"))</f>
        <v>Highly Concentrated</v>
      </c>
      <c r="AZ155" s="8">
        <f>HS_DB[[#This Row],[Total Market Size - USD]]
*
(1+IFERROR(#REF!,0))
/
HS_DB[[#This Row],[Competition Intensity]]</f>
        <v>2003356</v>
      </c>
      <c r="BA155" s="8" t="str">
        <f>IF(HS_DB[[#This Row],[Commercial Opportunity Score]]&gt;=PERCENTILE(HS_DB[Commercial Opportunity Score],0.9),"High Opportunity",
 IF(HS_DB[[#This Row],[Commercial Opportunity Score]]&gt;=PERCENTILE(HS_DB[Commercial Opportunity Score],0.6),"Medium Opportunity",
 "Routine Market"))</f>
        <v>Routine Market</v>
      </c>
      <c r="BB155" s="3" t="str">
        <f>IF(AND(HS_DB[[#This Row],[Product Rank]]&gt;0,HS_DB[[#This Row],[Product Rank]]&lt;=10),"Yes","No")</f>
        <v>No</v>
      </c>
      <c r="BC155" s="3" t="str">
        <f>IF(AND(HS_DB[[#This Row],[Origin Rank]]&gt;0,HS_DB[[#This Row],[Origin Rank]]&lt;=10),"Yes","No")</f>
        <v>No</v>
      </c>
    </row>
    <row r="156" spans="2:55" x14ac:dyDescent="0.3">
      <c r="B156" s="2">
        <f>HS_DB[[#This Row],[Commodity Code]]</f>
        <v>291811</v>
      </c>
      <c r="C156" s="2">
        <f>IFERROR(INDEX(HS_MD!C:C,MATCH(B156,HS_MD!B:B,0),1),"")</f>
        <v>7</v>
      </c>
      <c r="D156" s="17" t="str">
        <f>IFERROR(INDEX(HS_MD!D:D,MATCH(B156,HS_MD!B:B,0),1),"")</f>
        <v>Lactic acid and salts</v>
      </c>
      <c r="E156" s="17" t="str">
        <f>IFERROR(INDEX(HS_MD!E:E,MATCH(B156,HS_MD!B:B,0),1),"")</f>
        <v>Lactic Acid</v>
      </c>
      <c r="F156" s="17" t="str">
        <f>IFERROR(INDEX(HS_MD!F:F,MATCH(B156,HS_MD!B:B,0),1),"")</f>
        <v>ACIDULANTS &amp; REGULATORS</v>
      </c>
      <c r="G156" s="17" t="str">
        <f>IFERROR(INDEX(HS_MD!G:G,MATCH(B156,HS_MD!B:B,0),1),"")</f>
        <v>Organic Acids</v>
      </c>
      <c r="H156" s="17" t="str">
        <f>IFERROR(INDEX(HS_MD!H:H,MATCH(B156,HS_MD!B:B,0),1),"")</f>
        <v>Lactic Acid</v>
      </c>
      <c r="I156" s="17" t="str">
        <f>IFERROR(INDEX(HS_MD!I:I,MATCH(B156,HS_MD!B:B,0),1),"")</f>
        <v>Dairy / Meat / Sauces</v>
      </c>
      <c r="J156" s="17">
        <f>IFERROR(INDEX(Heat_Map[Index],MATCH(HS_DB[[#This Row],[Reporter]],Heat_Map[Global],0),1),"")</f>
        <v>181</v>
      </c>
      <c r="K156" s="17" t="str">
        <f>IF(AND(HS_DB[[#This Row],[Origin Rank]]&gt;1,HS_DB[[#This Row],[Origin Rank]]&lt;=10),"Yes","No")</f>
        <v>No</v>
      </c>
      <c r="L156" s="2">
        <v>2024</v>
      </c>
      <c r="M156" s="2" t="s">
        <v>57</v>
      </c>
      <c r="N156" s="2" t="s">
        <v>36</v>
      </c>
      <c r="O156" s="2" t="s">
        <v>22</v>
      </c>
      <c r="P156" s="2" t="s">
        <v>23</v>
      </c>
      <c r="Q156" s="2" t="s">
        <v>24</v>
      </c>
      <c r="R156" s="2" t="s">
        <v>25</v>
      </c>
      <c r="S156" s="2">
        <v>291811</v>
      </c>
      <c r="T156" s="3">
        <v>4606</v>
      </c>
      <c r="U156" s="3">
        <v>302</v>
      </c>
      <c r="V156" s="3">
        <v>0</v>
      </c>
      <c r="W156" s="3">
        <v>302</v>
      </c>
      <c r="X156" s="3" t="s">
        <v>58</v>
      </c>
      <c r="Y156" s="3">
        <v>302</v>
      </c>
      <c r="Z156" s="3" t="s">
        <v>58</v>
      </c>
      <c r="AA156" s="6">
        <f>SUMIFS(HS_DB[Trade Value - USD],HS_DB[Reporter],HS_DB[[#This Row],[Reporter]])/SUM(HS_DB[Trade Value - USD])</f>
        <v>1.3104801671892474E-3</v>
      </c>
      <c r="AB156" s="8" cm="1">
        <f t="array" ref="AB156">SUMPRODUCT(
(HS_DB[Reporter]=HS_DB[[#This Row],[Reporter]])*
(HS_DB[Trade Value - USD]&gt;HS_DB[[#This Row],[Trade Value - USD]])
)+1</f>
        <v>18</v>
      </c>
      <c r="AC156" s="8" t="str">
        <f>IFERROR(IF(INDEX(Heat_Map[Crisis Impact %],MATCH(HS_DB[[#This Row],[Reporter]],Heat_Map[Global],0),1)&gt;0,"Yes","No"),"No")</f>
        <v>No</v>
      </c>
      <c r="AD156" s="6">
        <f>IFERROR(INDEX(Heat_Map[Crisis Impact %],MATCH(HS_DB[[#This Row],[Reporter]],Heat_Map[Global],0),1),0)</f>
        <v>0</v>
      </c>
      <c r="AE156" s="8">
        <f>HS_DB[[#This Row],[Crisis Impact%]]*HS_DB[[#This Row],[Trade Value - USD]]</f>
        <v>0</v>
      </c>
      <c r="AF156" s="8">
        <f>HS_DB[[#This Row],[Crisis Impact%]]*HS_DB[[#This Row],[Net Weight -KG]]</f>
        <v>0</v>
      </c>
      <c r="AG156" s="6">
        <f>SUMIFS(HS_DB[Trade Value - USD],HS_DB[Products],HS_DB[[#This Row],[Products]])/SUM(HS_DB[Trade Value - USD])</f>
        <v>1.0627836458986936E-3</v>
      </c>
      <c r="AH156" s="8">
        <f>_xlfn.RANK.EQ(HS_DB[[#This Row],[Trade Value - USD]], HS_DB[Trade Value - USD], 0)
 + COUNTIFS(HS_DB[Trade Value - USD],HS_DB[[#This Row],[Trade Value - USD]],
            HS_DB[HS Code],"&lt;"&amp;HS_DB[[#This Row],[HS Code]])</f>
        <v>444</v>
      </c>
      <c r="AI156" s="9">
        <f>IFERROR(HS_DB[[#This Row],[Trade Value - USD]]/HS_DB[[#This Row],[Net Weight -KG]],0)</f>
        <v>15.251655629139073</v>
      </c>
      <c r="AJ156" s="17" cm="1">
        <f t="array" ref="AJ156">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56" s="17" t="str">
        <f>IF(HS_DB[[#This Row],[HS Code Risk Score]]&gt;=40,"High",
 IF(HS_DB[[#This Row],[HS Code Risk Score]]&gt;=25,"Medium","Low"))</f>
        <v>Medium</v>
      </c>
      <c r="AL156" s="17" t="str">
        <f>IF(RANK(HS_DB[[#This Row],[HS Code Risk Score]],HS_DB[HS Code Risk Score])&lt;=10,"Yes","No")</f>
        <v>No</v>
      </c>
      <c r="AM156" s="8">
        <f>SUMIFS(HS_DB[Net Weight -KG],HS_DB[HS Code],HS_DB[[#This Row],[HS Code]])</f>
        <v>1513457.4</v>
      </c>
      <c r="AN156" s="8">
        <f>SUMIFS(HS_DB[Trade Value - USD],HS_DB[HS Code],HS_DB[[#This Row],[HS Code]])</f>
        <v>2003356</v>
      </c>
      <c r="AO156" s="6">
        <f>_xlfn.MAXIFS(HS_DB[Origin Share%],HS_DB[HS Code],HS_DB[[#This Row],[HS Code]])</f>
        <v>6.321329281187793E-2</v>
      </c>
      <c r="AP156" s="8" cm="1">
        <f t="array" ref="AP156">_xlfn.LET(
_xlpm.hs,HS_DB[[#This Row],[HS Code]],
COUNTA(_xlfn.UNIQUE(_xlfn._xlws.FILTER(HS_DB[Reporter],HS_DB[HS Code]=_xlpm.hs)))
)</f>
        <v>12</v>
      </c>
      <c r="AQ156" s="17" t="str">
        <f>IF(HS_DB[[#This Row],[Origin Count]]=1,"Single Source","Multiple Sources")</f>
        <v>Multiple Sources</v>
      </c>
      <c r="AR156" s="8">
        <f>HS_DB[[#This Row],[Annual Spend - USD]]*(HS_DB[[#This Row],[HS Code Risk Score]]/100)</f>
        <v>681141.04</v>
      </c>
      <c r="AS156" s="8">
        <f>RANK(HS_DB[[#This Row],[Risk Exposure - USD]],HS_DB[Risk Exposure - USD],0)</f>
        <v>476</v>
      </c>
      <c r="AT156" s="8" t="str">
        <f>IF(HS_DB[[#This Row],[Risk Exposure Rank]]&lt;=10,"High",
 IF(HS_DB[[#This Row],[Risk Exposure Rank]]&lt;=30,"Medium",
 "Low"))</f>
        <v>Low</v>
      </c>
      <c r="AU156" s="8" t="str">
        <f>IF(HS_DB[[#This Row],[Risk Exposure Rank]]&lt;=5,"Immediate Action",
 IF(HS_DB[[#This Row],[Risk Exposure Rank]]&lt;=15,"Monitor Closely",
 "Routine Control"))</f>
        <v>Routine Control</v>
      </c>
      <c r="AV156" s="8">
        <f>SUMIFS(HS_DB[Trade Value - USD],HS_DB[HS Code],HS_DB[[#This Row],[HS Code]])</f>
        <v>2003356</v>
      </c>
      <c r="AW156" s="6">
        <f>HS_DB[[#This Row],[Annual Spend - USD]]/HS_DB[[#This Row],[Total Market Size - USD]]</f>
        <v>1</v>
      </c>
      <c r="AX156" s="6" cm="1">
        <f t="array" ref="AX156">COUNTA(_xlfn.UNIQUE(_xlfn._xlws.FILTER(HS_DB[Partner],HS_DB[HS Code]=HS_DB[[#This Row],[HS Code]])))</f>
        <v>1</v>
      </c>
      <c r="AY156" s="8" t="str">
        <f>IF(HS_DB[[#This Row],[Competition Intensity]]&lt;=2,"Highly Concentrated",
 IF(HS_DB[[#This Row],[Competition Intensity]]&lt;=5,"Moderate",
 "Highly Competitive"))</f>
        <v>Highly Concentrated</v>
      </c>
      <c r="AZ156" s="8">
        <f>HS_DB[[#This Row],[Total Market Size - USD]]
*
(1+IFERROR(#REF!,0))
/
HS_DB[[#This Row],[Competition Intensity]]</f>
        <v>2003356</v>
      </c>
      <c r="BA156" s="8" t="str">
        <f>IF(HS_DB[[#This Row],[Commercial Opportunity Score]]&gt;=PERCENTILE(HS_DB[Commercial Opportunity Score],0.9),"High Opportunity",
 IF(HS_DB[[#This Row],[Commercial Opportunity Score]]&gt;=PERCENTILE(HS_DB[Commercial Opportunity Score],0.6),"Medium Opportunity",
 "Routine Market"))</f>
        <v>Routine Market</v>
      </c>
      <c r="BB156" s="3" t="str">
        <f>IF(AND(HS_DB[[#This Row],[Product Rank]]&gt;0,HS_DB[[#This Row],[Product Rank]]&lt;=10),"Yes","No")</f>
        <v>No</v>
      </c>
      <c r="BC156" s="3" t="str">
        <f>IF(AND(HS_DB[[#This Row],[Origin Rank]]&gt;0,HS_DB[[#This Row],[Origin Rank]]&lt;=10),"Yes","No")</f>
        <v>No</v>
      </c>
    </row>
    <row r="157" spans="2:55" x14ac:dyDescent="0.3">
      <c r="B157" s="2">
        <f>HS_DB[[#This Row],[Commodity Code]]</f>
        <v>291811</v>
      </c>
      <c r="C157" s="2">
        <f>IFERROR(INDEX(HS_MD!C:C,MATCH(B157,HS_MD!B:B,0),1),"")</f>
        <v>7</v>
      </c>
      <c r="D157" s="17" t="str">
        <f>IFERROR(INDEX(HS_MD!D:D,MATCH(B157,HS_MD!B:B,0),1),"")</f>
        <v>Lactic acid and salts</v>
      </c>
      <c r="E157" s="17" t="str">
        <f>IFERROR(INDEX(HS_MD!E:E,MATCH(B157,HS_MD!B:B,0),1),"")</f>
        <v>Lactic Acid</v>
      </c>
      <c r="F157" s="17" t="str">
        <f>IFERROR(INDEX(HS_MD!F:F,MATCH(B157,HS_MD!B:B,0),1),"")</f>
        <v>ACIDULANTS &amp; REGULATORS</v>
      </c>
      <c r="G157" s="17" t="str">
        <f>IFERROR(INDEX(HS_MD!G:G,MATCH(B157,HS_MD!B:B,0),1),"")</f>
        <v>Organic Acids</v>
      </c>
      <c r="H157" s="17" t="str">
        <f>IFERROR(INDEX(HS_MD!H:H,MATCH(B157,HS_MD!B:B,0),1),"")</f>
        <v>Lactic Acid</v>
      </c>
      <c r="I157" s="17" t="str">
        <f>IFERROR(INDEX(HS_MD!I:I,MATCH(B157,HS_MD!B:B,0),1),"")</f>
        <v>Dairy / Meat / Sauces</v>
      </c>
      <c r="J157" s="17">
        <f>IFERROR(INDEX(Heat_Map[Index],MATCH(HS_DB[[#This Row],[Reporter]],Heat_Map[Global],0),1),"")</f>
        <v>182</v>
      </c>
      <c r="K157" s="17" t="str">
        <f>IF(AND(HS_DB[[#This Row],[Origin Rank]]&gt;1,HS_DB[[#This Row],[Origin Rank]]&lt;=10),"Yes","No")</f>
        <v>No</v>
      </c>
      <c r="L157" s="2">
        <v>2024</v>
      </c>
      <c r="M157" s="2" t="s">
        <v>57</v>
      </c>
      <c r="N157" s="2" t="s">
        <v>56</v>
      </c>
      <c r="O157" s="2" t="s">
        <v>22</v>
      </c>
      <c r="P157" s="2" t="s">
        <v>23</v>
      </c>
      <c r="Q157" s="2" t="s">
        <v>24</v>
      </c>
      <c r="R157" s="2" t="s">
        <v>25</v>
      </c>
      <c r="S157" s="2">
        <v>291811</v>
      </c>
      <c r="T157" s="3">
        <v>11700</v>
      </c>
      <c r="U157" s="3">
        <v>1613</v>
      </c>
      <c r="V157" s="3">
        <v>0</v>
      </c>
      <c r="W157" s="3">
        <v>1613</v>
      </c>
      <c r="X157" s="3" t="s">
        <v>58</v>
      </c>
      <c r="Y157" s="3">
        <v>1613</v>
      </c>
      <c r="Z157" s="3" t="s">
        <v>58</v>
      </c>
      <c r="AA157" s="6">
        <f>SUMIFS(HS_DB[Trade Value - USD],HS_DB[Reporter],HS_DB[[#This Row],[Reporter]])/SUM(HS_DB[Trade Value - USD])</f>
        <v>9.425427433633813E-3</v>
      </c>
      <c r="AB157" s="8" cm="1">
        <f t="array" ref="AB157">SUMPRODUCT(
(HS_DB[Reporter]=HS_DB[[#This Row],[Reporter]])*
(HS_DB[Trade Value - USD]&gt;HS_DB[[#This Row],[Trade Value - USD]])
)+1</f>
        <v>22</v>
      </c>
      <c r="AC157" s="8" t="str">
        <f>IFERROR(IF(INDEX(Heat_Map[Crisis Impact %],MATCH(HS_DB[[#This Row],[Reporter]],Heat_Map[Global],0),1)&gt;0,"Yes","No"),"No")</f>
        <v>Yes</v>
      </c>
      <c r="AD157" s="6">
        <f>IFERROR(INDEX(Heat_Map[Crisis Impact %],MATCH(HS_DB[[#This Row],[Reporter]],Heat_Map[Global],0),1),0)</f>
        <v>4.0000000000000008E-2</v>
      </c>
      <c r="AE157" s="8">
        <f>HS_DB[[#This Row],[Crisis Impact%]]*HS_DB[[#This Row],[Trade Value - USD]]</f>
        <v>468.00000000000011</v>
      </c>
      <c r="AF157" s="8">
        <f>HS_DB[[#This Row],[Crisis Impact%]]*HS_DB[[#This Row],[Net Weight -KG]]</f>
        <v>64.52000000000001</v>
      </c>
      <c r="AG157" s="6">
        <f>SUMIFS(HS_DB[Trade Value - USD],HS_DB[Products],HS_DB[[#This Row],[Products]])/SUM(HS_DB[Trade Value - USD])</f>
        <v>1.0627836458986936E-3</v>
      </c>
      <c r="AH157" s="8">
        <f>_xlfn.RANK.EQ(HS_DB[[#This Row],[Trade Value - USD]], HS_DB[Trade Value - USD], 0)
 + COUNTIFS(HS_DB[Trade Value - USD],HS_DB[[#This Row],[Trade Value - USD]],
            HS_DB[HS Code],"&lt;"&amp;HS_DB[[#This Row],[HS Code]])</f>
        <v>403</v>
      </c>
      <c r="AI157" s="9">
        <f>IFERROR(HS_DB[[#This Row],[Trade Value - USD]]/HS_DB[[#This Row],[Net Weight -KG]],0)</f>
        <v>7.2535647861128334</v>
      </c>
      <c r="AJ157" s="17" cm="1">
        <f t="array" ref="AJ157">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57" s="17" t="str">
        <f>IF(HS_DB[[#This Row],[HS Code Risk Score]]&gt;=40,"High",
 IF(HS_DB[[#This Row],[HS Code Risk Score]]&gt;=25,"Medium","Low"))</f>
        <v>Medium</v>
      </c>
      <c r="AL157" s="17" t="str">
        <f>IF(RANK(HS_DB[[#This Row],[HS Code Risk Score]],HS_DB[HS Code Risk Score])&lt;=10,"Yes","No")</f>
        <v>No</v>
      </c>
      <c r="AM157" s="8">
        <f>SUMIFS(HS_DB[Net Weight -KG],HS_DB[HS Code],HS_DB[[#This Row],[HS Code]])</f>
        <v>1513457.4</v>
      </c>
      <c r="AN157" s="8">
        <f>SUMIFS(HS_DB[Trade Value - USD],HS_DB[HS Code],HS_DB[[#This Row],[HS Code]])</f>
        <v>2003356</v>
      </c>
      <c r="AO157" s="6">
        <f>_xlfn.MAXIFS(HS_DB[Origin Share%],HS_DB[HS Code],HS_DB[[#This Row],[HS Code]])</f>
        <v>6.321329281187793E-2</v>
      </c>
      <c r="AP157" s="8" cm="1">
        <f t="array" ref="AP157">_xlfn.LET(
_xlpm.hs,HS_DB[[#This Row],[HS Code]],
COUNTA(_xlfn.UNIQUE(_xlfn._xlws.FILTER(HS_DB[Reporter],HS_DB[HS Code]=_xlpm.hs)))
)</f>
        <v>12</v>
      </c>
      <c r="AQ157" s="17" t="str">
        <f>IF(HS_DB[[#This Row],[Origin Count]]=1,"Single Source","Multiple Sources")</f>
        <v>Multiple Sources</v>
      </c>
      <c r="AR157" s="8">
        <f>HS_DB[[#This Row],[Annual Spend - USD]]*(HS_DB[[#This Row],[HS Code Risk Score]]/100)</f>
        <v>681141.04</v>
      </c>
      <c r="AS157" s="8">
        <f>RANK(HS_DB[[#This Row],[Risk Exposure - USD]],HS_DB[Risk Exposure - USD],0)</f>
        <v>476</v>
      </c>
      <c r="AT157" s="8" t="str">
        <f>IF(HS_DB[[#This Row],[Risk Exposure Rank]]&lt;=10,"High",
 IF(HS_DB[[#This Row],[Risk Exposure Rank]]&lt;=30,"Medium",
 "Low"))</f>
        <v>Low</v>
      </c>
      <c r="AU157" s="8" t="str">
        <f>IF(HS_DB[[#This Row],[Risk Exposure Rank]]&lt;=5,"Immediate Action",
 IF(HS_DB[[#This Row],[Risk Exposure Rank]]&lt;=15,"Monitor Closely",
 "Routine Control"))</f>
        <v>Routine Control</v>
      </c>
      <c r="AV157" s="8">
        <f>SUMIFS(HS_DB[Trade Value - USD],HS_DB[HS Code],HS_DB[[#This Row],[HS Code]])</f>
        <v>2003356</v>
      </c>
      <c r="AW157" s="6">
        <f>HS_DB[[#This Row],[Annual Spend - USD]]/HS_DB[[#This Row],[Total Market Size - USD]]</f>
        <v>1</v>
      </c>
      <c r="AX157" s="6" cm="1">
        <f t="array" ref="AX157">COUNTA(_xlfn.UNIQUE(_xlfn._xlws.FILTER(HS_DB[Partner],HS_DB[HS Code]=HS_DB[[#This Row],[HS Code]])))</f>
        <v>1</v>
      </c>
      <c r="AY157" s="8" t="str">
        <f>IF(HS_DB[[#This Row],[Competition Intensity]]&lt;=2,"Highly Concentrated",
 IF(HS_DB[[#This Row],[Competition Intensity]]&lt;=5,"Moderate",
 "Highly Competitive"))</f>
        <v>Highly Concentrated</v>
      </c>
      <c r="AZ157" s="8">
        <f>HS_DB[[#This Row],[Total Market Size - USD]]
*
(1+IFERROR(#REF!,0))
/
HS_DB[[#This Row],[Competition Intensity]]</f>
        <v>2003356</v>
      </c>
      <c r="BA157" s="8" t="str">
        <f>IF(HS_DB[[#This Row],[Commercial Opportunity Score]]&gt;=PERCENTILE(HS_DB[Commercial Opportunity Score],0.9),"High Opportunity",
 IF(HS_DB[[#This Row],[Commercial Opportunity Score]]&gt;=PERCENTILE(HS_DB[Commercial Opportunity Score],0.6),"Medium Opportunity",
 "Routine Market"))</f>
        <v>Routine Market</v>
      </c>
      <c r="BB157" s="3" t="str">
        <f>IF(AND(HS_DB[[#This Row],[Product Rank]]&gt;0,HS_DB[[#This Row],[Product Rank]]&lt;=10),"Yes","No")</f>
        <v>No</v>
      </c>
      <c r="BC157" s="3" t="str">
        <f>IF(AND(HS_DB[[#This Row],[Origin Rank]]&gt;0,HS_DB[[#This Row],[Origin Rank]]&lt;=10),"Yes","No")</f>
        <v>No</v>
      </c>
    </row>
    <row r="158" spans="2:55" x14ac:dyDescent="0.3">
      <c r="B158" s="2">
        <f>HS_DB[[#This Row],[Commodity Code]]</f>
        <v>280920</v>
      </c>
      <c r="C158" s="2">
        <f>IFERROR(INDEX(HS_MD!C:C,MATCH(B158,HS_MD!B:B,0),1),"")</f>
        <v>8</v>
      </c>
      <c r="D158" s="17" t="str">
        <f>IFERROR(INDEX(HS_MD!D:D,MATCH(B158,HS_MD!B:B,0),1),"")</f>
        <v>Phosphoric acid</v>
      </c>
      <c r="E158" s="17" t="str">
        <f>IFERROR(INDEX(HS_MD!E:E,MATCH(B158,HS_MD!B:B,0),1),"")</f>
        <v>Phosphoric Acid</v>
      </c>
      <c r="F158" s="17" t="str">
        <f>IFERROR(INDEX(HS_MD!F:F,MATCH(B158,HS_MD!B:B,0),1),"")</f>
        <v>ACIDULANTS &amp; REGULATORS</v>
      </c>
      <c r="G158" s="17" t="str">
        <f>IFERROR(INDEX(HS_MD!G:G,MATCH(B158,HS_MD!B:B,0),1),"")</f>
        <v>Inorganic Acids</v>
      </c>
      <c r="H158" s="17" t="str">
        <f>IFERROR(INDEX(HS_MD!H:H,MATCH(B158,HS_MD!B:B,0),1),"")</f>
        <v>Phosphoric Acid</v>
      </c>
      <c r="I158" s="17" t="str">
        <f>IFERROR(INDEX(HS_MD!I:I,MATCH(B158,HS_MD!B:B,0),1),"")</f>
        <v>Beverages</v>
      </c>
      <c r="J158" s="17">
        <f>IFERROR(INDEX(Heat_Map[Index],MATCH(HS_DB[[#This Row],[Reporter]],Heat_Map[Global],0),1),"")</f>
        <v>17</v>
      </c>
      <c r="K158" s="17" t="str">
        <f>IF(AND(HS_DB[[#This Row],[Origin Rank]]&gt;1,HS_DB[[#This Row],[Origin Rank]]&lt;=10),"Yes","No")</f>
        <v>Yes</v>
      </c>
      <c r="L158" s="2">
        <v>2024</v>
      </c>
      <c r="M158" s="2" t="s">
        <v>57</v>
      </c>
      <c r="N158" s="2" t="s">
        <v>5</v>
      </c>
      <c r="O158" s="2" t="s">
        <v>22</v>
      </c>
      <c r="P158" s="2" t="s">
        <v>23</v>
      </c>
      <c r="Q158" s="2" t="s">
        <v>24</v>
      </c>
      <c r="R158" s="2" t="s">
        <v>25</v>
      </c>
      <c r="S158" s="2">
        <v>280920</v>
      </c>
      <c r="T158" s="3">
        <v>1035506</v>
      </c>
      <c r="U158" s="3">
        <v>906467</v>
      </c>
      <c r="V158" s="3">
        <v>0</v>
      </c>
      <c r="W158" s="3">
        <v>906467</v>
      </c>
      <c r="X158" s="3" t="s">
        <v>58</v>
      </c>
      <c r="Y158" s="3">
        <v>530216</v>
      </c>
      <c r="Z158" s="3" t="s">
        <v>149</v>
      </c>
      <c r="AA158" s="6">
        <f>SUMIFS(HS_DB[Trade Value - USD],HS_DB[Reporter],HS_DB[[#This Row],[Reporter]])/SUM(HS_DB[Trade Value - USD])</f>
        <v>5.3992075088500962E-3</v>
      </c>
      <c r="AB158" s="8" cm="1">
        <f t="array" ref="AB158">SUMPRODUCT(
(HS_DB[Reporter]=HS_DB[[#This Row],[Reporter]])*
(HS_DB[Trade Value - USD]&gt;HS_DB[[#This Row],[Trade Value - USD]])
)+1</f>
        <v>3</v>
      </c>
      <c r="AC158" s="8" t="str">
        <f>IFERROR(IF(INDEX(Heat_Map[Crisis Impact %],MATCH(HS_DB[[#This Row],[Reporter]],Heat_Map[Global],0),1)&gt;0,"Yes","No"),"No")</f>
        <v>No</v>
      </c>
      <c r="AD158" s="6">
        <f>IFERROR(INDEX(Heat_Map[Crisis Impact %],MATCH(HS_DB[[#This Row],[Reporter]],Heat_Map[Global],0),1),0)</f>
        <v>0</v>
      </c>
      <c r="AE158" s="8">
        <f>HS_DB[[#This Row],[Crisis Impact%]]*HS_DB[[#This Row],[Trade Value - USD]]</f>
        <v>0</v>
      </c>
      <c r="AF158" s="8">
        <f>HS_DB[[#This Row],[Crisis Impact%]]*HS_DB[[#This Row],[Net Weight -KG]]</f>
        <v>0</v>
      </c>
      <c r="AG158" s="6">
        <f>SUMIFS(HS_DB[Trade Value - USD],HS_DB[Products],HS_DB[[#This Row],[Products]])/SUM(HS_DB[Trade Value - USD])</f>
        <v>6.8681310097102564E-3</v>
      </c>
      <c r="AH158" s="8">
        <f>_xlfn.RANK.EQ(HS_DB[[#This Row],[Trade Value - USD]], HS_DB[Trade Value - USD], 0)
 + COUNTIFS(HS_DB[Trade Value - USD],HS_DB[[#This Row],[Trade Value - USD]],
            HS_DB[HS Code],"&lt;"&amp;HS_DB[[#This Row],[HS Code]])</f>
        <v>105</v>
      </c>
      <c r="AI158" s="9">
        <f>IFERROR(HS_DB[[#This Row],[Trade Value - USD]]/HS_DB[[#This Row],[Net Weight -KG]],0)</f>
        <v>1.142353775702811</v>
      </c>
      <c r="AJ158" s="17" cm="1">
        <f t="array" ref="AJ158">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58" s="17" t="str">
        <f>IF(HS_DB[[#This Row],[HS Code Risk Score]]&gt;=40,"High",
 IF(HS_DB[[#This Row],[HS Code Risk Score]]&gt;=25,"Medium","Low"))</f>
        <v>Medium</v>
      </c>
      <c r="AL158" s="17" t="str">
        <f>IF(RANK(HS_DB[[#This Row],[HS Code Risk Score]],HS_DB[HS Code Risk Score])&lt;=10,"Yes","No")</f>
        <v>No</v>
      </c>
      <c r="AM158" s="8">
        <f>SUMIFS(HS_DB[Net Weight -KG],HS_DB[HS Code],HS_DB[[#This Row],[HS Code]])</f>
        <v>17237347.600000001</v>
      </c>
      <c r="AN158" s="8">
        <f>SUMIFS(HS_DB[Trade Value - USD],HS_DB[HS Code],HS_DB[[#This Row],[HS Code]])</f>
        <v>12946484</v>
      </c>
      <c r="AO158" s="6">
        <f>_xlfn.MAXIFS(HS_DB[Origin Share%],HS_DB[HS Code],HS_DB[[#This Row],[HS Code]])</f>
        <v>6.321329281187793E-2</v>
      </c>
      <c r="AP158" s="8" cm="1">
        <f t="array" ref="AP158">_xlfn.LET(
_xlpm.hs,HS_DB[[#This Row],[HS Code]],
COUNTA(_xlfn.UNIQUE(_xlfn._xlws.FILTER(HS_DB[Reporter],HS_DB[HS Code]=_xlpm.hs)))
)</f>
        <v>12</v>
      </c>
      <c r="AQ158" s="17" t="str">
        <f>IF(HS_DB[[#This Row],[Origin Count]]=1,"Single Source","Multiple Sources")</f>
        <v>Multiple Sources</v>
      </c>
      <c r="AR158" s="8">
        <f>HS_DB[[#This Row],[Annual Spend - USD]]*(HS_DB[[#This Row],[HS Code Risk Score]]/100)</f>
        <v>4401804.5600000005</v>
      </c>
      <c r="AS158" s="8">
        <f>RANK(HS_DB[[#This Row],[Risk Exposure - USD]],HS_DB[Risk Exposure - USD],0)</f>
        <v>209</v>
      </c>
      <c r="AT158" s="8" t="str">
        <f>IF(HS_DB[[#This Row],[Risk Exposure Rank]]&lt;=10,"High",
 IF(HS_DB[[#This Row],[Risk Exposure Rank]]&lt;=30,"Medium",
 "Low"))</f>
        <v>Low</v>
      </c>
      <c r="AU158" s="8" t="str">
        <f>IF(HS_DB[[#This Row],[Risk Exposure Rank]]&lt;=5,"Immediate Action",
 IF(HS_DB[[#This Row],[Risk Exposure Rank]]&lt;=15,"Monitor Closely",
 "Routine Control"))</f>
        <v>Routine Control</v>
      </c>
      <c r="AV158" s="8">
        <f>SUMIFS(HS_DB[Trade Value - USD],HS_DB[HS Code],HS_DB[[#This Row],[HS Code]])</f>
        <v>12946484</v>
      </c>
      <c r="AW158" s="6">
        <f>HS_DB[[#This Row],[Annual Spend - USD]]/HS_DB[[#This Row],[Total Market Size - USD]]</f>
        <v>1</v>
      </c>
      <c r="AX158" s="6" cm="1">
        <f t="array" ref="AX158">COUNTA(_xlfn.UNIQUE(_xlfn._xlws.FILTER(HS_DB[Partner],HS_DB[HS Code]=HS_DB[[#This Row],[HS Code]])))</f>
        <v>1</v>
      </c>
      <c r="AY158" s="8" t="str">
        <f>IF(HS_DB[[#This Row],[Competition Intensity]]&lt;=2,"Highly Concentrated",
 IF(HS_DB[[#This Row],[Competition Intensity]]&lt;=5,"Moderate",
 "Highly Competitive"))</f>
        <v>Highly Concentrated</v>
      </c>
      <c r="AZ158" s="8">
        <f>HS_DB[[#This Row],[Total Market Size - USD]]
*
(1+IFERROR(#REF!,0))
/
HS_DB[[#This Row],[Competition Intensity]]</f>
        <v>12946484</v>
      </c>
      <c r="BA158" s="8" t="str">
        <f>IF(HS_DB[[#This Row],[Commercial Opportunity Score]]&gt;=PERCENTILE(HS_DB[Commercial Opportunity Score],0.9),"High Opportunity",
 IF(HS_DB[[#This Row],[Commercial Opportunity Score]]&gt;=PERCENTILE(HS_DB[Commercial Opportunity Score],0.6),"Medium Opportunity",
 "Routine Market"))</f>
        <v>Medium Opportunity</v>
      </c>
      <c r="BB158" s="3" t="str">
        <f>IF(AND(HS_DB[[#This Row],[Product Rank]]&gt;0,HS_DB[[#This Row],[Product Rank]]&lt;=10),"Yes","No")</f>
        <v>No</v>
      </c>
      <c r="BC158" s="3" t="str">
        <f>IF(AND(HS_DB[[#This Row],[Origin Rank]]&gt;0,HS_DB[[#This Row],[Origin Rank]]&lt;=10),"Yes","No")</f>
        <v>Yes</v>
      </c>
    </row>
    <row r="159" spans="2:55" x14ac:dyDescent="0.3">
      <c r="B159" s="2">
        <f>HS_DB[[#This Row],[Commodity Code]]</f>
        <v>280920</v>
      </c>
      <c r="C159" s="2">
        <f>IFERROR(INDEX(HS_MD!C:C,MATCH(B159,HS_MD!B:B,0),1),"")</f>
        <v>8</v>
      </c>
      <c r="D159" s="17" t="str">
        <f>IFERROR(INDEX(HS_MD!D:D,MATCH(B159,HS_MD!B:B,0),1),"")</f>
        <v>Phosphoric acid</v>
      </c>
      <c r="E159" s="17" t="str">
        <f>IFERROR(INDEX(HS_MD!E:E,MATCH(B159,HS_MD!B:B,0),1),"")</f>
        <v>Phosphoric Acid</v>
      </c>
      <c r="F159" s="17" t="str">
        <f>IFERROR(INDEX(HS_MD!F:F,MATCH(B159,HS_MD!B:B,0),1),"")</f>
        <v>ACIDULANTS &amp; REGULATORS</v>
      </c>
      <c r="G159" s="17" t="str">
        <f>IFERROR(INDEX(HS_MD!G:G,MATCH(B159,HS_MD!B:B,0),1),"")</f>
        <v>Inorganic Acids</v>
      </c>
      <c r="H159" s="17" t="str">
        <f>IFERROR(INDEX(HS_MD!H:H,MATCH(B159,HS_MD!B:B,0),1),"")</f>
        <v>Phosphoric Acid</v>
      </c>
      <c r="I159" s="17" t="str">
        <f>IFERROR(INDEX(HS_MD!I:I,MATCH(B159,HS_MD!B:B,0),1),"")</f>
        <v>Beverages</v>
      </c>
      <c r="J159" s="17">
        <f>IFERROR(INDEX(Heat_Map[Index],MATCH(HS_DB[[#This Row],[Reporter]],Heat_Map[Global],0),1),"")</f>
        <v>36</v>
      </c>
      <c r="K159" s="17" t="str">
        <f>IF(AND(HS_DB[[#This Row],[Origin Rank]]&gt;1,HS_DB[[#This Row],[Origin Rank]]&lt;=10),"Yes","No")</f>
        <v>No</v>
      </c>
      <c r="L159" s="2">
        <v>2024</v>
      </c>
      <c r="M159" s="2" t="s">
        <v>57</v>
      </c>
      <c r="N159" s="2" t="s">
        <v>1</v>
      </c>
      <c r="O159" s="2" t="s">
        <v>22</v>
      </c>
      <c r="P159" s="2" t="s">
        <v>23</v>
      </c>
      <c r="Q159" s="2" t="s">
        <v>24</v>
      </c>
      <c r="R159" s="2" t="s">
        <v>25</v>
      </c>
      <c r="S159" s="2">
        <v>280920</v>
      </c>
      <c r="T159" s="3">
        <v>3804710</v>
      </c>
      <c r="U159" s="3">
        <v>3759849</v>
      </c>
      <c r="V159" s="3">
        <v>0</v>
      </c>
      <c r="W159" s="3">
        <v>3759849</v>
      </c>
      <c r="X159" s="3" t="s">
        <v>58</v>
      </c>
      <c r="Y159" s="3">
        <v>3759849</v>
      </c>
      <c r="Z159" s="3" t="s">
        <v>58</v>
      </c>
      <c r="AA159" s="6">
        <f>SUMIFS(HS_DB[Trade Value - USD],HS_DB[Reporter],HS_DB[[#This Row],[Reporter]])/SUM(HS_DB[Trade Value - USD])</f>
        <v>6.321329281187793E-2</v>
      </c>
      <c r="AB159" s="8" cm="1">
        <f t="array" ref="AB159">SUMPRODUCT(
(HS_DB[Reporter]=HS_DB[[#This Row],[Reporter]])*
(HS_DB[Trade Value - USD]&gt;HS_DB[[#This Row],[Trade Value - USD]])
)+1</f>
        <v>11</v>
      </c>
      <c r="AC159" s="8" t="str">
        <f>IFERROR(IF(INDEX(Heat_Map[Crisis Impact %],MATCH(HS_DB[[#This Row],[Reporter]],Heat_Map[Global],0),1)&gt;0,"Yes","No"),"No")</f>
        <v>Yes</v>
      </c>
      <c r="AD159" s="6">
        <f>IFERROR(INDEX(Heat_Map[Crisis Impact %],MATCH(HS_DB[[#This Row],[Reporter]],Heat_Map[Global],0),1),0)</f>
        <v>0.14000000000000001</v>
      </c>
      <c r="AE159" s="8">
        <f>HS_DB[[#This Row],[Crisis Impact%]]*HS_DB[[#This Row],[Trade Value - USD]]</f>
        <v>532659.4</v>
      </c>
      <c r="AF159" s="8">
        <f>HS_DB[[#This Row],[Crisis Impact%]]*HS_DB[[#This Row],[Net Weight -KG]]</f>
        <v>526378.8600000001</v>
      </c>
      <c r="AG159" s="6">
        <f>SUMIFS(HS_DB[Trade Value - USD],HS_DB[Products],HS_DB[[#This Row],[Products]])/SUM(HS_DB[Trade Value - USD])</f>
        <v>6.8681310097102564E-3</v>
      </c>
      <c r="AH159" s="8">
        <f>_xlfn.RANK.EQ(HS_DB[[#This Row],[Trade Value - USD]], HS_DB[Trade Value - USD], 0)
 + COUNTIFS(HS_DB[Trade Value - USD],HS_DB[[#This Row],[Trade Value - USD]],
            HS_DB[HS Code],"&lt;"&amp;HS_DB[[#This Row],[HS Code]])</f>
        <v>37</v>
      </c>
      <c r="AI159" s="9">
        <f>IFERROR(HS_DB[[#This Row],[Trade Value - USD]]/HS_DB[[#This Row],[Net Weight -KG]],0)</f>
        <v>1.0119315961891022</v>
      </c>
      <c r="AJ159" s="17" cm="1">
        <f t="array" ref="AJ159">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59" s="17" t="str">
        <f>IF(HS_DB[[#This Row],[HS Code Risk Score]]&gt;=40,"High",
 IF(HS_DB[[#This Row],[HS Code Risk Score]]&gt;=25,"Medium","Low"))</f>
        <v>Medium</v>
      </c>
      <c r="AL159" s="17" t="str">
        <f>IF(RANK(HS_DB[[#This Row],[HS Code Risk Score]],HS_DB[HS Code Risk Score])&lt;=10,"Yes","No")</f>
        <v>No</v>
      </c>
      <c r="AM159" s="8">
        <f>SUMIFS(HS_DB[Net Weight -KG],HS_DB[HS Code],HS_DB[[#This Row],[HS Code]])</f>
        <v>17237347.600000001</v>
      </c>
      <c r="AN159" s="8">
        <f>SUMIFS(HS_DB[Trade Value - USD],HS_DB[HS Code],HS_DB[[#This Row],[HS Code]])</f>
        <v>12946484</v>
      </c>
      <c r="AO159" s="6">
        <f>_xlfn.MAXIFS(HS_DB[Origin Share%],HS_DB[HS Code],HS_DB[[#This Row],[HS Code]])</f>
        <v>6.321329281187793E-2</v>
      </c>
      <c r="AP159" s="8" cm="1">
        <f t="array" ref="AP159">_xlfn.LET(
_xlpm.hs,HS_DB[[#This Row],[HS Code]],
COUNTA(_xlfn.UNIQUE(_xlfn._xlws.FILTER(HS_DB[Reporter],HS_DB[HS Code]=_xlpm.hs)))
)</f>
        <v>12</v>
      </c>
      <c r="AQ159" s="17" t="str">
        <f>IF(HS_DB[[#This Row],[Origin Count]]=1,"Single Source","Multiple Sources")</f>
        <v>Multiple Sources</v>
      </c>
      <c r="AR159" s="8">
        <f>HS_DB[[#This Row],[Annual Spend - USD]]*(HS_DB[[#This Row],[HS Code Risk Score]]/100)</f>
        <v>4401804.5600000005</v>
      </c>
      <c r="AS159" s="8">
        <f>RANK(HS_DB[[#This Row],[Risk Exposure - USD]],HS_DB[Risk Exposure - USD],0)</f>
        <v>209</v>
      </c>
      <c r="AT159" s="8" t="str">
        <f>IF(HS_DB[[#This Row],[Risk Exposure Rank]]&lt;=10,"High",
 IF(HS_DB[[#This Row],[Risk Exposure Rank]]&lt;=30,"Medium",
 "Low"))</f>
        <v>Low</v>
      </c>
      <c r="AU159" s="8" t="str">
        <f>IF(HS_DB[[#This Row],[Risk Exposure Rank]]&lt;=5,"Immediate Action",
 IF(HS_DB[[#This Row],[Risk Exposure Rank]]&lt;=15,"Monitor Closely",
 "Routine Control"))</f>
        <v>Routine Control</v>
      </c>
      <c r="AV159" s="8">
        <f>SUMIFS(HS_DB[Trade Value - USD],HS_DB[HS Code],HS_DB[[#This Row],[HS Code]])</f>
        <v>12946484</v>
      </c>
      <c r="AW159" s="6">
        <f>HS_DB[[#This Row],[Annual Spend - USD]]/HS_DB[[#This Row],[Total Market Size - USD]]</f>
        <v>1</v>
      </c>
      <c r="AX159" s="6" cm="1">
        <f t="array" ref="AX159">COUNTA(_xlfn.UNIQUE(_xlfn._xlws.FILTER(HS_DB[Partner],HS_DB[HS Code]=HS_DB[[#This Row],[HS Code]])))</f>
        <v>1</v>
      </c>
      <c r="AY159" s="8" t="str">
        <f>IF(HS_DB[[#This Row],[Competition Intensity]]&lt;=2,"Highly Concentrated",
 IF(HS_DB[[#This Row],[Competition Intensity]]&lt;=5,"Moderate",
 "Highly Competitive"))</f>
        <v>Highly Concentrated</v>
      </c>
      <c r="AZ159" s="8">
        <f>HS_DB[[#This Row],[Total Market Size - USD]]
*
(1+IFERROR(#REF!,0))
/
HS_DB[[#This Row],[Competition Intensity]]</f>
        <v>12946484</v>
      </c>
      <c r="BA159" s="8" t="str">
        <f>IF(HS_DB[[#This Row],[Commercial Opportunity Score]]&gt;=PERCENTILE(HS_DB[Commercial Opportunity Score],0.9),"High Opportunity",
 IF(HS_DB[[#This Row],[Commercial Opportunity Score]]&gt;=PERCENTILE(HS_DB[Commercial Opportunity Score],0.6),"Medium Opportunity",
 "Routine Market"))</f>
        <v>Medium Opportunity</v>
      </c>
      <c r="BB159" s="3" t="str">
        <f>IF(AND(HS_DB[[#This Row],[Product Rank]]&gt;0,HS_DB[[#This Row],[Product Rank]]&lt;=10),"Yes","No")</f>
        <v>No</v>
      </c>
      <c r="BC159" s="3" t="str">
        <f>IF(AND(HS_DB[[#This Row],[Origin Rank]]&gt;0,HS_DB[[#This Row],[Origin Rank]]&lt;=10),"Yes","No")</f>
        <v>No</v>
      </c>
    </row>
    <row r="160" spans="2:55" x14ac:dyDescent="0.3">
      <c r="B160" s="2">
        <f>HS_DB[[#This Row],[Commodity Code]]</f>
        <v>280920</v>
      </c>
      <c r="C160" s="2">
        <f>IFERROR(INDEX(HS_MD!C:C,MATCH(B160,HS_MD!B:B,0),1),"")</f>
        <v>8</v>
      </c>
      <c r="D160" s="17" t="str">
        <f>IFERROR(INDEX(HS_MD!D:D,MATCH(B160,HS_MD!B:B,0),1),"")</f>
        <v>Phosphoric acid</v>
      </c>
      <c r="E160" s="17" t="str">
        <f>IFERROR(INDEX(HS_MD!E:E,MATCH(B160,HS_MD!B:B,0),1),"")</f>
        <v>Phosphoric Acid</v>
      </c>
      <c r="F160" s="17" t="str">
        <f>IFERROR(INDEX(HS_MD!F:F,MATCH(B160,HS_MD!B:B,0),1),"")</f>
        <v>ACIDULANTS &amp; REGULATORS</v>
      </c>
      <c r="G160" s="17" t="str">
        <f>IFERROR(INDEX(HS_MD!G:G,MATCH(B160,HS_MD!B:B,0),1),"")</f>
        <v>Inorganic Acids</v>
      </c>
      <c r="H160" s="17" t="str">
        <f>IFERROR(INDEX(HS_MD!H:H,MATCH(B160,HS_MD!B:B,0),1),"")</f>
        <v>Phosphoric Acid</v>
      </c>
      <c r="I160" s="17" t="str">
        <f>IFERROR(INDEX(HS_MD!I:I,MATCH(B160,HS_MD!B:B,0),1),"")</f>
        <v>Beverages</v>
      </c>
      <c r="J160" s="17">
        <f>IFERROR(INDEX(Heat_Map[Index],MATCH(HS_DB[[#This Row],[Reporter]],Heat_Map[Global],0),1),"")</f>
        <v>63</v>
      </c>
      <c r="K160" s="17" t="str">
        <f>IF(AND(HS_DB[[#This Row],[Origin Rank]]&gt;1,HS_DB[[#This Row],[Origin Rank]]&lt;=10),"Yes","No")</f>
        <v>No</v>
      </c>
      <c r="L160" s="2">
        <v>2024</v>
      </c>
      <c r="M160" s="2" t="s">
        <v>57</v>
      </c>
      <c r="N160" s="2" t="s">
        <v>2</v>
      </c>
      <c r="O160" s="2" t="s">
        <v>22</v>
      </c>
      <c r="P160" s="2" t="s">
        <v>23</v>
      </c>
      <c r="Q160" s="2" t="s">
        <v>24</v>
      </c>
      <c r="R160" s="2" t="s">
        <v>25</v>
      </c>
      <c r="S160" s="2">
        <v>280920</v>
      </c>
      <c r="T160" s="3">
        <v>39503</v>
      </c>
      <c r="U160" s="3">
        <v>20033</v>
      </c>
      <c r="V160" s="3">
        <v>0</v>
      </c>
      <c r="W160" s="3">
        <v>20033</v>
      </c>
      <c r="X160" s="3" t="s">
        <v>58</v>
      </c>
      <c r="Y160" s="3">
        <v>9928</v>
      </c>
      <c r="Z160" s="3" t="s">
        <v>149</v>
      </c>
      <c r="AA160" s="6">
        <f>SUMIFS(HS_DB[Trade Value - USD],HS_DB[Reporter],HS_DB[[#This Row],[Reporter]])/SUM(HS_DB[Trade Value - USD])</f>
        <v>1.1674623358397021E-2</v>
      </c>
      <c r="AB160" s="8" cm="1">
        <f t="array" ref="AB160">SUMPRODUCT(
(HS_DB[Reporter]=HS_DB[[#This Row],[Reporter]])*
(HS_DB[Trade Value - USD]&gt;HS_DB[[#This Row],[Trade Value - USD]])
)+1</f>
        <v>28</v>
      </c>
      <c r="AC160" s="8" t="str">
        <f>IFERROR(IF(INDEX(Heat_Map[Crisis Impact %],MATCH(HS_DB[[#This Row],[Reporter]],Heat_Map[Global],0),1)&gt;0,"Yes","No"),"No")</f>
        <v>No</v>
      </c>
      <c r="AD160" s="6">
        <f>IFERROR(INDEX(Heat_Map[Crisis Impact %],MATCH(HS_DB[[#This Row],[Reporter]],Heat_Map[Global],0),1),0)</f>
        <v>0</v>
      </c>
      <c r="AE160" s="8">
        <f>HS_DB[[#This Row],[Crisis Impact%]]*HS_DB[[#This Row],[Trade Value - USD]]</f>
        <v>0</v>
      </c>
      <c r="AF160" s="8">
        <f>HS_DB[[#This Row],[Crisis Impact%]]*HS_DB[[#This Row],[Net Weight -KG]]</f>
        <v>0</v>
      </c>
      <c r="AG160" s="6">
        <f>SUMIFS(HS_DB[Trade Value - USD],HS_DB[Products],HS_DB[[#This Row],[Products]])/SUM(HS_DB[Trade Value - USD])</f>
        <v>6.8681310097102564E-3</v>
      </c>
      <c r="AH160" s="8">
        <f>_xlfn.RANK.EQ(HS_DB[[#This Row],[Trade Value - USD]], HS_DB[Trade Value - USD], 0)
 + COUNTIFS(HS_DB[Trade Value - USD],HS_DB[[#This Row],[Trade Value - USD]],
            HS_DB[HS Code],"&lt;"&amp;HS_DB[[#This Row],[HS Code]])</f>
        <v>332</v>
      </c>
      <c r="AI160" s="9">
        <f>IFERROR(HS_DB[[#This Row],[Trade Value - USD]]/HS_DB[[#This Row],[Net Weight -KG]],0)</f>
        <v>1.9718963709878701</v>
      </c>
      <c r="AJ160" s="17" cm="1">
        <f t="array" ref="AJ160">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60" s="17" t="str">
        <f>IF(HS_DB[[#This Row],[HS Code Risk Score]]&gt;=40,"High",
 IF(HS_DB[[#This Row],[HS Code Risk Score]]&gt;=25,"Medium","Low"))</f>
        <v>Medium</v>
      </c>
      <c r="AL160" s="17" t="str">
        <f>IF(RANK(HS_DB[[#This Row],[HS Code Risk Score]],HS_DB[HS Code Risk Score])&lt;=10,"Yes","No")</f>
        <v>No</v>
      </c>
      <c r="AM160" s="8">
        <f>SUMIFS(HS_DB[Net Weight -KG],HS_DB[HS Code],HS_DB[[#This Row],[HS Code]])</f>
        <v>17237347.600000001</v>
      </c>
      <c r="AN160" s="8">
        <f>SUMIFS(HS_DB[Trade Value - USD],HS_DB[HS Code],HS_DB[[#This Row],[HS Code]])</f>
        <v>12946484</v>
      </c>
      <c r="AO160" s="6">
        <f>_xlfn.MAXIFS(HS_DB[Origin Share%],HS_DB[HS Code],HS_DB[[#This Row],[HS Code]])</f>
        <v>6.321329281187793E-2</v>
      </c>
      <c r="AP160" s="8" cm="1">
        <f t="array" ref="AP160">_xlfn.LET(
_xlpm.hs,HS_DB[[#This Row],[HS Code]],
COUNTA(_xlfn.UNIQUE(_xlfn._xlws.FILTER(HS_DB[Reporter],HS_DB[HS Code]=_xlpm.hs)))
)</f>
        <v>12</v>
      </c>
      <c r="AQ160" s="17" t="str">
        <f>IF(HS_DB[[#This Row],[Origin Count]]=1,"Single Source","Multiple Sources")</f>
        <v>Multiple Sources</v>
      </c>
      <c r="AR160" s="8">
        <f>HS_DB[[#This Row],[Annual Spend - USD]]*(HS_DB[[#This Row],[HS Code Risk Score]]/100)</f>
        <v>4401804.5600000005</v>
      </c>
      <c r="AS160" s="8">
        <f>RANK(HS_DB[[#This Row],[Risk Exposure - USD]],HS_DB[Risk Exposure - USD],0)</f>
        <v>209</v>
      </c>
      <c r="AT160" s="8" t="str">
        <f>IF(HS_DB[[#This Row],[Risk Exposure Rank]]&lt;=10,"High",
 IF(HS_DB[[#This Row],[Risk Exposure Rank]]&lt;=30,"Medium",
 "Low"))</f>
        <v>Low</v>
      </c>
      <c r="AU160" s="8" t="str">
        <f>IF(HS_DB[[#This Row],[Risk Exposure Rank]]&lt;=5,"Immediate Action",
 IF(HS_DB[[#This Row],[Risk Exposure Rank]]&lt;=15,"Monitor Closely",
 "Routine Control"))</f>
        <v>Routine Control</v>
      </c>
      <c r="AV160" s="8">
        <f>SUMIFS(HS_DB[Trade Value - USD],HS_DB[HS Code],HS_DB[[#This Row],[HS Code]])</f>
        <v>12946484</v>
      </c>
      <c r="AW160" s="6">
        <f>HS_DB[[#This Row],[Annual Spend - USD]]/HS_DB[[#This Row],[Total Market Size - USD]]</f>
        <v>1</v>
      </c>
      <c r="AX160" s="6" cm="1">
        <f t="array" ref="AX160">COUNTA(_xlfn.UNIQUE(_xlfn._xlws.FILTER(HS_DB[Partner],HS_DB[HS Code]=HS_DB[[#This Row],[HS Code]])))</f>
        <v>1</v>
      </c>
      <c r="AY160" s="8" t="str">
        <f>IF(HS_DB[[#This Row],[Competition Intensity]]&lt;=2,"Highly Concentrated",
 IF(HS_DB[[#This Row],[Competition Intensity]]&lt;=5,"Moderate",
 "Highly Competitive"))</f>
        <v>Highly Concentrated</v>
      </c>
      <c r="AZ160" s="8">
        <f>HS_DB[[#This Row],[Total Market Size - USD]]
*
(1+IFERROR(#REF!,0))
/
HS_DB[[#This Row],[Competition Intensity]]</f>
        <v>12946484</v>
      </c>
      <c r="BA160" s="8" t="str">
        <f>IF(HS_DB[[#This Row],[Commercial Opportunity Score]]&gt;=PERCENTILE(HS_DB[Commercial Opportunity Score],0.9),"High Opportunity",
 IF(HS_DB[[#This Row],[Commercial Opportunity Score]]&gt;=PERCENTILE(HS_DB[Commercial Opportunity Score],0.6),"Medium Opportunity",
 "Routine Market"))</f>
        <v>Medium Opportunity</v>
      </c>
      <c r="BB160" s="3" t="str">
        <f>IF(AND(HS_DB[[#This Row],[Product Rank]]&gt;0,HS_DB[[#This Row],[Product Rank]]&lt;=10),"Yes","No")</f>
        <v>No</v>
      </c>
      <c r="BC160" s="3" t="str">
        <f>IF(AND(HS_DB[[#This Row],[Origin Rank]]&gt;0,HS_DB[[#This Row],[Origin Rank]]&lt;=10),"Yes","No")</f>
        <v>No</v>
      </c>
    </row>
    <row r="161" spans="2:55" x14ac:dyDescent="0.3">
      <c r="B161" s="2">
        <f>HS_DB[[#This Row],[Commodity Code]]</f>
        <v>280920</v>
      </c>
      <c r="C161" s="2">
        <f>IFERROR(INDEX(HS_MD!C:C,MATCH(B161,HS_MD!B:B,0),1),"")</f>
        <v>8</v>
      </c>
      <c r="D161" s="17" t="str">
        <f>IFERROR(INDEX(HS_MD!D:D,MATCH(B161,HS_MD!B:B,0),1),"")</f>
        <v>Phosphoric acid</v>
      </c>
      <c r="E161" s="17" t="str">
        <f>IFERROR(INDEX(HS_MD!E:E,MATCH(B161,HS_MD!B:B,0),1),"")</f>
        <v>Phosphoric Acid</v>
      </c>
      <c r="F161" s="17" t="str">
        <f>IFERROR(INDEX(HS_MD!F:F,MATCH(B161,HS_MD!B:B,0),1),"")</f>
        <v>ACIDULANTS &amp; REGULATORS</v>
      </c>
      <c r="G161" s="17" t="str">
        <f>IFERROR(INDEX(HS_MD!G:G,MATCH(B161,HS_MD!B:B,0),1),"")</f>
        <v>Inorganic Acids</v>
      </c>
      <c r="H161" s="17" t="str">
        <f>IFERROR(INDEX(HS_MD!H:H,MATCH(B161,HS_MD!B:B,0),1),"")</f>
        <v>Phosphoric Acid</v>
      </c>
      <c r="I161" s="17" t="str">
        <f>IFERROR(INDEX(HS_MD!I:I,MATCH(B161,HS_MD!B:B,0),1),"")</f>
        <v>Beverages</v>
      </c>
      <c r="J161" s="17">
        <f>IFERROR(INDEX(Heat_Map[Index],MATCH(HS_DB[[#This Row],[Reporter]],Heat_Map[Global],0),1),"")</f>
        <v>79</v>
      </c>
      <c r="K161" s="17" t="str">
        <f>IF(AND(HS_DB[[#This Row],[Origin Rank]]&gt;1,HS_DB[[#This Row],[Origin Rank]]&lt;=10),"Yes","No")</f>
        <v>No</v>
      </c>
      <c r="L161" s="2">
        <v>2024</v>
      </c>
      <c r="M161" s="2" t="s">
        <v>57</v>
      </c>
      <c r="N161" s="2" t="s">
        <v>48</v>
      </c>
      <c r="O161" s="2" t="s">
        <v>22</v>
      </c>
      <c r="P161" s="2" t="s">
        <v>23</v>
      </c>
      <c r="Q161" s="2" t="s">
        <v>24</v>
      </c>
      <c r="R161" s="2" t="s">
        <v>25</v>
      </c>
      <c r="S161" s="2">
        <v>280920</v>
      </c>
      <c r="T161" s="3">
        <v>2</v>
      </c>
      <c r="U161" s="3">
        <v>1</v>
      </c>
      <c r="V161" s="3">
        <v>0</v>
      </c>
      <c r="W161" s="3">
        <v>1</v>
      </c>
      <c r="X161" s="3" t="s">
        <v>58</v>
      </c>
      <c r="Y161" s="3">
        <v>1</v>
      </c>
      <c r="Z161" s="3" t="s">
        <v>58</v>
      </c>
      <c r="AA161" s="6">
        <f>SUMIFS(HS_DB[Trade Value - USD],HS_DB[Reporter],HS_DB[[#This Row],[Reporter]])/SUM(HS_DB[Trade Value - USD])</f>
        <v>4.9588465845200368E-3</v>
      </c>
      <c r="AB161" s="8" cm="1">
        <f t="array" ref="AB161">SUMPRODUCT(
(HS_DB[Reporter]=HS_DB[[#This Row],[Reporter]])*
(HS_DB[Trade Value - USD]&gt;HS_DB[[#This Row],[Trade Value - USD]])
)+1</f>
        <v>14</v>
      </c>
      <c r="AC161" s="8" t="str">
        <f>IFERROR(IF(INDEX(Heat_Map[Crisis Impact %],MATCH(HS_DB[[#This Row],[Reporter]],Heat_Map[Global],0),1)&gt;0,"Yes","No"),"No")</f>
        <v>No</v>
      </c>
      <c r="AD161" s="6">
        <f>IFERROR(INDEX(Heat_Map[Crisis Impact %],MATCH(HS_DB[[#This Row],[Reporter]],Heat_Map[Global],0),1),0)</f>
        <v>0</v>
      </c>
      <c r="AE161" s="8">
        <f>HS_DB[[#This Row],[Crisis Impact%]]*HS_DB[[#This Row],[Trade Value - USD]]</f>
        <v>0</v>
      </c>
      <c r="AF161" s="8">
        <f>HS_DB[[#This Row],[Crisis Impact%]]*HS_DB[[#This Row],[Net Weight -KG]]</f>
        <v>0</v>
      </c>
      <c r="AG161" s="6">
        <f>SUMIFS(HS_DB[Trade Value - USD],HS_DB[Products],HS_DB[[#This Row],[Products]])/SUM(HS_DB[Trade Value - USD])</f>
        <v>6.8681310097102564E-3</v>
      </c>
      <c r="AH161" s="8">
        <f>_xlfn.RANK.EQ(HS_DB[[#This Row],[Trade Value - USD]], HS_DB[Trade Value - USD], 0)
 + COUNTIFS(HS_DB[Trade Value - USD],HS_DB[[#This Row],[Trade Value - USD]],
            HS_DB[HS Code],"&lt;"&amp;HS_DB[[#This Row],[HS Code]])</f>
        <v>536</v>
      </c>
      <c r="AI161" s="9">
        <f>IFERROR(HS_DB[[#This Row],[Trade Value - USD]]/HS_DB[[#This Row],[Net Weight -KG]],0)</f>
        <v>2</v>
      </c>
      <c r="AJ161" s="17" cm="1">
        <f t="array" ref="AJ161">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61" s="17" t="str">
        <f>IF(HS_DB[[#This Row],[HS Code Risk Score]]&gt;=40,"High",
 IF(HS_DB[[#This Row],[HS Code Risk Score]]&gt;=25,"Medium","Low"))</f>
        <v>Medium</v>
      </c>
      <c r="AL161" s="17" t="str">
        <f>IF(RANK(HS_DB[[#This Row],[HS Code Risk Score]],HS_DB[HS Code Risk Score])&lt;=10,"Yes","No")</f>
        <v>No</v>
      </c>
      <c r="AM161" s="8">
        <f>SUMIFS(HS_DB[Net Weight -KG],HS_DB[HS Code],HS_DB[[#This Row],[HS Code]])</f>
        <v>17237347.600000001</v>
      </c>
      <c r="AN161" s="8">
        <f>SUMIFS(HS_DB[Trade Value - USD],HS_DB[HS Code],HS_DB[[#This Row],[HS Code]])</f>
        <v>12946484</v>
      </c>
      <c r="AO161" s="6">
        <f>_xlfn.MAXIFS(HS_DB[Origin Share%],HS_DB[HS Code],HS_DB[[#This Row],[HS Code]])</f>
        <v>6.321329281187793E-2</v>
      </c>
      <c r="AP161" s="8" cm="1">
        <f t="array" ref="AP161">_xlfn.LET(
_xlpm.hs,HS_DB[[#This Row],[HS Code]],
COUNTA(_xlfn.UNIQUE(_xlfn._xlws.FILTER(HS_DB[Reporter],HS_DB[HS Code]=_xlpm.hs)))
)</f>
        <v>12</v>
      </c>
      <c r="AQ161" s="17" t="str">
        <f>IF(HS_DB[[#This Row],[Origin Count]]=1,"Single Source","Multiple Sources")</f>
        <v>Multiple Sources</v>
      </c>
      <c r="AR161" s="8">
        <f>HS_DB[[#This Row],[Annual Spend - USD]]*(HS_DB[[#This Row],[HS Code Risk Score]]/100)</f>
        <v>4401804.5600000005</v>
      </c>
      <c r="AS161" s="8">
        <f>RANK(HS_DB[[#This Row],[Risk Exposure - USD]],HS_DB[Risk Exposure - USD],0)</f>
        <v>209</v>
      </c>
      <c r="AT161" s="8" t="str">
        <f>IF(HS_DB[[#This Row],[Risk Exposure Rank]]&lt;=10,"High",
 IF(HS_DB[[#This Row],[Risk Exposure Rank]]&lt;=30,"Medium",
 "Low"))</f>
        <v>Low</v>
      </c>
      <c r="AU161" s="8" t="str">
        <f>IF(HS_DB[[#This Row],[Risk Exposure Rank]]&lt;=5,"Immediate Action",
 IF(HS_DB[[#This Row],[Risk Exposure Rank]]&lt;=15,"Monitor Closely",
 "Routine Control"))</f>
        <v>Routine Control</v>
      </c>
      <c r="AV161" s="8">
        <f>SUMIFS(HS_DB[Trade Value - USD],HS_DB[HS Code],HS_DB[[#This Row],[HS Code]])</f>
        <v>12946484</v>
      </c>
      <c r="AW161" s="6">
        <f>HS_DB[[#This Row],[Annual Spend - USD]]/HS_DB[[#This Row],[Total Market Size - USD]]</f>
        <v>1</v>
      </c>
      <c r="AX161" s="6" cm="1">
        <f t="array" ref="AX161">COUNTA(_xlfn.UNIQUE(_xlfn._xlws.FILTER(HS_DB[Partner],HS_DB[HS Code]=HS_DB[[#This Row],[HS Code]])))</f>
        <v>1</v>
      </c>
      <c r="AY161" s="8" t="str">
        <f>IF(HS_DB[[#This Row],[Competition Intensity]]&lt;=2,"Highly Concentrated",
 IF(HS_DB[[#This Row],[Competition Intensity]]&lt;=5,"Moderate",
 "Highly Competitive"))</f>
        <v>Highly Concentrated</v>
      </c>
      <c r="AZ161" s="8">
        <f>HS_DB[[#This Row],[Total Market Size - USD]]
*
(1+IFERROR(#REF!,0))
/
HS_DB[[#This Row],[Competition Intensity]]</f>
        <v>12946484</v>
      </c>
      <c r="BA161" s="8" t="str">
        <f>IF(HS_DB[[#This Row],[Commercial Opportunity Score]]&gt;=PERCENTILE(HS_DB[Commercial Opportunity Score],0.9),"High Opportunity",
 IF(HS_DB[[#This Row],[Commercial Opportunity Score]]&gt;=PERCENTILE(HS_DB[Commercial Opportunity Score],0.6),"Medium Opportunity",
 "Routine Market"))</f>
        <v>Medium Opportunity</v>
      </c>
      <c r="BB161" s="3" t="str">
        <f>IF(AND(HS_DB[[#This Row],[Product Rank]]&gt;0,HS_DB[[#This Row],[Product Rank]]&lt;=10),"Yes","No")</f>
        <v>No</v>
      </c>
      <c r="BC161" s="3" t="str">
        <f>IF(AND(HS_DB[[#This Row],[Origin Rank]]&gt;0,HS_DB[[#This Row],[Origin Rank]]&lt;=10),"Yes","No")</f>
        <v>No</v>
      </c>
    </row>
    <row r="162" spans="2:55" x14ac:dyDescent="0.3">
      <c r="B162" s="2">
        <f>HS_DB[[#This Row],[Commodity Code]]</f>
        <v>280920</v>
      </c>
      <c r="C162" s="2">
        <f>IFERROR(INDEX(HS_MD!C:C,MATCH(B162,HS_MD!B:B,0),1),"")</f>
        <v>8</v>
      </c>
      <c r="D162" s="17" t="str">
        <f>IFERROR(INDEX(HS_MD!D:D,MATCH(B162,HS_MD!B:B,0),1),"")</f>
        <v>Phosphoric acid</v>
      </c>
      <c r="E162" s="17" t="str">
        <f>IFERROR(INDEX(HS_MD!E:E,MATCH(B162,HS_MD!B:B,0),1),"")</f>
        <v>Phosphoric Acid</v>
      </c>
      <c r="F162" s="17" t="str">
        <f>IFERROR(INDEX(HS_MD!F:F,MATCH(B162,HS_MD!B:B,0),1),"")</f>
        <v>ACIDULANTS &amp; REGULATORS</v>
      </c>
      <c r="G162" s="17" t="str">
        <f>IFERROR(INDEX(HS_MD!G:G,MATCH(B162,HS_MD!B:B,0),1),"")</f>
        <v>Inorganic Acids</v>
      </c>
      <c r="H162" s="17" t="str">
        <f>IFERROR(INDEX(HS_MD!H:H,MATCH(B162,HS_MD!B:B,0),1),"")</f>
        <v>Phosphoric Acid</v>
      </c>
      <c r="I162" s="17" t="str">
        <f>IFERROR(INDEX(HS_MD!I:I,MATCH(B162,HS_MD!B:B,0),1),"")</f>
        <v>Beverages</v>
      </c>
      <c r="J162" s="17">
        <f>IFERROR(INDEX(Heat_Map[Index],MATCH(HS_DB[[#This Row],[Reporter]],Heat_Map[Global],0),1),"")</f>
        <v>81</v>
      </c>
      <c r="K162" s="17" t="str">
        <f>IF(AND(HS_DB[[#This Row],[Origin Rank]]&gt;1,HS_DB[[#This Row],[Origin Rank]]&lt;=10),"Yes","No")</f>
        <v>No</v>
      </c>
      <c r="L162" s="2">
        <v>2024</v>
      </c>
      <c r="M162" s="2" t="s">
        <v>57</v>
      </c>
      <c r="N162" s="2" t="s">
        <v>49</v>
      </c>
      <c r="O162" s="2" t="s">
        <v>22</v>
      </c>
      <c r="P162" s="2" t="s">
        <v>23</v>
      </c>
      <c r="Q162" s="2" t="s">
        <v>24</v>
      </c>
      <c r="R162" s="2" t="s">
        <v>25</v>
      </c>
      <c r="S162" s="2">
        <v>280920</v>
      </c>
      <c r="T162" s="3">
        <v>5644</v>
      </c>
      <c r="U162" s="3">
        <v>602</v>
      </c>
      <c r="V162" s="3">
        <v>0</v>
      </c>
      <c r="W162" s="3">
        <v>602</v>
      </c>
      <c r="X162" s="3" t="s">
        <v>58</v>
      </c>
      <c r="Y162" s="3">
        <v>11</v>
      </c>
      <c r="Z162" s="3" t="s">
        <v>149</v>
      </c>
      <c r="AA162" s="6">
        <f>SUMIFS(HS_DB[Trade Value - USD],HS_DB[Reporter],HS_DB[[#This Row],[Reporter]])/SUM(HS_DB[Trade Value - USD])</f>
        <v>1.1178535358665947E-2</v>
      </c>
      <c r="AB162" s="8" cm="1">
        <f t="array" ref="AB162">SUMPRODUCT(
(HS_DB[Reporter]=HS_DB[[#This Row],[Reporter]])*
(HS_DB[Trade Value - USD]&gt;HS_DB[[#This Row],[Trade Value - USD]])
)+1</f>
        <v>21</v>
      </c>
      <c r="AC162" s="8" t="str">
        <f>IFERROR(IF(INDEX(Heat_Map[Crisis Impact %],MATCH(HS_DB[[#This Row],[Reporter]],Heat_Map[Global],0),1)&gt;0,"Yes","No"),"No")</f>
        <v>No</v>
      </c>
      <c r="AD162" s="6">
        <f>IFERROR(INDEX(Heat_Map[Crisis Impact %],MATCH(HS_DB[[#This Row],[Reporter]],Heat_Map[Global],0),1),0)</f>
        <v>0</v>
      </c>
      <c r="AE162" s="8">
        <f>HS_DB[[#This Row],[Crisis Impact%]]*HS_DB[[#This Row],[Trade Value - USD]]</f>
        <v>0</v>
      </c>
      <c r="AF162" s="8">
        <f>HS_DB[[#This Row],[Crisis Impact%]]*HS_DB[[#This Row],[Net Weight -KG]]</f>
        <v>0</v>
      </c>
      <c r="AG162" s="6">
        <f>SUMIFS(HS_DB[Trade Value - USD],HS_DB[Products],HS_DB[[#This Row],[Products]])/SUM(HS_DB[Trade Value - USD])</f>
        <v>6.8681310097102564E-3</v>
      </c>
      <c r="AH162" s="8">
        <f>_xlfn.RANK.EQ(HS_DB[[#This Row],[Trade Value - USD]], HS_DB[Trade Value - USD], 0)
 + COUNTIFS(HS_DB[Trade Value - USD],HS_DB[[#This Row],[Trade Value - USD]],
            HS_DB[HS Code],"&lt;"&amp;HS_DB[[#This Row],[HS Code]])</f>
        <v>436</v>
      </c>
      <c r="AI162" s="9">
        <f>IFERROR(HS_DB[[#This Row],[Trade Value - USD]]/HS_DB[[#This Row],[Net Weight -KG]],0)</f>
        <v>9.3754152823920265</v>
      </c>
      <c r="AJ162" s="17" cm="1">
        <f t="array" ref="AJ162">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62" s="17" t="str">
        <f>IF(HS_DB[[#This Row],[HS Code Risk Score]]&gt;=40,"High",
 IF(HS_DB[[#This Row],[HS Code Risk Score]]&gt;=25,"Medium","Low"))</f>
        <v>Medium</v>
      </c>
      <c r="AL162" s="17" t="str">
        <f>IF(RANK(HS_DB[[#This Row],[HS Code Risk Score]],HS_DB[HS Code Risk Score])&lt;=10,"Yes","No")</f>
        <v>No</v>
      </c>
      <c r="AM162" s="8">
        <f>SUMIFS(HS_DB[Net Weight -KG],HS_DB[HS Code],HS_DB[[#This Row],[HS Code]])</f>
        <v>17237347.600000001</v>
      </c>
      <c r="AN162" s="8">
        <f>SUMIFS(HS_DB[Trade Value - USD],HS_DB[HS Code],HS_DB[[#This Row],[HS Code]])</f>
        <v>12946484</v>
      </c>
      <c r="AO162" s="6">
        <f>_xlfn.MAXIFS(HS_DB[Origin Share%],HS_DB[HS Code],HS_DB[[#This Row],[HS Code]])</f>
        <v>6.321329281187793E-2</v>
      </c>
      <c r="AP162" s="8" cm="1">
        <f t="array" ref="AP162">_xlfn.LET(
_xlpm.hs,HS_DB[[#This Row],[HS Code]],
COUNTA(_xlfn.UNIQUE(_xlfn._xlws.FILTER(HS_DB[Reporter],HS_DB[HS Code]=_xlpm.hs)))
)</f>
        <v>12</v>
      </c>
      <c r="AQ162" s="17" t="str">
        <f>IF(HS_DB[[#This Row],[Origin Count]]=1,"Single Source","Multiple Sources")</f>
        <v>Multiple Sources</v>
      </c>
      <c r="AR162" s="8">
        <f>HS_DB[[#This Row],[Annual Spend - USD]]*(HS_DB[[#This Row],[HS Code Risk Score]]/100)</f>
        <v>4401804.5600000005</v>
      </c>
      <c r="AS162" s="8">
        <f>RANK(HS_DB[[#This Row],[Risk Exposure - USD]],HS_DB[Risk Exposure - USD],0)</f>
        <v>209</v>
      </c>
      <c r="AT162" s="8" t="str">
        <f>IF(HS_DB[[#This Row],[Risk Exposure Rank]]&lt;=10,"High",
 IF(HS_DB[[#This Row],[Risk Exposure Rank]]&lt;=30,"Medium",
 "Low"))</f>
        <v>Low</v>
      </c>
      <c r="AU162" s="8" t="str">
        <f>IF(HS_DB[[#This Row],[Risk Exposure Rank]]&lt;=5,"Immediate Action",
 IF(HS_DB[[#This Row],[Risk Exposure Rank]]&lt;=15,"Monitor Closely",
 "Routine Control"))</f>
        <v>Routine Control</v>
      </c>
      <c r="AV162" s="8">
        <f>SUMIFS(HS_DB[Trade Value - USD],HS_DB[HS Code],HS_DB[[#This Row],[HS Code]])</f>
        <v>12946484</v>
      </c>
      <c r="AW162" s="6">
        <f>HS_DB[[#This Row],[Annual Spend - USD]]/HS_DB[[#This Row],[Total Market Size - USD]]</f>
        <v>1</v>
      </c>
      <c r="AX162" s="6" cm="1">
        <f t="array" ref="AX162">COUNTA(_xlfn.UNIQUE(_xlfn._xlws.FILTER(HS_DB[Partner],HS_DB[HS Code]=HS_DB[[#This Row],[HS Code]])))</f>
        <v>1</v>
      </c>
      <c r="AY162" s="8" t="str">
        <f>IF(HS_DB[[#This Row],[Competition Intensity]]&lt;=2,"Highly Concentrated",
 IF(HS_DB[[#This Row],[Competition Intensity]]&lt;=5,"Moderate",
 "Highly Competitive"))</f>
        <v>Highly Concentrated</v>
      </c>
      <c r="AZ162" s="8">
        <f>HS_DB[[#This Row],[Total Market Size - USD]]
*
(1+IFERROR(#REF!,0))
/
HS_DB[[#This Row],[Competition Intensity]]</f>
        <v>12946484</v>
      </c>
      <c r="BA162" s="8" t="str">
        <f>IF(HS_DB[[#This Row],[Commercial Opportunity Score]]&gt;=PERCENTILE(HS_DB[Commercial Opportunity Score],0.9),"High Opportunity",
 IF(HS_DB[[#This Row],[Commercial Opportunity Score]]&gt;=PERCENTILE(HS_DB[Commercial Opportunity Score],0.6),"Medium Opportunity",
 "Routine Market"))</f>
        <v>Medium Opportunity</v>
      </c>
      <c r="BB162" s="3" t="str">
        <f>IF(AND(HS_DB[[#This Row],[Product Rank]]&gt;0,HS_DB[[#This Row],[Product Rank]]&lt;=10),"Yes","No")</f>
        <v>No</v>
      </c>
      <c r="BC162" s="3" t="str">
        <f>IF(AND(HS_DB[[#This Row],[Origin Rank]]&gt;0,HS_DB[[#This Row],[Origin Rank]]&lt;=10),"Yes","No")</f>
        <v>No</v>
      </c>
    </row>
    <row r="163" spans="2:55" x14ac:dyDescent="0.3">
      <c r="B163" s="2">
        <f>HS_DB[[#This Row],[Commodity Code]]</f>
        <v>280920</v>
      </c>
      <c r="C163" s="2">
        <f>IFERROR(INDEX(HS_MD!C:C,MATCH(B163,HS_MD!B:B,0),1),"")</f>
        <v>8</v>
      </c>
      <c r="D163" s="17" t="str">
        <f>IFERROR(INDEX(HS_MD!D:D,MATCH(B163,HS_MD!B:B,0),1),"")</f>
        <v>Phosphoric acid</v>
      </c>
      <c r="E163" s="17" t="str">
        <f>IFERROR(INDEX(HS_MD!E:E,MATCH(B163,HS_MD!B:B,0),1),"")</f>
        <v>Phosphoric Acid</v>
      </c>
      <c r="F163" s="17" t="str">
        <f>IFERROR(INDEX(HS_MD!F:F,MATCH(B163,HS_MD!B:B,0),1),"")</f>
        <v>ACIDULANTS &amp; REGULATORS</v>
      </c>
      <c r="G163" s="17" t="str">
        <f>IFERROR(INDEX(HS_MD!G:G,MATCH(B163,HS_MD!B:B,0),1),"")</f>
        <v>Inorganic Acids</v>
      </c>
      <c r="H163" s="17" t="str">
        <f>IFERROR(INDEX(HS_MD!H:H,MATCH(B163,HS_MD!B:B,0),1),"")</f>
        <v>Phosphoric Acid</v>
      </c>
      <c r="I163" s="17" t="str">
        <f>IFERROR(INDEX(HS_MD!I:I,MATCH(B163,HS_MD!B:B,0),1),"")</f>
        <v>Beverages</v>
      </c>
      <c r="J163" s="17">
        <f>IFERROR(INDEX(Heat_Map[Index],MATCH(HS_DB[[#This Row],[Reporter]],Heat_Map[Global],0),1),"")</f>
        <v>84</v>
      </c>
      <c r="K163" s="17" t="str">
        <f>IF(AND(HS_DB[[#This Row],[Origin Rank]]&gt;1,HS_DB[[#This Row],[Origin Rank]]&lt;=10),"Yes","No")</f>
        <v>No</v>
      </c>
      <c r="L163" s="2">
        <v>2024</v>
      </c>
      <c r="M163" s="2" t="s">
        <v>57</v>
      </c>
      <c r="N163" s="2" t="s">
        <v>150</v>
      </c>
      <c r="O163" s="2" t="s">
        <v>22</v>
      </c>
      <c r="P163" s="2" t="s">
        <v>23</v>
      </c>
      <c r="Q163" s="2" t="s">
        <v>24</v>
      </c>
      <c r="R163" s="2" t="s">
        <v>25</v>
      </c>
      <c r="S163" s="2">
        <v>280920</v>
      </c>
      <c r="T163" s="3">
        <v>5276376</v>
      </c>
      <c r="U163" s="3">
        <v>9086470</v>
      </c>
      <c r="V163" s="3">
        <v>0</v>
      </c>
      <c r="W163" s="3">
        <v>9086470</v>
      </c>
      <c r="X163" s="3" t="s">
        <v>58</v>
      </c>
      <c r="Y163" s="3">
        <v>9086470</v>
      </c>
      <c r="Z163" s="3" t="s">
        <v>58</v>
      </c>
      <c r="AA163" s="6">
        <f>SUMIFS(HS_DB[Trade Value - USD],HS_DB[Reporter],HS_DB[[#This Row],[Reporter]])/SUM(HS_DB[Trade Value - USD])</f>
        <v>2.8246411344990648E-3</v>
      </c>
      <c r="AB163" s="8" cm="1">
        <f t="array" ref="AB163">SUMPRODUCT(
(HS_DB[Reporter]=HS_DB[[#This Row],[Reporter]])*
(HS_DB[Trade Value - USD]&gt;HS_DB[[#This Row],[Trade Value - USD]])
)+1</f>
        <v>1</v>
      </c>
      <c r="AC163" s="8" t="str">
        <f>IFERROR(IF(INDEX(Heat_Map[Crisis Impact %],MATCH(HS_DB[[#This Row],[Reporter]],Heat_Map[Global],0),1)&gt;0,"Yes","No"),"No")</f>
        <v>No</v>
      </c>
      <c r="AD163" s="6">
        <f>IFERROR(INDEX(Heat_Map[Crisis Impact %],MATCH(HS_DB[[#This Row],[Reporter]],Heat_Map[Global],0),1),0)</f>
        <v>0</v>
      </c>
      <c r="AE163" s="8">
        <f>HS_DB[[#This Row],[Crisis Impact%]]*HS_DB[[#This Row],[Trade Value - USD]]</f>
        <v>0</v>
      </c>
      <c r="AF163" s="8">
        <f>HS_DB[[#This Row],[Crisis Impact%]]*HS_DB[[#This Row],[Net Weight -KG]]</f>
        <v>0</v>
      </c>
      <c r="AG163" s="6">
        <f>SUMIFS(HS_DB[Trade Value - USD],HS_DB[Products],HS_DB[[#This Row],[Products]])/SUM(HS_DB[Trade Value - USD])</f>
        <v>6.8681310097102564E-3</v>
      </c>
      <c r="AH163" s="8">
        <f>_xlfn.RANK.EQ(HS_DB[[#This Row],[Trade Value - USD]], HS_DB[Trade Value - USD], 0)
 + COUNTIFS(HS_DB[Trade Value - USD],HS_DB[[#This Row],[Trade Value - USD]],
            HS_DB[HS Code],"&lt;"&amp;HS_DB[[#This Row],[HS Code]])</f>
        <v>30</v>
      </c>
      <c r="AI163" s="9">
        <f>IFERROR(HS_DB[[#This Row],[Trade Value - USD]]/HS_DB[[#This Row],[Net Weight -KG]],0)</f>
        <v>0.58068490844079168</v>
      </c>
      <c r="AJ163" s="17" cm="1">
        <f t="array" ref="AJ163">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63" s="17" t="str">
        <f>IF(HS_DB[[#This Row],[HS Code Risk Score]]&gt;=40,"High",
 IF(HS_DB[[#This Row],[HS Code Risk Score]]&gt;=25,"Medium","Low"))</f>
        <v>Medium</v>
      </c>
      <c r="AL163" s="17" t="str">
        <f>IF(RANK(HS_DB[[#This Row],[HS Code Risk Score]],HS_DB[HS Code Risk Score])&lt;=10,"Yes","No")</f>
        <v>No</v>
      </c>
      <c r="AM163" s="8">
        <f>SUMIFS(HS_DB[Net Weight -KG],HS_DB[HS Code],HS_DB[[#This Row],[HS Code]])</f>
        <v>17237347.600000001</v>
      </c>
      <c r="AN163" s="8">
        <f>SUMIFS(HS_DB[Trade Value - USD],HS_DB[HS Code],HS_DB[[#This Row],[HS Code]])</f>
        <v>12946484</v>
      </c>
      <c r="AO163" s="6">
        <f>_xlfn.MAXIFS(HS_DB[Origin Share%],HS_DB[HS Code],HS_DB[[#This Row],[HS Code]])</f>
        <v>6.321329281187793E-2</v>
      </c>
      <c r="AP163" s="8" cm="1">
        <f t="array" ref="AP163">_xlfn.LET(
_xlpm.hs,HS_DB[[#This Row],[HS Code]],
COUNTA(_xlfn.UNIQUE(_xlfn._xlws.FILTER(HS_DB[Reporter],HS_DB[HS Code]=_xlpm.hs)))
)</f>
        <v>12</v>
      </c>
      <c r="AQ163" s="17" t="str">
        <f>IF(HS_DB[[#This Row],[Origin Count]]=1,"Single Source","Multiple Sources")</f>
        <v>Multiple Sources</v>
      </c>
      <c r="AR163" s="8">
        <f>HS_DB[[#This Row],[Annual Spend - USD]]*(HS_DB[[#This Row],[HS Code Risk Score]]/100)</f>
        <v>4401804.5600000005</v>
      </c>
      <c r="AS163" s="8">
        <f>RANK(HS_DB[[#This Row],[Risk Exposure - USD]],HS_DB[Risk Exposure - USD],0)</f>
        <v>209</v>
      </c>
      <c r="AT163" s="8" t="str">
        <f>IF(HS_DB[[#This Row],[Risk Exposure Rank]]&lt;=10,"High",
 IF(HS_DB[[#This Row],[Risk Exposure Rank]]&lt;=30,"Medium",
 "Low"))</f>
        <v>Low</v>
      </c>
      <c r="AU163" s="8" t="str">
        <f>IF(HS_DB[[#This Row],[Risk Exposure Rank]]&lt;=5,"Immediate Action",
 IF(HS_DB[[#This Row],[Risk Exposure Rank]]&lt;=15,"Monitor Closely",
 "Routine Control"))</f>
        <v>Routine Control</v>
      </c>
      <c r="AV163" s="8">
        <f>SUMIFS(HS_DB[Trade Value - USD],HS_DB[HS Code],HS_DB[[#This Row],[HS Code]])</f>
        <v>12946484</v>
      </c>
      <c r="AW163" s="6">
        <f>HS_DB[[#This Row],[Annual Spend - USD]]/HS_DB[[#This Row],[Total Market Size - USD]]</f>
        <v>1</v>
      </c>
      <c r="AX163" s="6" cm="1">
        <f t="array" ref="AX163">COUNTA(_xlfn.UNIQUE(_xlfn._xlws.FILTER(HS_DB[Partner],HS_DB[HS Code]=HS_DB[[#This Row],[HS Code]])))</f>
        <v>1</v>
      </c>
      <c r="AY163" s="8" t="str">
        <f>IF(HS_DB[[#This Row],[Competition Intensity]]&lt;=2,"Highly Concentrated",
 IF(HS_DB[[#This Row],[Competition Intensity]]&lt;=5,"Moderate",
 "Highly Competitive"))</f>
        <v>Highly Concentrated</v>
      </c>
      <c r="AZ163" s="8">
        <f>HS_DB[[#This Row],[Total Market Size - USD]]
*
(1+IFERROR(#REF!,0))
/
HS_DB[[#This Row],[Competition Intensity]]</f>
        <v>12946484</v>
      </c>
      <c r="BA163" s="8" t="str">
        <f>IF(HS_DB[[#This Row],[Commercial Opportunity Score]]&gt;=PERCENTILE(HS_DB[Commercial Opportunity Score],0.9),"High Opportunity",
 IF(HS_DB[[#This Row],[Commercial Opportunity Score]]&gt;=PERCENTILE(HS_DB[Commercial Opportunity Score],0.6),"Medium Opportunity",
 "Routine Market"))</f>
        <v>Medium Opportunity</v>
      </c>
      <c r="BB163" s="3" t="str">
        <f>IF(AND(HS_DB[[#This Row],[Product Rank]]&gt;0,HS_DB[[#This Row],[Product Rank]]&lt;=10),"Yes","No")</f>
        <v>No</v>
      </c>
      <c r="BC163" s="3" t="str">
        <f>IF(AND(HS_DB[[#This Row],[Origin Rank]]&gt;0,HS_DB[[#This Row],[Origin Rank]]&lt;=10),"Yes","No")</f>
        <v>Yes</v>
      </c>
    </row>
    <row r="164" spans="2:55" x14ac:dyDescent="0.3">
      <c r="B164" s="2">
        <f>HS_DB[[#This Row],[Commodity Code]]</f>
        <v>280920</v>
      </c>
      <c r="C164" s="2">
        <f>IFERROR(INDEX(HS_MD!C:C,MATCH(B164,HS_MD!B:B,0),1),"")</f>
        <v>8</v>
      </c>
      <c r="D164" s="17" t="str">
        <f>IFERROR(INDEX(HS_MD!D:D,MATCH(B164,HS_MD!B:B,0),1),"")</f>
        <v>Phosphoric acid</v>
      </c>
      <c r="E164" s="17" t="str">
        <f>IFERROR(INDEX(HS_MD!E:E,MATCH(B164,HS_MD!B:B,0),1),"")</f>
        <v>Phosphoric Acid</v>
      </c>
      <c r="F164" s="17" t="str">
        <f>IFERROR(INDEX(HS_MD!F:F,MATCH(B164,HS_MD!B:B,0),1),"")</f>
        <v>ACIDULANTS &amp; REGULATORS</v>
      </c>
      <c r="G164" s="17" t="str">
        <f>IFERROR(INDEX(HS_MD!G:G,MATCH(B164,HS_MD!B:B,0),1),"")</f>
        <v>Inorganic Acids</v>
      </c>
      <c r="H164" s="17" t="str">
        <f>IFERROR(INDEX(HS_MD!H:H,MATCH(B164,HS_MD!B:B,0),1),"")</f>
        <v>Phosphoric Acid</v>
      </c>
      <c r="I164" s="17" t="str">
        <f>IFERROR(INDEX(HS_MD!I:I,MATCH(B164,HS_MD!B:B,0),1),"")</f>
        <v>Beverages</v>
      </c>
      <c r="J164" s="17">
        <f>IFERROR(INDEX(Heat_Map[Index],MATCH(HS_DB[[#This Row],[Reporter]],Heat_Map[Global],0),1),"")</f>
        <v>112</v>
      </c>
      <c r="K164" s="17" t="str">
        <f>IF(AND(HS_DB[[#This Row],[Origin Rank]]&gt;1,HS_DB[[#This Row],[Origin Rank]]&lt;=10),"Yes","No")</f>
        <v>No</v>
      </c>
      <c r="L164" s="2">
        <v>2024</v>
      </c>
      <c r="M164" s="2" t="s">
        <v>57</v>
      </c>
      <c r="N164" s="2" t="s">
        <v>52</v>
      </c>
      <c r="O164" s="2" t="s">
        <v>22</v>
      </c>
      <c r="P164" s="2" t="s">
        <v>23</v>
      </c>
      <c r="Q164" s="2" t="s">
        <v>24</v>
      </c>
      <c r="R164" s="2" t="s">
        <v>25</v>
      </c>
      <c r="S164" s="2">
        <v>280920</v>
      </c>
      <c r="T164" s="3">
        <v>1787417</v>
      </c>
      <c r="U164" s="3">
        <v>2727880</v>
      </c>
      <c r="V164" s="3">
        <v>0</v>
      </c>
      <c r="W164" s="3">
        <v>2727880</v>
      </c>
      <c r="X164" s="3" t="s">
        <v>58</v>
      </c>
      <c r="Y164" s="3">
        <v>2727880</v>
      </c>
      <c r="Z164" s="3" t="s">
        <v>149</v>
      </c>
      <c r="AA164" s="6">
        <f>SUMIFS(HS_DB[Trade Value - USD],HS_DB[Reporter],HS_DB[[#This Row],[Reporter]])/SUM(HS_DB[Trade Value - USD])</f>
        <v>1.4429559760252854E-3</v>
      </c>
      <c r="AB164" s="8" cm="1">
        <f t="array" ref="AB164">SUMPRODUCT(
(HS_DB[Reporter]=HS_DB[[#This Row],[Reporter]])*
(HS_DB[Trade Value - USD]&gt;HS_DB[[#This Row],[Trade Value - USD]])
)+1</f>
        <v>1</v>
      </c>
      <c r="AC164" s="8" t="str">
        <f>IFERROR(IF(INDEX(Heat_Map[Crisis Impact %],MATCH(HS_DB[[#This Row],[Reporter]],Heat_Map[Global],0),1)&gt;0,"Yes","No"),"No")</f>
        <v>No</v>
      </c>
      <c r="AD164" s="6">
        <f>IFERROR(INDEX(Heat_Map[Crisis Impact %],MATCH(HS_DB[[#This Row],[Reporter]],Heat_Map[Global],0),1),0)</f>
        <v>0</v>
      </c>
      <c r="AE164" s="8">
        <f>HS_DB[[#This Row],[Crisis Impact%]]*HS_DB[[#This Row],[Trade Value - USD]]</f>
        <v>0</v>
      </c>
      <c r="AF164" s="8">
        <f>HS_DB[[#This Row],[Crisis Impact%]]*HS_DB[[#This Row],[Net Weight -KG]]</f>
        <v>0</v>
      </c>
      <c r="AG164" s="6">
        <f>SUMIFS(HS_DB[Trade Value - USD],HS_DB[Products],HS_DB[[#This Row],[Products]])/SUM(HS_DB[Trade Value - USD])</f>
        <v>6.8681310097102564E-3</v>
      </c>
      <c r="AH164" s="8">
        <f>_xlfn.RANK.EQ(HS_DB[[#This Row],[Trade Value - USD]], HS_DB[Trade Value - USD], 0)
 + COUNTIFS(HS_DB[Trade Value - USD],HS_DB[[#This Row],[Trade Value - USD]],
            HS_DB[HS Code],"&lt;"&amp;HS_DB[[#This Row],[HS Code]])</f>
        <v>66</v>
      </c>
      <c r="AI164" s="9">
        <f>IFERROR(HS_DB[[#This Row],[Trade Value - USD]]/HS_DB[[#This Row],[Net Weight -KG]],0)</f>
        <v>0.65524033315248476</v>
      </c>
      <c r="AJ164" s="17" cm="1">
        <f t="array" ref="AJ164">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64" s="17" t="str">
        <f>IF(HS_DB[[#This Row],[HS Code Risk Score]]&gt;=40,"High",
 IF(HS_DB[[#This Row],[HS Code Risk Score]]&gt;=25,"Medium","Low"))</f>
        <v>Medium</v>
      </c>
      <c r="AL164" s="17" t="str">
        <f>IF(RANK(HS_DB[[#This Row],[HS Code Risk Score]],HS_DB[HS Code Risk Score])&lt;=10,"Yes","No")</f>
        <v>No</v>
      </c>
      <c r="AM164" s="8">
        <f>SUMIFS(HS_DB[Net Weight -KG],HS_DB[HS Code],HS_DB[[#This Row],[HS Code]])</f>
        <v>17237347.600000001</v>
      </c>
      <c r="AN164" s="8">
        <f>SUMIFS(HS_DB[Trade Value - USD],HS_DB[HS Code],HS_DB[[#This Row],[HS Code]])</f>
        <v>12946484</v>
      </c>
      <c r="AO164" s="6">
        <f>_xlfn.MAXIFS(HS_DB[Origin Share%],HS_DB[HS Code],HS_DB[[#This Row],[HS Code]])</f>
        <v>6.321329281187793E-2</v>
      </c>
      <c r="AP164" s="8" cm="1">
        <f t="array" ref="AP164">_xlfn.LET(
_xlpm.hs,HS_DB[[#This Row],[HS Code]],
COUNTA(_xlfn.UNIQUE(_xlfn._xlws.FILTER(HS_DB[Reporter],HS_DB[HS Code]=_xlpm.hs)))
)</f>
        <v>12</v>
      </c>
      <c r="AQ164" s="17" t="str">
        <f>IF(HS_DB[[#This Row],[Origin Count]]=1,"Single Source","Multiple Sources")</f>
        <v>Multiple Sources</v>
      </c>
      <c r="AR164" s="8">
        <f>HS_DB[[#This Row],[Annual Spend - USD]]*(HS_DB[[#This Row],[HS Code Risk Score]]/100)</f>
        <v>4401804.5600000005</v>
      </c>
      <c r="AS164" s="8">
        <f>RANK(HS_DB[[#This Row],[Risk Exposure - USD]],HS_DB[Risk Exposure - USD],0)</f>
        <v>209</v>
      </c>
      <c r="AT164" s="8" t="str">
        <f>IF(HS_DB[[#This Row],[Risk Exposure Rank]]&lt;=10,"High",
 IF(HS_DB[[#This Row],[Risk Exposure Rank]]&lt;=30,"Medium",
 "Low"))</f>
        <v>Low</v>
      </c>
      <c r="AU164" s="8" t="str">
        <f>IF(HS_DB[[#This Row],[Risk Exposure Rank]]&lt;=5,"Immediate Action",
 IF(HS_DB[[#This Row],[Risk Exposure Rank]]&lt;=15,"Monitor Closely",
 "Routine Control"))</f>
        <v>Routine Control</v>
      </c>
      <c r="AV164" s="8">
        <f>SUMIFS(HS_DB[Trade Value - USD],HS_DB[HS Code],HS_DB[[#This Row],[HS Code]])</f>
        <v>12946484</v>
      </c>
      <c r="AW164" s="6">
        <f>HS_DB[[#This Row],[Annual Spend - USD]]/HS_DB[[#This Row],[Total Market Size - USD]]</f>
        <v>1</v>
      </c>
      <c r="AX164" s="6" cm="1">
        <f t="array" ref="AX164">COUNTA(_xlfn.UNIQUE(_xlfn._xlws.FILTER(HS_DB[Partner],HS_DB[HS Code]=HS_DB[[#This Row],[HS Code]])))</f>
        <v>1</v>
      </c>
      <c r="AY164" s="8" t="str">
        <f>IF(HS_DB[[#This Row],[Competition Intensity]]&lt;=2,"Highly Concentrated",
 IF(HS_DB[[#This Row],[Competition Intensity]]&lt;=5,"Moderate",
 "Highly Competitive"))</f>
        <v>Highly Concentrated</v>
      </c>
      <c r="AZ164" s="8">
        <f>HS_DB[[#This Row],[Total Market Size - USD]]
*
(1+IFERROR(#REF!,0))
/
HS_DB[[#This Row],[Competition Intensity]]</f>
        <v>12946484</v>
      </c>
      <c r="BA164" s="8" t="str">
        <f>IF(HS_DB[[#This Row],[Commercial Opportunity Score]]&gt;=PERCENTILE(HS_DB[Commercial Opportunity Score],0.9),"High Opportunity",
 IF(HS_DB[[#This Row],[Commercial Opportunity Score]]&gt;=PERCENTILE(HS_DB[Commercial Opportunity Score],0.6),"Medium Opportunity",
 "Routine Market"))</f>
        <v>Medium Opportunity</v>
      </c>
      <c r="BB164" s="3" t="str">
        <f>IF(AND(HS_DB[[#This Row],[Product Rank]]&gt;0,HS_DB[[#This Row],[Product Rank]]&lt;=10),"Yes","No")</f>
        <v>No</v>
      </c>
      <c r="BC164" s="3" t="str">
        <f>IF(AND(HS_DB[[#This Row],[Origin Rank]]&gt;0,HS_DB[[#This Row],[Origin Rank]]&lt;=10),"Yes","No")</f>
        <v>Yes</v>
      </c>
    </row>
    <row r="165" spans="2:55" x14ac:dyDescent="0.3">
      <c r="B165" s="2">
        <f>HS_DB[[#This Row],[Commodity Code]]</f>
        <v>280920</v>
      </c>
      <c r="C165" s="2">
        <f>IFERROR(INDEX(HS_MD!C:C,MATCH(B165,HS_MD!B:B,0),1),"")</f>
        <v>8</v>
      </c>
      <c r="D165" s="17" t="str">
        <f>IFERROR(INDEX(HS_MD!D:D,MATCH(B165,HS_MD!B:B,0),1),"")</f>
        <v>Phosphoric acid</v>
      </c>
      <c r="E165" s="17" t="str">
        <f>IFERROR(INDEX(HS_MD!E:E,MATCH(B165,HS_MD!B:B,0),1),"")</f>
        <v>Phosphoric Acid</v>
      </c>
      <c r="F165" s="17" t="str">
        <f>IFERROR(INDEX(HS_MD!F:F,MATCH(B165,HS_MD!B:B,0),1),"")</f>
        <v>ACIDULANTS &amp; REGULATORS</v>
      </c>
      <c r="G165" s="17" t="str">
        <f>IFERROR(INDEX(HS_MD!G:G,MATCH(B165,HS_MD!B:B,0),1),"")</f>
        <v>Inorganic Acids</v>
      </c>
      <c r="H165" s="17" t="str">
        <f>IFERROR(INDEX(HS_MD!H:H,MATCH(B165,HS_MD!B:B,0),1),"")</f>
        <v>Phosphoric Acid</v>
      </c>
      <c r="I165" s="17" t="str">
        <f>IFERROR(INDEX(HS_MD!I:I,MATCH(B165,HS_MD!B:B,0),1),"")</f>
        <v>Beverages</v>
      </c>
      <c r="J165" s="17">
        <f>IFERROR(INDEX(Heat_Map[Index],MATCH(HS_DB[[#This Row],[Reporter]],Heat_Map[Global],0),1),"")</f>
        <v>75</v>
      </c>
      <c r="K165" s="17" t="str">
        <f>IF(AND(HS_DB[[#This Row],[Origin Rank]]&gt;1,HS_DB[[#This Row],[Origin Rank]]&lt;=10),"Yes","No")</f>
        <v>No</v>
      </c>
      <c r="L165" s="2">
        <v>2024</v>
      </c>
      <c r="M165" s="2" t="s">
        <v>57</v>
      </c>
      <c r="N165" s="2" t="s">
        <v>8</v>
      </c>
      <c r="O165" s="2" t="s">
        <v>22</v>
      </c>
      <c r="P165" s="2" t="s">
        <v>23</v>
      </c>
      <c r="Q165" s="2" t="s">
        <v>24</v>
      </c>
      <c r="R165" s="2" t="s">
        <v>25</v>
      </c>
      <c r="S165" s="2">
        <v>280920</v>
      </c>
      <c r="T165" s="3">
        <v>91645</v>
      </c>
      <c r="U165" s="3">
        <v>45781</v>
      </c>
      <c r="V165" s="3">
        <v>0</v>
      </c>
      <c r="W165" s="3">
        <v>45781</v>
      </c>
      <c r="X165" s="3" t="s">
        <v>58</v>
      </c>
      <c r="Y165" s="3">
        <v>45781</v>
      </c>
      <c r="Z165" s="3" t="s">
        <v>58</v>
      </c>
      <c r="AA165" s="6">
        <f>SUMIFS(HS_DB[Trade Value - USD],HS_DB[Reporter],HS_DB[[#This Row],[Reporter]])/SUM(HS_DB[Trade Value - USD])</f>
        <v>2.2441761060335613E-2</v>
      </c>
      <c r="AB165" s="8" cm="1">
        <f t="array" ref="AB165">SUMPRODUCT(
(HS_DB[Reporter]=HS_DB[[#This Row],[Reporter]])*
(HS_DB[Trade Value - USD]&gt;HS_DB[[#This Row],[Trade Value - USD]])
)+1</f>
        <v>23</v>
      </c>
      <c r="AC165" s="8" t="str">
        <f>IFERROR(IF(INDEX(Heat_Map[Crisis Impact %],MATCH(HS_DB[[#This Row],[Reporter]],Heat_Map[Global],0),1)&gt;0,"Yes","No"),"No")</f>
        <v>No</v>
      </c>
      <c r="AD165" s="6">
        <f>IFERROR(INDEX(Heat_Map[Crisis Impact %],MATCH(HS_DB[[#This Row],[Reporter]],Heat_Map[Global],0),1),0)</f>
        <v>0</v>
      </c>
      <c r="AE165" s="8">
        <f>HS_DB[[#This Row],[Crisis Impact%]]*HS_DB[[#This Row],[Trade Value - USD]]</f>
        <v>0</v>
      </c>
      <c r="AF165" s="8">
        <f>HS_DB[[#This Row],[Crisis Impact%]]*HS_DB[[#This Row],[Net Weight -KG]]</f>
        <v>0</v>
      </c>
      <c r="AG165" s="6">
        <f>SUMIFS(HS_DB[Trade Value - USD],HS_DB[Products],HS_DB[[#This Row],[Products]])/SUM(HS_DB[Trade Value - USD])</f>
        <v>6.8681310097102564E-3</v>
      </c>
      <c r="AH165" s="8">
        <f>_xlfn.RANK.EQ(HS_DB[[#This Row],[Trade Value - USD]], HS_DB[Trade Value - USD], 0)
 + COUNTIFS(HS_DB[Trade Value - USD],HS_DB[[#This Row],[Trade Value - USD]],
            HS_DB[HS Code],"&lt;"&amp;HS_DB[[#This Row],[HS Code]])</f>
        <v>280</v>
      </c>
      <c r="AI165" s="9">
        <f>IFERROR(HS_DB[[#This Row],[Trade Value - USD]]/HS_DB[[#This Row],[Net Weight -KG]],0)</f>
        <v>2.0018129791835042</v>
      </c>
      <c r="AJ165" s="17" cm="1">
        <f t="array" ref="AJ165">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65" s="17" t="str">
        <f>IF(HS_DB[[#This Row],[HS Code Risk Score]]&gt;=40,"High",
 IF(HS_DB[[#This Row],[HS Code Risk Score]]&gt;=25,"Medium","Low"))</f>
        <v>Medium</v>
      </c>
      <c r="AL165" s="17" t="str">
        <f>IF(RANK(HS_DB[[#This Row],[HS Code Risk Score]],HS_DB[HS Code Risk Score])&lt;=10,"Yes","No")</f>
        <v>No</v>
      </c>
      <c r="AM165" s="8">
        <f>SUMIFS(HS_DB[Net Weight -KG],HS_DB[HS Code],HS_DB[[#This Row],[HS Code]])</f>
        <v>17237347.600000001</v>
      </c>
      <c r="AN165" s="8">
        <f>SUMIFS(HS_DB[Trade Value - USD],HS_DB[HS Code],HS_DB[[#This Row],[HS Code]])</f>
        <v>12946484</v>
      </c>
      <c r="AO165" s="6">
        <f>_xlfn.MAXIFS(HS_DB[Origin Share%],HS_DB[HS Code],HS_DB[[#This Row],[HS Code]])</f>
        <v>6.321329281187793E-2</v>
      </c>
      <c r="AP165" s="8" cm="1">
        <f t="array" ref="AP165">_xlfn.LET(
_xlpm.hs,HS_DB[[#This Row],[HS Code]],
COUNTA(_xlfn.UNIQUE(_xlfn._xlws.FILTER(HS_DB[Reporter],HS_DB[HS Code]=_xlpm.hs)))
)</f>
        <v>12</v>
      </c>
      <c r="AQ165" s="17" t="str">
        <f>IF(HS_DB[[#This Row],[Origin Count]]=1,"Single Source","Multiple Sources")</f>
        <v>Multiple Sources</v>
      </c>
      <c r="AR165" s="8">
        <f>HS_DB[[#This Row],[Annual Spend - USD]]*(HS_DB[[#This Row],[HS Code Risk Score]]/100)</f>
        <v>4401804.5600000005</v>
      </c>
      <c r="AS165" s="8">
        <f>RANK(HS_DB[[#This Row],[Risk Exposure - USD]],HS_DB[Risk Exposure - USD],0)</f>
        <v>209</v>
      </c>
      <c r="AT165" s="8" t="str">
        <f>IF(HS_DB[[#This Row],[Risk Exposure Rank]]&lt;=10,"High",
 IF(HS_DB[[#This Row],[Risk Exposure Rank]]&lt;=30,"Medium",
 "Low"))</f>
        <v>Low</v>
      </c>
      <c r="AU165" s="8" t="str">
        <f>IF(HS_DB[[#This Row],[Risk Exposure Rank]]&lt;=5,"Immediate Action",
 IF(HS_DB[[#This Row],[Risk Exposure Rank]]&lt;=15,"Monitor Closely",
 "Routine Control"))</f>
        <v>Routine Control</v>
      </c>
      <c r="AV165" s="8">
        <f>SUMIFS(HS_DB[Trade Value - USD],HS_DB[HS Code],HS_DB[[#This Row],[HS Code]])</f>
        <v>12946484</v>
      </c>
      <c r="AW165" s="6">
        <f>HS_DB[[#This Row],[Annual Spend - USD]]/HS_DB[[#This Row],[Total Market Size - USD]]</f>
        <v>1</v>
      </c>
      <c r="AX165" s="6" cm="1">
        <f t="array" ref="AX165">COUNTA(_xlfn.UNIQUE(_xlfn._xlws.FILTER(HS_DB[Partner],HS_DB[HS Code]=HS_DB[[#This Row],[HS Code]])))</f>
        <v>1</v>
      </c>
      <c r="AY165" s="8" t="str">
        <f>IF(HS_DB[[#This Row],[Competition Intensity]]&lt;=2,"Highly Concentrated",
 IF(HS_DB[[#This Row],[Competition Intensity]]&lt;=5,"Moderate",
 "Highly Competitive"))</f>
        <v>Highly Concentrated</v>
      </c>
      <c r="AZ165" s="8">
        <f>HS_DB[[#This Row],[Total Market Size - USD]]
*
(1+IFERROR(#REF!,0))
/
HS_DB[[#This Row],[Competition Intensity]]</f>
        <v>12946484</v>
      </c>
      <c r="BA165" s="8" t="str">
        <f>IF(HS_DB[[#This Row],[Commercial Opportunity Score]]&gt;=PERCENTILE(HS_DB[Commercial Opportunity Score],0.9),"High Opportunity",
 IF(HS_DB[[#This Row],[Commercial Opportunity Score]]&gt;=PERCENTILE(HS_DB[Commercial Opportunity Score],0.6),"Medium Opportunity",
 "Routine Market"))</f>
        <v>Medium Opportunity</v>
      </c>
      <c r="BB165" s="3" t="str">
        <f>IF(AND(HS_DB[[#This Row],[Product Rank]]&gt;0,HS_DB[[#This Row],[Product Rank]]&lt;=10),"Yes","No")</f>
        <v>No</v>
      </c>
      <c r="BC165" s="3" t="str">
        <f>IF(AND(HS_DB[[#This Row],[Origin Rank]]&gt;0,HS_DB[[#This Row],[Origin Rank]]&lt;=10),"Yes","No")</f>
        <v>No</v>
      </c>
    </row>
    <row r="166" spans="2:55" x14ac:dyDescent="0.3">
      <c r="B166" s="2">
        <f>HS_DB[[#This Row],[Commodity Code]]</f>
        <v>280920</v>
      </c>
      <c r="C166" s="2">
        <f>IFERROR(INDEX(HS_MD!C:C,MATCH(B166,HS_MD!B:B,0),1),"")</f>
        <v>8</v>
      </c>
      <c r="D166" s="17" t="str">
        <f>IFERROR(INDEX(HS_MD!D:D,MATCH(B166,HS_MD!B:B,0),1),"")</f>
        <v>Phosphoric acid</v>
      </c>
      <c r="E166" s="17" t="str">
        <f>IFERROR(INDEX(HS_MD!E:E,MATCH(B166,HS_MD!B:B,0),1),"")</f>
        <v>Phosphoric Acid</v>
      </c>
      <c r="F166" s="17" t="str">
        <f>IFERROR(INDEX(HS_MD!F:F,MATCH(B166,HS_MD!B:B,0),1),"")</f>
        <v>ACIDULANTS &amp; REGULATORS</v>
      </c>
      <c r="G166" s="17" t="str">
        <f>IFERROR(INDEX(HS_MD!G:G,MATCH(B166,HS_MD!B:B,0),1),"")</f>
        <v>Inorganic Acids</v>
      </c>
      <c r="H166" s="17" t="str">
        <f>IFERROR(INDEX(HS_MD!H:H,MATCH(B166,HS_MD!B:B,0),1),"")</f>
        <v>Phosphoric Acid</v>
      </c>
      <c r="I166" s="17" t="str">
        <f>IFERROR(INDEX(HS_MD!I:I,MATCH(B166,HS_MD!B:B,0),1),"")</f>
        <v>Beverages</v>
      </c>
      <c r="J166" s="17">
        <f>IFERROR(INDEX(Heat_Map[Index],MATCH(HS_DB[[#This Row],[Reporter]],Heat_Map[Global],0),1),"")</f>
        <v>156</v>
      </c>
      <c r="K166" s="17" t="str">
        <f>IF(AND(HS_DB[[#This Row],[Origin Rank]]&gt;1,HS_DB[[#This Row],[Origin Rank]]&lt;=10),"Yes","No")</f>
        <v>No</v>
      </c>
      <c r="L166" s="2">
        <v>2024</v>
      </c>
      <c r="M166" s="2" t="s">
        <v>57</v>
      </c>
      <c r="N166" s="2" t="s">
        <v>29</v>
      </c>
      <c r="O166" s="2" t="s">
        <v>22</v>
      </c>
      <c r="P166" s="2" t="s">
        <v>23</v>
      </c>
      <c r="Q166" s="2" t="s">
        <v>24</v>
      </c>
      <c r="R166" s="2" t="s">
        <v>25</v>
      </c>
      <c r="S166" s="2">
        <v>280920</v>
      </c>
      <c r="T166" s="3">
        <v>214762</v>
      </c>
      <c r="U166" s="3">
        <v>64680</v>
      </c>
      <c r="V166" s="3">
        <v>0</v>
      </c>
      <c r="W166" s="3">
        <v>64680</v>
      </c>
      <c r="X166" s="3" t="s">
        <v>58</v>
      </c>
      <c r="Y166" s="3">
        <v>64680</v>
      </c>
      <c r="Z166" s="3" t="s">
        <v>58</v>
      </c>
      <c r="AA166" s="6">
        <f>SUMIFS(HS_DB[Trade Value - USD],HS_DB[Reporter],HS_DB[[#This Row],[Reporter]])/SUM(HS_DB[Trade Value - USD])</f>
        <v>1.3832724193842358E-4</v>
      </c>
      <c r="AB166" s="8" cm="1">
        <f t="array" ref="AB166">SUMPRODUCT(
(HS_DB[Reporter]=HS_DB[[#This Row],[Reporter]])*
(HS_DB[Trade Value - USD]&gt;HS_DB[[#This Row],[Trade Value - USD]])
)+1</f>
        <v>1</v>
      </c>
      <c r="AC166" s="8" t="str">
        <f>IFERROR(IF(INDEX(Heat_Map[Crisis Impact %],MATCH(HS_DB[[#This Row],[Reporter]],Heat_Map[Global],0),1)&gt;0,"Yes","No"),"No")</f>
        <v>No</v>
      </c>
      <c r="AD166" s="6">
        <f>IFERROR(INDEX(Heat_Map[Crisis Impact %],MATCH(HS_DB[[#This Row],[Reporter]],Heat_Map[Global],0),1),0)</f>
        <v>0</v>
      </c>
      <c r="AE166" s="8">
        <f>HS_DB[[#This Row],[Crisis Impact%]]*HS_DB[[#This Row],[Trade Value - USD]]</f>
        <v>0</v>
      </c>
      <c r="AF166" s="8">
        <f>HS_DB[[#This Row],[Crisis Impact%]]*HS_DB[[#This Row],[Net Weight -KG]]</f>
        <v>0</v>
      </c>
      <c r="AG166" s="6">
        <f>SUMIFS(HS_DB[Trade Value - USD],HS_DB[Products],HS_DB[[#This Row],[Products]])/SUM(HS_DB[Trade Value - USD])</f>
        <v>6.8681310097102564E-3</v>
      </c>
      <c r="AH166" s="8">
        <f>_xlfn.RANK.EQ(HS_DB[[#This Row],[Trade Value - USD]], HS_DB[Trade Value - USD], 0)
 + COUNTIFS(HS_DB[Trade Value - USD],HS_DB[[#This Row],[Trade Value - USD]],
            HS_DB[HS Code],"&lt;"&amp;HS_DB[[#This Row],[HS Code]])</f>
        <v>213</v>
      </c>
      <c r="AI166" s="9">
        <f>IFERROR(HS_DB[[#This Row],[Trade Value - USD]]/HS_DB[[#This Row],[Net Weight -KG]],0)</f>
        <v>3.3203772418058133</v>
      </c>
      <c r="AJ166" s="17" cm="1">
        <f t="array" ref="AJ166">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66" s="17" t="str">
        <f>IF(HS_DB[[#This Row],[HS Code Risk Score]]&gt;=40,"High",
 IF(HS_DB[[#This Row],[HS Code Risk Score]]&gt;=25,"Medium","Low"))</f>
        <v>Medium</v>
      </c>
      <c r="AL166" s="17" t="str">
        <f>IF(RANK(HS_DB[[#This Row],[HS Code Risk Score]],HS_DB[HS Code Risk Score])&lt;=10,"Yes","No")</f>
        <v>No</v>
      </c>
      <c r="AM166" s="8">
        <f>SUMIFS(HS_DB[Net Weight -KG],HS_DB[HS Code],HS_DB[[#This Row],[HS Code]])</f>
        <v>17237347.600000001</v>
      </c>
      <c r="AN166" s="8">
        <f>SUMIFS(HS_DB[Trade Value - USD],HS_DB[HS Code],HS_DB[[#This Row],[HS Code]])</f>
        <v>12946484</v>
      </c>
      <c r="AO166" s="6">
        <f>_xlfn.MAXIFS(HS_DB[Origin Share%],HS_DB[HS Code],HS_DB[[#This Row],[HS Code]])</f>
        <v>6.321329281187793E-2</v>
      </c>
      <c r="AP166" s="8" cm="1">
        <f t="array" ref="AP166">_xlfn.LET(
_xlpm.hs,HS_DB[[#This Row],[HS Code]],
COUNTA(_xlfn.UNIQUE(_xlfn._xlws.FILTER(HS_DB[Reporter],HS_DB[HS Code]=_xlpm.hs)))
)</f>
        <v>12</v>
      </c>
      <c r="AQ166" s="17" t="str">
        <f>IF(HS_DB[[#This Row],[Origin Count]]=1,"Single Source","Multiple Sources")</f>
        <v>Multiple Sources</v>
      </c>
      <c r="AR166" s="8">
        <f>HS_DB[[#This Row],[Annual Spend - USD]]*(HS_DB[[#This Row],[HS Code Risk Score]]/100)</f>
        <v>4401804.5600000005</v>
      </c>
      <c r="AS166" s="8">
        <f>RANK(HS_DB[[#This Row],[Risk Exposure - USD]],HS_DB[Risk Exposure - USD],0)</f>
        <v>209</v>
      </c>
      <c r="AT166" s="8" t="str">
        <f>IF(HS_DB[[#This Row],[Risk Exposure Rank]]&lt;=10,"High",
 IF(HS_DB[[#This Row],[Risk Exposure Rank]]&lt;=30,"Medium",
 "Low"))</f>
        <v>Low</v>
      </c>
      <c r="AU166" s="8" t="str">
        <f>IF(HS_DB[[#This Row],[Risk Exposure Rank]]&lt;=5,"Immediate Action",
 IF(HS_DB[[#This Row],[Risk Exposure Rank]]&lt;=15,"Monitor Closely",
 "Routine Control"))</f>
        <v>Routine Control</v>
      </c>
      <c r="AV166" s="8">
        <f>SUMIFS(HS_DB[Trade Value - USD],HS_DB[HS Code],HS_DB[[#This Row],[HS Code]])</f>
        <v>12946484</v>
      </c>
      <c r="AW166" s="6">
        <f>HS_DB[[#This Row],[Annual Spend - USD]]/HS_DB[[#This Row],[Total Market Size - USD]]</f>
        <v>1</v>
      </c>
      <c r="AX166" s="6" cm="1">
        <f t="array" ref="AX166">COUNTA(_xlfn.UNIQUE(_xlfn._xlws.FILTER(HS_DB[Partner],HS_DB[HS Code]=HS_DB[[#This Row],[HS Code]])))</f>
        <v>1</v>
      </c>
      <c r="AY166" s="8" t="str">
        <f>IF(HS_DB[[#This Row],[Competition Intensity]]&lt;=2,"Highly Concentrated",
 IF(HS_DB[[#This Row],[Competition Intensity]]&lt;=5,"Moderate",
 "Highly Competitive"))</f>
        <v>Highly Concentrated</v>
      </c>
      <c r="AZ166" s="8">
        <f>HS_DB[[#This Row],[Total Market Size - USD]]
*
(1+IFERROR(#REF!,0))
/
HS_DB[[#This Row],[Competition Intensity]]</f>
        <v>12946484</v>
      </c>
      <c r="BA166" s="8" t="str">
        <f>IF(HS_DB[[#This Row],[Commercial Opportunity Score]]&gt;=PERCENTILE(HS_DB[Commercial Opportunity Score],0.9),"High Opportunity",
 IF(HS_DB[[#This Row],[Commercial Opportunity Score]]&gt;=PERCENTILE(HS_DB[Commercial Opportunity Score],0.6),"Medium Opportunity",
 "Routine Market"))</f>
        <v>Medium Opportunity</v>
      </c>
      <c r="BB166" s="3" t="str">
        <f>IF(AND(HS_DB[[#This Row],[Product Rank]]&gt;0,HS_DB[[#This Row],[Product Rank]]&lt;=10),"Yes","No")</f>
        <v>No</v>
      </c>
      <c r="BC166" s="3" t="str">
        <f>IF(AND(HS_DB[[#This Row],[Origin Rank]]&gt;0,HS_DB[[#This Row],[Origin Rank]]&lt;=10),"Yes","No")</f>
        <v>Yes</v>
      </c>
    </row>
    <row r="167" spans="2:55" x14ac:dyDescent="0.3">
      <c r="B167" s="2">
        <f>HS_DB[[#This Row],[Commodity Code]]</f>
        <v>280920</v>
      </c>
      <c r="C167" s="2">
        <f>IFERROR(INDEX(HS_MD!C:C,MATCH(B167,HS_MD!B:B,0),1),"")</f>
        <v>8</v>
      </c>
      <c r="D167" s="17" t="str">
        <f>IFERROR(INDEX(HS_MD!D:D,MATCH(B167,HS_MD!B:B,0),1),"")</f>
        <v>Phosphoric acid</v>
      </c>
      <c r="E167" s="17" t="str">
        <f>IFERROR(INDEX(HS_MD!E:E,MATCH(B167,HS_MD!B:B,0),1),"")</f>
        <v>Phosphoric Acid</v>
      </c>
      <c r="F167" s="17" t="str">
        <f>IFERROR(INDEX(HS_MD!F:F,MATCH(B167,HS_MD!B:B,0),1),"")</f>
        <v>ACIDULANTS &amp; REGULATORS</v>
      </c>
      <c r="G167" s="17" t="str">
        <f>IFERROR(INDEX(HS_MD!G:G,MATCH(B167,HS_MD!B:B,0),1),"")</f>
        <v>Inorganic Acids</v>
      </c>
      <c r="H167" s="17" t="str">
        <f>IFERROR(INDEX(HS_MD!H:H,MATCH(B167,HS_MD!B:B,0),1),"")</f>
        <v>Phosphoric Acid</v>
      </c>
      <c r="I167" s="17" t="str">
        <f>IFERROR(INDEX(HS_MD!I:I,MATCH(B167,HS_MD!B:B,0),1),"")</f>
        <v>Beverages</v>
      </c>
      <c r="J167" s="17">
        <f>IFERROR(INDEX(Heat_Map[Index],MATCH(HS_DB[[#This Row],[Reporter]],Heat_Map[Global],0),1),"")</f>
        <v>159</v>
      </c>
      <c r="K167" s="17" t="str">
        <f>IF(AND(HS_DB[[#This Row],[Origin Rank]]&gt;1,HS_DB[[#This Row],[Origin Rank]]&lt;=10),"Yes","No")</f>
        <v>No</v>
      </c>
      <c r="L167" s="2">
        <v>2024</v>
      </c>
      <c r="M167" s="2" t="s">
        <v>57</v>
      </c>
      <c r="N167" s="2" t="s">
        <v>30</v>
      </c>
      <c r="O167" s="2" t="s">
        <v>22</v>
      </c>
      <c r="P167" s="2" t="s">
        <v>23</v>
      </c>
      <c r="Q167" s="2" t="s">
        <v>24</v>
      </c>
      <c r="R167" s="2" t="s">
        <v>25</v>
      </c>
      <c r="S167" s="2">
        <v>280920</v>
      </c>
      <c r="T167" s="3">
        <v>654</v>
      </c>
      <c r="U167" s="3">
        <v>127.6</v>
      </c>
      <c r="V167" s="3">
        <v>0</v>
      </c>
      <c r="W167" s="3">
        <v>128</v>
      </c>
      <c r="X167" s="3" t="s">
        <v>58</v>
      </c>
      <c r="Y167" s="3">
        <v>134</v>
      </c>
      <c r="Z167" s="3" t="s">
        <v>149</v>
      </c>
      <c r="AA167" s="6">
        <f>SUMIFS(HS_DB[Trade Value - USD],HS_DB[Reporter],HS_DB[[#This Row],[Reporter]])/SUM(HS_DB[Trade Value - USD])</f>
        <v>6.110186869383482E-3</v>
      </c>
      <c r="AB167" s="8" cm="1">
        <f t="array" ref="AB167">SUMPRODUCT(
(HS_DB[Reporter]=HS_DB[[#This Row],[Reporter]])*
(HS_DB[Trade Value - USD]&gt;HS_DB[[#This Row],[Trade Value - USD]])
)+1</f>
        <v>24</v>
      </c>
      <c r="AC167" s="8" t="str">
        <f>IFERROR(IF(INDEX(Heat_Map[Crisis Impact %],MATCH(HS_DB[[#This Row],[Reporter]],Heat_Map[Global],0),1)&gt;0,"Yes","No"),"No")</f>
        <v>No</v>
      </c>
      <c r="AD167" s="6">
        <f>IFERROR(INDEX(Heat_Map[Crisis Impact %],MATCH(HS_DB[[#This Row],[Reporter]],Heat_Map[Global],0),1),0)</f>
        <v>0</v>
      </c>
      <c r="AE167" s="8">
        <f>HS_DB[[#This Row],[Crisis Impact%]]*HS_DB[[#This Row],[Trade Value - USD]]</f>
        <v>0</v>
      </c>
      <c r="AF167" s="8">
        <f>HS_DB[[#This Row],[Crisis Impact%]]*HS_DB[[#This Row],[Net Weight -KG]]</f>
        <v>0</v>
      </c>
      <c r="AG167" s="6">
        <f>SUMIFS(HS_DB[Trade Value - USD],HS_DB[Products],HS_DB[[#This Row],[Products]])/SUM(HS_DB[Trade Value - USD])</f>
        <v>6.8681310097102564E-3</v>
      </c>
      <c r="AH167" s="8">
        <f>_xlfn.RANK.EQ(HS_DB[[#This Row],[Trade Value - USD]], HS_DB[Trade Value - USD], 0)
 + COUNTIFS(HS_DB[Trade Value - USD],HS_DB[[#This Row],[Trade Value - USD]],
            HS_DB[HS Code],"&lt;"&amp;HS_DB[[#This Row],[HS Code]])</f>
        <v>492</v>
      </c>
      <c r="AI167" s="9">
        <f>IFERROR(HS_DB[[#This Row],[Trade Value - USD]]/HS_DB[[#This Row],[Net Weight -KG]],0)</f>
        <v>5.1253918495297812</v>
      </c>
      <c r="AJ167" s="17" cm="1">
        <f t="array" ref="AJ167">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67" s="17" t="str">
        <f>IF(HS_DB[[#This Row],[HS Code Risk Score]]&gt;=40,"High",
 IF(HS_DB[[#This Row],[HS Code Risk Score]]&gt;=25,"Medium","Low"))</f>
        <v>Medium</v>
      </c>
      <c r="AL167" s="17" t="str">
        <f>IF(RANK(HS_DB[[#This Row],[HS Code Risk Score]],HS_DB[HS Code Risk Score])&lt;=10,"Yes","No")</f>
        <v>No</v>
      </c>
      <c r="AM167" s="8">
        <f>SUMIFS(HS_DB[Net Weight -KG],HS_DB[HS Code],HS_DB[[#This Row],[HS Code]])</f>
        <v>17237347.600000001</v>
      </c>
      <c r="AN167" s="8">
        <f>SUMIFS(HS_DB[Trade Value - USD],HS_DB[HS Code],HS_DB[[#This Row],[HS Code]])</f>
        <v>12946484</v>
      </c>
      <c r="AO167" s="6">
        <f>_xlfn.MAXIFS(HS_DB[Origin Share%],HS_DB[HS Code],HS_DB[[#This Row],[HS Code]])</f>
        <v>6.321329281187793E-2</v>
      </c>
      <c r="AP167" s="8" cm="1">
        <f t="array" ref="AP167">_xlfn.LET(
_xlpm.hs,HS_DB[[#This Row],[HS Code]],
COUNTA(_xlfn.UNIQUE(_xlfn._xlws.FILTER(HS_DB[Reporter],HS_DB[HS Code]=_xlpm.hs)))
)</f>
        <v>12</v>
      </c>
      <c r="AQ167" s="17" t="str">
        <f>IF(HS_DB[[#This Row],[Origin Count]]=1,"Single Source","Multiple Sources")</f>
        <v>Multiple Sources</v>
      </c>
      <c r="AR167" s="8">
        <f>HS_DB[[#This Row],[Annual Spend - USD]]*(HS_DB[[#This Row],[HS Code Risk Score]]/100)</f>
        <v>4401804.5600000005</v>
      </c>
      <c r="AS167" s="8">
        <f>RANK(HS_DB[[#This Row],[Risk Exposure - USD]],HS_DB[Risk Exposure - USD],0)</f>
        <v>209</v>
      </c>
      <c r="AT167" s="8" t="str">
        <f>IF(HS_DB[[#This Row],[Risk Exposure Rank]]&lt;=10,"High",
 IF(HS_DB[[#This Row],[Risk Exposure Rank]]&lt;=30,"Medium",
 "Low"))</f>
        <v>Low</v>
      </c>
      <c r="AU167" s="8" t="str">
        <f>IF(HS_DB[[#This Row],[Risk Exposure Rank]]&lt;=5,"Immediate Action",
 IF(HS_DB[[#This Row],[Risk Exposure Rank]]&lt;=15,"Monitor Closely",
 "Routine Control"))</f>
        <v>Routine Control</v>
      </c>
      <c r="AV167" s="8">
        <f>SUMIFS(HS_DB[Trade Value - USD],HS_DB[HS Code],HS_DB[[#This Row],[HS Code]])</f>
        <v>12946484</v>
      </c>
      <c r="AW167" s="6">
        <f>HS_DB[[#This Row],[Annual Spend - USD]]/HS_DB[[#This Row],[Total Market Size - USD]]</f>
        <v>1</v>
      </c>
      <c r="AX167" s="6" cm="1">
        <f t="array" ref="AX167">COUNTA(_xlfn.UNIQUE(_xlfn._xlws.FILTER(HS_DB[Partner],HS_DB[HS Code]=HS_DB[[#This Row],[HS Code]])))</f>
        <v>1</v>
      </c>
      <c r="AY167" s="8" t="str">
        <f>IF(HS_DB[[#This Row],[Competition Intensity]]&lt;=2,"Highly Concentrated",
 IF(HS_DB[[#This Row],[Competition Intensity]]&lt;=5,"Moderate",
 "Highly Competitive"))</f>
        <v>Highly Concentrated</v>
      </c>
      <c r="AZ167" s="8">
        <f>HS_DB[[#This Row],[Total Market Size - USD]]
*
(1+IFERROR(#REF!,0))
/
HS_DB[[#This Row],[Competition Intensity]]</f>
        <v>12946484</v>
      </c>
      <c r="BA167" s="8" t="str">
        <f>IF(HS_DB[[#This Row],[Commercial Opportunity Score]]&gt;=PERCENTILE(HS_DB[Commercial Opportunity Score],0.9),"High Opportunity",
 IF(HS_DB[[#This Row],[Commercial Opportunity Score]]&gt;=PERCENTILE(HS_DB[Commercial Opportunity Score],0.6),"Medium Opportunity",
 "Routine Market"))</f>
        <v>Medium Opportunity</v>
      </c>
      <c r="BB167" s="3" t="str">
        <f>IF(AND(HS_DB[[#This Row],[Product Rank]]&gt;0,HS_DB[[#This Row],[Product Rank]]&lt;=10),"Yes","No")</f>
        <v>No</v>
      </c>
      <c r="BC167" s="3" t="str">
        <f>IF(AND(HS_DB[[#This Row],[Origin Rank]]&gt;0,HS_DB[[#This Row],[Origin Rank]]&lt;=10),"Yes","No")</f>
        <v>No</v>
      </c>
    </row>
    <row r="168" spans="2:55" x14ac:dyDescent="0.3">
      <c r="B168" s="2">
        <f>HS_DB[[#This Row],[Commodity Code]]</f>
        <v>280920</v>
      </c>
      <c r="C168" s="2">
        <f>IFERROR(INDEX(HS_MD!C:C,MATCH(B168,HS_MD!B:B,0),1),"")</f>
        <v>8</v>
      </c>
      <c r="D168" s="17" t="str">
        <f>IFERROR(INDEX(HS_MD!D:D,MATCH(B168,HS_MD!B:B,0),1),"")</f>
        <v>Phosphoric acid</v>
      </c>
      <c r="E168" s="17" t="str">
        <f>IFERROR(INDEX(HS_MD!E:E,MATCH(B168,HS_MD!B:B,0),1),"")</f>
        <v>Phosphoric Acid</v>
      </c>
      <c r="F168" s="17" t="str">
        <f>IFERROR(INDEX(HS_MD!F:F,MATCH(B168,HS_MD!B:B,0),1),"")</f>
        <v>ACIDULANTS &amp; REGULATORS</v>
      </c>
      <c r="G168" s="17" t="str">
        <f>IFERROR(INDEX(HS_MD!G:G,MATCH(B168,HS_MD!B:B,0),1),"")</f>
        <v>Inorganic Acids</v>
      </c>
      <c r="H168" s="17" t="str">
        <f>IFERROR(INDEX(HS_MD!H:H,MATCH(B168,HS_MD!B:B,0),1),"")</f>
        <v>Phosphoric Acid</v>
      </c>
      <c r="I168" s="17" t="str">
        <f>IFERROR(INDEX(HS_MD!I:I,MATCH(B168,HS_MD!B:B,0),1),"")</f>
        <v>Beverages</v>
      </c>
      <c r="J168" s="17">
        <f>IFERROR(INDEX(Heat_Map[Index],MATCH(HS_DB[[#This Row],[Reporter]],Heat_Map[Global],0),1),"")</f>
        <v>175</v>
      </c>
      <c r="K168" s="17" t="str">
        <f>IF(AND(HS_DB[[#This Row],[Origin Rank]]&gt;1,HS_DB[[#This Row],[Origin Rank]]&lt;=10),"Yes","No")</f>
        <v>No</v>
      </c>
      <c r="L168" s="2">
        <v>2024</v>
      </c>
      <c r="M168" s="2" t="s">
        <v>57</v>
      </c>
      <c r="N168" s="2" t="s">
        <v>34</v>
      </c>
      <c r="O168" s="2" t="s">
        <v>22</v>
      </c>
      <c r="P168" s="2" t="s">
        <v>23</v>
      </c>
      <c r="Q168" s="2" t="s">
        <v>24</v>
      </c>
      <c r="R168" s="2" t="s">
        <v>25</v>
      </c>
      <c r="S168" s="2">
        <v>280920</v>
      </c>
      <c r="T168" s="3">
        <v>685163</v>
      </c>
      <c r="U168" s="3">
        <v>624430</v>
      </c>
      <c r="V168" s="3">
        <v>0</v>
      </c>
      <c r="W168" s="3">
        <v>624430</v>
      </c>
      <c r="X168" s="3" t="s">
        <v>58</v>
      </c>
      <c r="Y168" s="3">
        <v>624430</v>
      </c>
      <c r="Z168" s="3" t="s">
        <v>149</v>
      </c>
      <c r="AA168" s="6">
        <f>SUMIFS(HS_DB[Trade Value - USD],HS_DB[Reporter],HS_DB[[#This Row],[Reporter]])/SUM(HS_DB[Trade Value - USD])</f>
        <v>4.7522902002533667E-2</v>
      </c>
      <c r="AB168" s="8" cm="1">
        <f t="array" ref="AB168">SUMPRODUCT(
(HS_DB[Reporter]=HS_DB[[#This Row],[Reporter]])*
(HS_DB[Trade Value - USD]&gt;HS_DB[[#This Row],[Trade Value - USD]])
)+1</f>
        <v>13</v>
      </c>
      <c r="AC168" s="8" t="str">
        <f>IFERROR(IF(INDEX(Heat_Map[Crisis Impact %],MATCH(HS_DB[[#This Row],[Reporter]],Heat_Map[Global],0),1)&gt;0,"Yes","No"),"No")</f>
        <v>Yes</v>
      </c>
      <c r="AD168" s="6">
        <f>IFERROR(INDEX(Heat_Map[Crisis Impact %],MATCH(HS_DB[[#This Row],[Reporter]],Heat_Map[Global],0),1),0)</f>
        <v>0.1</v>
      </c>
      <c r="AE168" s="8">
        <f>HS_DB[[#This Row],[Crisis Impact%]]*HS_DB[[#This Row],[Trade Value - USD]]</f>
        <v>68516.3</v>
      </c>
      <c r="AF168" s="8">
        <f>HS_DB[[#This Row],[Crisis Impact%]]*HS_DB[[#This Row],[Net Weight -KG]]</f>
        <v>62443</v>
      </c>
      <c r="AG168" s="6">
        <f>SUMIFS(HS_DB[Trade Value - USD],HS_DB[Products],HS_DB[[#This Row],[Products]])/SUM(HS_DB[Trade Value - USD])</f>
        <v>6.8681310097102564E-3</v>
      </c>
      <c r="AH168" s="8">
        <f>_xlfn.RANK.EQ(HS_DB[[#This Row],[Trade Value - USD]], HS_DB[Trade Value - USD], 0)
 + COUNTIFS(HS_DB[Trade Value - USD],HS_DB[[#This Row],[Trade Value - USD]],
            HS_DB[HS Code],"&lt;"&amp;HS_DB[[#This Row],[HS Code]])</f>
        <v>128</v>
      </c>
      <c r="AI168" s="9">
        <f>IFERROR(HS_DB[[#This Row],[Trade Value - USD]]/HS_DB[[#This Row],[Net Weight -KG]],0)</f>
        <v>1.0972615024902712</v>
      </c>
      <c r="AJ168" s="17" cm="1">
        <f t="array" ref="AJ168">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68" s="17" t="str">
        <f>IF(HS_DB[[#This Row],[HS Code Risk Score]]&gt;=40,"High",
 IF(HS_DB[[#This Row],[HS Code Risk Score]]&gt;=25,"Medium","Low"))</f>
        <v>Medium</v>
      </c>
      <c r="AL168" s="17" t="str">
        <f>IF(RANK(HS_DB[[#This Row],[HS Code Risk Score]],HS_DB[HS Code Risk Score])&lt;=10,"Yes","No")</f>
        <v>No</v>
      </c>
      <c r="AM168" s="8">
        <f>SUMIFS(HS_DB[Net Weight -KG],HS_DB[HS Code],HS_DB[[#This Row],[HS Code]])</f>
        <v>17237347.600000001</v>
      </c>
      <c r="AN168" s="8">
        <f>SUMIFS(HS_DB[Trade Value - USD],HS_DB[HS Code],HS_DB[[#This Row],[HS Code]])</f>
        <v>12946484</v>
      </c>
      <c r="AO168" s="6">
        <f>_xlfn.MAXIFS(HS_DB[Origin Share%],HS_DB[HS Code],HS_DB[[#This Row],[HS Code]])</f>
        <v>6.321329281187793E-2</v>
      </c>
      <c r="AP168" s="8" cm="1">
        <f t="array" ref="AP168">_xlfn.LET(
_xlpm.hs,HS_DB[[#This Row],[HS Code]],
COUNTA(_xlfn.UNIQUE(_xlfn._xlws.FILTER(HS_DB[Reporter],HS_DB[HS Code]=_xlpm.hs)))
)</f>
        <v>12</v>
      </c>
      <c r="AQ168" s="17" t="str">
        <f>IF(HS_DB[[#This Row],[Origin Count]]=1,"Single Source","Multiple Sources")</f>
        <v>Multiple Sources</v>
      </c>
      <c r="AR168" s="8">
        <f>HS_DB[[#This Row],[Annual Spend - USD]]*(HS_DB[[#This Row],[HS Code Risk Score]]/100)</f>
        <v>4401804.5600000005</v>
      </c>
      <c r="AS168" s="8">
        <f>RANK(HS_DB[[#This Row],[Risk Exposure - USD]],HS_DB[Risk Exposure - USD],0)</f>
        <v>209</v>
      </c>
      <c r="AT168" s="8" t="str">
        <f>IF(HS_DB[[#This Row],[Risk Exposure Rank]]&lt;=10,"High",
 IF(HS_DB[[#This Row],[Risk Exposure Rank]]&lt;=30,"Medium",
 "Low"))</f>
        <v>Low</v>
      </c>
      <c r="AU168" s="8" t="str">
        <f>IF(HS_DB[[#This Row],[Risk Exposure Rank]]&lt;=5,"Immediate Action",
 IF(HS_DB[[#This Row],[Risk Exposure Rank]]&lt;=15,"Monitor Closely",
 "Routine Control"))</f>
        <v>Routine Control</v>
      </c>
      <c r="AV168" s="8">
        <f>SUMIFS(HS_DB[Trade Value - USD],HS_DB[HS Code],HS_DB[[#This Row],[HS Code]])</f>
        <v>12946484</v>
      </c>
      <c r="AW168" s="6">
        <f>HS_DB[[#This Row],[Annual Spend - USD]]/HS_DB[[#This Row],[Total Market Size - USD]]</f>
        <v>1</v>
      </c>
      <c r="AX168" s="6" cm="1">
        <f t="array" ref="AX168">COUNTA(_xlfn.UNIQUE(_xlfn._xlws.FILTER(HS_DB[Partner],HS_DB[HS Code]=HS_DB[[#This Row],[HS Code]])))</f>
        <v>1</v>
      </c>
      <c r="AY168" s="8" t="str">
        <f>IF(HS_DB[[#This Row],[Competition Intensity]]&lt;=2,"Highly Concentrated",
 IF(HS_DB[[#This Row],[Competition Intensity]]&lt;=5,"Moderate",
 "Highly Competitive"))</f>
        <v>Highly Concentrated</v>
      </c>
      <c r="AZ168" s="8">
        <f>HS_DB[[#This Row],[Total Market Size - USD]]
*
(1+IFERROR(#REF!,0))
/
HS_DB[[#This Row],[Competition Intensity]]</f>
        <v>12946484</v>
      </c>
      <c r="BA168" s="8" t="str">
        <f>IF(HS_DB[[#This Row],[Commercial Opportunity Score]]&gt;=PERCENTILE(HS_DB[Commercial Opportunity Score],0.9),"High Opportunity",
 IF(HS_DB[[#This Row],[Commercial Opportunity Score]]&gt;=PERCENTILE(HS_DB[Commercial Opportunity Score],0.6),"Medium Opportunity",
 "Routine Market"))</f>
        <v>Medium Opportunity</v>
      </c>
      <c r="BB168" s="3" t="str">
        <f>IF(AND(HS_DB[[#This Row],[Product Rank]]&gt;0,HS_DB[[#This Row],[Product Rank]]&lt;=10),"Yes","No")</f>
        <v>No</v>
      </c>
      <c r="BC168" s="3" t="str">
        <f>IF(AND(HS_DB[[#This Row],[Origin Rank]]&gt;0,HS_DB[[#This Row],[Origin Rank]]&lt;=10),"Yes","No")</f>
        <v>No</v>
      </c>
    </row>
    <row r="169" spans="2:55" x14ac:dyDescent="0.3">
      <c r="B169" s="2">
        <f>HS_DB[[#This Row],[Commodity Code]]</f>
        <v>280920</v>
      </c>
      <c r="C169" s="2">
        <f>IFERROR(INDEX(HS_MD!C:C,MATCH(B169,HS_MD!B:B,0),1),"")</f>
        <v>8</v>
      </c>
      <c r="D169" s="17" t="str">
        <f>IFERROR(INDEX(HS_MD!D:D,MATCH(B169,HS_MD!B:B,0),1),"")</f>
        <v>Phosphoric acid</v>
      </c>
      <c r="E169" s="17" t="str">
        <f>IFERROR(INDEX(HS_MD!E:E,MATCH(B169,HS_MD!B:B,0),1),"")</f>
        <v>Phosphoric Acid</v>
      </c>
      <c r="F169" s="17" t="str">
        <f>IFERROR(INDEX(HS_MD!F:F,MATCH(B169,HS_MD!B:B,0),1),"")</f>
        <v>ACIDULANTS &amp; REGULATORS</v>
      </c>
      <c r="G169" s="17" t="str">
        <f>IFERROR(INDEX(HS_MD!G:G,MATCH(B169,HS_MD!B:B,0),1),"")</f>
        <v>Inorganic Acids</v>
      </c>
      <c r="H169" s="17" t="str">
        <f>IFERROR(INDEX(HS_MD!H:H,MATCH(B169,HS_MD!B:B,0),1),"")</f>
        <v>Phosphoric Acid</v>
      </c>
      <c r="I169" s="17" t="str">
        <f>IFERROR(INDEX(HS_MD!I:I,MATCH(B169,HS_MD!B:B,0),1),"")</f>
        <v>Beverages</v>
      </c>
      <c r="J169" s="17">
        <f>IFERROR(INDEX(Heat_Map[Index],MATCH(HS_DB[[#This Row],[Reporter]],Heat_Map[Global],0),1),"")</f>
        <v>181</v>
      </c>
      <c r="K169" s="17" t="str">
        <f>IF(AND(HS_DB[[#This Row],[Origin Rank]]&gt;1,HS_DB[[#This Row],[Origin Rank]]&lt;=10),"Yes","No")</f>
        <v>No</v>
      </c>
      <c r="L169" s="2">
        <v>2024</v>
      </c>
      <c r="M169" s="2" t="s">
        <v>57</v>
      </c>
      <c r="N169" s="2" t="s">
        <v>36</v>
      </c>
      <c r="O169" s="2" t="s">
        <v>22</v>
      </c>
      <c r="P169" s="2" t="s">
        <v>23</v>
      </c>
      <c r="Q169" s="2" t="s">
        <v>24</v>
      </c>
      <c r="R169" s="2" t="s">
        <v>25</v>
      </c>
      <c r="S169" s="2">
        <v>280920</v>
      </c>
      <c r="T169" s="3">
        <v>5102</v>
      </c>
      <c r="U169" s="3">
        <v>1027</v>
      </c>
      <c r="V169" s="3">
        <v>0</v>
      </c>
      <c r="W169" s="3">
        <v>1027</v>
      </c>
      <c r="X169" s="3" t="s">
        <v>58</v>
      </c>
      <c r="Y169" s="3">
        <v>405</v>
      </c>
      <c r="Z169" s="3" t="s">
        <v>149</v>
      </c>
      <c r="AA169" s="6">
        <f>SUMIFS(HS_DB[Trade Value - USD],HS_DB[Reporter],HS_DB[[#This Row],[Reporter]])/SUM(HS_DB[Trade Value - USD])</f>
        <v>1.3104801671892474E-3</v>
      </c>
      <c r="AB169" s="8" cm="1">
        <f t="array" ref="AB169">SUMPRODUCT(
(HS_DB[Reporter]=HS_DB[[#This Row],[Reporter]])*
(HS_DB[Trade Value - USD]&gt;HS_DB[[#This Row],[Trade Value - USD]])
)+1</f>
        <v>17</v>
      </c>
      <c r="AC169" s="8" t="str">
        <f>IFERROR(IF(INDEX(Heat_Map[Crisis Impact %],MATCH(HS_DB[[#This Row],[Reporter]],Heat_Map[Global],0),1)&gt;0,"Yes","No"),"No")</f>
        <v>No</v>
      </c>
      <c r="AD169" s="6">
        <f>IFERROR(INDEX(Heat_Map[Crisis Impact %],MATCH(HS_DB[[#This Row],[Reporter]],Heat_Map[Global],0),1),0)</f>
        <v>0</v>
      </c>
      <c r="AE169" s="8">
        <f>HS_DB[[#This Row],[Crisis Impact%]]*HS_DB[[#This Row],[Trade Value - USD]]</f>
        <v>0</v>
      </c>
      <c r="AF169" s="8">
        <f>HS_DB[[#This Row],[Crisis Impact%]]*HS_DB[[#This Row],[Net Weight -KG]]</f>
        <v>0</v>
      </c>
      <c r="AG169" s="6">
        <f>SUMIFS(HS_DB[Trade Value - USD],HS_DB[Products],HS_DB[[#This Row],[Products]])/SUM(HS_DB[Trade Value - USD])</f>
        <v>6.8681310097102564E-3</v>
      </c>
      <c r="AH169" s="8">
        <f>_xlfn.RANK.EQ(HS_DB[[#This Row],[Trade Value - USD]], HS_DB[Trade Value - USD], 0)
 + COUNTIFS(HS_DB[Trade Value - USD],HS_DB[[#This Row],[Trade Value - USD]],
            HS_DB[HS Code],"&lt;"&amp;HS_DB[[#This Row],[HS Code]])</f>
        <v>440</v>
      </c>
      <c r="AI169" s="9">
        <f>IFERROR(HS_DB[[#This Row],[Trade Value - USD]]/HS_DB[[#This Row],[Net Weight -KG]],0)</f>
        <v>4.9678675754625123</v>
      </c>
      <c r="AJ169" s="17" cm="1">
        <f t="array" ref="AJ169">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69" s="17" t="str">
        <f>IF(HS_DB[[#This Row],[HS Code Risk Score]]&gt;=40,"High",
 IF(HS_DB[[#This Row],[HS Code Risk Score]]&gt;=25,"Medium","Low"))</f>
        <v>Medium</v>
      </c>
      <c r="AL169" s="17" t="str">
        <f>IF(RANK(HS_DB[[#This Row],[HS Code Risk Score]],HS_DB[HS Code Risk Score])&lt;=10,"Yes","No")</f>
        <v>No</v>
      </c>
      <c r="AM169" s="8">
        <f>SUMIFS(HS_DB[Net Weight -KG],HS_DB[HS Code],HS_DB[[#This Row],[HS Code]])</f>
        <v>17237347.600000001</v>
      </c>
      <c r="AN169" s="8">
        <f>SUMIFS(HS_DB[Trade Value - USD],HS_DB[HS Code],HS_DB[[#This Row],[HS Code]])</f>
        <v>12946484</v>
      </c>
      <c r="AO169" s="6">
        <f>_xlfn.MAXIFS(HS_DB[Origin Share%],HS_DB[HS Code],HS_DB[[#This Row],[HS Code]])</f>
        <v>6.321329281187793E-2</v>
      </c>
      <c r="AP169" s="8" cm="1">
        <f t="array" ref="AP169">_xlfn.LET(
_xlpm.hs,HS_DB[[#This Row],[HS Code]],
COUNTA(_xlfn.UNIQUE(_xlfn._xlws.FILTER(HS_DB[Reporter],HS_DB[HS Code]=_xlpm.hs)))
)</f>
        <v>12</v>
      </c>
      <c r="AQ169" s="17" t="str">
        <f>IF(HS_DB[[#This Row],[Origin Count]]=1,"Single Source","Multiple Sources")</f>
        <v>Multiple Sources</v>
      </c>
      <c r="AR169" s="8">
        <f>HS_DB[[#This Row],[Annual Spend - USD]]*(HS_DB[[#This Row],[HS Code Risk Score]]/100)</f>
        <v>4401804.5600000005</v>
      </c>
      <c r="AS169" s="8">
        <f>RANK(HS_DB[[#This Row],[Risk Exposure - USD]],HS_DB[Risk Exposure - USD],0)</f>
        <v>209</v>
      </c>
      <c r="AT169" s="8" t="str">
        <f>IF(HS_DB[[#This Row],[Risk Exposure Rank]]&lt;=10,"High",
 IF(HS_DB[[#This Row],[Risk Exposure Rank]]&lt;=30,"Medium",
 "Low"))</f>
        <v>Low</v>
      </c>
      <c r="AU169" s="8" t="str">
        <f>IF(HS_DB[[#This Row],[Risk Exposure Rank]]&lt;=5,"Immediate Action",
 IF(HS_DB[[#This Row],[Risk Exposure Rank]]&lt;=15,"Monitor Closely",
 "Routine Control"))</f>
        <v>Routine Control</v>
      </c>
      <c r="AV169" s="8">
        <f>SUMIFS(HS_DB[Trade Value - USD],HS_DB[HS Code],HS_DB[[#This Row],[HS Code]])</f>
        <v>12946484</v>
      </c>
      <c r="AW169" s="6">
        <f>HS_DB[[#This Row],[Annual Spend - USD]]/HS_DB[[#This Row],[Total Market Size - USD]]</f>
        <v>1</v>
      </c>
      <c r="AX169" s="6" cm="1">
        <f t="array" ref="AX169">COUNTA(_xlfn.UNIQUE(_xlfn._xlws.FILTER(HS_DB[Partner],HS_DB[HS Code]=HS_DB[[#This Row],[HS Code]])))</f>
        <v>1</v>
      </c>
      <c r="AY169" s="8" t="str">
        <f>IF(HS_DB[[#This Row],[Competition Intensity]]&lt;=2,"Highly Concentrated",
 IF(HS_DB[[#This Row],[Competition Intensity]]&lt;=5,"Moderate",
 "Highly Competitive"))</f>
        <v>Highly Concentrated</v>
      </c>
      <c r="AZ169" s="8">
        <f>HS_DB[[#This Row],[Total Market Size - USD]]
*
(1+IFERROR(#REF!,0))
/
HS_DB[[#This Row],[Competition Intensity]]</f>
        <v>12946484</v>
      </c>
      <c r="BA169" s="8" t="str">
        <f>IF(HS_DB[[#This Row],[Commercial Opportunity Score]]&gt;=PERCENTILE(HS_DB[Commercial Opportunity Score],0.9),"High Opportunity",
 IF(HS_DB[[#This Row],[Commercial Opportunity Score]]&gt;=PERCENTILE(HS_DB[Commercial Opportunity Score],0.6),"Medium Opportunity",
 "Routine Market"))</f>
        <v>Medium Opportunity</v>
      </c>
      <c r="BB169" s="3" t="str">
        <f>IF(AND(HS_DB[[#This Row],[Product Rank]]&gt;0,HS_DB[[#This Row],[Product Rank]]&lt;=10),"Yes","No")</f>
        <v>No</v>
      </c>
      <c r="BC169" s="3" t="str">
        <f>IF(AND(HS_DB[[#This Row],[Origin Rank]]&gt;0,HS_DB[[#This Row],[Origin Rank]]&lt;=10),"Yes","No")</f>
        <v>No</v>
      </c>
    </row>
    <row r="170" spans="2:55" x14ac:dyDescent="0.3">
      <c r="B170" s="2">
        <f>HS_DB[[#This Row],[Commodity Code]]</f>
        <v>291815</v>
      </c>
      <c r="C170" s="2">
        <f>IFERROR(INDEX(HS_MD!C:C,MATCH(B170,HS_MD!B:B,0),1),"")</f>
        <v>9</v>
      </c>
      <c r="D170" s="17" t="str">
        <f>IFERROR(INDEX(HS_MD!D:D,MATCH(B170,HS_MD!B:B,0),1),"")</f>
        <v>Citrates</v>
      </c>
      <c r="E170" s="17" t="str">
        <f>IFERROR(INDEX(HS_MD!E:E,MATCH(B170,HS_MD!B:B,0),1),"")</f>
        <v>Sodium Citrate</v>
      </c>
      <c r="F170" s="17" t="str">
        <f>IFERROR(INDEX(HS_MD!F:F,MATCH(B170,HS_MD!B:B,0),1),"")</f>
        <v>ACIDULANTS &amp; REGULATORS</v>
      </c>
      <c r="G170" s="17" t="str">
        <f>IFERROR(INDEX(HS_MD!G:G,MATCH(B170,HS_MD!B:B,0),1),"")</f>
        <v>Salts &amp; Buffers</v>
      </c>
      <c r="H170" s="17" t="str">
        <f>IFERROR(INDEX(HS_MD!H:H,MATCH(B170,HS_MD!B:B,0),1),"")</f>
        <v>Sodium Citrate</v>
      </c>
      <c r="I170" s="17" t="str">
        <f>IFERROR(INDEX(HS_MD!I:I,MATCH(B170,HS_MD!B:B,0),1),"")</f>
        <v>Beverages / Dairy</v>
      </c>
      <c r="J170" s="17">
        <f>IFERROR(INDEX(Heat_Map[Index],MATCH(HS_DB[[#This Row],[Reporter]],Heat_Map[Global],0),1),"")</f>
        <v>17</v>
      </c>
      <c r="K170" s="17" t="str">
        <f>IF(AND(HS_DB[[#This Row],[Origin Rank]]&gt;1,HS_DB[[#This Row],[Origin Rank]]&lt;=10),"Yes","No")</f>
        <v>No</v>
      </c>
      <c r="L170" s="2">
        <v>2024</v>
      </c>
      <c r="M170" s="2" t="s">
        <v>57</v>
      </c>
      <c r="N170" s="2" t="s">
        <v>5</v>
      </c>
      <c r="O170" s="2" t="s">
        <v>22</v>
      </c>
      <c r="P170" s="2" t="s">
        <v>23</v>
      </c>
      <c r="Q170" s="2" t="s">
        <v>24</v>
      </c>
      <c r="R170" s="2" t="s">
        <v>25</v>
      </c>
      <c r="S170" s="2">
        <v>291815</v>
      </c>
      <c r="T170" s="3">
        <v>62848</v>
      </c>
      <c r="U170" s="3">
        <v>20009.099999999999</v>
      </c>
      <c r="V170" s="3">
        <v>0</v>
      </c>
      <c r="W170" s="3">
        <v>20009</v>
      </c>
      <c r="X170" s="3" t="s">
        <v>58</v>
      </c>
      <c r="Y170" s="3">
        <v>20009</v>
      </c>
      <c r="Z170" s="3" t="s">
        <v>58</v>
      </c>
      <c r="AA170" s="6">
        <f>SUMIFS(HS_DB[Trade Value - USD],HS_DB[Reporter],HS_DB[[#This Row],[Reporter]])/SUM(HS_DB[Trade Value - USD])</f>
        <v>5.3992075088500962E-3</v>
      </c>
      <c r="AB170" s="8" cm="1">
        <f t="array" ref="AB170">SUMPRODUCT(
(HS_DB[Reporter]=HS_DB[[#This Row],[Reporter]])*
(HS_DB[Trade Value - USD]&gt;HS_DB[[#This Row],[Trade Value - USD]])
)+1</f>
        <v>12</v>
      </c>
      <c r="AC170" s="8" t="str">
        <f>IFERROR(IF(INDEX(Heat_Map[Crisis Impact %],MATCH(HS_DB[[#This Row],[Reporter]],Heat_Map[Global],0),1)&gt;0,"Yes","No"),"No")</f>
        <v>No</v>
      </c>
      <c r="AD170" s="6">
        <f>IFERROR(INDEX(Heat_Map[Crisis Impact %],MATCH(HS_DB[[#This Row],[Reporter]],Heat_Map[Global],0),1),0)</f>
        <v>0</v>
      </c>
      <c r="AE170" s="8">
        <f>HS_DB[[#This Row],[Crisis Impact%]]*HS_DB[[#This Row],[Trade Value - USD]]</f>
        <v>0</v>
      </c>
      <c r="AF170" s="8">
        <f>HS_DB[[#This Row],[Crisis Impact%]]*HS_DB[[#This Row],[Net Weight -KG]]</f>
        <v>0</v>
      </c>
      <c r="AG170" s="6">
        <f>SUMIFS(HS_DB[Trade Value - USD],HS_DB[Products],HS_DB[[#This Row],[Products]])/SUM(HS_DB[Trade Value - USD])</f>
        <v>2.1521984741853972E-3</v>
      </c>
      <c r="AH170" s="8">
        <f>_xlfn.RANK.EQ(HS_DB[[#This Row],[Trade Value - USD]], HS_DB[Trade Value - USD], 0)
 + COUNTIFS(HS_DB[Trade Value - USD],HS_DB[[#This Row],[Trade Value - USD]],
            HS_DB[HS Code],"&lt;"&amp;HS_DB[[#This Row],[HS Code]])</f>
        <v>314</v>
      </c>
      <c r="AI170" s="9">
        <f>IFERROR(HS_DB[[#This Row],[Trade Value - USD]]/HS_DB[[#This Row],[Net Weight -KG]],0)</f>
        <v>3.1409708582594922</v>
      </c>
      <c r="AJ170" s="17" cm="1">
        <f t="array" ref="AJ170">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70" s="17" t="str">
        <f>IF(HS_DB[[#This Row],[HS Code Risk Score]]&gt;=40,"High",
 IF(HS_DB[[#This Row],[HS Code Risk Score]]&gt;=25,"Medium","Low"))</f>
        <v>Medium</v>
      </c>
      <c r="AL170" s="17" t="str">
        <f>IF(RANK(HS_DB[[#This Row],[HS Code Risk Score]],HS_DB[HS Code Risk Score])&lt;=10,"Yes","No")</f>
        <v>No</v>
      </c>
      <c r="AM170" s="8">
        <f>SUMIFS(HS_DB[Net Weight -KG],HS_DB[HS Code],HS_DB[[#This Row],[HS Code]])</f>
        <v>2777277.2</v>
      </c>
      <c r="AN170" s="8">
        <f>SUMIFS(HS_DB[Trade Value - USD],HS_DB[HS Code],HS_DB[[#This Row],[HS Code]])</f>
        <v>4056912</v>
      </c>
      <c r="AO170" s="6">
        <f>_xlfn.MAXIFS(HS_DB[Origin Share%],HS_DB[HS Code],HS_DB[[#This Row],[HS Code]])</f>
        <v>6.321329281187793E-2</v>
      </c>
      <c r="AP170" s="8" cm="1">
        <f t="array" ref="AP170">_xlfn.LET(
_xlpm.hs,HS_DB[[#This Row],[HS Code]],
COUNTA(_xlfn.UNIQUE(_xlfn._xlws.FILTER(HS_DB[Reporter],HS_DB[HS Code]=_xlpm.hs)))
)</f>
        <v>14</v>
      </c>
      <c r="AQ170" s="17" t="str">
        <f>IF(HS_DB[[#This Row],[Origin Count]]=1,"Single Source","Multiple Sources")</f>
        <v>Multiple Sources</v>
      </c>
      <c r="AR170" s="8">
        <f>HS_DB[[#This Row],[Annual Spend - USD]]*(HS_DB[[#This Row],[HS Code Risk Score]]/100)</f>
        <v>1379350.08</v>
      </c>
      <c r="AS170" s="8">
        <f>RANK(HS_DB[[#This Row],[Risk Exposure - USD]],HS_DB[Risk Exposure - USD],0)</f>
        <v>428</v>
      </c>
      <c r="AT170" s="8" t="str">
        <f>IF(HS_DB[[#This Row],[Risk Exposure Rank]]&lt;=10,"High",
 IF(HS_DB[[#This Row],[Risk Exposure Rank]]&lt;=30,"Medium",
 "Low"))</f>
        <v>Low</v>
      </c>
      <c r="AU170" s="8" t="str">
        <f>IF(HS_DB[[#This Row],[Risk Exposure Rank]]&lt;=5,"Immediate Action",
 IF(HS_DB[[#This Row],[Risk Exposure Rank]]&lt;=15,"Monitor Closely",
 "Routine Control"))</f>
        <v>Routine Control</v>
      </c>
      <c r="AV170" s="8">
        <f>SUMIFS(HS_DB[Trade Value - USD],HS_DB[HS Code],HS_DB[[#This Row],[HS Code]])</f>
        <v>4056912</v>
      </c>
      <c r="AW170" s="6">
        <f>HS_DB[[#This Row],[Annual Spend - USD]]/HS_DB[[#This Row],[Total Market Size - USD]]</f>
        <v>1</v>
      </c>
      <c r="AX170" s="6" cm="1">
        <f t="array" ref="AX170">COUNTA(_xlfn.UNIQUE(_xlfn._xlws.FILTER(HS_DB[Partner],HS_DB[HS Code]=HS_DB[[#This Row],[HS Code]])))</f>
        <v>1</v>
      </c>
      <c r="AY170" s="8" t="str">
        <f>IF(HS_DB[[#This Row],[Competition Intensity]]&lt;=2,"Highly Concentrated",
 IF(HS_DB[[#This Row],[Competition Intensity]]&lt;=5,"Moderate",
 "Highly Competitive"))</f>
        <v>Highly Concentrated</v>
      </c>
      <c r="AZ170" s="8">
        <f>HS_DB[[#This Row],[Total Market Size - USD]]
*
(1+IFERROR(#REF!,0))
/
HS_DB[[#This Row],[Competition Intensity]]</f>
        <v>4056912</v>
      </c>
      <c r="BA170" s="8" t="str">
        <f>IF(HS_DB[[#This Row],[Commercial Opportunity Score]]&gt;=PERCENTILE(HS_DB[Commercial Opportunity Score],0.9),"High Opportunity",
 IF(HS_DB[[#This Row],[Commercial Opportunity Score]]&gt;=PERCENTILE(HS_DB[Commercial Opportunity Score],0.6),"Medium Opportunity",
 "Routine Market"))</f>
        <v>Routine Market</v>
      </c>
      <c r="BB170" s="3" t="str">
        <f>IF(AND(HS_DB[[#This Row],[Product Rank]]&gt;0,HS_DB[[#This Row],[Product Rank]]&lt;=10),"Yes","No")</f>
        <v>No</v>
      </c>
      <c r="BC170" s="3" t="str">
        <f>IF(AND(HS_DB[[#This Row],[Origin Rank]]&gt;0,HS_DB[[#This Row],[Origin Rank]]&lt;=10),"Yes","No")</f>
        <v>No</v>
      </c>
    </row>
    <row r="171" spans="2:55" x14ac:dyDescent="0.3">
      <c r="B171" s="2">
        <f>HS_DB[[#This Row],[Commodity Code]]</f>
        <v>291815</v>
      </c>
      <c r="C171" s="2">
        <f>IFERROR(INDEX(HS_MD!C:C,MATCH(B171,HS_MD!B:B,0),1),"")</f>
        <v>9</v>
      </c>
      <c r="D171" s="17" t="str">
        <f>IFERROR(INDEX(HS_MD!D:D,MATCH(B171,HS_MD!B:B,0),1),"")</f>
        <v>Citrates</v>
      </c>
      <c r="E171" s="17" t="str">
        <f>IFERROR(INDEX(HS_MD!E:E,MATCH(B171,HS_MD!B:B,0),1),"")</f>
        <v>Sodium Citrate</v>
      </c>
      <c r="F171" s="17" t="str">
        <f>IFERROR(INDEX(HS_MD!F:F,MATCH(B171,HS_MD!B:B,0),1),"")</f>
        <v>ACIDULANTS &amp; REGULATORS</v>
      </c>
      <c r="G171" s="17" t="str">
        <f>IFERROR(INDEX(HS_MD!G:G,MATCH(B171,HS_MD!B:B,0),1),"")</f>
        <v>Salts &amp; Buffers</v>
      </c>
      <c r="H171" s="17" t="str">
        <f>IFERROR(INDEX(HS_MD!H:H,MATCH(B171,HS_MD!B:B,0),1),"")</f>
        <v>Sodium Citrate</v>
      </c>
      <c r="I171" s="17" t="str">
        <f>IFERROR(INDEX(HS_MD!I:I,MATCH(B171,HS_MD!B:B,0),1),"")</f>
        <v>Beverages / Dairy</v>
      </c>
      <c r="J171" s="17">
        <f>IFERROR(INDEX(Heat_Map[Index],MATCH(HS_DB[[#This Row],[Reporter]],Heat_Map[Global],0),1),"")</f>
        <v>36</v>
      </c>
      <c r="K171" s="17" t="str">
        <f>IF(AND(HS_DB[[#This Row],[Origin Rank]]&gt;1,HS_DB[[#This Row],[Origin Rank]]&lt;=10),"Yes","No")</f>
        <v>No</v>
      </c>
      <c r="L171" s="2">
        <v>2024</v>
      </c>
      <c r="M171" s="2" t="s">
        <v>57</v>
      </c>
      <c r="N171" s="2" t="s">
        <v>1</v>
      </c>
      <c r="O171" s="2" t="s">
        <v>22</v>
      </c>
      <c r="P171" s="2" t="s">
        <v>23</v>
      </c>
      <c r="Q171" s="2" t="s">
        <v>24</v>
      </c>
      <c r="R171" s="2" t="s">
        <v>25</v>
      </c>
      <c r="S171" s="2">
        <v>291815</v>
      </c>
      <c r="T171" s="3">
        <v>1594007</v>
      </c>
      <c r="U171" s="3">
        <v>1956037</v>
      </c>
      <c r="V171" s="3">
        <v>0</v>
      </c>
      <c r="W171" s="3">
        <v>1956037</v>
      </c>
      <c r="X171" s="3" t="s">
        <v>58</v>
      </c>
      <c r="Y171" s="3">
        <v>1956037</v>
      </c>
      <c r="Z171" s="3" t="s">
        <v>58</v>
      </c>
      <c r="AA171" s="6">
        <f>SUMIFS(HS_DB[Trade Value - USD],HS_DB[Reporter],HS_DB[[#This Row],[Reporter]])/SUM(HS_DB[Trade Value - USD])</f>
        <v>6.321329281187793E-2</v>
      </c>
      <c r="AB171" s="8" cm="1">
        <f t="array" ref="AB171">SUMPRODUCT(
(HS_DB[Reporter]=HS_DB[[#This Row],[Reporter]])*
(HS_DB[Trade Value - USD]&gt;HS_DB[[#This Row],[Trade Value - USD]])
)+1</f>
        <v>16</v>
      </c>
      <c r="AC171" s="8" t="str">
        <f>IFERROR(IF(INDEX(Heat_Map[Crisis Impact %],MATCH(HS_DB[[#This Row],[Reporter]],Heat_Map[Global],0),1)&gt;0,"Yes","No"),"No")</f>
        <v>Yes</v>
      </c>
      <c r="AD171" s="6">
        <f>IFERROR(INDEX(Heat_Map[Crisis Impact %],MATCH(HS_DB[[#This Row],[Reporter]],Heat_Map[Global],0),1),0)</f>
        <v>0.14000000000000001</v>
      </c>
      <c r="AE171" s="8">
        <f>HS_DB[[#This Row],[Crisis Impact%]]*HS_DB[[#This Row],[Trade Value - USD]]</f>
        <v>223160.98</v>
      </c>
      <c r="AF171" s="8">
        <f>HS_DB[[#This Row],[Crisis Impact%]]*HS_DB[[#This Row],[Net Weight -KG]]</f>
        <v>273845.18000000005</v>
      </c>
      <c r="AG171" s="6">
        <f>SUMIFS(HS_DB[Trade Value - USD],HS_DB[Products],HS_DB[[#This Row],[Products]])/SUM(HS_DB[Trade Value - USD])</f>
        <v>2.1521984741853972E-3</v>
      </c>
      <c r="AH171" s="8">
        <f>_xlfn.RANK.EQ(HS_DB[[#This Row],[Trade Value - USD]], HS_DB[Trade Value - USD], 0)
 + COUNTIFS(HS_DB[Trade Value - USD],HS_DB[[#This Row],[Trade Value - USD]],
            HS_DB[HS Code],"&lt;"&amp;HS_DB[[#This Row],[HS Code]])</f>
        <v>72</v>
      </c>
      <c r="AI171" s="9">
        <f>IFERROR(HS_DB[[#This Row],[Trade Value - USD]]/HS_DB[[#This Row],[Net Weight -KG]],0)</f>
        <v>0.81491658900112829</v>
      </c>
      <c r="AJ171" s="17" cm="1">
        <f t="array" ref="AJ171">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71" s="17" t="str">
        <f>IF(HS_DB[[#This Row],[HS Code Risk Score]]&gt;=40,"High",
 IF(HS_DB[[#This Row],[HS Code Risk Score]]&gt;=25,"Medium","Low"))</f>
        <v>Medium</v>
      </c>
      <c r="AL171" s="17" t="str">
        <f>IF(RANK(HS_DB[[#This Row],[HS Code Risk Score]],HS_DB[HS Code Risk Score])&lt;=10,"Yes","No")</f>
        <v>No</v>
      </c>
      <c r="AM171" s="8">
        <f>SUMIFS(HS_DB[Net Weight -KG],HS_DB[HS Code],HS_DB[[#This Row],[HS Code]])</f>
        <v>2777277.2</v>
      </c>
      <c r="AN171" s="8">
        <f>SUMIFS(HS_DB[Trade Value - USD],HS_DB[HS Code],HS_DB[[#This Row],[HS Code]])</f>
        <v>4056912</v>
      </c>
      <c r="AO171" s="6">
        <f>_xlfn.MAXIFS(HS_DB[Origin Share%],HS_DB[HS Code],HS_DB[[#This Row],[HS Code]])</f>
        <v>6.321329281187793E-2</v>
      </c>
      <c r="AP171" s="8" cm="1">
        <f t="array" ref="AP171">_xlfn.LET(
_xlpm.hs,HS_DB[[#This Row],[HS Code]],
COUNTA(_xlfn.UNIQUE(_xlfn._xlws.FILTER(HS_DB[Reporter],HS_DB[HS Code]=_xlpm.hs)))
)</f>
        <v>14</v>
      </c>
      <c r="AQ171" s="17" t="str">
        <f>IF(HS_DB[[#This Row],[Origin Count]]=1,"Single Source","Multiple Sources")</f>
        <v>Multiple Sources</v>
      </c>
      <c r="AR171" s="8">
        <f>HS_DB[[#This Row],[Annual Spend - USD]]*(HS_DB[[#This Row],[HS Code Risk Score]]/100)</f>
        <v>1379350.08</v>
      </c>
      <c r="AS171" s="8">
        <f>RANK(HS_DB[[#This Row],[Risk Exposure - USD]],HS_DB[Risk Exposure - USD],0)</f>
        <v>428</v>
      </c>
      <c r="AT171" s="8" t="str">
        <f>IF(HS_DB[[#This Row],[Risk Exposure Rank]]&lt;=10,"High",
 IF(HS_DB[[#This Row],[Risk Exposure Rank]]&lt;=30,"Medium",
 "Low"))</f>
        <v>Low</v>
      </c>
      <c r="AU171" s="8" t="str">
        <f>IF(HS_DB[[#This Row],[Risk Exposure Rank]]&lt;=5,"Immediate Action",
 IF(HS_DB[[#This Row],[Risk Exposure Rank]]&lt;=15,"Monitor Closely",
 "Routine Control"))</f>
        <v>Routine Control</v>
      </c>
      <c r="AV171" s="8">
        <f>SUMIFS(HS_DB[Trade Value - USD],HS_DB[HS Code],HS_DB[[#This Row],[HS Code]])</f>
        <v>4056912</v>
      </c>
      <c r="AW171" s="6">
        <f>HS_DB[[#This Row],[Annual Spend - USD]]/HS_DB[[#This Row],[Total Market Size - USD]]</f>
        <v>1</v>
      </c>
      <c r="AX171" s="6" cm="1">
        <f t="array" ref="AX171">COUNTA(_xlfn.UNIQUE(_xlfn._xlws.FILTER(HS_DB[Partner],HS_DB[HS Code]=HS_DB[[#This Row],[HS Code]])))</f>
        <v>1</v>
      </c>
      <c r="AY171" s="8" t="str">
        <f>IF(HS_DB[[#This Row],[Competition Intensity]]&lt;=2,"Highly Concentrated",
 IF(HS_DB[[#This Row],[Competition Intensity]]&lt;=5,"Moderate",
 "Highly Competitive"))</f>
        <v>Highly Concentrated</v>
      </c>
      <c r="AZ171" s="8">
        <f>HS_DB[[#This Row],[Total Market Size - USD]]
*
(1+IFERROR(#REF!,0))
/
HS_DB[[#This Row],[Competition Intensity]]</f>
        <v>4056912</v>
      </c>
      <c r="BA171" s="8" t="str">
        <f>IF(HS_DB[[#This Row],[Commercial Opportunity Score]]&gt;=PERCENTILE(HS_DB[Commercial Opportunity Score],0.9),"High Opportunity",
 IF(HS_DB[[#This Row],[Commercial Opportunity Score]]&gt;=PERCENTILE(HS_DB[Commercial Opportunity Score],0.6),"Medium Opportunity",
 "Routine Market"))</f>
        <v>Routine Market</v>
      </c>
      <c r="BB171" s="3" t="str">
        <f>IF(AND(HS_DB[[#This Row],[Product Rank]]&gt;0,HS_DB[[#This Row],[Product Rank]]&lt;=10),"Yes","No")</f>
        <v>No</v>
      </c>
      <c r="BC171" s="3" t="str">
        <f>IF(AND(HS_DB[[#This Row],[Origin Rank]]&gt;0,HS_DB[[#This Row],[Origin Rank]]&lt;=10),"Yes","No")</f>
        <v>No</v>
      </c>
    </row>
    <row r="172" spans="2:55" x14ac:dyDescent="0.3">
      <c r="B172" s="2">
        <f>HS_DB[[#This Row],[Commodity Code]]</f>
        <v>291815</v>
      </c>
      <c r="C172" s="2">
        <f>IFERROR(INDEX(HS_MD!C:C,MATCH(B172,HS_MD!B:B,0),1),"")</f>
        <v>9</v>
      </c>
      <c r="D172" s="17" t="str">
        <f>IFERROR(INDEX(HS_MD!D:D,MATCH(B172,HS_MD!B:B,0),1),"")</f>
        <v>Citrates</v>
      </c>
      <c r="E172" s="17" t="str">
        <f>IFERROR(INDEX(HS_MD!E:E,MATCH(B172,HS_MD!B:B,0),1),"")</f>
        <v>Sodium Citrate</v>
      </c>
      <c r="F172" s="17" t="str">
        <f>IFERROR(INDEX(HS_MD!F:F,MATCH(B172,HS_MD!B:B,0),1),"")</f>
        <v>ACIDULANTS &amp; REGULATORS</v>
      </c>
      <c r="G172" s="17" t="str">
        <f>IFERROR(INDEX(HS_MD!G:G,MATCH(B172,HS_MD!B:B,0),1),"")</f>
        <v>Salts &amp; Buffers</v>
      </c>
      <c r="H172" s="17" t="str">
        <f>IFERROR(INDEX(HS_MD!H:H,MATCH(B172,HS_MD!B:B,0),1),"")</f>
        <v>Sodium Citrate</v>
      </c>
      <c r="I172" s="17" t="str">
        <f>IFERROR(INDEX(HS_MD!I:I,MATCH(B172,HS_MD!B:B,0),1),"")</f>
        <v>Beverages / Dairy</v>
      </c>
      <c r="J172" s="17">
        <f>IFERROR(INDEX(Heat_Map[Index],MATCH(HS_DB[[#This Row],[Reporter]],Heat_Map[Global],0),1),"")</f>
        <v>37</v>
      </c>
      <c r="K172" s="17" t="str">
        <f>IF(AND(HS_DB[[#This Row],[Origin Rank]]&gt;1,HS_DB[[#This Row],[Origin Rank]]&lt;=10),"Yes","No")</f>
        <v>Yes</v>
      </c>
      <c r="L172" s="2">
        <v>2024</v>
      </c>
      <c r="M172" s="2" t="s">
        <v>57</v>
      </c>
      <c r="N172" s="2" t="s">
        <v>40</v>
      </c>
      <c r="O172" s="2" t="s">
        <v>22</v>
      </c>
      <c r="P172" s="2" t="s">
        <v>23</v>
      </c>
      <c r="Q172" s="2" t="s">
        <v>24</v>
      </c>
      <c r="R172" s="2" t="s">
        <v>25</v>
      </c>
      <c r="S172" s="2">
        <v>291815</v>
      </c>
      <c r="T172" s="3">
        <v>84950</v>
      </c>
      <c r="U172" s="3">
        <v>19500</v>
      </c>
      <c r="V172" s="3">
        <v>0</v>
      </c>
      <c r="W172" s="3">
        <v>19500</v>
      </c>
      <c r="X172" s="3" t="s">
        <v>58</v>
      </c>
      <c r="Y172" s="3">
        <v>19500</v>
      </c>
      <c r="Z172" s="3" t="s">
        <v>58</v>
      </c>
      <c r="AA172" s="6">
        <f>SUMIFS(HS_DB[Trade Value - USD],HS_DB[Reporter],HS_DB[[#This Row],[Reporter]])/SUM(HS_DB[Trade Value - USD])</f>
        <v>1.0324304639960562E-4</v>
      </c>
      <c r="AB172" s="8" cm="1">
        <f t="array" ref="AB172">SUMPRODUCT(
(HS_DB[Reporter]=HS_DB[[#This Row],[Reporter]])*
(HS_DB[Trade Value - USD]&gt;HS_DB[[#This Row],[Trade Value - USD]])
)+1</f>
        <v>2</v>
      </c>
      <c r="AC172" s="8" t="str">
        <f>IFERROR(IF(INDEX(Heat_Map[Crisis Impact %],MATCH(HS_DB[[#This Row],[Reporter]],Heat_Map[Global],0),1)&gt;0,"Yes","No"),"No")</f>
        <v>No</v>
      </c>
      <c r="AD172" s="6">
        <f>IFERROR(INDEX(Heat_Map[Crisis Impact %],MATCH(HS_DB[[#This Row],[Reporter]],Heat_Map[Global],0),1),0)</f>
        <v>0</v>
      </c>
      <c r="AE172" s="8">
        <f>HS_DB[[#This Row],[Crisis Impact%]]*HS_DB[[#This Row],[Trade Value - USD]]</f>
        <v>0</v>
      </c>
      <c r="AF172" s="8">
        <f>HS_DB[[#This Row],[Crisis Impact%]]*HS_DB[[#This Row],[Net Weight -KG]]</f>
        <v>0</v>
      </c>
      <c r="AG172" s="6">
        <f>SUMIFS(HS_DB[Trade Value - USD],HS_DB[Products],HS_DB[[#This Row],[Products]])/SUM(HS_DB[Trade Value - USD])</f>
        <v>2.1521984741853972E-3</v>
      </c>
      <c r="AH172" s="8">
        <f>_xlfn.RANK.EQ(HS_DB[[#This Row],[Trade Value - USD]], HS_DB[Trade Value - USD], 0)
 + COUNTIFS(HS_DB[Trade Value - USD],HS_DB[[#This Row],[Trade Value - USD]],
            HS_DB[HS Code],"&lt;"&amp;HS_DB[[#This Row],[HS Code]])</f>
        <v>287</v>
      </c>
      <c r="AI172" s="9">
        <f>IFERROR(HS_DB[[#This Row],[Trade Value - USD]]/HS_DB[[#This Row],[Net Weight -KG]],0)</f>
        <v>4.356410256410256</v>
      </c>
      <c r="AJ172" s="17" cm="1">
        <f t="array" ref="AJ172">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72" s="17" t="str">
        <f>IF(HS_DB[[#This Row],[HS Code Risk Score]]&gt;=40,"High",
 IF(HS_DB[[#This Row],[HS Code Risk Score]]&gt;=25,"Medium","Low"))</f>
        <v>Medium</v>
      </c>
      <c r="AL172" s="17" t="str">
        <f>IF(RANK(HS_DB[[#This Row],[HS Code Risk Score]],HS_DB[HS Code Risk Score])&lt;=10,"Yes","No")</f>
        <v>No</v>
      </c>
      <c r="AM172" s="8">
        <f>SUMIFS(HS_DB[Net Weight -KG],HS_DB[HS Code],HS_DB[[#This Row],[HS Code]])</f>
        <v>2777277.2</v>
      </c>
      <c r="AN172" s="8">
        <f>SUMIFS(HS_DB[Trade Value - USD],HS_DB[HS Code],HS_DB[[#This Row],[HS Code]])</f>
        <v>4056912</v>
      </c>
      <c r="AO172" s="6">
        <f>_xlfn.MAXIFS(HS_DB[Origin Share%],HS_DB[HS Code],HS_DB[[#This Row],[HS Code]])</f>
        <v>6.321329281187793E-2</v>
      </c>
      <c r="AP172" s="8" cm="1">
        <f t="array" ref="AP172">_xlfn.LET(
_xlpm.hs,HS_DB[[#This Row],[HS Code]],
COUNTA(_xlfn.UNIQUE(_xlfn._xlws.FILTER(HS_DB[Reporter],HS_DB[HS Code]=_xlpm.hs)))
)</f>
        <v>14</v>
      </c>
      <c r="AQ172" s="17" t="str">
        <f>IF(HS_DB[[#This Row],[Origin Count]]=1,"Single Source","Multiple Sources")</f>
        <v>Multiple Sources</v>
      </c>
      <c r="AR172" s="8">
        <f>HS_DB[[#This Row],[Annual Spend - USD]]*(HS_DB[[#This Row],[HS Code Risk Score]]/100)</f>
        <v>1379350.08</v>
      </c>
      <c r="AS172" s="8">
        <f>RANK(HS_DB[[#This Row],[Risk Exposure - USD]],HS_DB[Risk Exposure - USD],0)</f>
        <v>428</v>
      </c>
      <c r="AT172" s="8" t="str">
        <f>IF(HS_DB[[#This Row],[Risk Exposure Rank]]&lt;=10,"High",
 IF(HS_DB[[#This Row],[Risk Exposure Rank]]&lt;=30,"Medium",
 "Low"))</f>
        <v>Low</v>
      </c>
      <c r="AU172" s="8" t="str">
        <f>IF(HS_DB[[#This Row],[Risk Exposure Rank]]&lt;=5,"Immediate Action",
 IF(HS_DB[[#This Row],[Risk Exposure Rank]]&lt;=15,"Monitor Closely",
 "Routine Control"))</f>
        <v>Routine Control</v>
      </c>
      <c r="AV172" s="8">
        <f>SUMIFS(HS_DB[Trade Value - USD],HS_DB[HS Code],HS_DB[[#This Row],[HS Code]])</f>
        <v>4056912</v>
      </c>
      <c r="AW172" s="6">
        <f>HS_DB[[#This Row],[Annual Spend - USD]]/HS_DB[[#This Row],[Total Market Size - USD]]</f>
        <v>1</v>
      </c>
      <c r="AX172" s="6" cm="1">
        <f t="array" ref="AX172">COUNTA(_xlfn.UNIQUE(_xlfn._xlws.FILTER(HS_DB[Partner],HS_DB[HS Code]=HS_DB[[#This Row],[HS Code]])))</f>
        <v>1</v>
      </c>
      <c r="AY172" s="8" t="str">
        <f>IF(HS_DB[[#This Row],[Competition Intensity]]&lt;=2,"Highly Concentrated",
 IF(HS_DB[[#This Row],[Competition Intensity]]&lt;=5,"Moderate",
 "Highly Competitive"))</f>
        <v>Highly Concentrated</v>
      </c>
      <c r="AZ172" s="8">
        <f>HS_DB[[#This Row],[Total Market Size - USD]]
*
(1+IFERROR(#REF!,0))
/
HS_DB[[#This Row],[Competition Intensity]]</f>
        <v>4056912</v>
      </c>
      <c r="BA172" s="8" t="str">
        <f>IF(HS_DB[[#This Row],[Commercial Opportunity Score]]&gt;=PERCENTILE(HS_DB[Commercial Opportunity Score],0.9),"High Opportunity",
 IF(HS_DB[[#This Row],[Commercial Opportunity Score]]&gt;=PERCENTILE(HS_DB[Commercial Opportunity Score],0.6),"Medium Opportunity",
 "Routine Market"))</f>
        <v>Routine Market</v>
      </c>
      <c r="BB172" s="3" t="str">
        <f>IF(AND(HS_DB[[#This Row],[Product Rank]]&gt;0,HS_DB[[#This Row],[Product Rank]]&lt;=10),"Yes","No")</f>
        <v>No</v>
      </c>
      <c r="BC172" s="3" t="str">
        <f>IF(AND(HS_DB[[#This Row],[Origin Rank]]&gt;0,HS_DB[[#This Row],[Origin Rank]]&lt;=10),"Yes","No")</f>
        <v>Yes</v>
      </c>
    </row>
    <row r="173" spans="2:55" x14ac:dyDescent="0.3">
      <c r="B173" s="2">
        <f>HS_DB[[#This Row],[Commodity Code]]</f>
        <v>291815</v>
      </c>
      <c r="C173" s="2">
        <f>IFERROR(INDEX(HS_MD!C:C,MATCH(B173,HS_MD!B:B,0),1),"")</f>
        <v>9</v>
      </c>
      <c r="D173" s="17" t="str">
        <f>IFERROR(INDEX(HS_MD!D:D,MATCH(B173,HS_MD!B:B,0),1),"")</f>
        <v>Citrates</v>
      </c>
      <c r="E173" s="17" t="str">
        <f>IFERROR(INDEX(HS_MD!E:E,MATCH(B173,HS_MD!B:B,0),1),"")</f>
        <v>Sodium Citrate</v>
      </c>
      <c r="F173" s="17" t="str">
        <f>IFERROR(INDEX(HS_MD!F:F,MATCH(B173,HS_MD!B:B,0),1),"")</f>
        <v>ACIDULANTS &amp; REGULATORS</v>
      </c>
      <c r="G173" s="17" t="str">
        <f>IFERROR(INDEX(HS_MD!G:G,MATCH(B173,HS_MD!B:B,0),1),"")</f>
        <v>Salts &amp; Buffers</v>
      </c>
      <c r="H173" s="17" t="str">
        <f>IFERROR(INDEX(HS_MD!H:H,MATCH(B173,HS_MD!B:B,0),1),"")</f>
        <v>Sodium Citrate</v>
      </c>
      <c r="I173" s="17" t="str">
        <f>IFERROR(INDEX(HS_MD!I:I,MATCH(B173,HS_MD!B:B,0),1),"")</f>
        <v>Beverages / Dairy</v>
      </c>
      <c r="J173" s="17">
        <f>IFERROR(INDEX(Heat_Map[Index],MATCH(HS_DB[[#This Row],[Reporter]],Heat_Map[Global],0),1),"")</f>
        <v>59</v>
      </c>
      <c r="K173" s="17" t="str">
        <f>IF(AND(HS_DB[[#This Row],[Origin Rank]]&gt;1,HS_DB[[#This Row],[Origin Rank]]&lt;=10),"Yes","No")</f>
        <v>No</v>
      </c>
      <c r="L173" s="2">
        <v>2024</v>
      </c>
      <c r="M173" s="2" t="s">
        <v>57</v>
      </c>
      <c r="N173" s="2" t="s">
        <v>44</v>
      </c>
      <c r="O173" s="2" t="s">
        <v>22</v>
      </c>
      <c r="P173" s="2" t="s">
        <v>23</v>
      </c>
      <c r="Q173" s="2" t="s">
        <v>24</v>
      </c>
      <c r="R173" s="2" t="s">
        <v>25</v>
      </c>
      <c r="S173" s="2">
        <v>291815</v>
      </c>
      <c r="T173" s="3">
        <v>218744</v>
      </c>
      <c r="U173" s="3">
        <v>11550</v>
      </c>
      <c r="V173" s="3">
        <v>0</v>
      </c>
      <c r="W173" s="3">
        <v>11550</v>
      </c>
      <c r="X173" s="3" t="s">
        <v>58</v>
      </c>
      <c r="Y173" s="3">
        <v>11550</v>
      </c>
      <c r="Z173" s="3" t="s">
        <v>58</v>
      </c>
      <c r="AA173" s="6">
        <f>SUMIFS(HS_DB[Trade Value - USD],HS_DB[Reporter],HS_DB[[#This Row],[Reporter]])/SUM(HS_DB[Trade Value - USD])</f>
        <v>1.6951290293147386E-2</v>
      </c>
      <c r="AB173" s="8" cm="1">
        <f t="array" ref="AB173">SUMPRODUCT(
(HS_DB[Reporter]=HS_DB[[#This Row],[Reporter]])*
(HS_DB[Trade Value - USD]&gt;HS_DB[[#This Row],[Trade Value - USD]])
)+1</f>
        <v>17</v>
      </c>
      <c r="AC173" s="8" t="str">
        <f>IFERROR(IF(INDEX(Heat_Map[Crisis Impact %],MATCH(HS_DB[[#This Row],[Reporter]],Heat_Map[Global],0),1)&gt;0,"Yes","No"),"No")</f>
        <v>No</v>
      </c>
      <c r="AD173" s="6">
        <f>IFERROR(INDEX(Heat_Map[Crisis Impact %],MATCH(HS_DB[[#This Row],[Reporter]],Heat_Map[Global],0),1),0)</f>
        <v>0</v>
      </c>
      <c r="AE173" s="8">
        <f>HS_DB[[#This Row],[Crisis Impact%]]*HS_DB[[#This Row],[Trade Value - USD]]</f>
        <v>0</v>
      </c>
      <c r="AF173" s="8">
        <f>HS_DB[[#This Row],[Crisis Impact%]]*HS_DB[[#This Row],[Net Weight -KG]]</f>
        <v>0</v>
      </c>
      <c r="AG173" s="6">
        <f>SUMIFS(HS_DB[Trade Value - USD],HS_DB[Products],HS_DB[[#This Row],[Products]])/SUM(HS_DB[Trade Value - USD])</f>
        <v>2.1521984741853972E-3</v>
      </c>
      <c r="AH173" s="8">
        <f>_xlfn.RANK.EQ(HS_DB[[#This Row],[Trade Value - USD]], HS_DB[Trade Value - USD], 0)
 + COUNTIFS(HS_DB[Trade Value - USD],HS_DB[[#This Row],[Trade Value - USD]],
            HS_DB[HS Code],"&lt;"&amp;HS_DB[[#This Row],[HS Code]])</f>
        <v>211</v>
      </c>
      <c r="AI173" s="9">
        <f>IFERROR(HS_DB[[#This Row],[Trade Value - USD]]/HS_DB[[#This Row],[Net Weight -KG]],0)</f>
        <v>18.938874458874459</v>
      </c>
      <c r="AJ173" s="17" cm="1">
        <f t="array" ref="AJ173">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73" s="17" t="str">
        <f>IF(HS_DB[[#This Row],[HS Code Risk Score]]&gt;=40,"High",
 IF(HS_DB[[#This Row],[HS Code Risk Score]]&gt;=25,"Medium","Low"))</f>
        <v>Medium</v>
      </c>
      <c r="AL173" s="17" t="str">
        <f>IF(RANK(HS_DB[[#This Row],[HS Code Risk Score]],HS_DB[HS Code Risk Score])&lt;=10,"Yes","No")</f>
        <v>No</v>
      </c>
      <c r="AM173" s="8">
        <f>SUMIFS(HS_DB[Net Weight -KG],HS_DB[HS Code],HS_DB[[#This Row],[HS Code]])</f>
        <v>2777277.2</v>
      </c>
      <c r="AN173" s="8">
        <f>SUMIFS(HS_DB[Trade Value - USD],HS_DB[HS Code],HS_DB[[#This Row],[HS Code]])</f>
        <v>4056912</v>
      </c>
      <c r="AO173" s="6">
        <f>_xlfn.MAXIFS(HS_DB[Origin Share%],HS_DB[HS Code],HS_DB[[#This Row],[HS Code]])</f>
        <v>6.321329281187793E-2</v>
      </c>
      <c r="AP173" s="8" cm="1">
        <f t="array" ref="AP173">_xlfn.LET(
_xlpm.hs,HS_DB[[#This Row],[HS Code]],
COUNTA(_xlfn.UNIQUE(_xlfn._xlws.FILTER(HS_DB[Reporter],HS_DB[HS Code]=_xlpm.hs)))
)</f>
        <v>14</v>
      </c>
      <c r="AQ173" s="17" t="str">
        <f>IF(HS_DB[[#This Row],[Origin Count]]=1,"Single Source","Multiple Sources")</f>
        <v>Multiple Sources</v>
      </c>
      <c r="AR173" s="8">
        <f>HS_DB[[#This Row],[Annual Spend - USD]]*(HS_DB[[#This Row],[HS Code Risk Score]]/100)</f>
        <v>1379350.08</v>
      </c>
      <c r="AS173" s="8">
        <f>RANK(HS_DB[[#This Row],[Risk Exposure - USD]],HS_DB[Risk Exposure - USD],0)</f>
        <v>428</v>
      </c>
      <c r="AT173" s="8" t="str">
        <f>IF(HS_DB[[#This Row],[Risk Exposure Rank]]&lt;=10,"High",
 IF(HS_DB[[#This Row],[Risk Exposure Rank]]&lt;=30,"Medium",
 "Low"))</f>
        <v>Low</v>
      </c>
      <c r="AU173" s="8" t="str">
        <f>IF(HS_DB[[#This Row],[Risk Exposure Rank]]&lt;=5,"Immediate Action",
 IF(HS_DB[[#This Row],[Risk Exposure Rank]]&lt;=15,"Monitor Closely",
 "Routine Control"))</f>
        <v>Routine Control</v>
      </c>
      <c r="AV173" s="8">
        <f>SUMIFS(HS_DB[Trade Value - USD],HS_DB[HS Code],HS_DB[[#This Row],[HS Code]])</f>
        <v>4056912</v>
      </c>
      <c r="AW173" s="6">
        <f>HS_DB[[#This Row],[Annual Spend - USD]]/HS_DB[[#This Row],[Total Market Size - USD]]</f>
        <v>1</v>
      </c>
      <c r="AX173" s="6" cm="1">
        <f t="array" ref="AX173">COUNTA(_xlfn.UNIQUE(_xlfn._xlws.FILTER(HS_DB[Partner],HS_DB[HS Code]=HS_DB[[#This Row],[HS Code]])))</f>
        <v>1</v>
      </c>
      <c r="AY173" s="8" t="str">
        <f>IF(HS_DB[[#This Row],[Competition Intensity]]&lt;=2,"Highly Concentrated",
 IF(HS_DB[[#This Row],[Competition Intensity]]&lt;=5,"Moderate",
 "Highly Competitive"))</f>
        <v>Highly Concentrated</v>
      </c>
      <c r="AZ173" s="8">
        <f>HS_DB[[#This Row],[Total Market Size - USD]]
*
(1+IFERROR(#REF!,0))
/
HS_DB[[#This Row],[Competition Intensity]]</f>
        <v>4056912</v>
      </c>
      <c r="BA173" s="8" t="str">
        <f>IF(HS_DB[[#This Row],[Commercial Opportunity Score]]&gt;=PERCENTILE(HS_DB[Commercial Opportunity Score],0.9),"High Opportunity",
 IF(HS_DB[[#This Row],[Commercial Opportunity Score]]&gt;=PERCENTILE(HS_DB[Commercial Opportunity Score],0.6),"Medium Opportunity",
 "Routine Market"))</f>
        <v>Routine Market</v>
      </c>
      <c r="BB173" s="3" t="str">
        <f>IF(AND(HS_DB[[#This Row],[Product Rank]]&gt;0,HS_DB[[#This Row],[Product Rank]]&lt;=10),"Yes","No")</f>
        <v>No</v>
      </c>
      <c r="BC173" s="3" t="str">
        <f>IF(AND(HS_DB[[#This Row],[Origin Rank]]&gt;0,HS_DB[[#This Row],[Origin Rank]]&lt;=10),"Yes","No")</f>
        <v>No</v>
      </c>
    </row>
    <row r="174" spans="2:55" x14ac:dyDescent="0.3">
      <c r="B174" s="2">
        <f>HS_DB[[#This Row],[Commodity Code]]</f>
        <v>291815</v>
      </c>
      <c r="C174" s="2">
        <f>IFERROR(INDEX(HS_MD!C:C,MATCH(B174,HS_MD!B:B,0),1),"")</f>
        <v>9</v>
      </c>
      <c r="D174" s="17" t="str">
        <f>IFERROR(INDEX(HS_MD!D:D,MATCH(B174,HS_MD!B:B,0),1),"")</f>
        <v>Citrates</v>
      </c>
      <c r="E174" s="17" t="str">
        <f>IFERROR(INDEX(HS_MD!E:E,MATCH(B174,HS_MD!B:B,0),1),"")</f>
        <v>Sodium Citrate</v>
      </c>
      <c r="F174" s="17" t="str">
        <f>IFERROR(INDEX(HS_MD!F:F,MATCH(B174,HS_MD!B:B,0),1),"")</f>
        <v>ACIDULANTS &amp; REGULATORS</v>
      </c>
      <c r="G174" s="17" t="str">
        <f>IFERROR(INDEX(HS_MD!G:G,MATCH(B174,HS_MD!B:B,0),1),"")</f>
        <v>Salts &amp; Buffers</v>
      </c>
      <c r="H174" s="17" t="str">
        <f>IFERROR(INDEX(HS_MD!H:H,MATCH(B174,HS_MD!B:B,0),1),"")</f>
        <v>Sodium Citrate</v>
      </c>
      <c r="I174" s="17" t="str">
        <f>IFERROR(INDEX(HS_MD!I:I,MATCH(B174,HS_MD!B:B,0),1),"")</f>
        <v>Beverages / Dairy</v>
      </c>
      <c r="J174" s="17">
        <f>IFERROR(INDEX(Heat_Map[Index],MATCH(HS_DB[[#This Row],[Reporter]],Heat_Map[Global],0),1),"")</f>
        <v>63</v>
      </c>
      <c r="K174" s="17" t="str">
        <f>IF(AND(HS_DB[[#This Row],[Origin Rank]]&gt;1,HS_DB[[#This Row],[Origin Rank]]&lt;=10),"Yes","No")</f>
        <v>No</v>
      </c>
      <c r="L174" s="2">
        <v>2024</v>
      </c>
      <c r="M174" s="2" t="s">
        <v>57</v>
      </c>
      <c r="N174" s="2" t="s">
        <v>2</v>
      </c>
      <c r="O174" s="2" t="s">
        <v>22</v>
      </c>
      <c r="P174" s="2" t="s">
        <v>23</v>
      </c>
      <c r="Q174" s="2" t="s">
        <v>24</v>
      </c>
      <c r="R174" s="2" t="s">
        <v>25</v>
      </c>
      <c r="S174" s="2">
        <v>291815</v>
      </c>
      <c r="T174" s="3">
        <v>727987</v>
      </c>
      <c r="U174" s="3">
        <v>120481</v>
      </c>
      <c r="V174" s="3">
        <v>0</v>
      </c>
      <c r="W174" s="3">
        <v>120481</v>
      </c>
      <c r="X174" s="3" t="s">
        <v>58</v>
      </c>
      <c r="Y174" s="3">
        <v>120481</v>
      </c>
      <c r="Z174" s="3" t="s">
        <v>58</v>
      </c>
      <c r="AA174" s="6">
        <f>SUMIFS(HS_DB[Trade Value - USD],HS_DB[Reporter],HS_DB[[#This Row],[Reporter]])/SUM(HS_DB[Trade Value - USD])</f>
        <v>1.1674623358397021E-2</v>
      </c>
      <c r="AB174" s="8" cm="1">
        <f t="array" ref="AB174">SUMPRODUCT(
(HS_DB[Reporter]=HS_DB[[#This Row],[Reporter]])*
(HS_DB[Trade Value - USD]&gt;HS_DB[[#This Row],[Trade Value - USD]])
)+1</f>
        <v>11</v>
      </c>
      <c r="AC174" s="8" t="str">
        <f>IFERROR(IF(INDEX(Heat_Map[Crisis Impact %],MATCH(HS_DB[[#This Row],[Reporter]],Heat_Map[Global],0),1)&gt;0,"Yes","No"),"No")</f>
        <v>No</v>
      </c>
      <c r="AD174" s="6">
        <f>IFERROR(INDEX(Heat_Map[Crisis Impact %],MATCH(HS_DB[[#This Row],[Reporter]],Heat_Map[Global],0),1),0)</f>
        <v>0</v>
      </c>
      <c r="AE174" s="8">
        <f>HS_DB[[#This Row],[Crisis Impact%]]*HS_DB[[#This Row],[Trade Value - USD]]</f>
        <v>0</v>
      </c>
      <c r="AF174" s="8">
        <f>HS_DB[[#This Row],[Crisis Impact%]]*HS_DB[[#This Row],[Net Weight -KG]]</f>
        <v>0</v>
      </c>
      <c r="AG174" s="6">
        <f>SUMIFS(HS_DB[Trade Value - USD],HS_DB[Products],HS_DB[[#This Row],[Products]])/SUM(HS_DB[Trade Value - USD])</f>
        <v>2.1521984741853972E-3</v>
      </c>
      <c r="AH174" s="8">
        <f>_xlfn.RANK.EQ(HS_DB[[#This Row],[Trade Value - USD]], HS_DB[Trade Value - USD], 0)
 + COUNTIFS(HS_DB[Trade Value - USD],HS_DB[[#This Row],[Trade Value - USD]],
            HS_DB[HS Code],"&lt;"&amp;HS_DB[[#This Row],[HS Code]])</f>
        <v>119</v>
      </c>
      <c r="AI174" s="9">
        <f>IFERROR(HS_DB[[#This Row],[Trade Value - USD]]/HS_DB[[#This Row],[Net Weight -KG]],0)</f>
        <v>6.0423386260074201</v>
      </c>
      <c r="AJ174" s="17" cm="1">
        <f t="array" ref="AJ174">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74" s="17" t="str">
        <f>IF(HS_DB[[#This Row],[HS Code Risk Score]]&gt;=40,"High",
 IF(HS_DB[[#This Row],[HS Code Risk Score]]&gt;=25,"Medium","Low"))</f>
        <v>Medium</v>
      </c>
      <c r="AL174" s="17" t="str">
        <f>IF(RANK(HS_DB[[#This Row],[HS Code Risk Score]],HS_DB[HS Code Risk Score])&lt;=10,"Yes","No")</f>
        <v>No</v>
      </c>
      <c r="AM174" s="8">
        <f>SUMIFS(HS_DB[Net Weight -KG],HS_DB[HS Code],HS_DB[[#This Row],[HS Code]])</f>
        <v>2777277.2</v>
      </c>
      <c r="AN174" s="8">
        <f>SUMIFS(HS_DB[Trade Value - USD],HS_DB[HS Code],HS_DB[[#This Row],[HS Code]])</f>
        <v>4056912</v>
      </c>
      <c r="AO174" s="6">
        <f>_xlfn.MAXIFS(HS_DB[Origin Share%],HS_DB[HS Code],HS_DB[[#This Row],[HS Code]])</f>
        <v>6.321329281187793E-2</v>
      </c>
      <c r="AP174" s="8" cm="1">
        <f t="array" ref="AP174">_xlfn.LET(
_xlpm.hs,HS_DB[[#This Row],[HS Code]],
COUNTA(_xlfn.UNIQUE(_xlfn._xlws.FILTER(HS_DB[Reporter],HS_DB[HS Code]=_xlpm.hs)))
)</f>
        <v>14</v>
      </c>
      <c r="AQ174" s="17" t="str">
        <f>IF(HS_DB[[#This Row],[Origin Count]]=1,"Single Source","Multiple Sources")</f>
        <v>Multiple Sources</v>
      </c>
      <c r="AR174" s="8">
        <f>HS_DB[[#This Row],[Annual Spend - USD]]*(HS_DB[[#This Row],[HS Code Risk Score]]/100)</f>
        <v>1379350.08</v>
      </c>
      <c r="AS174" s="8">
        <f>RANK(HS_DB[[#This Row],[Risk Exposure - USD]],HS_DB[Risk Exposure - USD],0)</f>
        <v>428</v>
      </c>
      <c r="AT174" s="8" t="str">
        <f>IF(HS_DB[[#This Row],[Risk Exposure Rank]]&lt;=10,"High",
 IF(HS_DB[[#This Row],[Risk Exposure Rank]]&lt;=30,"Medium",
 "Low"))</f>
        <v>Low</v>
      </c>
      <c r="AU174" s="8" t="str">
        <f>IF(HS_DB[[#This Row],[Risk Exposure Rank]]&lt;=5,"Immediate Action",
 IF(HS_DB[[#This Row],[Risk Exposure Rank]]&lt;=15,"Monitor Closely",
 "Routine Control"))</f>
        <v>Routine Control</v>
      </c>
      <c r="AV174" s="8">
        <f>SUMIFS(HS_DB[Trade Value - USD],HS_DB[HS Code],HS_DB[[#This Row],[HS Code]])</f>
        <v>4056912</v>
      </c>
      <c r="AW174" s="6">
        <f>HS_DB[[#This Row],[Annual Spend - USD]]/HS_DB[[#This Row],[Total Market Size - USD]]</f>
        <v>1</v>
      </c>
      <c r="AX174" s="6" cm="1">
        <f t="array" ref="AX174">COUNTA(_xlfn.UNIQUE(_xlfn._xlws.FILTER(HS_DB[Partner],HS_DB[HS Code]=HS_DB[[#This Row],[HS Code]])))</f>
        <v>1</v>
      </c>
      <c r="AY174" s="8" t="str">
        <f>IF(HS_DB[[#This Row],[Competition Intensity]]&lt;=2,"Highly Concentrated",
 IF(HS_DB[[#This Row],[Competition Intensity]]&lt;=5,"Moderate",
 "Highly Competitive"))</f>
        <v>Highly Concentrated</v>
      </c>
      <c r="AZ174" s="8">
        <f>HS_DB[[#This Row],[Total Market Size - USD]]
*
(1+IFERROR(#REF!,0))
/
HS_DB[[#This Row],[Competition Intensity]]</f>
        <v>4056912</v>
      </c>
      <c r="BA174" s="8" t="str">
        <f>IF(HS_DB[[#This Row],[Commercial Opportunity Score]]&gt;=PERCENTILE(HS_DB[Commercial Opportunity Score],0.9),"High Opportunity",
 IF(HS_DB[[#This Row],[Commercial Opportunity Score]]&gt;=PERCENTILE(HS_DB[Commercial Opportunity Score],0.6),"Medium Opportunity",
 "Routine Market"))</f>
        <v>Routine Market</v>
      </c>
      <c r="BB174" s="3" t="str">
        <f>IF(AND(HS_DB[[#This Row],[Product Rank]]&gt;0,HS_DB[[#This Row],[Product Rank]]&lt;=10),"Yes","No")</f>
        <v>No</v>
      </c>
      <c r="BC174" s="3" t="str">
        <f>IF(AND(HS_DB[[#This Row],[Origin Rank]]&gt;0,HS_DB[[#This Row],[Origin Rank]]&lt;=10),"Yes","No")</f>
        <v>No</v>
      </c>
    </row>
    <row r="175" spans="2:55" x14ac:dyDescent="0.3">
      <c r="B175" s="2">
        <f>HS_DB[[#This Row],[Commodity Code]]</f>
        <v>291815</v>
      </c>
      <c r="C175" s="2">
        <f>IFERROR(INDEX(HS_MD!C:C,MATCH(B175,HS_MD!B:B,0),1),"")</f>
        <v>9</v>
      </c>
      <c r="D175" s="17" t="str">
        <f>IFERROR(INDEX(HS_MD!D:D,MATCH(B175,HS_MD!B:B,0),1),"")</f>
        <v>Citrates</v>
      </c>
      <c r="E175" s="17" t="str">
        <f>IFERROR(INDEX(HS_MD!E:E,MATCH(B175,HS_MD!B:B,0),1),"")</f>
        <v>Sodium Citrate</v>
      </c>
      <c r="F175" s="17" t="str">
        <f>IFERROR(INDEX(HS_MD!F:F,MATCH(B175,HS_MD!B:B,0),1),"")</f>
        <v>ACIDULANTS &amp; REGULATORS</v>
      </c>
      <c r="G175" s="17" t="str">
        <f>IFERROR(INDEX(HS_MD!G:G,MATCH(B175,HS_MD!B:B,0),1),"")</f>
        <v>Salts &amp; Buffers</v>
      </c>
      <c r="H175" s="17" t="str">
        <f>IFERROR(INDEX(HS_MD!H:H,MATCH(B175,HS_MD!B:B,0),1),"")</f>
        <v>Sodium Citrate</v>
      </c>
      <c r="I175" s="17" t="str">
        <f>IFERROR(INDEX(HS_MD!I:I,MATCH(B175,HS_MD!B:B,0),1),"")</f>
        <v>Beverages / Dairy</v>
      </c>
      <c r="J175" s="17">
        <f>IFERROR(INDEX(Heat_Map[Index],MATCH(HS_DB[[#This Row],[Reporter]],Heat_Map[Global],0),1),"")</f>
        <v>65</v>
      </c>
      <c r="K175" s="17" t="str">
        <f>IF(AND(HS_DB[[#This Row],[Origin Rank]]&gt;1,HS_DB[[#This Row],[Origin Rank]]&lt;=10),"Yes","No")</f>
        <v>Yes</v>
      </c>
      <c r="L175" s="2">
        <v>2024</v>
      </c>
      <c r="M175" s="2" t="s">
        <v>57</v>
      </c>
      <c r="N175" s="2" t="s">
        <v>45</v>
      </c>
      <c r="O175" s="2" t="s">
        <v>22</v>
      </c>
      <c r="P175" s="2" t="s">
        <v>23</v>
      </c>
      <c r="Q175" s="2" t="s">
        <v>24</v>
      </c>
      <c r="R175" s="2" t="s">
        <v>25</v>
      </c>
      <c r="S175" s="2">
        <v>291815</v>
      </c>
      <c r="T175" s="3">
        <v>582</v>
      </c>
      <c r="U175" s="3">
        <v>25</v>
      </c>
      <c r="V175" s="3">
        <v>0</v>
      </c>
      <c r="W175" s="3">
        <v>25</v>
      </c>
      <c r="X175" s="3" t="s">
        <v>58</v>
      </c>
      <c r="Y175" s="3">
        <v>25</v>
      </c>
      <c r="Z175" s="3" t="s">
        <v>58</v>
      </c>
      <c r="AA175" s="6">
        <f>SUMIFS(HS_DB[Trade Value - USD],HS_DB[Reporter],HS_DB[[#This Row],[Reporter]])/SUM(HS_DB[Trade Value - USD])</f>
        <v>7.8962835084717131E-4</v>
      </c>
      <c r="AB175" s="8" cm="1">
        <f t="array" ref="AB175">SUMPRODUCT(
(HS_DB[Reporter]=HS_DB[[#This Row],[Reporter]])*
(HS_DB[Trade Value - USD]&gt;HS_DB[[#This Row],[Trade Value - USD]])
)+1</f>
        <v>8</v>
      </c>
      <c r="AC175" s="8" t="str">
        <f>IFERROR(IF(INDEX(Heat_Map[Crisis Impact %],MATCH(HS_DB[[#This Row],[Reporter]],Heat_Map[Global],0),1)&gt;0,"Yes","No"),"No")</f>
        <v>No</v>
      </c>
      <c r="AD175" s="6">
        <f>IFERROR(INDEX(Heat_Map[Crisis Impact %],MATCH(HS_DB[[#This Row],[Reporter]],Heat_Map[Global],0),1),0)</f>
        <v>0</v>
      </c>
      <c r="AE175" s="8">
        <f>HS_DB[[#This Row],[Crisis Impact%]]*HS_DB[[#This Row],[Trade Value - USD]]</f>
        <v>0</v>
      </c>
      <c r="AF175" s="8">
        <f>HS_DB[[#This Row],[Crisis Impact%]]*HS_DB[[#This Row],[Net Weight -KG]]</f>
        <v>0</v>
      </c>
      <c r="AG175" s="6">
        <f>SUMIFS(HS_DB[Trade Value - USD],HS_DB[Products],HS_DB[[#This Row],[Products]])/SUM(HS_DB[Trade Value - USD])</f>
        <v>2.1521984741853972E-3</v>
      </c>
      <c r="AH175" s="8">
        <f>_xlfn.RANK.EQ(HS_DB[[#This Row],[Trade Value - USD]], HS_DB[Trade Value - USD], 0)
 + COUNTIFS(HS_DB[Trade Value - USD],HS_DB[[#This Row],[Trade Value - USD]],
            HS_DB[HS Code],"&lt;"&amp;HS_DB[[#This Row],[HS Code]])</f>
        <v>495</v>
      </c>
      <c r="AI175" s="9">
        <f>IFERROR(HS_DB[[#This Row],[Trade Value - USD]]/HS_DB[[#This Row],[Net Weight -KG]],0)</f>
        <v>23.28</v>
      </c>
      <c r="AJ175" s="17" cm="1">
        <f t="array" ref="AJ175">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75" s="17" t="str">
        <f>IF(HS_DB[[#This Row],[HS Code Risk Score]]&gt;=40,"High",
 IF(HS_DB[[#This Row],[HS Code Risk Score]]&gt;=25,"Medium","Low"))</f>
        <v>Medium</v>
      </c>
      <c r="AL175" s="17" t="str">
        <f>IF(RANK(HS_DB[[#This Row],[HS Code Risk Score]],HS_DB[HS Code Risk Score])&lt;=10,"Yes","No")</f>
        <v>No</v>
      </c>
      <c r="AM175" s="8">
        <f>SUMIFS(HS_DB[Net Weight -KG],HS_DB[HS Code],HS_DB[[#This Row],[HS Code]])</f>
        <v>2777277.2</v>
      </c>
      <c r="AN175" s="8">
        <f>SUMIFS(HS_DB[Trade Value - USD],HS_DB[HS Code],HS_DB[[#This Row],[HS Code]])</f>
        <v>4056912</v>
      </c>
      <c r="AO175" s="6">
        <f>_xlfn.MAXIFS(HS_DB[Origin Share%],HS_DB[HS Code],HS_DB[[#This Row],[HS Code]])</f>
        <v>6.321329281187793E-2</v>
      </c>
      <c r="AP175" s="8" cm="1">
        <f t="array" ref="AP175">_xlfn.LET(
_xlpm.hs,HS_DB[[#This Row],[HS Code]],
COUNTA(_xlfn.UNIQUE(_xlfn._xlws.FILTER(HS_DB[Reporter],HS_DB[HS Code]=_xlpm.hs)))
)</f>
        <v>14</v>
      </c>
      <c r="AQ175" s="17" t="str">
        <f>IF(HS_DB[[#This Row],[Origin Count]]=1,"Single Source","Multiple Sources")</f>
        <v>Multiple Sources</v>
      </c>
      <c r="AR175" s="8">
        <f>HS_DB[[#This Row],[Annual Spend - USD]]*(HS_DB[[#This Row],[HS Code Risk Score]]/100)</f>
        <v>1379350.08</v>
      </c>
      <c r="AS175" s="8">
        <f>RANK(HS_DB[[#This Row],[Risk Exposure - USD]],HS_DB[Risk Exposure - USD],0)</f>
        <v>428</v>
      </c>
      <c r="AT175" s="8" t="str">
        <f>IF(HS_DB[[#This Row],[Risk Exposure Rank]]&lt;=10,"High",
 IF(HS_DB[[#This Row],[Risk Exposure Rank]]&lt;=30,"Medium",
 "Low"))</f>
        <v>Low</v>
      </c>
      <c r="AU175" s="8" t="str">
        <f>IF(HS_DB[[#This Row],[Risk Exposure Rank]]&lt;=5,"Immediate Action",
 IF(HS_DB[[#This Row],[Risk Exposure Rank]]&lt;=15,"Monitor Closely",
 "Routine Control"))</f>
        <v>Routine Control</v>
      </c>
      <c r="AV175" s="8">
        <f>SUMIFS(HS_DB[Trade Value - USD],HS_DB[HS Code],HS_DB[[#This Row],[HS Code]])</f>
        <v>4056912</v>
      </c>
      <c r="AW175" s="6">
        <f>HS_DB[[#This Row],[Annual Spend - USD]]/HS_DB[[#This Row],[Total Market Size - USD]]</f>
        <v>1</v>
      </c>
      <c r="AX175" s="6" cm="1">
        <f t="array" ref="AX175">COUNTA(_xlfn.UNIQUE(_xlfn._xlws.FILTER(HS_DB[Partner],HS_DB[HS Code]=HS_DB[[#This Row],[HS Code]])))</f>
        <v>1</v>
      </c>
      <c r="AY175" s="8" t="str">
        <f>IF(HS_DB[[#This Row],[Competition Intensity]]&lt;=2,"Highly Concentrated",
 IF(HS_DB[[#This Row],[Competition Intensity]]&lt;=5,"Moderate",
 "Highly Competitive"))</f>
        <v>Highly Concentrated</v>
      </c>
      <c r="AZ175" s="8">
        <f>HS_DB[[#This Row],[Total Market Size - USD]]
*
(1+IFERROR(#REF!,0))
/
HS_DB[[#This Row],[Competition Intensity]]</f>
        <v>4056912</v>
      </c>
      <c r="BA175" s="8" t="str">
        <f>IF(HS_DB[[#This Row],[Commercial Opportunity Score]]&gt;=PERCENTILE(HS_DB[Commercial Opportunity Score],0.9),"High Opportunity",
 IF(HS_DB[[#This Row],[Commercial Opportunity Score]]&gt;=PERCENTILE(HS_DB[Commercial Opportunity Score],0.6),"Medium Opportunity",
 "Routine Market"))</f>
        <v>Routine Market</v>
      </c>
      <c r="BB175" s="3" t="str">
        <f>IF(AND(HS_DB[[#This Row],[Product Rank]]&gt;0,HS_DB[[#This Row],[Product Rank]]&lt;=10),"Yes","No")</f>
        <v>No</v>
      </c>
      <c r="BC175" s="3" t="str">
        <f>IF(AND(HS_DB[[#This Row],[Origin Rank]]&gt;0,HS_DB[[#This Row],[Origin Rank]]&lt;=10),"Yes","No")</f>
        <v>Yes</v>
      </c>
    </row>
    <row r="176" spans="2:55" x14ac:dyDescent="0.3">
      <c r="B176" s="2">
        <f>HS_DB[[#This Row],[Commodity Code]]</f>
        <v>291815</v>
      </c>
      <c r="C176" s="2">
        <f>IFERROR(INDEX(HS_MD!C:C,MATCH(B176,HS_MD!B:B,0),1),"")</f>
        <v>9</v>
      </c>
      <c r="D176" s="17" t="str">
        <f>IFERROR(INDEX(HS_MD!D:D,MATCH(B176,HS_MD!B:B,0),1),"")</f>
        <v>Citrates</v>
      </c>
      <c r="E176" s="17" t="str">
        <f>IFERROR(INDEX(HS_MD!E:E,MATCH(B176,HS_MD!B:B,0),1),"")</f>
        <v>Sodium Citrate</v>
      </c>
      <c r="F176" s="17" t="str">
        <f>IFERROR(INDEX(HS_MD!F:F,MATCH(B176,HS_MD!B:B,0),1),"")</f>
        <v>ACIDULANTS &amp; REGULATORS</v>
      </c>
      <c r="G176" s="17" t="str">
        <f>IFERROR(INDEX(HS_MD!G:G,MATCH(B176,HS_MD!B:B,0),1),"")</f>
        <v>Salts &amp; Buffers</v>
      </c>
      <c r="H176" s="17" t="str">
        <f>IFERROR(INDEX(HS_MD!H:H,MATCH(B176,HS_MD!B:B,0),1),"")</f>
        <v>Sodium Citrate</v>
      </c>
      <c r="I176" s="17" t="str">
        <f>IFERROR(INDEX(HS_MD!I:I,MATCH(B176,HS_MD!B:B,0),1),"")</f>
        <v>Beverages / Dairy</v>
      </c>
      <c r="J176" s="17">
        <f>IFERROR(INDEX(Heat_Map[Index],MATCH(HS_DB[[#This Row],[Reporter]],Heat_Map[Global],0),1),"")</f>
        <v>73</v>
      </c>
      <c r="K176" s="17" t="str">
        <f>IF(AND(HS_DB[[#This Row],[Origin Rank]]&gt;1,HS_DB[[#This Row],[Origin Rank]]&lt;=10),"Yes","No")</f>
        <v>Yes</v>
      </c>
      <c r="L176" s="2">
        <v>2024</v>
      </c>
      <c r="M176" s="2" t="s">
        <v>57</v>
      </c>
      <c r="N176" s="2" t="s">
        <v>46</v>
      </c>
      <c r="O176" s="2" t="s">
        <v>22</v>
      </c>
      <c r="P176" s="2" t="s">
        <v>23</v>
      </c>
      <c r="Q176" s="2" t="s">
        <v>24</v>
      </c>
      <c r="R176" s="2" t="s">
        <v>25</v>
      </c>
      <c r="S176" s="2">
        <v>291815</v>
      </c>
      <c r="T176" s="3">
        <v>2417</v>
      </c>
      <c r="U176" s="3">
        <v>651</v>
      </c>
      <c r="V176" s="3">
        <v>0</v>
      </c>
      <c r="W176" s="3">
        <v>651</v>
      </c>
      <c r="X176" s="3" t="s">
        <v>58</v>
      </c>
      <c r="Y176" s="3">
        <v>651</v>
      </c>
      <c r="Z176" s="3" t="s">
        <v>58</v>
      </c>
      <c r="AA176" s="6">
        <f>SUMIFS(HS_DB[Trade Value - USD],HS_DB[Reporter],HS_DB[[#This Row],[Reporter]])/SUM(HS_DB[Trade Value - USD])</f>
        <v>2.621940701411424E-4</v>
      </c>
      <c r="AB176" s="8" cm="1">
        <f t="array" ref="AB176">SUMPRODUCT(
(HS_DB[Reporter]=HS_DB[[#This Row],[Reporter]])*
(HS_DB[Trade Value - USD]&gt;HS_DB[[#This Row],[Trade Value - USD]])
)+1</f>
        <v>3</v>
      </c>
      <c r="AC176" s="8" t="str">
        <f>IFERROR(IF(INDEX(Heat_Map[Crisis Impact %],MATCH(HS_DB[[#This Row],[Reporter]],Heat_Map[Global],0),1)&gt;0,"Yes","No"),"No")</f>
        <v>No</v>
      </c>
      <c r="AD176" s="6">
        <f>IFERROR(INDEX(Heat_Map[Crisis Impact %],MATCH(HS_DB[[#This Row],[Reporter]],Heat_Map[Global],0),1),0)</f>
        <v>0</v>
      </c>
      <c r="AE176" s="8">
        <f>HS_DB[[#This Row],[Crisis Impact%]]*HS_DB[[#This Row],[Trade Value - USD]]</f>
        <v>0</v>
      </c>
      <c r="AF176" s="8">
        <f>HS_DB[[#This Row],[Crisis Impact%]]*HS_DB[[#This Row],[Net Weight -KG]]</f>
        <v>0</v>
      </c>
      <c r="AG176" s="6">
        <f>SUMIFS(HS_DB[Trade Value - USD],HS_DB[Products],HS_DB[[#This Row],[Products]])/SUM(HS_DB[Trade Value - USD])</f>
        <v>2.1521984741853972E-3</v>
      </c>
      <c r="AH176" s="8">
        <f>_xlfn.RANK.EQ(HS_DB[[#This Row],[Trade Value - USD]], HS_DB[Trade Value - USD], 0)
 + COUNTIFS(HS_DB[Trade Value - USD],HS_DB[[#This Row],[Trade Value - USD]],
            HS_DB[HS Code],"&lt;"&amp;HS_DB[[#This Row],[HS Code]])</f>
        <v>465</v>
      </c>
      <c r="AI176" s="9">
        <f>IFERROR(HS_DB[[#This Row],[Trade Value - USD]]/HS_DB[[#This Row],[Net Weight -KG]],0)</f>
        <v>3.7127496159754223</v>
      </c>
      <c r="AJ176" s="17" cm="1">
        <f t="array" ref="AJ176">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76" s="17" t="str">
        <f>IF(HS_DB[[#This Row],[HS Code Risk Score]]&gt;=40,"High",
 IF(HS_DB[[#This Row],[HS Code Risk Score]]&gt;=25,"Medium","Low"))</f>
        <v>Medium</v>
      </c>
      <c r="AL176" s="17" t="str">
        <f>IF(RANK(HS_DB[[#This Row],[HS Code Risk Score]],HS_DB[HS Code Risk Score])&lt;=10,"Yes","No")</f>
        <v>No</v>
      </c>
      <c r="AM176" s="8">
        <f>SUMIFS(HS_DB[Net Weight -KG],HS_DB[HS Code],HS_DB[[#This Row],[HS Code]])</f>
        <v>2777277.2</v>
      </c>
      <c r="AN176" s="8">
        <f>SUMIFS(HS_DB[Trade Value - USD],HS_DB[HS Code],HS_DB[[#This Row],[HS Code]])</f>
        <v>4056912</v>
      </c>
      <c r="AO176" s="6">
        <f>_xlfn.MAXIFS(HS_DB[Origin Share%],HS_DB[HS Code],HS_DB[[#This Row],[HS Code]])</f>
        <v>6.321329281187793E-2</v>
      </c>
      <c r="AP176" s="8" cm="1">
        <f t="array" ref="AP176">_xlfn.LET(
_xlpm.hs,HS_DB[[#This Row],[HS Code]],
COUNTA(_xlfn.UNIQUE(_xlfn._xlws.FILTER(HS_DB[Reporter],HS_DB[HS Code]=_xlpm.hs)))
)</f>
        <v>14</v>
      </c>
      <c r="AQ176" s="17" t="str">
        <f>IF(HS_DB[[#This Row],[Origin Count]]=1,"Single Source","Multiple Sources")</f>
        <v>Multiple Sources</v>
      </c>
      <c r="AR176" s="8">
        <f>HS_DB[[#This Row],[Annual Spend - USD]]*(HS_DB[[#This Row],[HS Code Risk Score]]/100)</f>
        <v>1379350.08</v>
      </c>
      <c r="AS176" s="8">
        <f>RANK(HS_DB[[#This Row],[Risk Exposure - USD]],HS_DB[Risk Exposure - USD],0)</f>
        <v>428</v>
      </c>
      <c r="AT176" s="8" t="str">
        <f>IF(HS_DB[[#This Row],[Risk Exposure Rank]]&lt;=10,"High",
 IF(HS_DB[[#This Row],[Risk Exposure Rank]]&lt;=30,"Medium",
 "Low"))</f>
        <v>Low</v>
      </c>
      <c r="AU176" s="8" t="str">
        <f>IF(HS_DB[[#This Row],[Risk Exposure Rank]]&lt;=5,"Immediate Action",
 IF(HS_DB[[#This Row],[Risk Exposure Rank]]&lt;=15,"Monitor Closely",
 "Routine Control"))</f>
        <v>Routine Control</v>
      </c>
      <c r="AV176" s="8">
        <f>SUMIFS(HS_DB[Trade Value - USD],HS_DB[HS Code],HS_DB[[#This Row],[HS Code]])</f>
        <v>4056912</v>
      </c>
      <c r="AW176" s="6">
        <f>HS_DB[[#This Row],[Annual Spend - USD]]/HS_DB[[#This Row],[Total Market Size - USD]]</f>
        <v>1</v>
      </c>
      <c r="AX176" s="6" cm="1">
        <f t="array" ref="AX176">COUNTA(_xlfn.UNIQUE(_xlfn._xlws.FILTER(HS_DB[Partner],HS_DB[HS Code]=HS_DB[[#This Row],[HS Code]])))</f>
        <v>1</v>
      </c>
      <c r="AY176" s="8" t="str">
        <f>IF(HS_DB[[#This Row],[Competition Intensity]]&lt;=2,"Highly Concentrated",
 IF(HS_DB[[#This Row],[Competition Intensity]]&lt;=5,"Moderate",
 "Highly Competitive"))</f>
        <v>Highly Concentrated</v>
      </c>
      <c r="AZ176" s="8">
        <f>HS_DB[[#This Row],[Total Market Size - USD]]
*
(1+IFERROR(#REF!,0))
/
HS_DB[[#This Row],[Competition Intensity]]</f>
        <v>4056912</v>
      </c>
      <c r="BA176" s="8" t="str">
        <f>IF(HS_DB[[#This Row],[Commercial Opportunity Score]]&gt;=PERCENTILE(HS_DB[Commercial Opportunity Score],0.9),"High Opportunity",
 IF(HS_DB[[#This Row],[Commercial Opportunity Score]]&gt;=PERCENTILE(HS_DB[Commercial Opportunity Score],0.6),"Medium Opportunity",
 "Routine Market"))</f>
        <v>Routine Market</v>
      </c>
      <c r="BB176" s="3" t="str">
        <f>IF(AND(HS_DB[[#This Row],[Product Rank]]&gt;0,HS_DB[[#This Row],[Product Rank]]&lt;=10),"Yes","No")</f>
        <v>No</v>
      </c>
      <c r="BC176" s="3" t="str">
        <f>IF(AND(HS_DB[[#This Row],[Origin Rank]]&gt;0,HS_DB[[#This Row],[Origin Rank]]&lt;=10),"Yes","No")</f>
        <v>Yes</v>
      </c>
    </row>
    <row r="177" spans="2:55" x14ac:dyDescent="0.3">
      <c r="B177" s="2">
        <f>HS_DB[[#This Row],[Commodity Code]]</f>
        <v>291815</v>
      </c>
      <c r="C177" s="2">
        <f>IFERROR(INDEX(HS_MD!C:C,MATCH(B177,HS_MD!B:B,0),1),"")</f>
        <v>9</v>
      </c>
      <c r="D177" s="17" t="str">
        <f>IFERROR(INDEX(HS_MD!D:D,MATCH(B177,HS_MD!B:B,0),1),"")</f>
        <v>Citrates</v>
      </c>
      <c r="E177" s="17" t="str">
        <f>IFERROR(INDEX(HS_MD!E:E,MATCH(B177,HS_MD!B:B,0),1),"")</f>
        <v>Sodium Citrate</v>
      </c>
      <c r="F177" s="17" t="str">
        <f>IFERROR(INDEX(HS_MD!F:F,MATCH(B177,HS_MD!B:B,0),1),"")</f>
        <v>ACIDULANTS &amp; REGULATORS</v>
      </c>
      <c r="G177" s="17" t="str">
        <f>IFERROR(INDEX(HS_MD!G:G,MATCH(B177,HS_MD!B:B,0),1),"")</f>
        <v>Salts &amp; Buffers</v>
      </c>
      <c r="H177" s="17" t="str">
        <f>IFERROR(INDEX(HS_MD!H:H,MATCH(B177,HS_MD!B:B,0),1),"")</f>
        <v>Sodium Citrate</v>
      </c>
      <c r="I177" s="17" t="str">
        <f>IFERROR(INDEX(HS_MD!I:I,MATCH(B177,HS_MD!B:B,0),1),"")</f>
        <v>Beverages / Dairy</v>
      </c>
      <c r="J177" s="17">
        <f>IFERROR(INDEX(Heat_Map[Index],MATCH(HS_DB[[#This Row],[Reporter]],Heat_Map[Global],0),1),"")</f>
        <v>79</v>
      </c>
      <c r="K177" s="17" t="str">
        <f>IF(AND(HS_DB[[#This Row],[Origin Rank]]&gt;1,HS_DB[[#This Row],[Origin Rank]]&lt;=10),"Yes","No")</f>
        <v>Yes</v>
      </c>
      <c r="L177" s="2">
        <v>2024</v>
      </c>
      <c r="M177" s="2" t="s">
        <v>57</v>
      </c>
      <c r="N177" s="2" t="s">
        <v>48</v>
      </c>
      <c r="O177" s="2" t="s">
        <v>22</v>
      </c>
      <c r="P177" s="2" t="s">
        <v>23</v>
      </c>
      <c r="Q177" s="2" t="s">
        <v>24</v>
      </c>
      <c r="R177" s="2" t="s">
        <v>25</v>
      </c>
      <c r="S177" s="2">
        <v>291815</v>
      </c>
      <c r="T177" s="3">
        <v>587989</v>
      </c>
      <c r="U177" s="3">
        <v>334137</v>
      </c>
      <c r="V177" s="3">
        <v>0</v>
      </c>
      <c r="W177" s="3">
        <v>334137</v>
      </c>
      <c r="X177" s="3" t="s">
        <v>58</v>
      </c>
      <c r="Y177" s="3">
        <v>334137</v>
      </c>
      <c r="Z177" s="3" t="s">
        <v>58</v>
      </c>
      <c r="AA177" s="6">
        <f>SUMIFS(HS_DB[Trade Value - USD],HS_DB[Reporter],HS_DB[[#This Row],[Reporter]])/SUM(HS_DB[Trade Value - USD])</f>
        <v>4.9588465845200368E-3</v>
      </c>
      <c r="AB177" s="8" cm="1">
        <f t="array" ref="AB177">SUMPRODUCT(
(HS_DB[Reporter]=HS_DB[[#This Row],[Reporter]])*
(HS_DB[Trade Value - USD]&gt;HS_DB[[#This Row],[Trade Value - USD]])
)+1</f>
        <v>6</v>
      </c>
      <c r="AC177" s="8" t="str">
        <f>IFERROR(IF(INDEX(Heat_Map[Crisis Impact %],MATCH(HS_DB[[#This Row],[Reporter]],Heat_Map[Global],0),1)&gt;0,"Yes","No"),"No")</f>
        <v>No</v>
      </c>
      <c r="AD177" s="6">
        <f>IFERROR(INDEX(Heat_Map[Crisis Impact %],MATCH(HS_DB[[#This Row],[Reporter]],Heat_Map[Global],0),1),0)</f>
        <v>0</v>
      </c>
      <c r="AE177" s="8">
        <f>HS_DB[[#This Row],[Crisis Impact%]]*HS_DB[[#This Row],[Trade Value - USD]]</f>
        <v>0</v>
      </c>
      <c r="AF177" s="8">
        <f>HS_DB[[#This Row],[Crisis Impact%]]*HS_DB[[#This Row],[Net Weight -KG]]</f>
        <v>0</v>
      </c>
      <c r="AG177" s="6">
        <f>SUMIFS(HS_DB[Trade Value - USD],HS_DB[Products],HS_DB[[#This Row],[Products]])/SUM(HS_DB[Trade Value - USD])</f>
        <v>2.1521984741853972E-3</v>
      </c>
      <c r="AH177" s="8">
        <f>_xlfn.RANK.EQ(HS_DB[[#This Row],[Trade Value - USD]], HS_DB[Trade Value - USD], 0)
 + COUNTIFS(HS_DB[Trade Value - USD],HS_DB[[#This Row],[Trade Value - USD]],
            HS_DB[HS Code],"&lt;"&amp;HS_DB[[#This Row],[HS Code]])</f>
        <v>134</v>
      </c>
      <c r="AI177" s="9">
        <f>IFERROR(HS_DB[[#This Row],[Trade Value - USD]]/HS_DB[[#This Row],[Net Weight -KG]],0)</f>
        <v>1.7597243047013651</v>
      </c>
      <c r="AJ177" s="17" cm="1">
        <f t="array" ref="AJ177">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77" s="17" t="str">
        <f>IF(HS_DB[[#This Row],[HS Code Risk Score]]&gt;=40,"High",
 IF(HS_DB[[#This Row],[HS Code Risk Score]]&gt;=25,"Medium","Low"))</f>
        <v>Medium</v>
      </c>
      <c r="AL177" s="17" t="str">
        <f>IF(RANK(HS_DB[[#This Row],[HS Code Risk Score]],HS_DB[HS Code Risk Score])&lt;=10,"Yes","No")</f>
        <v>No</v>
      </c>
      <c r="AM177" s="8">
        <f>SUMIFS(HS_DB[Net Weight -KG],HS_DB[HS Code],HS_DB[[#This Row],[HS Code]])</f>
        <v>2777277.2</v>
      </c>
      <c r="AN177" s="8">
        <f>SUMIFS(HS_DB[Trade Value - USD],HS_DB[HS Code],HS_DB[[#This Row],[HS Code]])</f>
        <v>4056912</v>
      </c>
      <c r="AO177" s="6">
        <f>_xlfn.MAXIFS(HS_DB[Origin Share%],HS_DB[HS Code],HS_DB[[#This Row],[HS Code]])</f>
        <v>6.321329281187793E-2</v>
      </c>
      <c r="AP177" s="8" cm="1">
        <f t="array" ref="AP177">_xlfn.LET(
_xlpm.hs,HS_DB[[#This Row],[HS Code]],
COUNTA(_xlfn.UNIQUE(_xlfn._xlws.FILTER(HS_DB[Reporter],HS_DB[HS Code]=_xlpm.hs)))
)</f>
        <v>14</v>
      </c>
      <c r="AQ177" s="17" t="str">
        <f>IF(HS_DB[[#This Row],[Origin Count]]=1,"Single Source","Multiple Sources")</f>
        <v>Multiple Sources</v>
      </c>
      <c r="AR177" s="8">
        <f>HS_DB[[#This Row],[Annual Spend - USD]]*(HS_DB[[#This Row],[HS Code Risk Score]]/100)</f>
        <v>1379350.08</v>
      </c>
      <c r="AS177" s="8">
        <f>RANK(HS_DB[[#This Row],[Risk Exposure - USD]],HS_DB[Risk Exposure - USD],0)</f>
        <v>428</v>
      </c>
      <c r="AT177" s="8" t="str">
        <f>IF(HS_DB[[#This Row],[Risk Exposure Rank]]&lt;=10,"High",
 IF(HS_DB[[#This Row],[Risk Exposure Rank]]&lt;=30,"Medium",
 "Low"))</f>
        <v>Low</v>
      </c>
      <c r="AU177" s="8" t="str">
        <f>IF(HS_DB[[#This Row],[Risk Exposure Rank]]&lt;=5,"Immediate Action",
 IF(HS_DB[[#This Row],[Risk Exposure Rank]]&lt;=15,"Monitor Closely",
 "Routine Control"))</f>
        <v>Routine Control</v>
      </c>
      <c r="AV177" s="8">
        <f>SUMIFS(HS_DB[Trade Value - USD],HS_DB[HS Code],HS_DB[[#This Row],[HS Code]])</f>
        <v>4056912</v>
      </c>
      <c r="AW177" s="6">
        <f>HS_DB[[#This Row],[Annual Spend - USD]]/HS_DB[[#This Row],[Total Market Size - USD]]</f>
        <v>1</v>
      </c>
      <c r="AX177" s="6" cm="1">
        <f t="array" ref="AX177">COUNTA(_xlfn.UNIQUE(_xlfn._xlws.FILTER(HS_DB[Partner],HS_DB[HS Code]=HS_DB[[#This Row],[HS Code]])))</f>
        <v>1</v>
      </c>
      <c r="AY177" s="8" t="str">
        <f>IF(HS_DB[[#This Row],[Competition Intensity]]&lt;=2,"Highly Concentrated",
 IF(HS_DB[[#This Row],[Competition Intensity]]&lt;=5,"Moderate",
 "Highly Competitive"))</f>
        <v>Highly Concentrated</v>
      </c>
      <c r="AZ177" s="8">
        <f>HS_DB[[#This Row],[Total Market Size - USD]]
*
(1+IFERROR(#REF!,0))
/
HS_DB[[#This Row],[Competition Intensity]]</f>
        <v>4056912</v>
      </c>
      <c r="BA177" s="8" t="str">
        <f>IF(HS_DB[[#This Row],[Commercial Opportunity Score]]&gt;=PERCENTILE(HS_DB[Commercial Opportunity Score],0.9),"High Opportunity",
 IF(HS_DB[[#This Row],[Commercial Opportunity Score]]&gt;=PERCENTILE(HS_DB[Commercial Opportunity Score],0.6),"Medium Opportunity",
 "Routine Market"))</f>
        <v>Routine Market</v>
      </c>
      <c r="BB177" s="3" t="str">
        <f>IF(AND(HS_DB[[#This Row],[Product Rank]]&gt;0,HS_DB[[#This Row],[Product Rank]]&lt;=10),"Yes","No")</f>
        <v>No</v>
      </c>
      <c r="BC177" s="3" t="str">
        <f>IF(AND(HS_DB[[#This Row],[Origin Rank]]&gt;0,HS_DB[[#This Row],[Origin Rank]]&lt;=10),"Yes","No")</f>
        <v>Yes</v>
      </c>
    </row>
    <row r="178" spans="2:55" x14ac:dyDescent="0.3">
      <c r="B178" s="2">
        <f>HS_DB[[#This Row],[Commodity Code]]</f>
        <v>291815</v>
      </c>
      <c r="C178" s="2">
        <f>IFERROR(INDEX(HS_MD!C:C,MATCH(B178,HS_MD!B:B,0),1),"")</f>
        <v>9</v>
      </c>
      <c r="D178" s="17" t="str">
        <f>IFERROR(INDEX(HS_MD!D:D,MATCH(B178,HS_MD!B:B,0),1),"")</f>
        <v>Citrates</v>
      </c>
      <c r="E178" s="17" t="str">
        <f>IFERROR(INDEX(HS_MD!E:E,MATCH(B178,HS_MD!B:B,0),1),"")</f>
        <v>Sodium Citrate</v>
      </c>
      <c r="F178" s="17" t="str">
        <f>IFERROR(INDEX(HS_MD!F:F,MATCH(B178,HS_MD!B:B,0),1),"")</f>
        <v>ACIDULANTS &amp; REGULATORS</v>
      </c>
      <c r="G178" s="17" t="str">
        <f>IFERROR(INDEX(HS_MD!G:G,MATCH(B178,HS_MD!B:B,0),1),"")</f>
        <v>Salts &amp; Buffers</v>
      </c>
      <c r="H178" s="17" t="str">
        <f>IFERROR(INDEX(HS_MD!H:H,MATCH(B178,HS_MD!B:B,0),1),"")</f>
        <v>Sodium Citrate</v>
      </c>
      <c r="I178" s="17" t="str">
        <f>IFERROR(INDEX(HS_MD!I:I,MATCH(B178,HS_MD!B:B,0),1),"")</f>
        <v>Beverages / Dairy</v>
      </c>
      <c r="J178" s="17">
        <f>IFERROR(INDEX(Heat_Map[Index],MATCH(HS_DB[[#This Row],[Reporter]],Heat_Map[Global],0),1),"")</f>
        <v>118</v>
      </c>
      <c r="K178" s="17" t="str">
        <f>IF(AND(HS_DB[[#This Row],[Origin Rank]]&gt;1,HS_DB[[#This Row],[Origin Rank]]&lt;=10),"Yes","No")</f>
        <v>No</v>
      </c>
      <c r="L178" s="2">
        <v>2024</v>
      </c>
      <c r="M178" s="2" t="s">
        <v>57</v>
      </c>
      <c r="N178" s="2" t="s">
        <v>53</v>
      </c>
      <c r="O178" s="2" t="s">
        <v>22</v>
      </c>
      <c r="P178" s="2" t="s">
        <v>23</v>
      </c>
      <c r="Q178" s="2" t="s">
        <v>24</v>
      </c>
      <c r="R178" s="2" t="s">
        <v>25</v>
      </c>
      <c r="S178" s="2">
        <v>291815</v>
      </c>
      <c r="T178" s="3">
        <v>8771</v>
      </c>
      <c r="U178" s="3">
        <v>2000</v>
      </c>
      <c r="V178" s="3">
        <v>0</v>
      </c>
      <c r="W178" s="3">
        <v>2000</v>
      </c>
      <c r="X178" s="3" t="s">
        <v>58</v>
      </c>
      <c r="Y178" s="3">
        <v>2000</v>
      </c>
      <c r="Z178" s="3" t="s">
        <v>58</v>
      </c>
      <c r="AA178" s="6">
        <f>SUMIFS(HS_DB[Trade Value - USD],HS_DB[Reporter],HS_DB[[#This Row],[Reporter]])/SUM(HS_DB[Trade Value - USD])</f>
        <v>1.4561232389604124E-2</v>
      </c>
      <c r="AB178" s="8" cm="1">
        <f t="array" ref="AB178">SUMPRODUCT(
(HS_DB[Reporter]=HS_DB[[#This Row],[Reporter]])*
(HS_DB[Trade Value - USD]&gt;HS_DB[[#This Row],[Trade Value - USD]])
)+1</f>
        <v>27</v>
      </c>
      <c r="AC178" s="8" t="str">
        <f>IFERROR(IF(INDEX(Heat_Map[Crisis Impact %],MATCH(HS_DB[[#This Row],[Reporter]],Heat_Map[Global],0),1)&gt;0,"Yes","No"),"No")</f>
        <v>No</v>
      </c>
      <c r="AD178" s="6">
        <f>IFERROR(INDEX(Heat_Map[Crisis Impact %],MATCH(HS_DB[[#This Row],[Reporter]],Heat_Map[Global],0),1),0)</f>
        <v>0</v>
      </c>
      <c r="AE178" s="8">
        <f>HS_DB[[#This Row],[Crisis Impact%]]*HS_DB[[#This Row],[Trade Value - USD]]</f>
        <v>0</v>
      </c>
      <c r="AF178" s="8">
        <f>HS_DB[[#This Row],[Crisis Impact%]]*HS_DB[[#This Row],[Net Weight -KG]]</f>
        <v>0</v>
      </c>
      <c r="AG178" s="6">
        <f>SUMIFS(HS_DB[Trade Value - USD],HS_DB[Products],HS_DB[[#This Row],[Products]])/SUM(HS_DB[Trade Value - USD])</f>
        <v>2.1521984741853972E-3</v>
      </c>
      <c r="AH178" s="8">
        <f>_xlfn.RANK.EQ(HS_DB[[#This Row],[Trade Value - USD]], HS_DB[Trade Value - USD], 0)
 + COUNTIFS(HS_DB[Trade Value - USD],HS_DB[[#This Row],[Trade Value - USD]],
            HS_DB[HS Code],"&lt;"&amp;HS_DB[[#This Row],[HS Code]])</f>
        <v>418</v>
      </c>
      <c r="AI178" s="9">
        <f>IFERROR(HS_DB[[#This Row],[Trade Value - USD]]/HS_DB[[#This Row],[Net Weight -KG]],0)</f>
        <v>4.3855000000000004</v>
      </c>
      <c r="AJ178" s="17" cm="1">
        <f t="array" ref="AJ178">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78" s="17" t="str">
        <f>IF(HS_DB[[#This Row],[HS Code Risk Score]]&gt;=40,"High",
 IF(HS_DB[[#This Row],[HS Code Risk Score]]&gt;=25,"Medium","Low"))</f>
        <v>Medium</v>
      </c>
      <c r="AL178" s="17" t="str">
        <f>IF(RANK(HS_DB[[#This Row],[HS Code Risk Score]],HS_DB[HS Code Risk Score])&lt;=10,"Yes","No")</f>
        <v>No</v>
      </c>
      <c r="AM178" s="8">
        <f>SUMIFS(HS_DB[Net Weight -KG],HS_DB[HS Code],HS_DB[[#This Row],[HS Code]])</f>
        <v>2777277.2</v>
      </c>
      <c r="AN178" s="8">
        <f>SUMIFS(HS_DB[Trade Value - USD],HS_DB[HS Code],HS_DB[[#This Row],[HS Code]])</f>
        <v>4056912</v>
      </c>
      <c r="AO178" s="6">
        <f>_xlfn.MAXIFS(HS_DB[Origin Share%],HS_DB[HS Code],HS_DB[[#This Row],[HS Code]])</f>
        <v>6.321329281187793E-2</v>
      </c>
      <c r="AP178" s="8" cm="1">
        <f t="array" ref="AP178">_xlfn.LET(
_xlpm.hs,HS_DB[[#This Row],[HS Code]],
COUNTA(_xlfn.UNIQUE(_xlfn._xlws.FILTER(HS_DB[Reporter],HS_DB[HS Code]=_xlpm.hs)))
)</f>
        <v>14</v>
      </c>
      <c r="AQ178" s="17" t="str">
        <f>IF(HS_DB[[#This Row],[Origin Count]]=1,"Single Source","Multiple Sources")</f>
        <v>Multiple Sources</v>
      </c>
      <c r="AR178" s="8">
        <f>HS_DB[[#This Row],[Annual Spend - USD]]*(HS_DB[[#This Row],[HS Code Risk Score]]/100)</f>
        <v>1379350.08</v>
      </c>
      <c r="AS178" s="8">
        <f>RANK(HS_DB[[#This Row],[Risk Exposure - USD]],HS_DB[Risk Exposure - USD],0)</f>
        <v>428</v>
      </c>
      <c r="AT178" s="8" t="str">
        <f>IF(HS_DB[[#This Row],[Risk Exposure Rank]]&lt;=10,"High",
 IF(HS_DB[[#This Row],[Risk Exposure Rank]]&lt;=30,"Medium",
 "Low"))</f>
        <v>Low</v>
      </c>
      <c r="AU178" s="8" t="str">
        <f>IF(HS_DB[[#This Row],[Risk Exposure Rank]]&lt;=5,"Immediate Action",
 IF(HS_DB[[#This Row],[Risk Exposure Rank]]&lt;=15,"Monitor Closely",
 "Routine Control"))</f>
        <v>Routine Control</v>
      </c>
      <c r="AV178" s="8">
        <f>SUMIFS(HS_DB[Trade Value - USD],HS_DB[HS Code],HS_DB[[#This Row],[HS Code]])</f>
        <v>4056912</v>
      </c>
      <c r="AW178" s="6">
        <f>HS_DB[[#This Row],[Annual Spend - USD]]/HS_DB[[#This Row],[Total Market Size - USD]]</f>
        <v>1</v>
      </c>
      <c r="AX178" s="6" cm="1">
        <f t="array" ref="AX178">COUNTA(_xlfn.UNIQUE(_xlfn._xlws.FILTER(HS_DB[Partner],HS_DB[HS Code]=HS_DB[[#This Row],[HS Code]])))</f>
        <v>1</v>
      </c>
      <c r="AY178" s="8" t="str">
        <f>IF(HS_DB[[#This Row],[Competition Intensity]]&lt;=2,"Highly Concentrated",
 IF(HS_DB[[#This Row],[Competition Intensity]]&lt;=5,"Moderate",
 "Highly Competitive"))</f>
        <v>Highly Concentrated</v>
      </c>
      <c r="AZ178" s="8">
        <f>HS_DB[[#This Row],[Total Market Size - USD]]
*
(1+IFERROR(#REF!,0))
/
HS_DB[[#This Row],[Competition Intensity]]</f>
        <v>4056912</v>
      </c>
      <c r="BA178" s="8" t="str">
        <f>IF(HS_DB[[#This Row],[Commercial Opportunity Score]]&gt;=PERCENTILE(HS_DB[Commercial Opportunity Score],0.9),"High Opportunity",
 IF(HS_DB[[#This Row],[Commercial Opportunity Score]]&gt;=PERCENTILE(HS_DB[Commercial Opportunity Score],0.6),"Medium Opportunity",
 "Routine Market"))</f>
        <v>Routine Market</v>
      </c>
      <c r="BB178" s="3" t="str">
        <f>IF(AND(HS_DB[[#This Row],[Product Rank]]&gt;0,HS_DB[[#This Row],[Product Rank]]&lt;=10),"Yes","No")</f>
        <v>No</v>
      </c>
      <c r="BC178" s="3" t="str">
        <f>IF(AND(HS_DB[[#This Row],[Origin Rank]]&gt;0,HS_DB[[#This Row],[Origin Rank]]&lt;=10),"Yes","No")</f>
        <v>No</v>
      </c>
    </row>
    <row r="179" spans="2:55" x14ac:dyDescent="0.3">
      <c r="B179" s="2">
        <f>HS_DB[[#This Row],[Commodity Code]]</f>
        <v>291815</v>
      </c>
      <c r="C179" s="2">
        <f>IFERROR(INDEX(HS_MD!C:C,MATCH(B179,HS_MD!B:B,0),1),"")</f>
        <v>9</v>
      </c>
      <c r="D179" s="17" t="str">
        <f>IFERROR(INDEX(HS_MD!D:D,MATCH(B179,HS_MD!B:B,0),1),"")</f>
        <v>Citrates</v>
      </c>
      <c r="E179" s="17" t="str">
        <f>IFERROR(INDEX(HS_MD!E:E,MATCH(B179,HS_MD!B:B,0),1),"")</f>
        <v>Sodium Citrate</v>
      </c>
      <c r="F179" s="17" t="str">
        <f>IFERROR(INDEX(HS_MD!F:F,MATCH(B179,HS_MD!B:B,0),1),"")</f>
        <v>ACIDULANTS &amp; REGULATORS</v>
      </c>
      <c r="G179" s="17" t="str">
        <f>IFERROR(INDEX(HS_MD!G:G,MATCH(B179,HS_MD!B:B,0),1),"")</f>
        <v>Salts &amp; Buffers</v>
      </c>
      <c r="H179" s="17" t="str">
        <f>IFERROR(INDEX(HS_MD!H:H,MATCH(B179,HS_MD!B:B,0),1),"")</f>
        <v>Sodium Citrate</v>
      </c>
      <c r="I179" s="17" t="str">
        <f>IFERROR(INDEX(HS_MD!I:I,MATCH(B179,HS_MD!B:B,0),1),"")</f>
        <v>Beverages / Dairy</v>
      </c>
      <c r="J179" s="17">
        <f>IFERROR(INDEX(Heat_Map[Index],MATCH(HS_DB[[#This Row],[Reporter]],Heat_Map[Global],0),1),"")</f>
        <v>75</v>
      </c>
      <c r="K179" s="17" t="str">
        <f>IF(AND(HS_DB[[#This Row],[Origin Rank]]&gt;1,HS_DB[[#This Row],[Origin Rank]]&lt;=10),"Yes","No")</f>
        <v>No</v>
      </c>
      <c r="L179" s="2">
        <v>2024</v>
      </c>
      <c r="M179" s="2" t="s">
        <v>57</v>
      </c>
      <c r="N179" s="2" t="s">
        <v>8</v>
      </c>
      <c r="O179" s="2" t="s">
        <v>22</v>
      </c>
      <c r="P179" s="2" t="s">
        <v>23</v>
      </c>
      <c r="Q179" s="2" t="s">
        <v>24</v>
      </c>
      <c r="R179" s="2" t="s">
        <v>25</v>
      </c>
      <c r="S179" s="2">
        <v>291815</v>
      </c>
      <c r="T179" s="3">
        <v>465492</v>
      </c>
      <c r="U179" s="3">
        <v>64664</v>
      </c>
      <c r="V179" s="3">
        <v>0</v>
      </c>
      <c r="W179" s="3">
        <v>64664</v>
      </c>
      <c r="X179" s="3" t="s">
        <v>58</v>
      </c>
      <c r="Y179" s="3">
        <v>64664</v>
      </c>
      <c r="Z179" s="3" t="s">
        <v>58</v>
      </c>
      <c r="AA179" s="6">
        <f>SUMIFS(HS_DB[Trade Value - USD],HS_DB[Reporter],HS_DB[[#This Row],[Reporter]])/SUM(HS_DB[Trade Value - USD])</f>
        <v>2.2441761060335613E-2</v>
      </c>
      <c r="AB179" s="8" cm="1">
        <f t="array" ref="AB179">SUMPRODUCT(
(HS_DB[Reporter]=HS_DB[[#This Row],[Reporter]])*
(HS_DB[Trade Value - USD]&gt;HS_DB[[#This Row],[Trade Value - USD]])
)+1</f>
        <v>16</v>
      </c>
      <c r="AC179" s="8" t="str">
        <f>IFERROR(IF(INDEX(Heat_Map[Crisis Impact %],MATCH(HS_DB[[#This Row],[Reporter]],Heat_Map[Global],0),1)&gt;0,"Yes","No"),"No")</f>
        <v>No</v>
      </c>
      <c r="AD179" s="6">
        <f>IFERROR(INDEX(Heat_Map[Crisis Impact %],MATCH(HS_DB[[#This Row],[Reporter]],Heat_Map[Global],0),1),0)</f>
        <v>0</v>
      </c>
      <c r="AE179" s="8">
        <f>HS_DB[[#This Row],[Crisis Impact%]]*HS_DB[[#This Row],[Trade Value - USD]]</f>
        <v>0</v>
      </c>
      <c r="AF179" s="8">
        <f>HS_DB[[#This Row],[Crisis Impact%]]*HS_DB[[#This Row],[Net Weight -KG]]</f>
        <v>0</v>
      </c>
      <c r="AG179" s="6">
        <f>SUMIFS(HS_DB[Trade Value - USD],HS_DB[Products],HS_DB[[#This Row],[Products]])/SUM(HS_DB[Trade Value - USD])</f>
        <v>2.1521984741853972E-3</v>
      </c>
      <c r="AH179" s="8">
        <f>_xlfn.RANK.EQ(HS_DB[[#This Row],[Trade Value - USD]], HS_DB[Trade Value - USD], 0)
 + COUNTIFS(HS_DB[Trade Value - USD],HS_DB[[#This Row],[Trade Value - USD]],
            HS_DB[HS Code],"&lt;"&amp;HS_DB[[#This Row],[HS Code]])</f>
        <v>151</v>
      </c>
      <c r="AI179" s="9">
        <f>IFERROR(HS_DB[[#This Row],[Trade Value - USD]]/HS_DB[[#This Row],[Net Weight -KG]],0)</f>
        <v>7.1986267474947416</v>
      </c>
      <c r="AJ179" s="17" cm="1">
        <f t="array" ref="AJ179">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79" s="17" t="str">
        <f>IF(HS_DB[[#This Row],[HS Code Risk Score]]&gt;=40,"High",
 IF(HS_DB[[#This Row],[HS Code Risk Score]]&gt;=25,"Medium","Low"))</f>
        <v>Medium</v>
      </c>
      <c r="AL179" s="17" t="str">
        <f>IF(RANK(HS_DB[[#This Row],[HS Code Risk Score]],HS_DB[HS Code Risk Score])&lt;=10,"Yes","No")</f>
        <v>No</v>
      </c>
      <c r="AM179" s="8">
        <f>SUMIFS(HS_DB[Net Weight -KG],HS_DB[HS Code],HS_DB[[#This Row],[HS Code]])</f>
        <v>2777277.2</v>
      </c>
      <c r="AN179" s="8">
        <f>SUMIFS(HS_DB[Trade Value - USD],HS_DB[HS Code],HS_DB[[#This Row],[HS Code]])</f>
        <v>4056912</v>
      </c>
      <c r="AO179" s="6">
        <f>_xlfn.MAXIFS(HS_DB[Origin Share%],HS_DB[HS Code],HS_DB[[#This Row],[HS Code]])</f>
        <v>6.321329281187793E-2</v>
      </c>
      <c r="AP179" s="8" cm="1">
        <f t="array" ref="AP179">_xlfn.LET(
_xlpm.hs,HS_DB[[#This Row],[HS Code]],
COUNTA(_xlfn.UNIQUE(_xlfn._xlws.FILTER(HS_DB[Reporter],HS_DB[HS Code]=_xlpm.hs)))
)</f>
        <v>14</v>
      </c>
      <c r="AQ179" s="17" t="str">
        <f>IF(HS_DB[[#This Row],[Origin Count]]=1,"Single Source","Multiple Sources")</f>
        <v>Multiple Sources</v>
      </c>
      <c r="AR179" s="8">
        <f>HS_DB[[#This Row],[Annual Spend - USD]]*(HS_DB[[#This Row],[HS Code Risk Score]]/100)</f>
        <v>1379350.08</v>
      </c>
      <c r="AS179" s="8">
        <f>RANK(HS_DB[[#This Row],[Risk Exposure - USD]],HS_DB[Risk Exposure - USD],0)</f>
        <v>428</v>
      </c>
      <c r="AT179" s="8" t="str">
        <f>IF(HS_DB[[#This Row],[Risk Exposure Rank]]&lt;=10,"High",
 IF(HS_DB[[#This Row],[Risk Exposure Rank]]&lt;=30,"Medium",
 "Low"))</f>
        <v>Low</v>
      </c>
      <c r="AU179" s="8" t="str">
        <f>IF(HS_DB[[#This Row],[Risk Exposure Rank]]&lt;=5,"Immediate Action",
 IF(HS_DB[[#This Row],[Risk Exposure Rank]]&lt;=15,"Monitor Closely",
 "Routine Control"))</f>
        <v>Routine Control</v>
      </c>
      <c r="AV179" s="8">
        <f>SUMIFS(HS_DB[Trade Value - USD],HS_DB[HS Code],HS_DB[[#This Row],[HS Code]])</f>
        <v>4056912</v>
      </c>
      <c r="AW179" s="6">
        <f>HS_DB[[#This Row],[Annual Spend - USD]]/HS_DB[[#This Row],[Total Market Size - USD]]</f>
        <v>1</v>
      </c>
      <c r="AX179" s="6" cm="1">
        <f t="array" ref="AX179">COUNTA(_xlfn.UNIQUE(_xlfn._xlws.FILTER(HS_DB[Partner],HS_DB[HS Code]=HS_DB[[#This Row],[HS Code]])))</f>
        <v>1</v>
      </c>
      <c r="AY179" s="8" t="str">
        <f>IF(HS_DB[[#This Row],[Competition Intensity]]&lt;=2,"Highly Concentrated",
 IF(HS_DB[[#This Row],[Competition Intensity]]&lt;=5,"Moderate",
 "Highly Competitive"))</f>
        <v>Highly Concentrated</v>
      </c>
      <c r="AZ179" s="8">
        <f>HS_DB[[#This Row],[Total Market Size - USD]]
*
(1+IFERROR(#REF!,0))
/
HS_DB[[#This Row],[Competition Intensity]]</f>
        <v>4056912</v>
      </c>
      <c r="BA179" s="8" t="str">
        <f>IF(HS_DB[[#This Row],[Commercial Opportunity Score]]&gt;=PERCENTILE(HS_DB[Commercial Opportunity Score],0.9),"High Opportunity",
 IF(HS_DB[[#This Row],[Commercial Opportunity Score]]&gt;=PERCENTILE(HS_DB[Commercial Opportunity Score],0.6),"Medium Opportunity",
 "Routine Market"))</f>
        <v>Routine Market</v>
      </c>
      <c r="BB179" s="3" t="str">
        <f>IF(AND(HS_DB[[#This Row],[Product Rank]]&gt;0,HS_DB[[#This Row],[Product Rank]]&lt;=10),"Yes","No")</f>
        <v>No</v>
      </c>
      <c r="BC179" s="3" t="str">
        <f>IF(AND(HS_DB[[#This Row],[Origin Rank]]&gt;0,HS_DB[[#This Row],[Origin Rank]]&lt;=10),"Yes","No")</f>
        <v>No</v>
      </c>
    </row>
    <row r="180" spans="2:55" x14ac:dyDescent="0.3">
      <c r="B180" s="2">
        <f>HS_DB[[#This Row],[Commodity Code]]</f>
        <v>291815</v>
      </c>
      <c r="C180" s="2">
        <f>IFERROR(INDEX(HS_MD!C:C,MATCH(B180,HS_MD!B:B,0),1),"")</f>
        <v>9</v>
      </c>
      <c r="D180" s="17" t="str">
        <f>IFERROR(INDEX(HS_MD!D:D,MATCH(B180,HS_MD!B:B,0),1),"")</f>
        <v>Citrates</v>
      </c>
      <c r="E180" s="17" t="str">
        <f>IFERROR(INDEX(HS_MD!E:E,MATCH(B180,HS_MD!B:B,0),1),"")</f>
        <v>Sodium Citrate</v>
      </c>
      <c r="F180" s="17" t="str">
        <f>IFERROR(INDEX(HS_MD!F:F,MATCH(B180,HS_MD!B:B,0),1),"")</f>
        <v>ACIDULANTS &amp; REGULATORS</v>
      </c>
      <c r="G180" s="17" t="str">
        <f>IFERROR(INDEX(HS_MD!G:G,MATCH(B180,HS_MD!B:B,0),1),"")</f>
        <v>Salts &amp; Buffers</v>
      </c>
      <c r="H180" s="17" t="str">
        <f>IFERROR(INDEX(HS_MD!H:H,MATCH(B180,HS_MD!B:B,0),1),"")</f>
        <v>Sodium Citrate</v>
      </c>
      <c r="I180" s="17" t="str">
        <f>IFERROR(INDEX(HS_MD!I:I,MATCH(B180,HS_MD!B:B,0),1),"")</f>
        <v>Beverages / Dairy</v>
      </c>
      <c r="J180" s="17">
        <f>IFERROR(INDEX(Heat_Map[Index],MATCH(HS_DB[[#This Row],[Reporter]],Heat_Map[Global],0),1),"")</f>
        <v>153</v>
      </c>
      <c r="K180" s="17" t="str">
        <f>IF(AND(HS_DB[[#This Row],[Origin Rank]]&gt;1,HS_DB[[#This Row],[Origin Rank]]&lt;=10),"Yes","No")</f>
        <v>Yes</v>
      </c>
      <c r="L180" s="2">
        <v>2024</v>
      </c>
      <c r="M180" s="2" t="s">
        <v>57</v>
      </c>
      <c r="N180" s="2" t="s">
        <v>151</v>
      </c>
      <c r="O180" s="2" t="s">
        <v>22</v>
      </c>
      <c r="P180" s="2" t="s">
        <v>23</v>
      </c>
      <c r="Q180" s="2" t="s">
        <v>24</v>
      </c>
      <c r="R180" s="2" t="s">
        <v>25</v>
      </c>
      <c r="S180" s="2">
        <v>291815</v>
      </c>
      <c r="T180" s="3">
        <v>2271</v>
      </c>
      <c r="U180" s="3">
        <v>0.1</v>
      </c>
      <c r="V180" s="3">
        <v>0</v>
      </c>
      <c r="W180" s="3">
        <v>0</v>
      </c>
      <c r="X180" s="3" t="s">
        <v>58</v>
      </c>
      <c r="Y180" s="3">
        <v>0</v>
      </c>
      <c r="Z180" s="3" t="s">
        <v>58</v>
      </c>
      <c r="AA180" s="6">
        <f>SUMIFS(HS_DB[Trade Value - USD],HS_DB[Reporter],HS_DB[[#This Row],[Reporter]])/SUM(HS_DB[Trade Value - USD])</f>
        <v>5.6395507468920406E-5</v>
      </c>
      <c r="AB180" s="8" cm="1">
        <f t="array" ref="AB180">SUMPRODUCT(
(HS_DB[Reporter]=HS_DB[[#This Row],[Reporter]])*
(HS_DB[Trade Value - USD]&gt;HS_DB[[#This Row],[Trade Value - USD]])
)+1</f>
        <v>3</v>
      </c>
      <c r="AC180" s="8" t="str">
        <f>IFERROR(IF(INDEX(Heat_Map[Crisis Impact %],MATCH(HS_DB[[#This Row],[Reporter]],Heat_Map[Global],0),1)&gt;0,"Yes","No"),"No")</f>
        <v>No</v>
      </c>
      <c r="AD180" s="6">
        <f>IFERROR(INDEX(Heat_Map[Crisis Impact %],MATCH(HS_DB[[#This Row],[Reporter]],Heat_Map[Global],0),1),0)</f>
        <v>0</v>
      </c>
      <c r="AE180" s="8">
        <f>HS_DB[[#This Row],[Crisis Impact%]]*HS_DB[[#This Row],[Trade Value - USD]]</f>
        <v>0</v>
      </c>
      <c r="AF180" s="8">
        <f>HS_DB[[#This Row],[Crisis Impact%]]*HS_DB[[#This Row],[Net Weight -KG]]</f>
        <v>0</v>
      </c>
      <c r="AG180" s="6">
        <f>SUMIFS(HS_DB[Trade Value - USD],HS_DB[Products],HS_DB[[#This Row],[Products]])/SUM(HS_DB[Trade Value - USD])</f>
        <v>2.1521984741853972E-3</v>
      </c>
      <c r="AH180" s="8">
        <f>_xlfn.RANK.EQ(HS_DB[[#This Row],[Trade Value - USD]], HS_DB[Trade Value - USD], 0)
 + COUNTIFS(HS_DB[Trade Value - USD],HS_DB[[#This Row],[Trade Value - USD]],
            HS_DB[HS Code],"&lt;"&amp;HS_DB[[#This Row],[HS Code]])</f>
        <v>467</v>
      </c>
      <c r="AI180" s="9">
        <f>IFERROR(HS_DB[[#This Row],[Trade Value - USD]]/HS_DB[[#This Row],[Net Weight -KG]],0)</f>
        <v>22710</v>
      </c>
      <c r="AJ180" s="17" cm="1">
        <f t="array" ref="AJ180">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80" s="17" t="str">
        <f>IF(HS_DB[[#This Row],[HS Code Risk Score]]&gt;=40,"High",
 IF(HS_DB[[#This Row],[HS Code Risk Score]]&gt;=25,"Medium","Low"))</f>
        <v>Medium</v>
      </c>
      <c r="AL180" s="17" t="str">
        <f>IF(RANK(HS_DB[[#This Row],[HS Code Risk Score]],HS_DB[HS Code Risk Score])&lt;=10,"Yes","No")</f>
        <v>No</v>
      </c>
      <c r="AM180" s="8">
        <f>SUMIFS(HS_DB[Net Weight -KG],HS_DB[HS Code],HS_DB[[#This Row],[HS Code]])</f>
        <v>2777277.2</v>
      </c>
      <c r="AN180" s="8">
        <f>SUMIFS(HS_DB[Trade Value - USD],HS_DB[HS Code],HS_DB[[#This Row],[HS Code]])</f>
        <v>4056912</v>
      </c>
      <c r="AO180" s="6">
        <f>_xlfn.MAXIFS(HS_DB[Origin Share%],HS_DB[HS Code],HS_DB[[#This Row],[HS Code]])</f>
        <v>6.321329281187793E-2</v>
      </c>
      <c r="AP180" s="8" cm="1">
        <f t="array" ref="AP180">_xlfn.LET(
_xlpm.hs,HS_DB[[#This Row],[HS Code]],
COUNTA(_xlfn.UNIQUE(_xlfn._xlws.FILTER(HS_DB[Reporter],HS_DB[HS Code]=_xlpm.hs)))
)</f>
        <v>14</v>
      </c>
      <c r="AQ180" s="17" t="str">
        <f>IF(HS_DB[[#This Row],[Origin Count]]=1,"Single Source","Multiple Sources")</f>
        <v>Multiple Sources</v>
      </c>
      <c r="AR180" s="8">
        <f>HS_DB[[#This Row],[Annual Spend - USD]]*(HS_DB[[#This Row],[HS Code Risk Score]]/100)</f>
        <v>1379350.08</v>
      </c>
      <c r="AS180" s="8">
        <f>RANK(HS_DB[[#This Row],[Risk Exposure - USD]],HS_DB[Risk Exposure - USD],0)</f>
        <v>428</v>
      </c>
      <c r="AT180" s="8" t="str">
        <f>IF(HS_DB[[#This Row],[Risk Exposure Rank]]&lt;=10,"High",
 IF(HS_DB[[#This Row],[Risk Exposure Rank]]&lt;=30,"Medium",
 "Low"))</f>
        <v>Low</v>
      </c>
      <c r="AU180" s="8" t="str">
        <f>IF(HS_DB[[#This Row],[Risk Exposure Rank]]&lt;=5,"Immediate Action",
 IF(HS_DB[[#This Row],[Risk Exposure Rank]]&lt;=15,"Monitor Closely",
 "Routine Control"))</f>
        <v>Routine Control</v>
      </c>
      <c r="AV180" s="8">
        <f>SUMIFS(HS_DB[Trade Value - USD],HS_DB[HS Code],HS_DB[[#This Row],[HS Code]])</f>
        <v>4056912</v>
      </c>
      <c r="AW180" s="6">
        <f>HS_DB[[#This Row],[Annual Spend - USD]]/HS_DB[[#This Row],[Total Market Size - USD]]</f>
        <v>1</v>
      </c>
      <c r="AX180" s="6" cm="1">
        <f t="array" ref="AX180">COUNTA(_xlfn.UNIQUE(_xlfn._xlws.FILTER(HS_DB[Partner],HS_DB[HS Code]=HS_DB[[#This Row],[HS Code]])))</f>
        <v>1</v>
      </c>
      <c r="AY180" s="8" t="str">
        <f>IF(HS_DB[[#This Row],[Competition Intensity]]&lt;=2,"Highly Concentrated",
 IF(HS_DB[[#This Row],[Competition Intensity]]&lt;=5,"Moderate",
 "Highly Competitive"))</f>
        <v>Highly Concentrated</v>
      </c>
      <c r="AZ180" s="8">
        <f>HS_DB[[#This Row],[Total Market Size - USD]]
*
(1+IFERROR(#REF!,0))
/
HS_DB[[#This Row],[Competition Intensity]]</f>
        <v>4056912</v>
      </c>
      <c r="BA180" s="8" t="str">
        <f>IF(HS_DB[[#This Row],[Commercial Opportunity Score]]&gt;=PERCENTILE(HS_DB[Commercial Opportunity Score],0.9),"High Opportunity",
 IF(HS_DB[[#This Row],[Commercial Opportunity Score]]&gt;=PERCENTILE(HS_DB[Commercial Opportunity Score],0.6),"Medium Opportunity",
 "Routine Market"))</f>
        <v>Routine Market</v>
      </c>
      <c r="BB180" s="3" t="str">
        <f>IF(AND(HS_DB[[#This Row],[Product Rank]]&gt;0,HS_DB[[#This Row],[Product Rank]]&lt;=10),"Yes","No")</f>
        <v>No</v>
      </c>
      <c r="BC180" s="3" t="str">
        <f>IF(AND(HS_DB[[#This Row],[Origin Rank]]&gt;0,HS_DB[[#This Row],[Origin Rank]]&lt;=10),"Yes","No")</f>
        <v>Yes</v>
      </c>
    </row>
    <row r="181" spans="2:55" x14ac:dyDescent="0.3">
      <c r="B181" s="2">
        <f>HS_DB[[#This Row],[Commodity Code]]</f>
        <v>291815</v>
      </c>
      <c r="C181" s="2">
        <f>IFERROR(INDEX(HS_MD!C:C,MATCH(B181,HS_MD!B:B,0),1),"")</f>
        <v>9</v>
      </c>
      <c r="D181" s="17" t="str">
        <f>IFERROR(INDEX(HS_MD!D:D,MATCH(B181,HS_MD!B:B,0),1),"")</f>
        <v>Citrates</v>
      </c>
      <c r="E181" s="17" t="str">
        <f>IFERROR(INDEX(HS_MD!E:E,MATCH(B181,HS_MD!B:B,0),1),"")</f>
        <v>Sodium Citrate</v>
      </c>
      <c r="F181" s="17" t="str">
        <f>IFERROR(INDEX(HS_MD!F:F,MATCH(B181,HS_MD!B:B,0),1),"")</f>
        <v>ACIDULANTS &amp; REGULATORS</v>
      </c>
      <c r="G181" s="17" t="str">
        <f>IFERROR(INDEX(HS_MD!G:G,MATCH(B181,HS_MD!B:B,0),1),"")</f>
        <v>Salts &amp; Buffers</v>
      </c>
      <c r="H181" s="17" t="str">
        <f>IFERROR(INDEX(HS_MD!H:H,MATCH(B181,HS_MD!B:B,0),1),"")</f>
        <v>Sodium Citrate</v>
      </c>
      <c r="I181" s="17" t="str">
        <f>IFERROR(INDEX(HS_MD!I:I,MATCH(B181,HS_MD!B:B,0),1),"")</f>
        <v>Beverages / Dairy</v>
      </c>
      <c r="J181" s="17">
        <f>IFERROR(INDEX(Heat_Map[Index],MATCH(HS_DB[[#This Row],[Reporter]],Heat_Map[Global],0),1),"")</f>
        <v>159</v>
      </c>
      <c r="K181" s="17" t="str">
        <f>IF(AND(HS_DB[[#This Row],[Origin Rank]]&gt;1,HS_DB[[#This Row],[Origin Rank]]&lt;=10),"Yes","No")</f>
        <v>No</v>
      </c>
      <c r="L181" s="2">
        <v>2024</v>
      </c>
      <c r="M181" s="2" t="s">
        <v>57</v>
      </c>
      <c r="N181" s="2" t="s">
        <v>30</v>
      </c>
      <c r="O181" s="2" t="s">
        <v>22</v>
      </c>
      <c r="P181" s="2" t="s">
        <v>23</v>
      </c>
      <c r="Q181" s="2" t="s">
        <v>24</v>
      </c>
      <c r="R181" s="2" t="s">
        <v>25</v>
      </c>
      <c r="S181" s="2">
        <v>291815</v>
      </c>
      <c r="T181" s="3">
        <v>593</v>
      </c>
      <c r="U181" s="3">
        <v>150</v>
      </c>
      <c r="V181" s="3">
        <v>0</v>
      </c>
      <c r="W181" s="3">
        <v>150</v>
      </c>
      <c r="X181" s="3" t="s">
        <v>58</v>
      </c>
      <c r="Y181" s="3">
        <v>150</v>
      </c>
      <c r="Z181" s="3" t="s">
        <v>58</v>
      </c>
      <c r="AA181" s="6">
        <f>SUMIFS(HS_DB[Trade Value - USD],HS_DB[Reporter],HS_DB[[#This Row],[Reporter]])/SUM(HS_DB[Trade Value - USD])</f>
        <v>6.110186869383482E-3</v>
      </c>
      <c r="AB181" s="8" cm="1">
        <f t="array" ref="AB181">SUMPRODUCT(
(HS_DB[Reporter]=HS_DB[[#This Row],[Reporter]])*
(HS_DB[Trade Value - USD]&gt;HS_DB[[#This Row],[Trade Value - USD]])
)+1</f>
        <v>25</v>
      </c>
      <c r="AC181" s="8" t="str">
        <f>IFERROR(IF(INDEX(Heat_Map[Crisis Impact %],MATCH(HS_DB[[#This Row],[Reporter]],Heat_Map[Global],0),1)&gt;0,"Yes","No"),"No")</f>
        <v>No</v>
      </c>
      <c r="AD181" s="6">
        <f>IFERROR(INDEX(Heat_Map[Crisis Impact %],MATCH(HS_DB[[#This Row],[Reporter]],Heat_Map[Global],0),1),0)</f>
        <v>0</v>
      </c>
      <c r="AE181" s="8">
        <f>HS_DB[[#This Row],[Crisis Impact%]]*HS_DB[[#This Row],[Trade Value - USD]]</f>
        <v>0</v>
      </c>
      <c r="AF181" s="8">
        <f>HS_DB[[#This Row],[Crisis Impact%]]*HS_DB[[#This Row],[Net Weight -KG]]</f>
        <v>0</v>
      </c>
      <c r="AG181" s="6">
        <f>SUMIFS(HS_DB[Trade Value - USD],HS_DB[Products],HS_DB[[#This Row],[Products]])/SUM(HS_DB[Trade Value - USD])</f>
        <v>2.1521984741853972E-3</v>
      </c>
      <c r="AH181" s="8">
        <f>_xlfn.RANK.EQ(HS_DB[[#This Row],[Trade Value - USD]], HS_DB[Trade Value - USD], 0)
 + COUNTIFS(HS_DB[Trade Value - USD],HS_DB[[#This Row],[Trade Value - USD]],
            HS_DB[HS Code],"&lt;"&amp;HS_DB[[#This Row],[HS Code]])</f>
        <v>494</v>
      </c>
      <c r="AI181" s="9">
        <f>IFERROR(HS_DB[[#This Row],[Trade Value - USD]]/HS_DB[[#This Row],[Net Weight -KG]],0)</f>
        <v>3.9533333333333331</v>
      </c>
      <c r="AJ181" s="17" cm="1">
        <f t="array" ref="AJ181">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81" s="17" t="str">
        <f>IF(HS_DB[[#This Row],[HS Code Risk Score]]&gt;=40,"High",
 IF(HS_DB[[#This Row],[HS Code Risk Score]]&gt;=25,"Medium","Low"))</f>
        <v>Medium</v>
      </c>
      <c r="AL181" s="17" t="str">
        <f>IF(RANK(HS_DB[[#This Row],[HS Code Risk Score]],HS_DB[HS Code Risk Score])&lt;=10,"Yes","No")</f>
        <v>No</v>
      </c>
      <c r="AM181" s="8">
        <f>SUMIFS(HS_DB[Net Weight -KG],HS_DB[HS Code],HS_DB[[#This Row],[HS Code]])</f>
        <v>2777277.2</v>
      </c>
      <c r="AN181" s="8">
        <f>SUMIFS(HS_DB[Trade Value - USD],HS_DB[HS Code],HS_DB[[#This Row],[HS Code]])</f>
        <v>4056912</v>
      </c>
      <c r="AO181" s="6">
        <f>_xlfn.MAXIFS(HS_DB[Origin Share%],HS_DB[HS Code],HS_DB[[#This Row],[HS Code]])</f>
        <v>6.321329281187793E-2</v>
      </c>
      <c r="AP181" s="8" cm="1">
        <f t="array" ref="AP181">_xlfn.LET(
_xlpm.hs,HS_DB[[#This Row],[HS Code]],
COUNTA(_xlfn.UNIQUE(_xlfn._xlws.FILTER(HS_DB[Reporter],HS_DB[HS Code]=_xlpm.hs)))
)</f>
        <v>14</v>
      </c>
      <c r="AQ181" s="17" t="str">
        <f>IF(HS_DB[[#This Row],[Origin Count]]=1,"Single Source","Multiple Sources")</f>
        <v>Multiple Sources</v>
      </c>
      <c r="AR181" s="8">
        <f>HS_DB[[#This Row],[Annual Spend - USD]]*(HS_DB[[#This Row],[HS Code Risk Score]]/100)</f>
        <v>1379350.08</v>
      </c>
      <c r="AS181" s="8">
        <f>RANK(HS_DB[[#This Row],[Risk Exposure - USD]],HS_DB[Risk Exposure - USD],0)</f>
        <v>428</v>
      </c>
      <c r="AT181" s="8" t="str">
        <f>IF(HS_DB[[#This Row],[Risk Exposure Rank]]&lt;=10,"High",
 IF(HS_DB[[#This Row],[Risk Exposure Rank]]&lt;=30,"Medium",
 "Low"))</f>
        <v>Low</v>
      </c>
      <c r="AU181" s="8" t="str">
        <f>IF(HS_DB[[#This Row],[Risk Exposure Rank]]&lt;=5,"Immediate Action",
 IF(HS_DB[[#This Row],[Risk Exposure Rank]]&lt;=15,"Monitor Closely",
 "Routine Control"))</f>
        <v>Routine Control</v>
      </c>
      <c r="AV181" s="8">
        <f>SUMIFS(HS_DB[Trade Value - USD],HS_DB[HS Code],HS_DB[[#This Row],[HS Code]])</f>
        <v>4056912</v>
      </c>
      <c r="AW181" s="6">
        <f>HS_DB[[#This Row],[Annual Spend - USD]]/HS_DB[[#This Row],[Total Market Size - USD]]</f>
        <v>1</v>
      </c>
      <c r="AX181" s="6" cm="1">
        <f t="array" ref="AX181">COUNTA(_xlfn.UNIQUE(_xlfn._xlws.FILTER(HS_DB[Partner],HS_DB[HS Code]=HS_DB[[#This Row],[HS Code]])))</f>
        <v>1</v>
      </c>
      <c r="AY181" s="8" t="str">
        <f>IF(HS_DB[[#This Row],[Competition Intensity]]&lt;=2,"Highly Concentrated",
 IF(HS_DB[[#This Row],[Competition Intensity]]&lt;=5,"Moderate",
 "Highly Competitive"))</f>
        <v>Highly Concentrated</v>
      </c>
      <c r="AZ181" s="8">
        <f>HS_DB[[#This Row],[Total Market Size - USD]]
*
(1+IFERROR(#REF!,0))
/
HS_DB[[#This Row],[Competition Intensity]]</f>
        <v>4056912</v>
      </c>
      <c r="BA181" s="8" t="str">
        <f>IF(HS_DB[[#This Row],[Commercial Opportunity Score]]&gt;=PERCENTILE(HS_DB[Commercial Opportunity Score],0.9),"High Opportunity",
 IF(HS_DB[[#This Row],[Commercial Opportunity Score]]&gt;=PERCENTILE(HS_DB[Commercial Opportunity Score],0.6),"Medium Opportunity",
 "Routine Market"))</f>
        <v>Routine Market</v>
      </c>
      <c r="BB181" s="3" t="str">
        <f>IF(AND(HS_DB[[#This Row],[Product Rank]]&gt;0,HS_DB[[#This Row],[Product Rank]]&lt;=10),"Yes","No")</f>
        <v>No</v>
      </c>
      <c r="BC181" s="3" t="str">
        <f>IF(AND(HS_DB[[#This Row],[Origin Rank]]&gt;0,HS_DB[[#This Row],[Origin Rank]]&lt;=10),"Yes","No")</f>
        <v>No</v>
      </c>
    </row>
    <row r="182" spans="2:55" x14ac:dyDescent="0.3">
      <c r="B182" s="2">
        <f>HS_DB[[#This Row],[Commodity Code]]</f>
        <v>291815</v>
      </c>
      <c r="C182" s="2">
        <f>IFERROR(INDEX(HS_MD!C:C,MATCH(B182,HS_MD!B:B,0),1),"")</f>
        <v>9</v>
      </c>
      <c r="D182" s="17" t="str">
        <f>IFERROR(INDEX(HS_MD!D:D,MATCH(B182,HS_MD!B:B,0),1),"")</f>
        <v>Citrates</v>
      </c>
      <c r="E182" s="17" t="str">
        <f>IFERROR(INDEX(HS_MD!E:E,MATCH(B182,HS_MD!B:B,0),1),"")</f>
        <v>Sodium Citrate</v>
      </c>
      <c r="F182" s="17" t="str">
        <f>IFERROR(INDEX(HS_MD!F:F,MATCH(B182,HS_MD!B:B,0),1),"")</f>
        <v>ACIDULANTS &amp; REGULATORS</v>
      </c>
      <c r="G182" s="17" t="str">
        <f>IFERROR(INDEX(HS_MD!G:G,MATCH(B182,HS_MD!B:B,0),1),"")</f>
        <v>Salts &amp; Buffers</v>
      </c>
      <c r="H182" s="17" t="str">
        <f>IFERROR(INDEX(HS_MD!H:H,MATCH(B182,HS_MD!B:B,0),1),"")</f>
        <v>Sodium Citrate</v>
      </c>
      <c r="I182" s="17" t="str">
        <f>IFERROR(INDEX(HS_MD!I:I,MATCH(B182,HS_MD!B:B,0),1),"")</f>
        <v>Beverages / Dairy</v>
      </c>
      <c r="J182" s="17">
        <f>IFERROR(INDEX(Heat_Map[Index],MATCH(HS_DB[[#This Row],[Reporter]],Heat_Map[Global],0),1),"")</f>
        <v>175</v>
      </c>
      <c r="K182" s="17" t="str">
        <f>IF(AND(HS_DB[[#This Row],[Origin Rank]]&gt;1,HS_DB[[#This Row],[Origin Rank]]&lt;=10),"Yes","No")</f>
        <v>No</v>
      </c>
      <c r="L182" s="2">
        <v>2024</v>
      </c>
      <c r="M182" s="2" t="s">
        <v>57</v>
      </c>
      <c r="N182" s="2" t="s">
        <v>34</v>
      </c>
      <c r="O182" s="2" t="s">
        <v>22</v>
      </c>
      <c r="P182" s="2" t="s">
        <v>23</v>
      </c>
      <c r="Q182" s="2" t="s">
        <v>24</v>
      </c>
      <c r="R182" s="2" t="s">
        <v>25</v>
      </c>
      <c r="S182" s="2">
        <v>291815</v>
      </c>
      <c r="T182" s="3">
        <v>152144</v>
      </c>
      <c r="U182" s="3">
        <v>245284</v>
      </c>
      <c r="V182" s="3">
        <v>0</v>
      </c>
      <c r="W182" s="3">
        <v>245284</v>
      </c>
      <c r="X182" s="3" t="s">
        <v>58</v>
      </c>
      <c r="Y182" s="3">
        <v>245284</v>
      </c>
      <c r="Z182" s="3" t="s">
        <v>58</v>
      </c>
      <c r="AA182" s="6">
        <f>SUMIFS(HS_DB[Trade Value - USD],HS_DB[Reporter],HS_DB[[#This Row],[Reporter]])/SUM(HS_DB[Trade Value - USD])</f>
        <v>4.7522902002533667E-2</v>
      </c>
      <c r="AB182" s="8" cm="1">
        <f t="array" ref="AB182">SUMPRODUCT(
(HS_DB[Reporter]=HS_DB[[#This Row],[Reporter]])*
(HS_DB[Trade Value - USD]&gt;HS_DB[[#This Row],[Trade Value - USD]])
)+1</f>
        <v>23</v>
      </c>
      <c r="AC182" s="8" t="str">
        <f>IFERROR(IF(INDEX(Heat_Map[Crisis Impact %],MATCH(HS_DB[[#This Row],[Reporter]],Heat_Map[Global],0),1)&gt;0,"Yes","No"),"No")</f>
        <v>Yes</v>
      </c>
      <c r="AD182" s="6">
        <f>IFERROR(INDEX(Heat_Map[Crisis Impact %],MATCH(HS_DB[[#This Row],[Reporter]],Heat_Map[Global],0),1),0)</f>
        <v>0.1</v>
      </c>
      <c r="AE182" s="8">
        <f>HS_DB[[#This Row],[Crisis Impact%]]*HS_DB[[#This Row],[Trade Value - USD]]</f>
        <v>15214.400000000001</v>
      </c>
      <c r="AF182" s="8">
        <f>HS_DB[[#This Row],[Crisis Impact%]]*HS_DB[[#This Row],[Net Weight -KG]]</f>
        <v>24528.400000000001</v>
      </c>
      <c r="AG182" s="6">
        <f>SUMIFS(HS_DB[Trade Value - USD],HS_DB[Products],HS_DB[[#This Row],[Products]])/SUM(HS_DB[Trade Value - USD])</f>
        <v>2.1521984741853972E-3</v>
      </c>
      <c r="AH182" s="8">
        <f>_xlfn.RANK.EQ(HS_DB[[#This Row],[Trade Value - USD]], HS_DB[Trade Value - USD], 0)
 + COUNTIFS(HS_DB[Trade Value - USD],HS_DB[[#This Row],[Trade Value - USD]],
            HS_DB[HS Code],"&lt;"&amp;HS_DB[[#This Row],[HS Code]])</f>
        <v>246</v>
      </c>
      <c r="AI182" s="9">
        <f>IFERROR(HS_DB[[#This Row],[Trade Value - USD]]/HS_DB[[#This Row],[Net Weight -KG]],0)</f>
        <v>0.62027690350777054</v>
      </c>
      <c r="AJ182" s="17" cm="1">
        <f t="array" ref="AJ182">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82" s="17" t="str">
        <f>IF(HS_DB[[#This Row],[HS Code Risk Score]]&gt;=40,"High",
 IF(HS_DB[[#This Row],[HS Code Risk Score]]&gt;=25,"Medium","Low"))</f>
        <v>Medium</v>
      </c>
      <c r="AL182" s="17" t="str">
        <f>IF(RANK(HS_DB[[#This Row],[HS Code Risk Score]],HS_DB[HS Code Risk Score])&lt;=10,"Yes","No")</f>
        <v>No</v>
      </c>
      <c r="AM182" s="8">
        <f>SUMIFS(HS_DB[Net Weight -KG],HS_DB[HS Code],HS_DB[[#This Row],[HS Code]])</f>
        <v>2777277.2</v>
      </c>
      <c r="AN182" s="8">
        <f>SUMIFS(HS_DB[Trade Value - USD],HS_DB[HS Code],HS_DB[[#This Row],[HS Code]])</f>
        <v>4056912</v>
      </c>
      <c r="AO182" s="6">
        <f>_xlfn.MAXIFS(HS_DB[Origin Share%],HS_DB[HS Code],HS_DB[[#This Row],[HS Code]])</f>
        <v>6.321329281187793E-2</v>
      </c>
      <c r="AP182" s="8" cm="1">
        <f t="array" ref="AP182">_xlfn.LET(
_xlpm.hs,HS_DB[[#This Row],[HS Code]],
COUNTA(_xlfn.UNIQUE(_xlfn._xlws.FILTER(HS_DB[Reporter],HS_DB[HS Code]=_xlpm.hs)))
)</f>
        <v>14</v>
      </c>
      <c r="AQ182" s="17" t="str">
        <f>IF(HS_DB[[#This Row],[Origin Count]]=1,"Single Source","Multiple Sources")</f>
        <v>Multiple Sources</v>
      </c>
      <c r="AR182" s="8">
        <f>HS_DB[[#This Row],[Annual Spend - USD]]*(HS_DB[[#This Row],[HS Code Risk Score]]/100)</f>
        <v>1379350.08</v>
      </c>
      <c r="AS182" s="8">
        <f>RANK(HS_DB[[#This Row],[Risk Exposure - USD]],HS_DB[Risk Exposure - USD],0)</f>
        <v>428</v>
      </c>
      <c r="AT182" s="8" t="str">
        <f>IF(HS_DB[[#This Row],[Risk Exposure Rank]]&lt;=10,"High",
 IF(HS_DB[[#This Row],[Risk Exposure Rank]]&lt;=30,"Medium",
 "Low"))</f>
        <v>Low</v>
      </c>
      <c r="AU182" s="8" t="str">
        <f>IF(HS_DB[[#This Row],[Risk Exposure Rank]]&lt;=5,"Immediate Action",
 IF(HS_DB[[#This Row],[Risk Exposure Rank]]&lt;=15,"Monitor Closely",
 "Routine Control"))</f>
        <v>Routine Control</v>
      </c>
      <c r="AV182" s="8">
        <f>SUMIFS(HS_DB[Trade Value - USD],HS_DB[HS Code],HS_DB[[#This Row],[HS Code]])</f>
        <v>4056912</v>
      </c>
      <c r="AW182" s="6">
        <f>HS_DB[[#This Row],[Annual Spend - USD]]/HS_DB[[#This Row],[Total Market Size - USD]]</f>
        <v>1</v>
      </c>
      <c r="AX182" s="6" cm="1">
        <f t="array" ref="AX182">COUNTA(_xlfn.UNIQUE(_xlfn._xlws.FILTER(HS_DB[Partner],HS_DB[HS Code]=HS_DB[[#This Row],[HS Code]])))</f>
        <v>1</v>
      </c>
      <c r="AY182" s="8" t="str">
        <f>IF(HS_DB[[#This Row],[Competition Intensity]]&lt;=2,"Highly Concentrated",
 IF(HS_DB[[#This Row],[Competition Intensity]]&lt;=5,"Moderate",
 "Highly Competitive"))</f>
        <v>Highly Concentrated</v>
      </c>
      <c r="AZ182" s="8">
        <f>HS_DB[[#This Row],[Total Market Size - USD]]
*
(1+IFERROR(#REF!,0))
/
HS_DB[[#This Row],[Competition Intensity]]</f>
        <v>4056912</v>
      </c>
      <c r="BA182" s="8" t="str">
        <f>IF(HS_DB[[#This Row],[Commercial Opportunity Score]]&gt;=PERCENTILE(HS_DB[Commercial Opportunity Score],0.9),"High Opportunity",
 IF(HS_DB[[#This Row],[Commercial Opportunity Score]]&gt;=PERCENTILE(HS_DB[Commercial Opportunity Score],0.6),"Medium Opportunity",
 "Routine Market"))</f>
        <v>Routine Market</v>
      </c>
      <c r="BB182" s="3" t="str">
        <f>IF(AND(HS_DB[[#This Row],[Product Rank]]&gt;0,HS_DB[[#This Row],[Product Rank]]&lt;=10),"Yes","No")</f>
        <v>No</v>
      </c>
      <c r="BC182" s="3" t="str">
        <f>IF(AND(HS_DB[[#This Row],[Origin Rank]]&gt;0,HS_DB[[#This Row],[Origin Rank]]&lt;=10),"Yes","No")</f>
        <v>No</v>
      </c>
    </row>
    <row r="183" spans="2:55" x14ac:dyDescent="0.3">
      <c r="B183" s="2">
        <f>HS_DB[[#This Row],[Commodity Code]]</f>
        <v>291815</v>
      </c>
      <c r="C183" s="2">
        <f>IFERROR(INDEX(HS_MD!C:C,MATCH(B183,HS_MD!B:B,0),1),"")</f>
        <v>9</v>
      </c>
      <c r="D183" s="17" t="str">
        <f>IFERROR(INDEX(HS_MD!D:D,MATCH(B183,HS_MD!B:B,0),1),"")</f>
        <v>Citrates</v>
      </c>
      <c r="E183" s="17" t="str">
        <f>IFERROR(INDEX(HS_MD!E:E,MATCH(B183,HS_MD!B:B,0),1),"")</f>
        <v>Sodium Citrate</v>
      </c>
      <c r="F183" s="17" t="str">
        <f>IFERROR(INDEX(HS_MD!F:F,MATCH(B183,HS_MD!B:B,0),1),"")</f>
        <v>ACIDULANTS &amp; REGULATORS</v>
      </c>
      <c r="G183" s="17" t="str">
        <f>IFERROR(INDEX(HS_MD!G:G,MATCH(B183,HS_MD!B:B,0),1),"")</f>
        <v>Salts &amp; Buffers</v>
      </c>
      <c r="H183" s="17" t="str">
        <f>IFERROR(INDEX(HS_MD!H:H,MATCH(B183,HS_MD!B:B,0),1),"")</f>
        <v>Sodium Citrate</v>
      </c>
      <c r="I183" s="17" t="str">
        <f>IFERROR(INDEX(HS_MD!I:I,MATCH(B183,HS_MD!B:B,0),1),"")</f>
        <v>Beverages / Dairy</v>
      </c>
      <c r="J183" s="17">
        <f>IFERROR(INDEX(Heat_Map[Index],MATCH(HS_DB[[#This Row],[Reporter]],Heat_Map[Global],0),1),"")</f>
        <v>182</v>
      </c>
      <c r="K183" s="17" t="str">
        <f>IF(AND(HS_DB[[#This Row],[Origin Rank]]&gt;1,HS_DB[[#This Row],[Origin Rank]]&lt;=10),"Yes","No")</f>
        <v>No</v>
      </c>
      <c r="L183" s="2">
        <v>2024</v>
      </c>
      <c r="M183" s="2" t="s">
        <v>57</v>
      </c>
      <c r="N183" s="2" t="s">
        <v>56</v>
      </c>
      <c r="O183" s="2" t="s">
        <v>22</v>
      </c>
      <c r="P183" s="2" t="s">
        <v>23</v>
      </c>
      <c r="Q183" s="2" t="s">
        <v>24</v>
      </c>
      <c r="R183" s="2" t="s">
        <v>25</v>
      </c>
      <c r="S183" s="2">
        <v>291815</v>
      </c>
      <c r="T183" s="3">
        <v>148117</v>
      </c>
      <c r="U183" s="3">
        <v>2789</v>
      </c>
      <c r="V183" s="3">
        <v>0</v>
      </c>
      <c r="W183" s="3">
        <v>2789</v>
      </c>
      <c r="X183" s="3" t="s">
        <v>58</v>
      </c>
      <c r="Y183" s="3">
        <v>2789</v>
      </c>
      <c r="Z183" s="3" t="s">
        <v>58</v>
      </c>
      <c r="AA183" s="6">
        <f>SUMIFS(HS_DB[Trade Value - USD],HS_DB[Reporter],HS_DB[[#This Row],[Reporter]])/SUM(HS_DB[Trade Value - USD])</f>
        <v>9.425427433633813E-3</v>
      </c>
      <c r="AB183" s="8" cm="1">
        <f t="array" ref="AB183">SUMPRODUCT(
(HS_DB[Reporter]=HS_DB[[#This Row],[Reporter]])*
(HS_DB[Trade Value - USD]&gt;HS_DB[[#This Row],[Trade Value - USD]])
)+1</f>
        <v>12</v>
      </c>
      <c r="AC183" s="8" t="str">
        <f>IFERROR(IF(INDEX(Heat_Map[Crisis Impact %],MATCH(HS_DB[[#This Row],[Reporter]],Heat_Map[Global],0),1)&gt;0,"Yes","No"),"No")</f>
        <v>Yes</v>
      </c>
      <c r="AD183" s="6">
        <f>IFERROR(INDEX(Heat_Map[Crisis Impact %],MATCH(HS_DB[[#This Row],[Reporter]],Heat_Map[Global],0),1),0)</f>
        <v>4.0000000000000008E-2</v>
      </c>
      <c r="AE183" s="8">
        <f>HS_DB[[#This Row],[Crisis Impact%]]*HS_DB[[#This Row],[Trade Value - USD]]</f>
        <v>5924.6800000000012</v>
      </c>
      <c r="AF183" s="8">
        <f>HS_DB[[#This Row],[Crisis Impact%]]*HS_DB[[#This Row],[Net Weight -KG]]</f>
        <v>111.56000000000002</v>
      </c>
      <c r="AG183" s="6">
        <f>SUMIFS(HS_DB[Trade Value - USD],HS_DB[Products],HS_DB[[#This Row],[Products]])/SUM(HS_DB[Trade Value - USD])</f>
        <v>2.1521984741853972E-3</v>
      </c>
      <c r="AH183" s="8">
        <f>_xlfn.RANK.EQ(HS_DB[[#This Row],[Trade Value - USD]], HS_DB[Trade Value - USD], 0)
 + COUNTIFS(HS_DB[Trade Value - USD],HS_DB[[#This Row],[Trade Value - USD]],
            HS_DB[HS Code],"&lt;"&amp;HS_DB[[#This Row],[HS Code]])</f>
        <v>249</v>
      </c>
      <c r="AI183" s="9">
        <f>IFERROR(HS_DB[[#This Row],[Trade Value - USD]]/HS_DB[[#This Row],[Net Weight -KG]],0)</f>
        <v>53.107565435640012</v>
      </c>
      <c r="AJ183" s="17" cm="1">
        <f t="array" ref="AJ183">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83" s="17" t="str">
        <f>IF(HS_DB[[#This Row],[HS Code Risk Score]]&gt;=40,"High",
 IF(HS_DB[[#This Row],[HS Code Risk Score]]&gt;=25,"Medium","Low"))</f>
        <v>Medium</v>
      </c>
      <c r="AL183" s="17" t="str">
        <f>IF(RANK(HS_DB[[#This Row],[HS Code Risk Score]],HS_DB[HS Code Risk Score])&lt;=10,"Yes","No")</f>
        <v>No</v>
      </c>
      <c r="AM183" s="8">
        <f>SUMIFS(HS_DB[Net Weight -KG],HS_DB[HS Code],HS_DB[[#This Row],[HS Code]])</f>
        <v>2777277.2</v>
      </c>
      <c r="AN183" s="8">
        <f>SUMIFS(HS_DB[Trade Value - USD],HS_DB[HS Code],HS_DB[[#This Row],[HS Code]])</f>
        <v>4056912</v>
      </c>
      <c r="AO183" s="6">
        <f>_xlfn.MAXIFS(HS_DB[Origin Share%],HS_DB[HS Code],HS_DB[[#This Row],[HS Code]])</f>
        <v>6.321329281187793E-2</v>
      </c>
      <c r="AP183" s="8" cm="1">
        <f t="array" ref="AP183">_xlfn.LET(
_xlpm.hs,HS_DB[[#This Row],[HS Code]],
COUNTA(_xlfn.UNIQUE(_xlfn._xlws.FILTER(HS_DB[Reporter],HS_DB[HS Code]=_xlpm.hs)))
)</f>
        <v>14</v>
      </c>
      <c r="AQ183" s="17" t="str">
        <f>IF(HS_DB[[#This Row],[Origin Count]]=1,"Single Source","Multiple Sources")</f>
        <v>Multiple Sources</v>
      </c>
      <c r="AR183" s="8">
        <f>HS_DB[[#This Row],[Annual Spend - USD]]*(HS_DB[[#This Row],[HS Code Risk Score]]/100)</f>
        <v>1379350.08</v>
      </c>
      <c r="AS183" s="8">
        <f>RANK(HS_DB[[#This Row],[Risk Exposure - USD]],HS_DB[Risk Exposure - USD],0)</f>
        <v>428</v>
      </c>
      <c r="AT183" s="8" t="str">
        <f>IF(HS_DB[[#This Row],[Risk Exposure Rank]]&lt;=10,"High",
 IF(HS_DB[[#This Row],[Risk Exposure Rank]]&lt;=30,"Medium",
 "Low"))</f>
        <v>Low</v>
      </c>
      <c r="AU183" s="8" t="str">
        <f>IF(HS_DB[[#This Row],[Risk Exposure Rank]]&lt;=5,"Immediate Action",
 IF(HS_DB[[#This Row],[Risk Exposure Rank]]&lt;=15,"Monitor Closely",
 "Routine Control"))</f>
        <v>Routine Control</v>
      </c>
      <c r="AV183" s="8">
        <f>SUMIFS(HS_DB[Trade Value - USD],HS_DB[HS Code],HS_DB[[#This Row],[HS Code]])</f>
        <v>4056912</v>
      </c>
      <c r="AW183" s="6">
        <f>HS_DB[[#This Row],[Annual Spend - USD]]/HS_DB[[#This Row],[Total Market Size - USD]]</f>
        <v>1</v>
      </c>
      <c r="AX183" s="6" cm="1">
        <f t="array" ref="AX183">COUNTA(_xlfn.UNIQUE(_xlfn._xlws.FILTER(HS_DB[Partner],HS_DB[HS Code]=HS_DB[[#This Row],[HS Code]])))</f>
        <v>1</v>
      </c>
      <c r="AY183" s="8" t="str">
        <f>IF(HS_DB[[#This Row],[Competition Intensity]]&lt;=2,"Highly Concentrated",
 IF(HS_DB[[#This Row],[Competition Intensity]]&lt;=5,"Moderate",
 "Highly Competitive"))</f>
        <v>Highly Concentrated</v>
      </c>
      <c r="AZ183" s="8">
        <f>HS_DB[[#This Row],[Total Market Size - USD]]
*
(1+IFERROR(#REF!,0))
/
HS_DB[[#This Row],[Competition Intensity]]</f>
        <v>4056912</v>
      </c>
      <c r="BA183" s="8" t="str">
        <f>IF(HS_DB[[#This Row],[Commercial Opportunity Score]]&gt;=PERCENTILE(HS_DB[Commercial Opportunity Score],0.9),"High Opportunity",
 IF(HS_DB[[#This Row],[Commercial Opportunity Score]]&gt;=PERCENTILE(HS_DB[Commercial Opportunity Score],0.6),"Medium Opportunity",
 "Routine Market"))</f>
        <v>Routine Market</v>
      </c>
      <c r="BB183" s="3" t="str">
        <f>IF(AND(HS_DB[[#This Row],[Product Rank]]&gt;0,HS_DB[[#This Row],[Product Rank]]&lt;=10),"Yes","No")</f>
        <v>No</v>
      </c>
      <c r="BC183" s="3" t="str">
        <f>IF(AND(HS_DB[[#This Row],[Origin Rank]]&gt;0,HS_DB[[#This Row],[Origin Rank]]&lt;=10),"Yes","No")</f>
        <v>No</v>
      </c>
    </row>
    <row r="184" spans="2:55" x14ac:dyDescent="0.3">
      <c r="B184" s="2">
        <f>HS_DB[[#This Row],[Commodity Code]]</f>
        <v>291550</v>
      </c>
      <c r="C184" s="2">
        <f>IFERROR(INDEX(HS_MD!C:C,MATCH(B184,HS_MD!B:B,0),1),"")</f>
        <v>12</v>
      </c>
      <c r="D184" s="17" t="str">
        <f>IFERROR(INDEX(HS_MD!D:D,MATCH(B184,HS_MD!B:B,0),1),"")</f>
        <v>Propionic acid salts</v>
      </c>
      <c r="E184" s="17" t="str">
        <f>IFERROR(INDEX(HS_MD!E:E,MATCH(B184,HS_MD!B:B,0),1),"")</f>
        <v>Calcium Propionate</v>
      </c>
      <c r="F184" s="17" t="str">
        <f>IFERROR(INDEX(HS_MD!F:F,MATCH(B184,HS_MD!B:B,0),1),"")</f>
        <v>PRESERVATIVES</v>
      </c>
      <c r="G184" s="17" t="str">
        <f>IFERROR(INDEX(HS_MD!G:G,MATCH(B184,HS_MD!B:B,0),1),"")</f>
        <v>Organic Preservatives</v>
      </c>
      <c r="H184" s="17" t="str">
        <f>IFERROR(INDEX(HS_MD!H:H,MATCH(B184,HS_MD!B:B,0),1),"")</f>
        <v>Calcium Propionate</v>
      </c>
      <c r="I184" s="17" t="str">
        <f>IFERROR(INDEX(HS_MD!I:I,MATCH(B184,HS_MD!B:B,0),1),"")</f>
        <v>Bakery</v>
      </c>
      <c r="J184" s="17">
        <f>IFERROR(INDEX(Heat_Map[Index],MATCH(HS_DB[[#This Row],[Reporter]],Heat_Map[Global],0),1),"")</f>
        <v>17</v>
      </c>
      <c r="K184" s="17" t="str">
        <f>IF(AND(HS_DB[[#This Row],[Origin Rank]]&gt;1,HS_DB[[#This Row],[Origin Rank]]&lt;=10),"Yes","No")</f>
        <v>No</v>
      </c>
      <c r="L184" s="2">
        <v>2024</v>
      </c>
      <c r="M184" s="2" t="s">
        <v>57</v>
      </c>
      <c r="N184" s="2" t="s">
        <v>5</v>
      </c>
      <c r="O184" s="2" t="s">
        <v>22</v>
      </c>
      <c r="P184" s="2" t="s">
        <v>23</v>
      </c>
      <c r="Q184" s="2" t="s">
        <v>24</v>
      </c>
      <c r="R184" s="2" t="s">
        <v>25</v>
      </c>
      <c r="S184" s="2">
        <v>291550</v>
      </c>
      <c r="T184" s="3">
        <v>47137</v>
      </c>
      <c r="U184" s="3">
        <v>33404.6</v>
      </c>
      <c r="V184" s="3">
        <v>0</v>
      </c>
      <c r="W184" s="3">
        <v>33405</v>
      </c>
      <c r="X184" s="3" t="s">
        <v>58</v>
      </c>
      <c r="Y184" s="3">
        <v>33405</v>
      </c>
      <c r="Z184" s="3" t="s">
        <v>58</v>
      </c>
      <c r="AA184" s="6">
        <f>SUMIFS(HS_DB[Trade Value - USD],HS_DB[Reporter],HS_DB[[#This Row],[Reporter]])/SUM(HS_DB[Trade Value - USD])</f>
        <v>5.3992075088500962E-3</v>
      </c>
      <c r="AB184" s="8" cm="1">
        <f t="array" ref="AB184">SUMPRODUCT(
(HS_DB[Reporter]=HS_DB[[#This Row],[Reporter]])*
(HS_DB[Trade Value - USD]&gt;HS_DB[[#This Row],[Trade Value - USD]])
)+1</f>
        <v>15</v>
      </c>
      <c r="AC184" s="8" t="str">
        <f>IFERROR(IF(INDEX(Heat_Map[Crisis Impact %],MATCH(HS_DB[[#This Row],[Reporter]],Heat_Map[Global],0),1)&gt;0,"Yes","No"),"No")</f>
        <v>No</v>
      </c>
      <c r="AD184" s="6">
        <f>IFERROR(INDEX(Heat_Map[Crisis Impact %],MATCH(HS_DB[[#This Row],[Reporter]],Heat_Map[Global],0),1),0)</f>
        <v>0</v>
      </c>
      <c r="AE184" s="8">
        <f>HS_DB[[#This Row],[Crisis Impact%]]*HS_DB[[#This Row],[Trade Value - USD]]</f>
        <v>0</v>
      </c>
      <c r="AF184" s="8">
        <f>HS_DB[[#This Row],[Crisis Impact%]]*HS_DB[[#This Row],[Net Weight -KG]]</f>
        <v>0</v>
      </c>
      <c r="AG184" s="6">
        <f>SUMIFS(HS_DB[Trade Value - USD],HS_DB[Products],HS_DB[[#This Row],[Products]])/SUM(HS_DB[Trade Value - USD])</f>
        <v>1.138070847312224E-3</v>
      </c>
      <c r="AH184" s="8">
        <f>_xlfn.RANK.EQ(HS_DB[[#This Row],[Trade Value - USD]], HS_DB[Trade Value - USD], 0)
 + COUNTIFS(HS_DB[Trade Value - USD],HS_DB[[#This Row],[Trade Value - USD]],
            HS_DB[HS Code],"&lt;"&amp;HS_DB[[#This Row],[HS Code]])</f>
        <v>328</v>
      </c>
      <c r="AI184" s="9">
        <f>IFERROR(HS_DB[[#This Row],[Trade Value - USD]]/HS_DB[[#This Row],[Net Weight -KG]],0)</f>
        <v>1.4110930829885704</v>
      </c>
      <c r="AJ184" s="17" cm="1">
        <f t="array" ref="AJ184">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84" s="17" t="str">
        <f>IF(HS_DB[[#This Row],[HS Code Risk Score]]&gt;=40,"High",
 IF(HS_DB[[#This Row],[HS Code Risk Score]]&gt;=25,"Medium","Low"))</f>
        <v>Medium</v>
      </c>
      <c r="AL184" s="17" t="str">
        <f>IF(RANK(HS_DB[[#This Row],[HS Code Risk Score]],HS_DB[HS Code Risk Score])&lt;=10,"Yes","No")</f>
        <v>No</v>
      </c>
      <c r="AM184" s="8">
        <f>SUMIFS(HS_DB[Net Weight -KG],HS_DB[HS Code],HS_DB[[#This Row],[HS Code]])</f>
        <v>1269954.4000000001</v>
      </c>
      <c r="AN184" s="8">
        <f>SUMIFS(HS_DB[Trade Value - USD],HS_DB[HS Code],HS_DB[[#This Row],[HS Code]])</f>
        <v>2145273</v>
      </c>
      <c r="AO184" s="6">
        <f>_xlfn.MAXIFS(HS_DB[Origin Share%],HS_DB[HS Code],HS_DB[[#This Row],[HS Code]])</f>
        <v>6.321329281187793E-2</v>
      </c>
      <c r="AP184" s="8" cm="1">
        <f t="array" ref="AP184">_xlfn.LET(
_xlpm.hs,HS_DB[[#This Row],[HS Code]],
COUNTA(_xlfn.UNIQUE(_xlfn._xlws.FILTER(HS_DB[Reporter],HS_DB[HS Code]=_xlpm.hs)))
)</f>
        <v>11</v>
      </c>
      <c r="AQ184" s="17" t="str">
        <f>IF(HS_DB[[#This Row],[Origin Count]]=1,"Single Source","Multiple Sources")</f>
        <v>Multiple Sources</v>
      </c>
      <c r="AR184" s="8">
        <f>HS_DB[[#This Row],[Annual Spend - USD]]*(HS_DB[[#This Row],[HS Code Risk Score]]/100)</f>
        <v>729392.82000000007</v>
      </c>
      <c r="AS184" s="8">
        <f>RANK(HS_DB[[#This Row],[Risk Exposure - USD]],HS_DB[Risk Exposure - USD],0)</f>
        <v>465</v>
      </c>
      <c r="AT184" s="8" t="str">
        <f>IF(HS_DB[[#This Row],[Risk Exposure Rank]]&lt;=10,"High",
 IF(HS_DB[[#This Row],[Risk Exposure Rank]]&lt;=30,"Medium",
 "Low"))</f>
        <v>Low</v>
      </c>
      <c r="AU184" s="8" t="str">
        <f>IF(HS_DB[[#This Row],[Risk Exposure Rank]]&lt;=5,"Immediate Action",
 IF(HS_DB[[#This Row],[Risk Exposure Rank]]&lt;=15,"Monitor Closely",
 "Routine Control"))</f>
        <v>Routine Control</v>
      </c>
      <c r="AV184" s="8">
        <f>SUMIFS(HS_DB[Trade Value - USD],HS_DB[HS Code],HS_DB[[#This Row],[HS Code]])</f>
        <v>2145273</v>
      </c>
      <c r="AW184" s="6">
        <f>HS_DB[[#This Row],[Annual Spend - USD]]/HS_DB[[#This Row],[Total Market Size - USD]]</f>
        <v>1</v>
      </c>
      <c r="AX184" s="6" cm="1">
        <f t="array" ref="AX184">COUNTA(_xlfn.UNIQUE(_xlfn._xlws.FILTER(HS_DB[Partner],HS_DB[HS Code]=HS_DB[[#This Row],[HS Code]])))</f>
        <v>1</v>
      </c>
      <c r="AY184" s="8" t="str">
        <f>IF(HS_DB[[#This Row],[Competition Intensity]]&lt;=2,"Highly Concentrated",
 IF(HS_DB[[#This Row],[Competition Intensity]]&lt;=5,"Moderate",
 "Highly Competitive"))</f>
        <v>Highly Concentrated</v>
      </c>
      <c r="AZ184" s="8">
        <f>HS_DB[[#This Row],[Total Market Size - USD]]
*
(1+IFERROR(#REF!,0))
/
HS_DB[[#This Row],[Competition Intensity]]</f>
        <v>2145273</v>
      </c>
      <c r="BA184" s="8" t="str">
        <f>IF(HS_DB[[#This Row],[Commercial Opportunity Score]]&gt;=PERCENTILE(HS_DB[Commercial Opportunity Score],0.9),"High Opportunity",
 IF(HS_DB[[#This Row],[Commercial Opportunity Score]]&gt;=PERCENTILE(HS_DB[Commercial Opportunity Score],0.6),"Medium Opportunity",
 "Routine Market"))</f>
        <v>Routine Market</v>
      </c>
      <c r="BB184" s="3" t="str">
        <f>IF(AND(HS_DB[[#This Row],[Product Rank]]&gt;0,HS_DB[[#This Row],[Product Rank]]&lt;=10),"Yes","No")</f>
        <v>No</v>
      </c>
      <c r="BC184" s="3" t="str">
        <f>IF(AND(HS_DB[[#This Row],[Origin Rank]]&gt;0,HS_DB[[#This Row],[Origin Rank]]&lt;=10),"Yes","No")</f>
        <v>No</v>
      </c>
    </row>
    <row r="185" spans="2:55" x14ac:dyDescent="0.3">
      <c r="B185" s="2">
        <f>HS_DB[[#This Row],[Commodity Code]]</f>
        <v>291550</v>
      </c>
      <c r="C185" s="2">
        <f>IFERROR(INDEX(HS_MD!C:C,MATCH(B185,HS_MD!B:B,0),1),"")</f>
        <v>12</v>
      </c>
      <c r="D185" s="17" t="str">
        <f>IFERROR(INDEX(HS_MD!D:D,MATCH(B185,HS_MD!B:B,0),1),"")</f>
        <v>Propionic acid salts</v>
      </c>
      <c r="E185" s="17" t="str">
        <f>IFERROR(INDEX(HS_MD!E:E,MATCH(B185,HS_MD!B:B,0),1),"")</f>
        <v>Calcium Propionate</v>
      </c>
      <c r="F185" s="17" t="str">
        <f>IFERROR(INDEX(HS_MD!F:F,MATCH(B185,HS_MD!B:B,0),1),"")</f>
        <v>PRESERVATIVES</v>
      </c>
      <c r="G185" s="17" t="str">
        <f>IFERROR(INDEX(HS_MD!G:G,MATCH(B185,HS_MD!B:B,0),1),"")</f>
        <v>Organic Preservatives</v>
      </c>
      <c r="H185" s="17" t="str">
        <f>IFERROR(INDEX(HS_MD!H:H,MATCH(B185,HS_MD!B:B,0),1),"")</f>
        <v>Calcium Propionate</v>
      </c>
      <c r="I185" s="17" t="str">
        <f>IFERROR(INDEX(HS_MD!I:I,MATCH(B185,HS_MD!B:B,0),1),"")</f>
        <v>Bakery</v>
      </c>
      <c r="J185" s="17">
        <f>IFERROR(INDEX(Heat_Map[Index],MATCH(HS_DB[[#This Row],[Reporter]],Heat_Map[Global],0),1),"")</f>
        <v>36</v>
      </c>
      <c r="K185" s="17" t="str">
        <f>IF(AND(HS_DB[[#This Row],[Origin Rank]]&gt;1,HS_DB[[#This Row],[Origin Rank]]&lt;=10),"Yes","No")</f>
        <v>No</v>
      </c>
      <c r="L185" s="2">
        <v>2024</v>
      </c>
      <c r="M185" s="2" t="s">
        <v>57</v>
      </c>
      <c r="N185" s="2" t="s">
        <v>1</v>
      </c>
      <c r="O185" s="2" t="s">
        <v>22</v>
      </c>
      <c r="P185" s="2" t="s">
        <v>23</v>
      </c>
      <c r="Q185" s="2" t="s">
        <v>24</v>
      </c>
      <c r="R185" s="2" t="s">
        <v>25</v>
      </c>
      <c r="S185" s="2">
        <v>291550</v>
      </c>
      <c r="T185" s="3">
        <v>270433</v>
      </c>
      <c r="U185" s="3">
        <v>235400</v>
      </c>
      <c r="V185" s="3">
        <v>0</v>
      </c>
      <c r="W185" s="3">
        <v>235400</v>
      </c>
      <c r="X185" s="3" t="s">
        <v>58</v>
      </c>
      <c r="Y185" s="3">
        <v>235400</v>
      </c>
      <c r="Z185" s="3" t="s">
        <v>58</v>
      </c>
      <c r="AA185" s="6">
        <f>SUMIFS(HS_DB[Trade Value - USD],HS_DB[Reporter],HS_DB[[#This Row],[Reporter]])/SUM(HS_DB[Trade Value - USD])</f>
        <v>6.321329281187793E-2</v>
      </c>
      <c r="AB185" s="8" cm="1">
        <f t="array" ref="AB185">SUMPRODUCT(
(HS_DB[Reporter]=HS_DB[[#This Row],[Reporter]])*
(HS_DB[Trade Value - USD]&gt;HS_DB[[#This Row],[Trade Value - USD]])
)+1</f>
        <v>27</v>
      </c>
      <c r="AC185" s="8" t="str">
        <f>IFERROR(IF(INDEX(Heat_Map[Crisis Impact %],MATCH(HS_DB[[#This Row],[Reporter]],Heat_Map[Global],0),1)&gt;0,"Yes","No"),"No")</f>
        <v>Yes</v>
      </c>
      <c r="AD185" s="6">
        <f>IFERROR(INDEX(Heat_Map[Crisis Impact %],MATCH(HS_DB[[#This Row],[Reporter]],Heat_Map[Global],0),1),0)</f>
        <v>0.14000000000000001</v>
      </c>
      <c r="AE185" s="8">
        <f>HS_DB[[#This Row],[Crisis Impact%]]*HS_DB[[#This Row],[Trade Value - USD]]</f>
        <v>37860.620000000003</v>
      </c>
      <c r="AF185" s="8">
        <f>HS_DB[[#This Row],[Crisis Impact%]]*HS_DB[[#This Row],[Net Weight -KG]]</f>
        <v>32956</v>
      </c>
      <c r="AG185" s="6">
        <f>SUMIFS(HS_DB[Trade Value - USD],HS_DB[Products],HS_DB[[#This Row],[Products]])/SUM(HS_DB[Trade Value - USD])</f>
        <v>1.138070847312224E-3</v>
      </c>
      <c r="AH185" s="8">
        <f>_xlfn.RANK.EQ(HS_DB[[#This Row],[Trade Value - USD]], HS_DB[Trade Value - USD], 0)
 + COUNTIFS(HS_DB[Trade Value - USD],HS_DB[[#This Row],[Trade Value - USD]],
            HS_DB[HS Code],"&lt;"&amp;HS_DB[[#This Row],[HS Code]])</f>
        <v>199</v>
      </c>
      <c r="AI185" s="9">
        <f>IFERROR(HS_DB[[#This Row],[Trade Value - USD]]/HS_DB[[#This Row],[Net Weight -KG]],0)</f>
        <v>1.1488232795242141</v>
      </c>
      <c r="AJ185" s="17" cm="1">
        <f t="array" ref="AJ185">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85" s="17" t="str">
        <f>IF(HS_DB[[#This Row],[HS Code Risk Score]]&gt;=40,"High",
 IF(HS_DB[[#This Row],[HS Code Risk Score]]&gt;=25,"Medium","Low"))</f>
        <v>Medium</v>
      </c>
      <c r="AL185" s="17" t="str">
        <f>IF(RANK(HS_DB[[#This Row],[HS Code Risk Score]],HS_DB[HS Code Risk Score])&lt;=10,"Yes","No")</f>
        <v>No</v>
      </c>
      <c r="AM185" s="8">
        <f>SUMIFS(HS_DB[Net Weight -KG],HS_DB[HS Code],HS_DB[[#This Row],[HS Code]])</f>
        <v>1269954.4000000001</v>
      </c>
      <c r="AN185" s="8">
        <f>SUMIFS(HS_DB[Trade Value - USD],HS_DB[HS Code],HS_DB[[#This Row],[HS Code]])</f>
        <v>2145273</v>
      </c>
      <c r="AO185" s="6">
        <f>_xlfn.MAXIFS(HS_DB[Origin Share%],HS_DB[HS Code],HS_DB[[#This Row],[HS Code]])</f>
        <v>6.321329281187793E-2</v>
      </c>
      <c r="AP185" s="8" cm="1">
        <f t="array" ref="AP185">_xlfn.LET(
_xlpm.hs,HS_DB[[#This Row],[HS Code]],
COUNTA(_xlfn.UNIQUE(_xlfn._xlws.FILTER(HS_DB[Reporter],HS_DB[HS Code]=_xlpm.hs)))
)</f>
        <v>11</v>
      </c>
      <c r="AQ185" s="17" t="str">
        <f>IF(HS_DB[[#This Row],[Origin Count]]=1,"Single Source","Multiple Sources")</f>
        <v>Multiple Sources</v>
      </c>
      <c r="AR185" s="8">
        <f>HS_DB[[#This Row],[Annual Spend - USD]]*(HS_DB[[#This Row],[HS Code Risk Score]]/100)</f>
        <v>729392.82000000007</v>
      </c>
      <c r="AS185" s="8">
        <f>RANK(HS_DB[[#This Row],[Risk Exposure - USD]],HS_DB[Risk Exposure - USD],0)</f>
        <v>465</v>
      </c>
      <c r="AT185" s="8" t="str">
        <f>IF(HS_DB[[#This Row],[Risk Exposure Rank]]&lt;=10,"High",
 IF(HS_DB[[#This Row],[Risk Exposure Rank]]&lt;=30,"Medium",
 "Low"))</f>
        <v>Low</v>
      </c>
      <c r="AU185" s="8" t="str">
        <f>IF(HS_DB[[#This Row],[Risk Exposure Rank]]&lt;=5,"Immediate Action",
 IF(HS_DB[[#This Row],[Risk Exposure Rank]]&lt;=15,"Monitor Closely",
 "Routine Control"))</f>
        <v>Routine Control</v>
      </c>
      <c r="AV185" s="8">
        <f>SUMIFS(HS_DB[Trade Value - USD],HS_DB[HS Code],HS_DB[[#This Row],[HS Code]])</f>
        <v>2145273</v>
      </c>
      <c r="AW185" s="6">
        <f>HS_DB[[#This Row],[Annual Spend - USD]]/HS_DB[[#This Row],[Total Market Size - USD]]</f>
        <v>1</v>
      </c>
      <c r="AX185" s="6" cm="1">
        <f t="array" ref="AX185">COUNTA(_xlfn.UNIQUE(_xlfn._xlws.FILTER(HS_DB[Partner],HS_DB[HS Code]=HS_DB[[#This Row],[HS Code]])))</f>
        <v>1</v>
      </c>
      <c r="AY185" s="8" t="str">
        <f>IF(HS_DB[[#This Row],[Competition Intensity]]&lt;=2,"Highly Concentrated",
 IF(HS_DB[[#This Row],[Competition Intensity]]&lt;=5,"Moderate",
 "Highly Competitive"))</f>
        <v>Highly Concentrated</v>
      </c>
      <c r="AZ185" s="8">
        <f>HS_DB[[#This Row],[Total Market Size - USD]]
*
(1+IFERROR(#REF!,0))
/
HS_DB[[#This Row],[Competition Intensity]]</f>
        <v>2145273</v>
      </c>
      <c r="BA185" s="8" t="str">
        <f>IF(HS_DB[[#This Row],[Commercial Opportunity Score]]&gt;=PERCENTILE(HS_DB[Commercial Opportunity Score],0.9),"High Opportunity",
 IF(HS_DB[[#This Row],[Commercial Opportunity Score]]&gt;=PERCENTILE(HS_DB[Commercial Opportunity Score],0.6),"Medium Opportunity",
 "Routine Market"))</f>
        <v>Routine Market</v>
      </c>
      <c r="BB185" s="3" t="str">
        <f>IF(AND(HS_DB[[#This Row],[Product Rank]]&gt;0,HS_DB[[#This Row],[Product Rank]]&lt;=10),"Yes","No")</f>
        <v>No</v>
      </c>
      <c r="BC185" s="3" t="str">
        <f>IF(AND(HS_DB[[#This Row],[Origin Rank]]&gt;0,HS_DB[[#This Row],[Origin Rank]]&lt;=10),"Yes","No")</f>
        <v>No</v>
      </c>
    </row>
    <row r="186" spans="2:55" x14ac:dyDescent="0.3">
      <c r="B186" s="2">
        <f>HS_DB[[#This Row],[Commodity Code]]</f>
        <v>291550</v>
      </c>
      <c r="C186" s="2">
        <f>IFERROR(INDEX(HS_MD!C:C,MATCH(B186,HS_MD!B:B,0),1),"")</f>
        <v>12</v>
      </c>
      <c r="D186" s="17" t="str">
        <f>IFERROR(INDEX(HS_MD!D:D,MATCH(B186,HS_MD!B:B,0),1),"")</f>
        <v>Propionic acid salts</v>
      </c>
      <c r="E186" s="17" t="str">
        <f>IFERROR(INDEX(HS_MD!E:E,MATCH(B186,HS_MD!B:B,0),1),"")</f>
        <v>Calcium Propionate</v>
      </c>
      <c r="F186" s="17" t="str">
        <f>IFERROR(INDEX(HS_MD!F:F,MATCH(B186,HS_MD!B:B,0),1),"")</f>
        <v>PRESERVATIVES</v>
      </c>
      <c r="G186" s="17" t="str">
        <f>IFERROR(INDEX(HS_MD!G:G,MATCH(B186,HS_MD!B:B,0),1),"")</f>
        <v>Organic Preservatives</v>
      </c>
      <c r="H186" s="17" t="str">
        <f>IFERROR(INDEX(HS_MD!H:H,MATCH(B186,HS_MD!B:B,0),1),"")</f>
        <v>Calcium Propionate</v>
      </c>
      <c r="I186" s="17" t="str">
        <f>IFERROR(INDEX(HS_MD!I:I,MATCH(B186,HS_MD!B:B,0),1),"")</f>
        <v>Bakery</v>
      </c>
      <c r="J186" s="17">
        <f>IFERROR(INDEX(Heat_Map[Index],MATCH(HS_DB[[#This Row],[Reporter]],Heat_Map[Global],0),1),"")</f>
        <v>59</v>
      </c>
      <c r="K186" s="17" t="str">
        <f>IF(AND(HS_DB[[#This Row],[Origin Rank]]&gt;1,HS_DB[[#This Row],[Origin Rank]]&lt;=10),"Yes","No")</f>
        <v>No</v>
      </c>
      <c r="L186" s="2">
        <v>2024</v>
      </c>
      <c r="M186" s="2" t="s">
        <v>57</v>
      </c>
      <c r="N186" s="2" t="s">
        <v>44</v>
      </c>
      <c r="O186" s="2" t="s">
        <v>22</v>
      </c>
      <c r="P186" s="2" t="s">
        <v>23</v>
      </c>
      <c r="Q186" s="2" t="s">
        <v>24</v>
      </c>
      <c r="R186" s="2" t="s">
        <v>25</v>
      </c>
      <c r="S186" s="2">
        <v>291550</v>
      </c>
      <c r="T186" s="3">
        <v>4133</v>
      </c>
      <c r="U186" s="3">
        <v>1400</v>
      </c>
      <c r="V186" s="3">
        <v>0</v>
      </c>
      <c r="W186" s="3">
        <v>1400</v>
      </c>
      <c r="X186" s="3" t="s">
        <v>58</v>
      </c>
      <c r="Y186" s="3">
        <v>1400</v>
      </c>
      <c r="Z186" s="3" t="s">
        <v>58</v>
      </c>
      <c r="AA186" s="6">
        <f>SUMIFS(HS_DB[Trade Value - USD],HS_DB[Reporter],HS_DB[[#This Row],[Reporter]])/SUM(HS_DB[Trade Value - USD])</f>
        <v>1.6951290293147386E-2</v>
      </c>
      <c r="AB186" s="8" cm="1">
        <f t="array" ref="AB186">SUMPRODUCT(
(HS_DB[Reporter]=HS_DB[[#This Row],[Reporter]])*
(HS_DB[Trade Value - USD]&gt;HS_DB[[#This Row],[Trade Value - USD]])
)+1</f>
        <v>31</v>
      </c>
      <c r="AC186" s="8" t="str">
        <f>IFERROR(IF(INDEX(Heat_Map[Crisis Impact %],MATCH(HS_DB[[#This Row],[Reporter]],Heat_Map[Global],0),1)&gt;0,"Yes","No"),"No")</f>
        <v>No</v>
      </c>
      <c r="AD186" s="6">
        <f>IFERROR(INDEX(Heat_Map[Crisis Impact %],MATCH(HS_DB[[#This Row],[Reporter]],Heat_Map[Global],0),1),0)</f>
        <v>0</v>
      </c>
      <c r="AE186" s="8">
        <f>HS_DB[[#This Row],[Crisis Impact%]]*HS_DB[[#This Row],[Trade Value - USD]]</f>
        <v>0</v>
      </c>
      <c r="AF186" s="8">
        <f>HS_DB[[#This Row],[Crisis Impact%]]*HS_DB[[#This Row],[Net Weight -KG]]</f>
        <v>0</v>
      </c>
      <c r="AG186" s="6">
        <f>SUMIFS(HS_DB[Trade Value - USD],HS_DB[Products],HS_DB[[#This Row],[Products]])/SUM(HS_DB[Trade Value - USD])</f>
        <v>1.138070847312224E-3</v>
      </c>
      <c r="AH186" s="8">
        <f>_xlfn.RANK.EQ(HS_DB[[#This Row],[Trade Value - USD]], HS_DB[Trade Value - USD], 0)
 + COUNTIFS(HS_DB[Trade Value - USD],HS_DB[[#This Row],[Trade Value - USD]],
            HS_DB[HS Code],"&lt;"&amp;HS_DB[[#This Row],[HS Code]])</f>
        <v>446</v>
      </c>
      <c r="AI186" s="9">
        <f>IFERROR(HS_DB[[#This Row],[Trade Value - USD]]/HS_DB[[#This Row],[Net Weight -KG]],0)</f>
        <v>2.952142857142857</v>
      </c>
      <c r="AJ186" s="17" cm="1">
        <f t="array" ref="AJ186">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86" s="17" t="str">
        <f>IF(HS_DB[[#This Row],[HS Code Risk Score]]&gt;=40,"High",
 IF(HS_DB[[#This Row],[HS Code Risk Score]]&gt;=25,"Medium","Low"))</f>
        <v>Medium</v>
      </c>
      <c r="AL186" s="17" t="str">
        <f>IF(RANK(HS_DB[[#This Row],[HS Code Risk Score]],HS_DB[HS Code Risk Score])&lt;=10,"Yes","No")</f>
        <v>No</v>
      </c>
      <c r="AM186" s="8">
        <f>SUMIFS(HS_DB[Net Weight -KG],HS_DB[HS Code],HS_DB[[#This Row],[HS Code]])</f>
        <v>1269954.4000000001</v>
      </c>
      <c r="AN186" s="8">
        <f>SUMIFS(HS_DB[Trade Value - USD],HS_DB[HS Code],HS_DB[[#This Row],[HS Code]])</f>
        <v>2145273</v>
      </c>
      <c r="AO186" s="6">
        <f>_xlfn.MAXIFS(HS_DB[Origin Share%],HS_DB[HS Code],HS_DB[[#This Row],[HS Code]])</f>
        <v>6.321329281187793E-2</v>
      </c>
      <c r="AP186" s="8" cm="1">
        <f t="array" ref="AP186">_xlfn.LET(
_xlpm.hs,HS_DB[[#This Row],[HS Code]],
COUNTA(_xlfn.UNIQUE(_xlfn._xlws.FILTER(HS_DB[Reporter],HS_DB[HS Code]=_xlpm.hs)))
)</f>
        <v>11</v>
      </c>
      <c r="AQ186" s="17" t="str">
        <f>IF(HS_DB[[#This Row],[Origin Count]]=1,"Single Source","Multiple Sources")</f>
        <v>Multiple Sources</v>
      </c>
      <c r="AR186" s="8">
        <f>HS_DB[[#This Row],[Annual Spend - USD]]*(HS_DB[[#This Row],[HS Code Risk Score]]/100)</f>
        <v>729392.82000000007</v>
      </c>
      <c r="AS186" s="8">
        <f>RANK(HS_DB[[#This Row],[Risk Exposure - USD]],HS_DB[Risk Exposure - USD],0)</f>
        <v>465</v>
      </c>
      <c r="AT186" s="8" t="str">
        <f>IF(HS_DB[[#This Row],[Risk Exposure Rank]]&lt;=10,"High",
 IF(HS_DB[[#This Row],[Risk Exposure Rank]]&lt;=30,"Medium",
 "Low"))</f>
        <v>Low</v>
      </c>
      <c r="AU186" s="8" t="str">
        <f>IF(HS_DB[[#This Row],[Risk Exposure Rank]]&lt;=5,"Immediate Action",
 IF(HS_DB[[#This Row],[Risk Exposure Rank]]&lt;=15,"Monitor Closely",
 "Routine Control"))</f>
        <v>Routine Control</v>
      </c>
      <c r="AV186" s="8">
        <f>SUMIFS(HS_DB[Trade Value - USD],HS_DB[HS Code],HS_DB[[#This Row],[HS Code]])</f>
        <v>2145273</v>
      </c>
      <c r="AW186" s="6">
        <f>HS_DB[[#This Row],[Annual Spend - USD]]/HS_DB[[#This Row],[Total Market Size - USD]]</f>
        <v>1</v>
      </c>
      <c r="AX186" s="6" cm="1">
        <f t="array" ref="AX186">COUNTA(_xlfn.UNIQUE(_xlfn._xlws.FILTER(HS_DB[Partner],HS_DB[HS Code]=HS_DB[[#This Row],[HS Code]])))</f>
        <v>1</v>
      </c>
      <c r="AY186" s="8" t="str">
        <f>IF(HS_DB[[#This Row],[Competition Intensity]]&lt;=2,"Highly Concentrated",
 IF(HS_DB[[#This Row],[Competition Intensity]]&lt;=5,"Moderate",
 "Highly Competitive"))</f>
        <v>Highly Concentrated</v>
      </c>
      <c r="AZ186" s="8">
        <f>HS_DB[[#This Row],[Total Market Size - USD]]
*
(1+IFERROR(#REF!,0))
/
HS_DB[[#This Row],[Competition Intensity]]</f>
        <v>2145273</v>
      </c>
      <c r="BA186" s="8" t="str">
        <f>IF(HS_DB[[#This Row],[Commercial Opportunity Score]]&gt;=PERCENTILE(HS_DB[Commercial Opportunity Score],0.9),"High Opportunity",
 IF(HS_DB[[#This Row],[Commercial Opportunity Score]]&gt;=PERCENTILE(HS_DB[Commercial Opportunity Score],0.6),"Medium Opportunity",
 "Routine Market"))</f>
        <v>Routine Market</v>
      </c>
      <c r="BB186" s="3" t="str">
        <f>IF(AND(HS_DB[[#This Row],[Product Rank]]&gt;0,HS_DB[[#This Row],[Product Rank]]&lt;=10),"Yes","No")</f>
        <v>No</v>
      </c>
      <c r="BC186" s="3" t="str">
        <f>IF(AND(HS_DB[[#This Row],[Origin Rank]]&gt;0,HS_DB[[#This Row],[Origin Rank]]&lt;=10),"Yes","No")</f>
        <v>No</v>
      </c>
    </row>
    <row r="187" spans="2:55" x14ac:dyDescent="0.3">
      <c r="B187" s="2">
        <f>HS_DB[[#This Row],[Commodity Code]]</f>
        <v>291550</v>
      </c>
      <c r="C187" s="2">
        <f>IFERROR(INDEX(HS_MD!C:C,MATCH(B187,HS_MD!B:B,0),1),"")</f>
        <v>12</v>
      </c>
      <c r="D187" s="17" t="str">
        <f>IFERROR(INDEX(HS_MD!D:D,MATCH(B187,HS_MD!B:B,0),1),"")</f>
        <v>Propionic acid salts</v>
      </c>
      <c r="E187" s="17" t="str">
        <f>IFERROR(INDEX(HS_MD!E:E,MATCH(B187,HS_MD!B:B,0),1),"")</f>
        <v>Calcium Propionate</v>
      </c>
      <c r="F187" s="17" t="str">
        <f>IFERROR(INDEX(HS_MD!F:F,MATCH(B187,HS_MD!B:B,0),1),"")</f>
        <v>PRESERVATIVES</v>
      </c>
      <c r="G187" s="17" t="str">
        <f>IFERROR(INDEX(HS_MD!G:G,MATCH(B187,HS_MD!B:B,0),1),"")</f>
        <v>Organic Preservatives</v>
      </c>
      <c r="H187" s="17" t="str">
        <f>IFERROR(INDEX(HS_MD!H:H,MATCH(B187,HS_MD!B:B,0),1),"")</f>
        <v>Calcium Propionate</v>
      </c>
      <c r="I187" s="17" t="str">
        <f>IFERROR(INDEX(HS_MD!I:I,MATCH(B187,HS_MD!B:B,0),1),"")</f>
        <v>Bakery</v>
      </c>
      <c r="J187" s="17">
        <f>IFERROR(INDEX(Heat_Map[Index],MATCH(HS_DB[[#This Row],[Reporter]],Heat_Map[Global],0),1),"")</f>
        <v>63</v>
      </c>
      <c r="K187" s="17" t="str">
        <f>IF(AND(HS_DB[[#This Row],[Origin Rank]]&gt;1,HS_DB[[#This Row],[Origin Rank]]&lt;=10),"Yes","No")</f>
        <v>No</v>
      </c>
      <c r="L187" s="2">
        <v>2024</v>
      </c>
      <c r="M187" s="2" t="s">
        <v>57</v>
      </c>
      <c r="N187" s="2" t="s">
        <v>2</v>
      </c>
      <c r="O187" s="2" t="s">
        <v>22</v>
      </c>
      <c r="P187" s="2" t="s">
        <v>23</v>
      </c>
      <c r="Q187" s="2" t="s">
        <v>24</v>
      </c>
      <c r="R187" s="2" t="s">
        <v>25</v>
      </c>
      <c r="S187" s="2">
        <v>291550</v>
      </c>
      <c r="T187" s="3">
        <v>102337</v>
      </c>
      <c r="U187" s="3">
        <v>97960.2</v>
      </c>
      <c r="V187" s="3">
        <v>0</v>
      </c>
      <c r="W187" s="3">
        <v>97960</v>
      </c>
      <c r="X187" s="3" t="s">
        <v>58</v>
      </c>
      <c r="Y187" s="3">
        <v>0</v>
      </c>
      <c r="Z187" s="3" t="s">
        <v>26</v>
      </c>
      <c r="AA187" s="6">
        <f>SUMIFS(HS_DB[Trade Value - USD],HS_DB[Reporter],HS_DB[[#This Row],[Reporter]])/SUM(HS_DB[Trade Value - USD])</f>
        <v>1.1674623358397021E-2</v>
      </c>
      <c r="AB187" s="8" cm="1">
        <f t="array" ref="AB187">SUMPRODUCT(
(HS_DB[Reporter]=HS_DB[[#This Row],[Reporter]])*
(HS_DB[Trade Value - USD]&gt;HS_DB[[#This Row],[Trade Value - USD]])
)+1</f>
        <v>21</v>
      </c>
      <c r="AC187" s="8" t="str">
        <f>IFERROR(IF(INDEX(Heat_Map[Crisis Impact %],MATCH(HS_DB[[#This Row],[Reporter]],Heat_Map[Global],0),1)&gt;0,"Yes","No"),"No")</f>
        <v>No</v>
      </c>
      <c r="AD187" s="6">
        <f>IFERROR(INDEX(Heat_Map[Crisis Impact %],MATCH(HS_DB[[#This Row],[Reporter]],Heat_Map[Global],0),1),0)</f>
        <v>0</v>
      </c>
      <c r="AE187" s="8">
        <f>HS_DB[[#This Row],[Crisis Impact%]]*HS_DB[[#This Row],[Trade Value - USD]]</f>
        <v>0</v>
      </c>
      <c r="AF187" s="8">
        <f>HS_DB[[#This Row],[Crisis Impact%]]*HS_DB[[#This Row],[Net Weight -KG]]</f>
        <v>0</v>
      </c>
      <c r="AG187" s="6">
        <f>SUMIFS(HS_DB[Trade Value - USD],HS_DB[Products],HS_DB[[#This Row],[Products]])/SUM(HS_DB[Trade Value - USD])</f>
        <v>1.138070847312224E-3</v>
      </c>
      <c r="AH187" s="8">
        <f>_xlfn.RANK.EQ(HS_DB[[#This Row],[Trade Value - USD]], HS_DB[Trade Value - USD], 0)
 + COUNTIFS(HS_DB[Trade Value - USD],HS_DB[[#This Row],[Trade Value - USD]],
            HS_DB[HS Code],"&lt;"&amp;HS_DB[[#This Row],[HS Code]])</f>
        <v>274</v>
      </c>
      <c r="AI187" s="9">
        <f>IFERROR(HS_DB[[#This Row],[Trade Value - USD]]/HS_DB[[#This Row],[Net Weight -KG]],0)</f>
        <v>1.0446793697848717</v>
      </c>
      <c r="AJ187" s="17" cm="1">
        <f t="array" ref="AJ187">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87" s="17" t="str">
        <f>IF(HS_DB[[#This Row],[HS Code Risk Score]]&gt;=40,"High",
 IF(HS_DB[[#This Row],[HS Code Risk Score]]&gt;=25,"Medium","Low"))</f>
        <v>Medium</v>
      </c>
      <c r="AL187" s="17" t="str">
        <f>IF(RANK(HS_DB[[#This Row],[HS Code Risk Score]],HS_DB[HS Code Risk Score])&lt;=10,"Yes","No")</f>
        <v>No</v>
      </c>
      <c r="AM187" s="8">
        <f>SUMIFS(HS_DB[Net Weight -KG],HS_DB[HS Code],HS_DB[[#This Row],[HS Code]])</f>
        <v>1269954.4000000001</v>
      </c>
      <c r="AN187" s="8">
        <f>SUMIFS(HS_DB[Trade Value - USD],HS_DB[HS Code],HS_DB[[#This Row],[HS Code]])</f>
        <v>2145273</v>
      </c>
      <c r="AO187" s="6">
        <f>_xlfn.MAXIFS(HS_DB[Origin Share%],HS_DB[HS Code],HS_DB[[#This Row],[HS Code]])</f>
        <v>6.321329281187793E-2</v>
      </c>
      <c r="AP187" s="8" cm="1">
        <f t="array" ref="AP187">_xlfn.LET(
_xlpm.hs,HS_DB[[#This Row],[HS Code]],
COUNTA(_xlfn.UNIQUE(_xlfn._xlws.FILTER(HS_DB[Reporter],HS_DB[HS Code]=_xlpm.hs)))
)</f>
        <v>11</v>
      </c>
      <c r="AQ187" s="17" t="str">
        <f>IF(HS_DB[[#This Row],[Origin Count]]=1,"Single Source","Multiple Sources")</f>
        <v>Multiple Sources</v>
      </c>
      <c r="AR187" s="8">
        <f>HS_DB[[#This Row],[Annual Spend - USD]]*(HS_DB[[#This Row],[HS Code Risk Score]]/100)</f>
        <v>729392.82000000007</v>
      </c>
      <c r="AS187" s="8">
        <f>RANK(HS_DB[[#This Row],[Risk Exposure - USD]],HS_DB[Risk Exposure - USD],0)</f>
        <v>465</v>
      </c>
      <c r="AT187" s="8" t="str">
        <f>IF(HS_DB[[#This Row],[Risk Exposure Rank]]&lt;=10,"High",
 IF(HS_DB[[#This Row],[Risk Exposure Rank]]&lt;=30,"Medium",
 "Low"))</f>
        <v>Low</v>
      </c>
      <c r="AU187" s="8" t="str">
        <f>IF(HS_DB[[#This Row],[Risk Exposure Rank]]&lt;=5,"Immediate Action",
 IF(HS_DB[[#This Row],[Risk Exposure Rank]]&lt;=15,"Monitor Closely",
 "Routine Control"))</f>
        <v>Routine Control</v>
      </c>
      <c r="AV187" s="8">
        <f>SUMIFS(HS_DB[Trade Value - USD],HS_DB[HS Code],HS_DB[[#This Row],[HS Code]])</f>
        <v>2145273</v>
      </c>
      <c r="AW187" s="6">
        <f>HS_DB[[#This Row],[Annual Spend - USD]]/HS_DB[[#This Row],[Total Market Size - USD]]</f>
        <v>1</v>
      </c>
      <c r="AX187" s="6" cm="1">
        <f t="array" ref="AX187">COUNTA(_xlfn.UNIQUE(_xlfn._xlws.FILTER(HS_DB[Partner],HS_DB[HS Code]=HS_DB[[#This Row],[HS Code]])))</f>
        <v>1</v>
      </c>
      <c r="AY187" s="8" t="str">
        <f>IF(HS_DB[[#This Row],[Competition Intensity]]&lt;=2,"Highly Concentrated",
 IF(HS_DB[[#This Row],[Competition Intensity]]&lt;=5,"Moderate",
 "Highly Competitive"))</f>
        <v>Highly Concentrated</v>
      </c>
      <c r="AZ187" s="8">
        <f>HS_DB[[#This Row],[Total Market Size - USD]]
*
(1+IFERROR(#REF!,0))
/
HS_DB[[#This Row],[Competition Intensity]]</f>
        <v>2145273</v>
      </c>
      <c r="BA187" s="8" t="str">
        <f>IF(HS_DB[[#This Row],[Commercial Opportunity Score]]&gt;=PERCENTILE(HS_DB[Commercial Opportunity Score],0.9),"High Opportunity",
 IF(HS_DB[[#This Row],[Commercial Opportunity Score]]&gt;=PERCENTILE(HS_DB[Commercial Opportunity Score],0.6),"Medium Opportunity",
 "Routine Market"))</f>
        <v>Routine Market</v>
      </c>
      <c r="BB187" s="3" t="str">
        <f>IF(AND(HS_DB[[#This Row],[Product Rank]]&gt;0,HS_DB[[#This Row],[Product Rank]]&lt;=10),"Yes","No")</f>
        <v>No</v>
      </c>
      <c r="BC187" s="3" t="str">
        <f>IF(AND(HS_DB[[#This Row],[Origin Rank]]&gt;0,HS_DB[[#This Row],[Origin Rank]]&lt;=10),"Yes","No")</f>
        <v>No</v>
      </c>
    </row>
    <row r="188" spans="2:55" x14ac:dyDescent="0.3">
      <c r="B188" s="2">
        <f>HS_DB[[#This Row],[Commodity Code]]</f>
        <v>291550</v>
      </c>
      <c r="C188" s="2">
        <f>IFERROR(INDEX(HS_MD!C:C,MATCH(B188,HS_MD!B:B,0),1),"")</f>
        <v>12</v>
      </c>
      <c r="D188" s="17" t="str">
        <f>IFERROR(INDEX(HS_MD!D:D,MATCH(B188,HS_MD!B:B,0),1),"")</f>
        <v>Propionic acid salts</v>
      </c>
      <c r="E188" s="17" t="str">
        <f>IFERROR(INDEX(HS_MD!E:E,MATCH(B188,HS_MD!B:B,0),1),"")</f>
        <v>Calcium Propionate</v>
      </c>
      <c r="F188" s="17" t="str">
        <f>IFERROR(INDEX(HS_MD!F:F,MATCH(B188,HS_MD!B:B,0),1),"")</f>
        <v>PRESERVATIVES</v>
      </c>
      <c r="G188" s="17" t="str">
        <f>IFERROR(INDEX(HS_MD!G:G,MATCH(B188,HS_MD!B:B,0),1),"")</f>
        <v>Organic Preservatives</v>
      </c>
      <c r="H188" s="17" t="str">
        <f>IFERROR(INDEX(HS_MD!H:H,MATCH(B188,HS_MD!B:B,0),1),"")</f>
        <v>Calcium Propionate</v>
      </c>
      <c r="I188" s="17" t="str">
        <f>IFERROR(INDEX(HS_MD!I:I,MATCH(B188,HS_MD!B:B,0),1),"")</f>
        <v>Bakery</v>
      </c>
      <c r="J188" s="17">
        <f>IFERROR(INDEX(Heat_Map[Index],MATCH(HS_DB[[#This Row],[Reporter]],Heat_Map[Global],0),1),"")</f>
        <v>81</v>
      </c>
      <c r="K188" s="17" t="str">
        <f>IF(AND(HS_DB[[#This Row],[Origin Rank]]&gt;1,HS_DB[[#This Row],[Origin Rank]]&lt;=10),"Yes","No")</f>
        <v>Yes</v>
      </c>
      <c r="L188" s="2">
        <v>2024</v>
      </c>
      <c r="M188" s="2" t="s">
        <v>57</v>
      </c>
      <c r="N188" s="2" t="s">
        <v>49</v>
      </c>
      <c r="O188" s="2" t="s">
        <v>22</v>
      </c>
      <c r="P188" s="2" t="s">
        <v>23</v>
      </c>
      <c r="Q188" s="2" t="s">
        <v>24</v>
      </c>
      <c r="R188" s="2" t="s">
        <v>25</v>
      </c>
      <c r="S188" s="2">
        <v>291550</v>
      </c>
      <c r="T188" s="3">
        <v>167699</v>
      </c>
      <c r="U188" s="3">
        <v>73311</v>
      </c>
      <c r="V188" s="3">
        <v>0</v>
      </c>
      <c r="W188" s="3">
        <v>73311</v>
      </c>
      <c r="X188" s="3" t="s">
        <v>58</v>
      </c>
      <c r="Y188" s="3">
        <v>73311</v>
      </c>
      <c r="Z188" s="3" t="s">
        <v>58</v>
      </c>
      <c r="AA188" s="6">
        <f>SUMIFS(HS_DB[Trade Value - USD],HS_DB[Reporter],HS_DB[[#This Row],[Reporter]])/SUM(HS_DB[Trade Value - USD])</f>
        <v>1.1178535358665947E-2</v>
      </c>
      <c r="AB188" s="8" cm="1">
        <f t="array" ref="AB188">SUMPRODUCT(
(HS_DB[Reporter]=HS_DB[[#This Row],[Reporter]])*
(HS_DB[Trade Value - USD]&gt;HS_DB[[#This Row],[Trade Value - USD]])
)+1</f>
        <v>10</v>
      </c>
      <c r="AC188" s="8" t="str">
        <f>IFERROR(IF(INDEX(Heat_Map[Crisis Impact %],MATCH(HS_DB[[#This Row],[Reporter]],Heat_Map[Global],0),1)&gt;0,"Yes","No"),"No")</f>
        <v>No</v>
      </c>
      <c r="AD188" s="6">
        <f>IFERROR(INDEX(Heat_Map[Crisis Impact %],MATCH(HS_DB[[#This Row],[Reporter]],Heat_Map[Global],0),1),0)</f>
        <v>0</v>
      </c>
      <c r="AE188" s="8">
        <f>HS_DB[[#This Row],[Crisis Impact%]]*HS_DB[[#This Row],[Trade Value - USD]]</f>
        <v>0</v>
      </c>
      <c r="AF188" s="8">
        <f>HS_DB[[#This Row],[Crisis Impact%]]*HS_DB[[#This Row],[Net Weight -KG]]</f>
        <v>0</v>
      </c>
      <c r="AG188" s="6">
        <f>SUMIFS(HS_DB[Trade Value - USD],HS_DB[Products],HS_DB[[#This Row],[Products]])/SUM(HS_DB[Trade Value - USD])</f>
        <v>1.138070847312224E-3</v>
      </c>
      <c r="AH188" s="8">
        <f>_xlfn.RANK.EQ(HS_DB[[#This Row],[Trade Value - USD]], HS_DB[Trade Value - USD], 0)
 + COUNTIFS(HS_DB[Trade Value - USD],HS_DB[[#This Row],[Trade Value - USD]],
            HS_DB[HS Code],"&lt;"&amp;HS_DB[[#This Row],[HS Code]])</f>
        <v>233</v>
      </c>
      <c r="AI188" s="9">
        <f>IFERROR(HS_DB[[#This Row],[Trade Value - USD]]/HS_DB[[#This Row],[Net Weight -KG]],0)</f>
        <v>2.2875011935453071</v>
      </c>
      <c r="AJ188" s="17" cm="1">
        <f t="array" ref="AJ188">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88" s="17" t="str">
        <f>IF(HS_DB[[#This Row],[HS Code Risk Score]]&gt;=40,"High",
 IF(HS_DB[[#This Row],[HS Code Risk Score]]&gt;=25,"Medium","Low"))</f>
        <v>Medium</v>
      </c>
      <c r="AL188" s="17" t="str">
        <f>IF(RANK(HS_DB[[#This Row],[HS Code Risk Score]],HS_DB[HS Code Risk Score])&lt;=10,"Yes","No")</f>
        <v>No</v>
      </c>
      <c r="AM188" s="8">
        <f>SUMIFS(HS_DB[Net Weight -KG],HS_DB[HS Code],HS_DB[[#This Row],[HS Code]])</f>
        <v>1269954.4000000001</v>
      </c>
      <c r="AN188" s="8">
        <f>SUMIFS(HS_DB[Trade Value - USD],HS_DB[HS Code],HS_DB[[#This Row],[HS Code]])</f>
        <v>2145273</v>
      </c>
      <c r="AO188" s="6">
        <f>_xlfn.MAXIFS(HS_DB[Origin Share%],HS_DB[HS Code],HS_DB[[#This Row],[HS Code]])</f>
        <v>6.321329281187793E-2</v>
      </c>
      <c r="AP188" s="8" cm="1">
        <f t="array" ref="AP188">_xlfn.LET(
_xlpm.hs,HS_DB[[#This Row],[HS Code]],
COUNTA(_xlfn.UNIQUE(_xlfn._xlws.FILTER(HS_DB[Reporter],HS_DB[HS Code]=_xlpm.hs)))
)</f>
        <v>11</v>
      </c>
      <c r="AQ188" s="17" t="str">
        <f>IF(HS_DB[[#This Row],[Origin Count]]=1,"Single Source","Multiple Sources")</f>
        <v>Multiple Sources</v>
      </c>
      <c r="AR188" s="8">
        <f>HS_DB[[#This Row],[Annual Spend - USD]]*(HS_DB[[#This Row],[HS Code Risk Score]]/100)</f>
        <v>729392.82000000007</v>
      </c>
      <c r="AS188" s="8">
        <f>RANK(HS_DB[[#This Row],[Risk Exposure - USD]],HS_DB[Risk Exposure - USD],0)</f>
        <v>465</v>
      </c>
      <c r="AT188" s="8" t="str">
        <f>IF(HS_DB[[#This Row],[Risk Exposure Rank]]&lt;=10,"High",
 IF(HS_DB[[#This Row],[Risk Exposure Rank]]&lt;=30,"Medium",
 "Low"))</f>
        <v>Low</v>
      </c>
      <c r="AU188" s="8" t="str">
        <f>IF(HS_DB[[#This Row],[Risk Exposure Rank]]&lt;=5,"Immediate Action",
 IF(HS_DB[[#This Row],[Risk Exposure Rank]]&lt;=15,"Monitor Closely",
 "Routine Control"))</f>
        <v>Routine Control</v>
      </c>
      <c r="AV188" s="8">
        <f>SUMIFS(HS_DB[Trade Value - USD],HS_DB[HS Code],HS_DB[[#This Row],[HS Code]])</f>
        <v>2145273</v>
      </c>
      <c r="AW188" s="6">
        <f>HS_DB[[#This Row],[Annual Spend - USD]]/HS_DB[[#This Row],[Total Market Size - USD]]</f>
        <v>1</v>
      </c>
      <c r="AX188" s="6" cm="1">
        <f t="array" ref="AX188">COUNTA(_xlfn.UNIQUE(_xlfn._xlws.FILTER(HS_DB[Partner],HS_DB[HS Code]=HS_DB[[#This Row],[HS Code]])))</f>
        <v>1</v>
      </c>
      <c r="AY188" s="8" t="str">
        <f>IF(HS_DB[[#This Row],[Competition Intensity]]&lt;=2,"Highly Concentrated",
 IF(HS_DB[[#This Row],[Competition Intensity]]&lt;=5,"Moderate",
 "Highly Competitive"))</f>
        <v>Highly Concentrated</v>
      </c>
      <c r="AZ188" s="8">
        <f>HS_DB[[#This Row],[Total Market Size - USD]]
*
(1+IFERROR(#REF!,0))
/
HS_DB[[#This Row],[Competition Intensity]]</f>
        <v>2145273</v>
      </c>
      <c r="BA188" s="8" t="str">
        <f>IF(HS_DB[[#This Row],[Commercial Opportunity Score]]&gt;=PERCENTILE(HS_DB[Commercial Opportunity Score],0.9),"High Opportunity",
 IF(HS_DB[[#This Row],[Commercial Opportunity Score]]&gt;=PERCENTILE(HS_DB[Commercial Opportunity Score],0.6),"Medium Opportunity",
 "Routine Market"))</f>
        <v>Routine Market</v>
      </c>
      <c r="BB188" s="3" t="str">
        <f>IF(AND(HS_DB[[#This Row],[Product Rank]]&gt;0,HS_DB[[#This Row],[Product Rank]]&lt;=10),"Yes","No")</f>
        <v>No</v>
      </c>
      <c r="BC188" s="3" t="str">
        <f>IF(AND(HS_DB[[#This Row],[Origin Rank]]&gt;0,HS_DB[[#This Row],[Origin Rank]]&lt;=10),"Yes","No")</f>
        <v>Yes</v>
      </c>
    </row>
    <row r="189" spans="2:55" x14ac:dyDescent="0.3">
      <c r="B189" s="2">
        <f>HS_DB[[#This Row],[Commodity Code]]</f>
        <v>291550</v>
      </c>
      <c r="C189" s="2">
        <f>IFERROR(INDEX(HS_MD!C:C,MATCH(B189,HS_MD!B:B,0),1),"")</f>
        <v>12</v>
      </c>
      <c r="D189" s="17" t="str">
        <f>IFERROR(INDEX(HS_MD!D:D,MATCH(B189,HS_MD!B:B,0),1),"")</f>
        <v>Propionic acid salts</v>
      </c>
      <c r="E189" s="17" t="str">
        <f>IFERROR(INDEX(HS_MD!E:E,MATCH(B189,HS_MD!B:B,0),1),"")</f>
        <v>Calcium Propionate</v>
      </c>
      <c r="F189" s="17" t="str">
        <f>IFERROR(INDEX(HS_MD!F:F,MATCH(B189,HS_MD!B:B,0),1),"")</f>
        <v>PRESERVATIVES</v>
      </c>
      <c r="G189" s="17" t="str">
        <f>IFERROR(INDEX(HS_MD!G:G,MATCH(B189,HS_MD!B:B,0),1),"")</f>
        <v>Organic Preservatives</v>
      </c>
      <c r="H189" s="17" t="str">
        <f>IFERROR(INDEX(HS_MD!H:H,MATCH(B189,HS_MD!B:B,0),1),"")</f>
        <v>Calcium Propionate</v>
      </c>
      <c r="I189" s="17" t="str">
        <f>IFERROR(INDEX(HS_MD!I:I,MATCH(B189,HS_MD!B:B,0),1),"")</f>
        <v>Bakery</v>
      </c>
      <c r="J189" s="17">
        <f>IFERROR(INDEX(Heat_Map[Index],MATCH(HS_DB[[#This Row],[Reporter]],Heat_Map[Global],0),1),"")</f>
        <v>118</v>
      </c>
      <c r="K189" s="17" t="str">
        <f>IF(AND(HS_DB[[#This Row],[Origin Rank]]&gt;1,HS_DB[[#This Row],[Origin Rank]]&lt;=10),"Yes","No")</f>
        <v>Yes</v>
      </c>
      <c r="L189" s="2">
        <v>2024</v>
      </c>
      <c r="M189" s="2" t="s">
        <v>57</v>
      </c>
      <c r="N189" s="2" t="s">
        <v>53</v>
      </c>
      <c r="O189" s="2" t="s">
        <v>22</v>
      </c>
      <c r="P189" s="2" t="s">
        <v>23</v>
      </c>
      <c r="Q189" s="2" t="s">
        <v>24</v>
      </c>
      <c r="R189" s="2" t="s">
        <v>25</v>
      </c>
      <c r="S189" s="2">
        <v>291550</v>
      </c>
      <c r="T189" s="3">
        <v>1384481</v>
      </c>
      <c r="U189" s="3">
        <v>801753</v>
      </c>
      <c r="V189" s="3">
        <v>0</v>
      </c>
      <c r="W189" s="3">
        <v>801753</v>
      </c>
      <c r="X189" s="3" t="s">
        <v>58</v>
      </c>
      <c r="Y189" s="3">
        <v>801753</v>
      </c>
      <c r="Z189" s="3" t="s">
        <v>58</v>
      </c>
      <c r="AA189" s="6">
        <f>SUMIFS(HS_DB[Trade Value - USD],HS_DB[Reporter],HS_DB[[#This Row],[Reporter]])/SUM(HS_DB[Trade Value - USD])</f>
        <v>1.4561232389604124E-2</v>
      </c>
      <c r="AB189" s="8" cm="1">
        <f t="array" ref="AB189">SUMPRODUCT(
(HS_DB[Reporter]=HS_DB[[#This Row],[Reporter]])*
(HS_DB[Trade Value - USD]&gt;HS_DB[[#This Row],[Trade Value - USD]])
)+1</f>
        <v>5</v>
      </c>
      <c r="AC189" s="8" t="str">
        <f>IFERROR(IF(INDEX(Heat_Map[Crisis Impact %],MATCH(HS_DB[[#This Row],[Reporter]],Heat_Map[Global],0),1)&gt;0,"Yes","No"),"No")</f>
        <v>No</v>
      </c>
      <c r="AD189" s="6">
        <f>IFERROR(INDEX(Heat_Map[Crisis Impact %],MATCH(HS_DB[[#This Row],[Reporter]],Heat_Map[Global],0),1),0)</f>
        <v>0</v>
      </c>
      <c r="AE189" s="8">
        <f>HS_DB[[#This Row],[Crisis Impact%]]*HS_DB[[#This Row],[Trade Value - USD]]</f>
        <v>0</v>
      </c>
      <c r="AF189" s="8">
        <f>HS_DB[[#This Row],[Crisis Impact%]]*HS_DB[[#This Row],[Net Weight -KG]]</f>
        <v>0</v>
      </c>
      <c r="AG189" s="6">
        <f>SUMIFS(HS_DB[Trade Value - USD],HS_DB[Products],HS_DB[[#This Row],[Products]])/SUM(HS_DB[Trade Value - USD])</f>
        <v>1.138070847312224E-3</v>
      </c>
      <c r="AH189" s="8">
        <f>_xlfn.RANK.EQ(HS_DB[[#This Row],[Trade Value - USD]], HS_DB[Trade Value - USD], 0)
 + COUNTIFS(HS_DB[Trade Value - USD],HS_DB[[#This Row],[Trade Value - USD]],
            HS_DB[HS Code],"&lt;"&amp;HS_DB[[#This Row],[HS Code]])</f>
        <v>82</v>
      </c>
      <c r="AI189" s="9">
        <f>IFERROR(HS_DB[[#This Row],[Trade Value - USD]]/HS_DB[[#This Row],[Net Weight -KG]],0)</f>
        <v>1.7268173614567079</v>
      </c>
      <c r="AJ189" s="17" cm="1">
        <f t="array" ref="AJ189">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89" s="17" t="str">
        <f>IF(HS_DB[[#This Row],[HS Code Risk Score]]&gt;=40,"High",
 IF(HS_DB[[#This Row],[HS Code Risk Score]]&gt;=25,"Medium","Low"))</f>
        <v>Medium</v>
      </c>
      <c r="AL189" s="17" t="str">
        <f>IF(RANK(HS_DB[[#This Row],[HS Code Risk Score]],HS_DB[HS Code Risk Score])&lt;=10,"Yes","No")</f>
        <v>No</v>
      </c>
      <c r="AM189" s="8">
        <f>SUMIFS(HS_DB[Net Weight -KG],HS_DB[HS Code],HS_DB[[#This Row],[HS Code]])</f>
        <v>1269954.4000000001</v>
      </c>
      <c r="AN189" s="8">
        <f>SUMIFS(HS_DB[Trade Value - USD],HS_DB[HS Code],HS_DB[[#This Row],[HS Code]])</f>
        <v>2145273</v>
      </c>
      <c r="AO189" s="6">
        <f>_xlfn.MAXIFS(HS_DB[Origin Share%],HS_DB[HS Code],HS_DB[[#This Row],[HS Code]])</f>
        <v>6.321329281187793E-2</v>
      </c>
      <c r="AP189" s="8" cm="1">
        <f t="array" ref="AP189">_xlfn.LET(
_xlpm.hs,HS_DB[[#This Row],[HS Code]],
COUNTA(_xlfn.UNIQUE(_xlfn._xlws.FILTER(HS_DB[Reporter],HS_DB[HS Code]=_xlpm.hs)))
)</f>
        <v>11</v>
      </c>
      <c r="AQ189" s="17" t="str">
        <f>IF(HS_DB[[#This Row],[Origin Count]]=1,"Single Source","Multiple Sources")</f>
        <v>Multiple Sources</v>
      </c>
      <c r="AR189" s="8">
        <f>HS_DB[[#This Row],[Annual Spend - USD]]*(HS_DB[[#This Row],[HS Code Risk Score]]/100)</f>
        <v>729392.82000000007</v>
      </c>
      <c r="AS189" s="8">
        <f>RANK(HS_DB[[#This Row],[Risk Exposure - USD]],HS_DB[Risk Exposure - USD],0)</f>
        <v>465</v>
      </c>
      <c r="AT189" s="8" t="str">
        <f>IF(HS_DB[[#This Row],[Risk Exposure Rank]]&lt;=10,"High",
 IF(HS_DB[[#This Row],[Risk Exposure Rank]]&lt;=30,"Medium",
 "Low"))</f>
        <v>Low</v>
      </c>
      <c r="AU189" s="8" t="str">
        <f>IF(HS_DB[[#This Row],[Risk Exposure Rank]]&lt;=5,"Immediate Action",
 IF(HS_DB[[#This Row],[Risk Exposure Rank]]&lt;=15,"Monitor Closely",
 "Routine Control"))</f>
        <v>Routine Control</v>
      </c>
      <c r="AV189" s="8">
        <f>SUMIFS(HS_DB[Trade Value - USD],HS_DB[HS Code],HS_DB[[#This Row],[HS Code]])</f>
        <v>2145273</v>
      </c>
      <c r="AW189" s="6">
        <f>HS_DB[[#This Row],[Annual Spend - USD]]/HS_DB[[#This Row],[Total Market Size - USD]]</f>
        <v>1</v>
      </c>
      <c r="AX189" s="6" cm="1">
        <f t="array" ref="AX189">COUNTA(_xlfn.UNIQUE(_xlfn._xlws.FILTER(HS_DB[Partner],HS_DB[HS Code]=HS_DB[[#This Row],[HS Code]])))</f>
        <v>1</v>
      </c>
      <c r="AY189" s="8" t="str">
        <f>IF(HS_DB[[#This Row],[Competition Intensity]]&lt;=2,"Highly Concentrated",
 IF(HS_DB[[#This Row],[Competition Intensity]]&lt;=5,"Moderate",
 "Highly Competitive"))</f>
        <v>Highly Concentrated</v>
      </c>
      <c r="AZ189" s="8">
        <f>HS_DB[[#This Row],[Total Market Size - USD]]
*
(1+IFERROR(#REF!,0))
/
HS_DB[[#This Row],[Competition Intensity]]</f>
        <v>2145273</v>
      </c>
      <c r="BA189" s="8" t="str">
        <f>IF(HS_DB[[#This Row],[Commercial Opportunity Score]]&gt;=PERCENTILE(HS_DB[Commercial Opportunity Score],0.9),"High Opportunity",
 IF(HS_DB[[#This Row],[Commercial Opportunity Score]]&gt;=PERCENTILE(HS_DB[Commercial Opportunity Score],0.6),"Medium Opportunity",
 "Routine Market"))</f>
        <v>Routine Market</v>
      </c>
      <c r="BB189" s="3" t="str">
        <f>IF(AND(HS_DB[[#This Row],[Product Rank]]&gt;0,HS_DB[[#This Row],[Product Rank]]&lt;=10),"Yes","No")</f>
        <v>No</v>
      </c>
      <c r="BC189" s="3" t="str">
        <f>IF(AND(HS_DB[[#This Row],[Origin Rank]]&gt;0,HS_DB[[#This Row],[Origin Rank]]&lt;=10),"Yes","No")</f>
        <v>Yes</v>
      </c>
    </row>
    <row r="190" spans="2:55" x14ac:dyDescent="0.3">
      <c r="B190" s="2">
        <f>HS_DB[[#This Row],[Commodity Code]]</f>
        <v>291550</v>
      </c>
      <c r="C190" s="2">
        <f>IFERROR(INDEX(HS_MD!C:C,MATCH(B190,HS_MD!B:B,0),1),"")</f>
        <v>12</v>
      </c>
      <c r="D190" s="17" t="str">
        <f>IFERROR(INDEX(HS_MD!D:D,MATCH(B190,HS_MD!B:B,0),1),"")</f>
        <v>Propionic acid salts</v>
      </c>
      <c r="E190" s="17" t="str">
        <f>IFERROR(INDEX(HS_MD!E:E,MATCH(B190,HS_MD!B:B,0),1),"")</f>
        <v>Calcium Propionate</v>
      </c>
      <c r="F190" s="17" t="str">
        <f>IFERROR(INDEX(HS_MD!F:F,MATCH(B190,HS_MD!B:B,0),1),"")</f>
        <v>PRESERVATIVES</v>
      </c>
      <c r="G190" s="17" t="str">
        <f>IFERROR(INDEX(HS_MD!G:G,MATCH(B190,HS_MD!B:B,0),1),"")</f>
        <v>Organic Preservatives</v>
      </c>
      <c r="H190" s="17" t="str">
        <f>IFERROR(INDEX(HS_MD!H:H,MATCH(B190,HS_MD!B:B,0),1),"")</f>
        <v>Calcium Propionate</v>
      </c>
      <c r="I190" s="17" t="str">
        <f>IFERROR(INDEX(HS_MD!I:I,MATCH(B190,HS_MD!B:B,0),1),"")</f>
        <v>Bakery</v>
      </c>
      <c r="J190" s="17">
        <f>IFERROR(INDEX(Heat_Map[Index],MATCH(HS_DB[[#This Row],[Reporter]],Heat_Map[Global],0),1),"")</f>
        <v>75</v>
      </c>
      <c r="K190" s="17" t="str">
        <f>IF(AND(HS_DB[[#This Row],[Origin Rank]]&gt;1,HS_DB[[#This Row],[Origin Rank]]&lt;=10),"Yes","No")</f>
        <v>No</v>
      </c>
      <c r="L190" s="2">
        <v>2024</v>
      </c>
      <c r="M190" s="2" t="s">
        <v>57</v>
      </c>
      <c r="N190" s="2" t="s">
        <v>8</v>
      </c>
      <c r="O190" s="2" t="s">
        <v>22</v>
      </c>
      <c r="P190" s="2" t="s">
        <v>23</v>
      </c>
      <c r="Q190" s="2" t="s">
        <v>24</v>
      </c>
      <c r="R190" s="2" t="s">
        <v>25</v>
      </c>
      <c r="S190" s="2">
        <v>291550</v>
      </c>
      <c r="T190" s="3">
        <v>50376</v>
      </c>
      <c r="U190" s="3">
        <v>8940</v>
      </c>
      <c r="V190" s="3">
        <v>0</v>
      </c>
      <c r="W190" s="3">
        <v>8940</v>
      </c>
      <c r="X190" s="3" t="s">
        <v>58</v>
      </c>
      <c r="Y190" s="3">
        <v>8940</v>
      </c>
      <c r="Z190" s="3" t="s">
        <v>58</v>
      </c>
      <c r="AA190" s="6">
        <f>SUMIFS(HS_DB[Trade Value - USD],HS_DB[Reporter],HS_DB[[#This Row],[Reporter]])/SUM(HS_DB[Trade Value - USD])</f>
        <v>2.2441761060335613E-2</v>
      </c>
      <c r="AB190" s="8" cm="1">
        <f t="array" ref="AB190">SUMPRODUCT(
(HS_DB[Reporter]=HS_DB[[#This Row],[Reporter]])*
(HS_DB[Trade Value - USD]&gt;HS_DB[[#This Row],[Trade Value - USD]])
)+1</f>
        <v>27</v>
      </c>
      <c r="AC190" s="8" t="str">
        <f>IFERROR(IF(INDEX(Heat_Map[Crisis Impact %],MATCH(HS_DB[[#This Row],[Reporter]],Heat_Map[Global],0),1)&gt;0,"Yes","No"),"No")</f>
        <v>No</v>
      </c>
      <c r="AD190" s="6">
        <f>IFERROR(INDEX(Heat_Map[Crisis Impact %],MATCH(HS_DB[[#This Row],[Reporter]],Heat_Map[Global],0),1),0)</f>
        <v>0</v>
      </c>
      <c r="AE190" s="8">
        <f>HS_DB[[#This Row],[Crisis Impact%]]*HS_DB[[#This Row],[Trade Value - USD]]</f>
        <v>0</v>
      </c>
      <c r="AF190" s="8">
        <f>HS_DB[[#This Row],[Crisis Impact%]]*HS_DB[[#This Row],[Net Weight -KG]]</f>
        <v>0</v>
      </c>
      <c r="AG190" s="6">
        <f>SUMIFS(HS_DB[Trade Value - USD],HS_DB[Products],HS_DB[[#This Row],[Products]])/SUM(HS_DB[Trade Value - USD])</f>
        <v>1.138070847312224E-3</v>
      </c>
      <c r="AH190" s="8">
        <f>_xlfn.RANK.EQ(HS_DB[[#This Row],[Trade Value - USD]], HS_DB[Trade Value - USD], 0)
 + COUNTIFS(HS_DB[Trade Value - USD],HS_DB[[#This Row],[Trade Value - USD]],
            HS_DB[HS Code],"&lt;"&amp;HS_DB[[#This Row],[HS Code]])</f>
        <v>324</v>
      </c>
      <c r="AI190" s="9">
        <f>IFERROR(HS_DB[[#This Row],[Trade Value - USD]]/HS_DB[[#This Row],[Net Weight -KG]],0)</f>
        <v>5.6348993288590608</v>
      </c>
      <c r="AJ190" s="17" cm="1">
        <f t="array" ref="AJ190">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90" s="17" t="str">
        <f>IF(HS_DB[[#This Row],[HS Code Risk Score]]&gt;=40,"High",
 IF(HS_DB[[#This Row],[HS Code Risk Score]]&gt;=25,"Medium","Low"))</f>
        <v>Medium</v>
      </c>
      <c r="AL190" s="17" t="str">
        <f>IF(RANK(HS_DB[[#This Row],[HS Code Risk Score]],HS_DB[HS Code Risk Score])&lt;=10,"Yes","No")</f>
        <v>No</v>
      </c>
      <c r="AM190" s="8">
        <f>SUMIFS(HS_DB[Net Weight -KG],HS_DB[HS Code],HS_DB[[#This Row],[HS Code]])</f>
        <v>1269954.4000000001</v>
      </c>
      <c r="AN190" s="8">
        <f>SUMIFS(HS_DB[Trade Value - USD],HS_DB[HS Code],HS_DB[[#This Row],[HS Code]])</f>
        <v>2145273</v>
      </c>
      <c r="AO190" s="6">
        <f>_xlfn.MAXIFS(HS_DB[Origin Share%],HS_DB[HS Code],HS_DB[[#This Row],[HS Code]])</f>
        <v>6.321329281187793E-2</v>
      </c>
      <c r="AP190" s="8" cm="1">
        <f t="array" ref="AP190">_xlfn.LET(
_xlpm.hs,HS_DB[[#This Row],[HS Code]],
COUNTA(_xlfn.UNIQUE(_xlfn._xlws.FILTER(HS_DB[Reporter],HS_DB[HS Code]=_xlpm.hs)))
)</f>
        <v>11</v>
      </c>
      <c r="AQ190" s="17" t="str">
        <f>IF(HS_DB[[#This Row],[Origin Count]]=1,"Single Source","Multiple Sources")</f>
        <v>Multiple Sources</v>
      </c>
      <c r="AR190" s="8">
        <f>HS_DB[[#This Row],[Annual Spend - USD]]*(HS_DB[[#This Row],[HS Code Risk Score]]/100)</f>
        <v>729392.82000000007</v>
      </c>
      <c r="AS190" s="8">
        <f>RANK(HS_DB[[#This Row],[Risk Exposure - USD]],HS_DB[Risk Exposure - USD],0)</f>
        <v>465</v>
      </c>
      <c r="AT190" s="8" t="str">
        <f>IF(HS_DB[[#This Row],[Risk Exposure Rank]]&lt;=10,"High",
 IF(HS_DB[[#This Row],[Risk Exposure Rank]]&lt;=30,"Medium",
 "Low"))</f>
        <v>Low</v>
      </c>
      <c r="AU190" s="8" t="str">
        <f>IF(HS_DB[[#This Row],[Risk Exposure Rank]]&lt;=5,"Immediate Action",
 IF(HS_DB[[#This Row],[Risk Exposure Rank]]&lt;=15,"Monitor Closely",
 "Routine Control"))</f>
        <v>Routine Control</v>
      </c>
      <c r="AV190" s="8">
        <f>SUMIFS(HS_DB[Trade Value - USD],HS_DB[HS Code],HS_DB[[#This Row],[HS Code]])</f>
        <v>2145273</v>
      </c>
      <c r="AW190" s="6">
        <f>HS_DB[[#This Row],[Annual Spend - USD]]/HS_DB[[#This Row],[Total Market Size - USD]]</f>
        <v>1</v>
      </c>
      <c r="AX190" s="6" cm="1">
        <f t="array" ref="AX190">COUNTA(_xlfn.UNIQUE(_xlfn._xlws.FILTER(HS_DB[Partner],HS_DB[HS Code]=HS_DB[[#This Row],[HS Code]])))</f>
        <v>1</v>
      </c>
      <c r="AY190" s="8" t="str">
        <f>IF(HS_DB[[#This Row],[Competition Intensity]]&lt;=2,"Highly Concentrated",
 IF(HS_DB[[#This Row],[Competition Intensity]]&lt;=5,"Moderate",
 "Highly Competitive"))</f>
        <v>Highly Concentrated</v>
      </c>
      <c r="AZ190" s="8">
        <f>HS_DB[[#This Row],[Total Market Size - USD]]
*
(1+IFERROR(#REF!,0))
/
HS_DB[[#This Row],[Competition Intensity]]</f>
        <v>2145273</v>
      </c>
      <c r="BA190" s="8" t="str">
        <f>IF(HS_DB[[#This Row],[Commercial Opportunity Score]]&gt;=PERCENTILE(HS_DB[Commercial Opportunity Score],0.9),"High Opportunity",
 IF(HS_DB[[#This Row],[Commercial Opportunity Score]]&gt;=PERCENTILE(HS_DB[Commercial Opportunity Score],0.6),"Medium Opportunity",
 "Routine Market"))</f>
        <v>Routine Market</v>
      </c>
      <c r="BB190" s="3" t="str">
        <f>IF(AND(HS_DB[[#This Row],[Product Rank]]&gt;0,HS_DB[[#This Row],[Product Rank]]&lt;=10),"Yes","No")</f>
        <v>No</v>
      </c>
      <c r="BC190" s="3" t="str">
        <f>IF(AND(HS_DB[[#This Row],[Origin Rank]]&gt;0,HS_DB[[#This Row],[Origin Rank]]&lt;=10),"Yes","No")</f>
        <v>No</v>
      </c>
    </row>
    <row r="191" spans="2:55" x14ac:dyDescent="0.3">
      <c r="B191" s="2">
        <f>HS_DB[[#This Row],[Commodity Code]]</f>
        <v>291550</v>
      </c>
      <c r="C191" s="2">
        <f>IFERROR(INDEX(HS_MD!C:C,MATCH(B191,HS_MD!B:B,0),1),"")</f>
        <v>12</v>
      </c>
      <c r="D191" s="17" t="str">
        <f>IFERROR(INDEX(HS_MD!D:D,MATCH(B191,HS_MD!B:B,0),1),"")</f>
        <v>Propionic acid salts</v>
      </c>
      <c r="E191" s="17" t="str">
        <f>IFERROR(INDEX(HS_MD!E:E,MATCH(B191,HS_MD!B:B,0),1),"")</f>
        <v>Calcium Propionate</v>
      </c>
      <c r="F191" s="17" t="str">
        <f>IFERROR(INDEX(HS_MD!F:F,MATCH(B191,HS_MD!B:B,0),1),"")</f>
        <v>PRESERVATIVES</v>
      </c>
      <c r="G191" s="17" t="str">
        <f>IFERROR(INDEX(HS_MD!G:G,MATCH(B191,HS_MD!B:B,0),1),"")</f>
        <v>Organic Preservatives</v>
      </c>
      <c r="H191" s="17" t="str">
        <f>IFERROR(INDEX(HS_MD!H:H,MATCH(B191,HS_MD!B:B,0),1),"")</f>
        <v>Calcium Propionate</v>
      </c>
      <c r="I191" s="17" t="str">
        <f>IFERROR(INDEX(HS_MD!I:I,MATCH(B191,HS_MD!B:B,0),1),"")</f>
        <v>Bakery</v>
      </c>
      <c r="J191" s="17">
        <f>IFERROR(INDEX(Heat_Map[Index],MATCH(HS_DB[[#This Row],[Reporter]],Heat_Map[Global],0),1),"")</f>
        <v>159</v>
      </c>
      <c r="K191" s="17" t="str">
        <f>IF(AND(HS_DB[[#This Row],[Origin Rank]]&gt;1,HS_DB[[#This Row],[Origin Rank]]&lt;=10),"Yes","No")</f>
        <v>No</v>
      </c>
      <c r="L191" s="2">
        <v>2024</v>
      </c>
      <c r="M191" s="2" t="s">
        <v>57</v>
      </c>
      <c r="N191" s="2" t="s">
        <v>30</v>
      </c>
      <c r="O191" s="2" t="s">
        <v>22</v>
      </c>
      <c r="P191" s="2" t="s">
        <v>23</v>
      </c>
      <c r="Q191" s="2" t="s">
        <v>24</v>
      </c>
      <c r="R191" s="2" t="s">
        <v>25</v>
      </c>
      <c r="S191" s="2">
        <v>291550</v>
      </c>
      <c r="T191" s="3">
        <v>11578</v>
      </c>
      <c r="U191" s="3">
        <v>1253.5999999999999</v>
      </c>
      <c r="V191" s="3">
        <v>0</v>
      </c>
      <c r="W191" s="3">
        <v>1254</v>
      </c>
      <c r="X191" s="3" t="s">
        <v>58</v>
      </c>
      <c r="Y191" s="3">
        <v>1254</v>
      </c>
      <c r="Z191" s="3" t="s">
        <v>58</v>
      </c>
      <c r="AA191" s="6">
        <f>SUMIFS(HS_DB[Trade Value - USD],HS_DB[Reporter],HS_DB[[#This Row],[Reporter]])/SUM(HS_DB[Trade Value - USD])</f>
        <v>6.110186869383482E-3</v>
      </c>
      <c r="AB191" s="8" cm="1">
        <f t="array" ref="AB191">SUMPRODUCT(
(HS_DB[Reporter]=HS_DB[[#This Row],[Reporter]])*
(HS_DB[Trade Value - USD]&gt;HS_DB[[#This Row],[Trade Value - USD]])
)+1</f>
        <v>18</v>
      </c>
      <c r="AC191" s="8" t="str">
        <f>IFERROR(IF(INDEX(Heat_Map[Crisis Impact %],MATCH(HS_DB[[#This Row],[Reporter]],Heat_Map[Global],0),1)&gt;0,"Yes","No"),"No")</f>
        <v>No</v>
      </c>
      <c r="AD191" s="6">
        <f>IFERROR(INDEX(Heat_Map[Crisis Impact %],MATCH(HS_DB[[#This Row],[Reporter]],Heat_Map[Global],0),1),0)</f>
        <v>0</v>
      </c>
      <c r="AE191" s="8">
        <f>HS_DB[[#This Row],[Crisis Impact%]]*HS_DB[[#This Row],[Trade Value - USD]]</f>
        <v>0</v>
      </c>
      <c r="AF191" s="8">
        <f>HS_DB[[#This Row],[Crisis Impact%]]*HS_DB[[#This Row],[Net Weight -KG]]</f>
        <v>0</v>
      </c>
      <c r="AG191" s="6">
        <f>SUMIFS(HS_DB[Trade Value - USD],HS_DB[Products],HS_DB[[#This Row],[Products]])/SUM(HS_DB[Trade Value - USD])</f>
        <v>1.138070847312224E-3</v>
      </c>
      <c r="AH191" s="8">
        <f>_xlfn.RANK.EQ(HS_DB[[#This Row],[Trade Value - USD]], HS_DB[Trade Value - USD], 0)
 + COUNTIFS(HS_DB[Trade Value - USD],HS_DB[[#This Row],[Trade Value - USD]],
            HS_DB[HS Code],"&lt;"&amp;HS_DB[[#This Row],[HS Code]])</f>
        <v>404</v>
      </c>
      <c r="AI191" s="9">
        <f>IFERROR(HS_DB[[#This Row],[Trade Value - USD]]/HS_DB[[#This Row],[Net Weight -KG]],0)</f>
        <v>9.2358008934269318</v>
      </c>
      <c r="AJ191" s="17" cm="1">
        <f t="array" ref="AJ191">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91" s="17" t="str">
        <f>IF(HS_DB[[#This Row],[HS Code Risk Score]]&gt;=40,"High",
 IF(HS_DB[[#This Row],[HS Code Risk Score]]&gt;=25,"Medium","Low"))</f>
        <v>Medium</v>
      </c>
      <c r="AL191" s="17" t="str">
        <f>IF(RANK(HS_DB[[#This Row],[HS Code Risk Score]],HS_DB[HS Code Risk Score])&lt;=10,"Yes","No")</f>
        <v>No</v>
      </c>
      <c r="AM191" s="8">
        <f>SUMIFS(HS_DB[Net Weight -KG],HS_DB[HS Code],HS_DB[[#This Row],[HS Code]])</f>
        <v>1269954.4000000001</v>
      </c>
      <c r="AN191" s="8">
        <f>SUMIFS(HS_DB[Trade Value - USD],HS_DB[HS Code],HS_DB[[#This Row],[HS Code]])</f>
        <v>2145273</v>
      </c>
      <c r="AO191" s="6">
        <f>_xlfn.MAXIFS(HS_DB[Origin Share%],HS_DB[HS Code],HS_DB[[#This Row],[HS Code]])</f>
        <v>6.321329281187793E-2</v>
      </c>
      <c r="AP191" s="8" cm="1">
        <f t="array" ref="AP191">_xlfn.LET(
_xlpm.hs,HS_DB[[#This Row],[HS Code]],
COUNTA(_xlfn.UNIQUE(_xlfn._xlws.FILTER(HS_DB[Reporter],HS_DB[HS Code]=_xlpm.hs)))
)</f>
        <v>11</v>
      </c>
      <c r="AQ191" s="17" t="str">
        <f>IF(HS_DB[[#This Row],[Origin Count]]=1,"Single Source","Multiple Sources")</f>
        <v>Multiple Sources</v>
      </c>
      <c r="AR191" s="8">
        <f>HS_DB[[#This Row],[Annual Spend - USD]]*(HS_DB[[#This Row],[HS Code Risk Score]]/100)</f>
        <v>729392.82000000007</v>
      </c>
      <c r="AS191" s="8">
        <f>RANK(HS_DB[[#This Row],[Risk Exposure - USD]],HS_DB[Risk Exposure - USD],0)</f>
        <v>465</v>
      </c>
      <c r="AT191" s="8" t="str">
        <f>IF(HS_DB[[#This Row],[Risk Exposure Rank]]&lt;=10,"High",
 IF(HS_DB[[#This Row],[Risk Exposure Rank]]&lt;=30,"Medium",
 "Low"))</f>
        <v>Low</v>
      </c>
      <c r="AU191" s="8" t="str">
        <f>IF(HS_DB[[#This Row],[Risk Exposure Rank]]&lt;=5,"Immediate Action",
 IF(HS_DB[[#This Row],[Risk Exposure Rank]]&lt;=15,"Monitor Closely",
 "Routine Control"))</f>
        <v>Routine Control</v>
      </c>
      <c r="AV191" s="8">
        <f>SUMIFS(HS_DB[Trade Value - USD],HS_DB[HS Code],HS_DB[[#This Row],[HS Code]])</f>
        <v>2145273</v>
      </c>
      <c r="AW191" s="6">
        <f>HS_DB[[#This Row],[Annual Spend - USD]]/HS_DB[[#This Row],[Total Market Size - USD]]</f>
        <v>1</v>
      </c>
      <c r="AX191" s="6" cm="1">
        <f t="array" ref="AX191">COUNTA(_xlfn.UNIQUE(_xlfn._xlws.FILTER(HS_DB[Partner],HS_DB[HS Code]=HS_DB[[#This Row],[HS Code]])))</f>
        <v>1</v>
      </c>
      <c r="AY191" s="8" t="str">
        <f>IF(HS_DB[[#This Row],[Competition Intensity]]&lt;=2,"Highly Concentrated",
 IF(HS_DB[[#This Row],[Competition Intensity]]&lt;=5,"Moderate",
 "Highly Competitive"))</f>
        <v>Highly Concentrated</v>
      </c>
      <c r="AZ191" s="8">
        <f>HS_DB[[#This Row],[Total Market Size - USD]]
*
(1+IFERROR(#REF!,0))
/
HS_DB[[#This Row],[Competition Intensity]]</f>
        <v>2145273</v>
      </c>
      <c r="BA191" s="8" t="str">
        <f>IF(HS_DB[[#This Row],[Commercial Opportunity Score]]&gt;=PERCENTILE(HS_DB[Commercial Opportunity Score],0.9),"High Opportunity",
 IF(HS_DB[[#This Row],[Commercial Opportunity Score]]&gt;=PERCENTILE(HS_DB[Commercial Opportunity Score],0.6),"Medium Opportunity",
 "Routine Market"))</f>
        <v>Routine Market</v>
      </c>
      <c r="BB191" s="3" t="str">
        <f>IF(AND(HS_DB[[#This Row],[Product Rank]]&gt;0,HS_DB[[#This Row],[Product Rank]]&lt;=10),"Yes","No")</f>
        <v>No</v>
      </c>
      <c r="BC191" s="3" t="str">
        <f>IF(AND(HS_DB[[#This Row],[Origin Rank]]&gt;0,HS_DB[[#This Row],[Origin Rank]]&lt;=10),"Yes","No")</f>
        <v>No</v>
      </c>
    </row>
    <row r="192" spans="2:55" x14ac:dyDescent="0.3">
      <c r="B192" s="2">
        <f>HS_DB[[#This Row],[Commodity Code]]</f>
        <v>291550</v>
      </c>
      <c r="C192" s="2">
        <f>IFERROR(INDEX(HS_MD!C:C,MATCH(B192,HS_MD!B:B,0),1),"")</f>
        <v>12</v>
      </c>
      <c r="D192" s="17" t="str">
        <f>IFERROR(INDEX(HS_MD!D:D,MATCH(B192,HS_MD!B:B,0),1),"")</f>
        <v>Propionic acid salts</v>
      </c>
      <c r="E192" s="17" t="str">
        <f>IFERROR(INDEX(HS_MD!E:E,MATCH(B192,HS_MD!B:B,0),1),"")</f>
        <v>Calcium Propionate</v>
      </c>
      <c r="F192" s="17" t="str">
        <f>IFERROR(INDEX(HS_MD!F:F,MATCH(B192,HS_MD!B:B,0),1),"")</f>
        <v>PRESERVATIVES</v>
      </c>
      <c r="G192" s="17" t="str">
        <f>IFERROR(INDEX(HS_MD!G:G,MATCH(B192,HS_MD!B:B,0),1),"")</f>
        <v>Organic Preservatives</v>
      </c>
      <c r="H192" s="17" t="str">
        <f>IFERROR(INDEX(HS_MD!H:H,MATCH(B192,HS_MD!B:B,0),1),"")</f>
        <v>Calcium Propionate</v>
      </c>
      <c r="I192" s="17" t="str">
        <f>IFERROR(INDEX(HS_MD!I:I,MATCH(B192,HS_MD!B:B,0),1),"")</f>
        <v>Bakery</v>
      </c>
      <c r="J192" s="17">
        <f>IFERROR(INDEX(Heat_Map[Index],MATCH(HS_DB[[#This Row],[Reporter]],Heat_Map[Global],0),1),"")</f>
        <v>164</v>
      </c>
      <c r="K192" s="17" t="str">
        <f>IF(AND(HS_DB[[#This Row],[Origin Rank]]&gt;1,HS_DB[[#This Row],[Origin Rank]]&lt;=10),"Yes","No")</f>
        <v>Yes</v>
      </c>
      <c r="L192" s="2">
        <v>2024</v>
      </c>
      <c r="M192" s="2" t="s">
        <v>57</v>
      </c>
      <c r="N192" s="2" t="s">
        <v>32</v>
      </c>
      <c r="O192" s="2" t="s">
        <v>22</v>
      </c>
      <c r="P192" s="2" t="s">
        <v>23</v>
      </c>
      <c r="Q192" s="2" t="s">
        <v>24</v>
      </c>
      <c r="R192" s="2" t="s">
        <v>25</v>
      </c>
      <c r="S192" s="2">
        <v>291550</v>
      </c>
      <c r="T192" s="3">
        <v>63406</v>
      </c>
      <c r="U192" s="3">
        <v>510</v>
      </c>
      <c r="V192" s="3">
        <v>0</v>
      </c>
      <c r="W192" s="3">
        <v>510</v>
      </c>
      <c r="X192" s="3" t="s">
        <v>58</v>
      </c>
      <c r="Y192" s="3">
        <v>510</v>
      </c>
      <c r="Z192" s="3" t="s">
        <v>58</v>
      </c>
      <c r="AA192" s="6">
        <f>SUMIFS(HS_DB[Trade Value - USD],HS_DB[Reporter],HS_DB[[#This Row],[Reporter]])/SUM(HS_DB[Trade Value - USD])</f>
        <v>1.1630298885271862E-3</v>
      </c>
      <c r="AB192" s="8" cm="1">
        <f t="array" ref="AB192">SUMPRODUCT(
(HS_DB[Reporter]=HS_DB[[#This Row],[Reporter]])*
(HS_DB[Trade Value - USD]&gt;HS_DB[[#This Row],[Trade Value - USD]])
)+1</f>
        <v>5</v>
      </c>
      <c r="AC192" s="8" t="str">
        <f>IFERROR(IF(INDEX(Heat_Map[Crisis Impact %],MATCH(HS_DB[[#This Row],[Reporter]],Heat_Map[Global],0),1)&gt;0,"Yes","No"),"No")</f>
        <v>No</v>
      </c>
      <c r="AD192" s="6">
        <f>IFERROR(INDEX(Heat_Map[Crisis Impact %],MATCH(HS_DB[[#This Row],[Reporter]],Heat_Map[Global],0),1),0)</f>
        <v>0</v>
      </c>
      <c r="AE192" s="8">
        <f>HS_DB[[#This Row],[Crisis Impact%]]*HS_DB[[#This Row],[Trade Value - USD]]</f>
        <v>0</v>
      </c>
      <c r="AF192" s="8">
        <f>HS_DB[[#This Row],[Crisis Impact%]]*HS_DB[[#This Row],[Net Weight -KG]]</f>
        <v>0</v>
      </c>
      <c r="AG192" s="6">
        <f>SUMIFS(HS_DB[Trade Value - USD],HS_DB[Products],HS_DB[[#This Row],[Products]])/SUM(HS_DB[Trade Value - USD])</f>
        <v>1.138070847312224E-3</v>
      </c>
      <c r="AH192" s="8">
        <f>_xlfn.RANK.EQ(HS_DB[[#This Row],[Trade Value - USD]], HS_DB[Trade Value - USD], 0)
 + COUNTIFS(HS_DB[Trade Value - USD],HS_DB[[#This Row],[Trade Value - USD]],
            HS_DB[HS Code],"&lt;"&amp;HS_DB[[#This Row],[HS Code]])</f>
        <v>313</v>
      </c>
      <c r="AI192" s="9">
        <f>IFERROR(HS_DB[[#This Row],[Trade Value - USD]]/HS_DB[[#This Row],[Net Weight -KG]],0)</f>
        <v>124.32549019607843</v>
      </c>
      <c r="AJ192" s="17" cm="1">
        <f t="array" ref="AJ192">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92" s="17" t="str">
        <f>IF(HS_DB[[#This Row],[HS Code Risk Score]]&gt;=40,"High",
 IF(HS_DB[[#This Row],[HS Code Risk Score]]&gt;=25,"Medium","Low"))</f>
        <v>Medium</v>
      </c>
      <c r="AL192" s="17" t="str">
        <f>IF(RANK(HS_DB[[#This Row],[HS Code Risk Score]],HS_DB[HS Code Risk Score])&lt;=10,"Yes","No")</f>
        <v>No</v>
      </c>
      <c r="AM192" s="8">
        <f>SUMIFS(HS_DB[Net Weight -KG],HS_DB[HS Code],HS_DB[[#This Row],[HS Code]])</f>
        <v>1269954.4000000001</v>
      </c>
      <c r="AN192" s="8">
        <f>SUMIFS(HS_DB[Trade Value - USD],HS_DB[HS Code],HS_DB[[#This Row],[HS Code]])</f>
        <v>2145273</v>
      </c>
      <c r="AO192" s="6">
        <f>_xlfn.MAXIFS(HS_DB[Origin Share%],HS_DB[HS Code],HS_DB[[#This Row],[HS Code]])</f>
        <v>6.321329281187793E-2</v>
      </c>
      <c r="AP192" s="8" cm="1">
        <f t="array" ref="AP192">_xlfn.LET(
_xlpm.hs,HS_DB[[#This Row],[HS Code]],
COUNTA(_xlfn.UNIQUE(_xlfn._xlws.FILTER(HS_DB[Reporter],HS_DB[HS Code]=_xlpm.hs)))
)</f>
        <v>11</v>
      </c>
      <c r="AQ192" s="17" t="str">
        <f>IF(HS_DB[[#This Row],[Origin Count]]=1,"Single Source","Multiple Sources")</f>
        <v>Multiple Sources</v>
      </c>
      <c r="AR192" s="8">
        <f>HS_DB[[#This Row],[Annual Spend - USD]]*(HS_DB[[#This Row],[HS Code Risk Score]]/100)</f>
        <v>729392.82000000007</v>
      </c>
      <c r="AS192" s="8">
        <f>RANK(HS_DB[[#This Row],[Risk Exposure - USD]],HS_DB[Risk Exposure - USD],0)</f>
        <v>465</v>
      </c>
      <c r="AT192" s="8" t="str">
        <f>IF(HS_DB[[#This Row],[Risk Exposure Rank]]&lt;=10,"High",
 IF(HS_DB[[#This Row],[Risk Exposure Rank]]&lt;=30,"Medium",
 "Low"))</f>
        <v>Low</v>
      </c>
      <c r="AU192" s="8" t="str">
        <f>IF(HS_DB[[#This Row],[Risk Exposure Rank]]&lt;=5,"Immediate Action",
 IF(HS_DB[[#This Row],[Risk Exposure Rank]]&lt;=15,"Monitor Closely",
 "Routine Control"))</f>
        <v>Routine Control</v>
      </c>
      <c r="AV192" s="8">
        <f>SUMIFS(HS_DB[Trade Value - USD],HS_DB[HS Code],HS_DB[[#This Row],[HS Code]])</f>
        <v>2145273</v>
      </c>
      <c r="AW192" s="6">
        <f>HS_DB[[#This Row],[Annual Spend - USD]]/HS_DB[[#This Row],[Total Market Size - USD]]</f>
        <v>1</v>
      </c>
      <c r="AX192" s="6" cm="1">
        <f t="array" ref="AX192">COUNTA(_xlfn.UNIQUE(_xlfn._xlws.FILTER(HS_DB[Partner],HS_DB[HS Code]=HS_DB[[#This Row],[HS Code]])))</f>
        <v>1</v>
      </c>
      <c r="AY192" s="8" t="str">
        <f>IF(HS_DB[[#This Row],[Competition Intensity]]&lt;=2,"Highly Concentrated",
 IF(HS_DB[[#This Row],[Competition Intensity]]&lt;=5,"Moderate",
 "Highly Competitive"))</f>
        <v>Highly Concentrated</v>
      </c>
      <c r="AZ192" s="8">
        <f>HS_DB[[#This Row],[Total Market Size - USD]]
*
(1+IFERROR(#REF!,0))
/
HS_DB[[#This Row],[Competition Intensity]]</f>
        <v>2145273</v>
      </c>
      <c r="BA192" s="8" t="str">
        <f>IF(HS_DB[[#This Row],[Commercial Opportunity Score]]&gt;=PERCENTILE(HS_DB[Commercial Opportunity Score],0.9),"High Opportunity",
 IF(HS_DB[[#This Row],[Commercial Opportunity Score]]&gt;=PERCENTILE(HS_DB[Commercial Opportunity Score],0.6),"Medium Opportunity",
 "Routine Market"))</f>
        <v>Routine Market</v>
      </c>
      <c r="BB192" s="3" t="str">
        <f>IF(AND(HS_DB[[#This Row],[Product Rank]]&gt;0,HS_DB[[#This Row],[Product Rank]]&lt;=10),"Yes","No")</f>
        <v>No</v>
      </c>
      <c r="BC192" s="3" t="str">
        <f>IF(AND(HS_DB[[#This Row],[Origin Rank]]&gt;0,HS_DB[[#This Row],[Origin Rank]]&lt;=10),"Yes","No")</f>
        <v>Yes</v>
      </c>
    </row>
    <row r="193" spans="2:55" x14ac:dyDescent="0.3">
      <c r="B193" s="2">
        <f>HS_DB[[#This Row],[Commodity Code]]</f>
        <v>291550</v>
      </c>
      <c r="C193" s="2">
        <f>IFERROR(INDEX(HS_MD!C:C,MATCH(B193,HS_MD!B:B,0),1),"")</f>
        <v>12</v>
      </c>
      <c r="D193" s="17" t="str">
        <f>IFERROR(INDEX(HS_MD!D:D,MATCH(B193,HS_MD!B:B,0),1),"")</f>
        <v>Propionic acid salts</v>
      </c>
      <c r="E193" s="17" t="str">
        <f>IFERROR(INDEX(HS_MD!E:E,MATCH(B193,HS_MD!B:B,0),1),"")</f>
        <v>Calcium Propionate</v>
      </c>
      <c r="F193" s="17" t="str">
        <f>IFERROR(INDEX(HS_MD!F:F,MATCH(B193,HS_MD!B:B,0),1),"")</f>
        <v>PRESERVATIVES</v>
      </c>
      <c r="G193" s="17" t="str">
        <f>IFERROR(INDEX(HS_MD!G:G,MATCH(B193,HS_MD!B:B,0),1),"")</f>
        <v>Organic Preservatives</v>
      </c>
      <c r="H193" s="17" t="str">
        <f>IFERROR(INDEX(HS_MD!H:H,MATCH(B193,HS_MD!B:B,0),1),"")</f>
        <v>Calcium Propionate</v>
      </c>
      <c r="I193" s="17" t="str">
        <f>IFERROR(INDEX(HS_MD!I:I,MATCH(B193,HS_MD!B:B,0),1),"")</f>
        <v>Bakery</v>
      </c>
      <c r="J193" s="17">
        <f>IFERROR(INDEX(Heat_Map[Index],MATCH(HS_DB[[#This Row],[Reporter]],Heat_Map[Global],0),1),"")</f>
        <v>181</v>
      </c>
      <c r="K193" s="17" t="str">
        <f>IF(AND(HS_DB[[#This Row],[Origin Rank]]&gt;1,HS_DB[[#This Row],[Origin Rank]]&lt;=10),"Yes","No")</f>
        <v>No</v>
      </c>
      <c r="L193" s="2">
        <v>2024</v>
      </c>
      <c r="M193" s="2" t="s">
        <v>57</v>
      </c>
      <c r="N193" s="2" t="s">
        <v>36</v>
      </c>
      <c r="O193" s="2" t="s">
        <v>22</v>
      </c>
      <c r="P193" s="2" t="s">
        <v>23</v>
      </c>
      <c r="Q193" s="2" t="s">
        <v>24</v>
      </c>
      <c r="R193" s="2" t="s">
        <v>25</v>
      </c>
      <c r="S193" s="2">
        <v>291550</v>
      </c>
      <c r="T193" s="3">
        <v>6676</v>
      </c>
      <c r="U193" s="3">
        <v>782</v>
      </c>
      <c r="V193" s="3">
        <v>0</v>
      </c>
      <c r="W193" s="3">
        <v>782</v>
      </c>
      <c r="X193" s="3" t="s">
        <v>58</v>
      </c>
      <c r="Y193" s="3">
        <v>782</v>
      </c>
      <c r="Z193" s="3" t="s">
        <v>58</v>
      </c>
      <c r="AA193" s="6">
        <f>SUMIFS(HS_DB[Trade Value - USD],HS_DB[Reporter],HS_DB[[#This Row],[Reporter]])/SUM(HS_DB[Trade Value - USD])</f>
        <v>1.3104801671892474E-3</v>
      </c>
      <c r="AB193" s="8" cm="1">
        <f t="array" ref="AB193">SUMPRODUCT(
(HS_DB[Reporter]=HS_DB[[#This Row],[Reporter]])*
(HS_DB[Trade Value - USD]&gt;HS_DB[[#This Row],[Trade Value - USD]])
)+1</f>
        <v>16</v>
      </c>
      <c r="AC193" s="8" t="str">
        <f>IFERROR(IF(INDEX(Heat_Map[Crisis Impact %],MATCH(HS_DB[[#This Row],[Reporter]],Heat_Map[Global],0),1)&gt;0,"Yes","No"),"No")</f>
        <v>No</v>
      </c>
      <c r="AD193" s="6">
        <f>IFERROR(INDEX(Heat_Map[Crisis Impact %],MATCH(HS_DB[[#This Row],[Reporter]],Heat_Map[Global],0),1),0)</f>
        <v>0</v>
      </c>
      <c r="AE193" s="8">
        <f>HS_DB[[#This Row],[Crisis Impact%]]*HS_DB[[#This Row],[Trade Value - USD]]</f>
        <v>0</v>
      </c>
      <c r="AF193" s="8">
        <f>HS_DB[[#This Row],[Crisis Impact%]]*HS_DB[[#This Row],[Net Weight -KG]]</f>
        <v>0</v>
      </c>
      <c r="AG193" s="6">
        <f>SUMIFS(HS_DB[Trade Value - USD],HS_DB[Products],HS_DB[[#This Row],[Products]])/SUM(HS_DB[Trade Value - USD])</f>
        <v>1.138070847312224E-3</v>
      </c>
      <c r="AH193" s="8">
        <f>_xlfn.RANK.EQ(HS_DB[[#This Row],[Trade Value - USD]], HS_DB[Trade Value - USD], 0)
 + COUNTIFS(HS_DB[Trade Value - USD],HS_DB[[#This Row],[Trade Value - USD]],
            HS_DB[HS Code],"&lt;"&amp;HS_DB[[#This Row],[HS Code]])</f>
        <v>428</v>
      </c>
      <c r="AI193" s="9">
        <f>IFERROR(HS_DB[[#This Row],[Trade Value - USD]]/HS_DB[[#This Row],[Net Weight -KG]],0)</f>
        <v>8.5370843989769813</v>
      </c>
      <c r="AJ193" s="17" cm="1">
        <f t="array" ref="AJ193">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93" s="17" t="str">
        <f>IF(HS_DB[[#This Row],[HS Code Risk Score]]&gt;=40,"High",
 IF(HS_DB[[#This Row],[HS Code Risk Score]]&gt;=25,"Medium","Low"))</f>
        <v>Medium</v>
      </c>
      <c r="AL193" s="17" t="str">
        <f>IF(RANK(HS_DB[[#This Row],[HS Code Risk Score]],HS_DB[HS Code Risk Score])&lt;=10,"Yes","No")</f>
        <v>No</v>
      </c>
      <c r="AM193" s="8">
        <f>SUMIFS(HS_DB[Net Weight -KG],HS_DB[HS Code],HS_DB[[#This Row],[HS Code]])</f>
        <v>1269954.4000000001</v>
      </c>
      <c r="AN193" s="8">
        <f>SUMIFS(HS_DB[Trade Value - USD],HS_DB[HS Code],HS_DB[[#This Row],[HS Code]])</f>
        <v>2145273</v>
      </c>
      <c r="AO193" s="6">
        <f>_xlfn.MAXIFS(HS_DB[Origin Share%],HS_DB[HS Code],HS_DB[[#This Row],[HS Code]])</f>
        <v>6.321329281187793E-2</v>
      </c>
      <c r="AP193" s="8" cm="1">
        <f t="array" ref="AP193">_xlfn.LET(
_xlpm.hs,HS_DB[[#This Row],[HS Code]],
COUNTA(_xlfn.UNIQUE(_xlfn._xlws.FILTER(HS_DB[Reporter],HS_DB[HS Code]=_xlpm.hs)))
)</f>
        <v>11</v>
      </c>
      <c r="AQ193" s="17" t="str">
        <f>IF(HS_DB[[#This Row],[Origin Count]]=1,"Single Source","Multiple Sources")</f>
        <v>Multiple Sources</v>
      </c>
      <c r="AR193" s="8">
        <f>HS_DB[[#This Row],[Annual Spend - USD]]*(HS_DB[[#This Row],[HS Code Risk Score]]/100)</f>
        <v>729392.82000000007</v>
      </c>
      <c r="AS193" s="8">
        <f>RANK(HS_DB[[#This Row],[Risk Exposure - USD]],HS_DB[Risk Exposure - USD],0)</f>
        <v>465</v>
      </c>
      <c r="AT193" s="8" t="str">
        <f>IF(HS_DB[[#This Row],[Risk Exposure Rank]]&lt;=10,"High",
 IF(HS_DB[[#This Row],[Risk Exposure Rank]]&lt;=30,"Medium",
 "Low"))</f>
        <v>Low</v>
      </c>
      <c r="AU193" s="8" t="str">
        <f>IF(HS_DB[[#This Row],[Risk Exposure Rank]]&lt;=5,"Immediate Action",
 IF(HS_DB[[#This Row],[Risk Exposure Rank]]&lt;=15,"Monitor Closely",
 "Routine Control"))</f>
        <v>Routine Control</v>
      </c>
      <c r="AV193" s="8">
        <f>SUMIFS(HS_DB[Trade Value - USD],HS_DB[HS Code],HS_DB[[#This Row],[HS Code]])</f>
        <v>2145273</v>
      </c>
      <c r="AW193" s="6">
        <f>HS_DB[[#This Row],[Annual Spend - USD]]/HS_DB[[#This Row],[Total Market Size - USD]]</f>
        <v>1</v>
      </c>
      <c r="AX193" s="6" cm="1">
        <f t="array" ref="AX193">COUNTA(_xlfn.UNIQUE(_xlfn._xlws.FILTER(HS_DB[Partner],HS_DB[HS Code]=HS_DB[[#This Row],[HS Code]])))</f>
        <v>1</v>
      </c>
      <c r="AY193" s="8" t="str">
        <f>IF(HS_DB[[#This Row],[Competition Intensity]]&lt;=2,"Highly Concentrated",
 IF(HS_DB[[#This Row],[Competition Intensity]]&lt;=5,"Moderate",
 "Highly Competitive"))</f>
        <v>Highly Concentrated</v>
      </c>
      <c r="AZ193" s="8">
        <f>HS_DB[[#This Row],[Total Market Size - USD]]
*
(1+IFERROR(#REF!,0))
/
HS_DB[[#This Row],[Competition Intensity]]</f>
        <v>2145273</v>
      </c>
      <c r="BA193" s="8" t="str">
        <f>IF(HS_DB[[#This Row],[Commercial Opportunity Score]]&gt;=PERCENTILE(HS_DB[Commercial Opportunity Score],0.9),"High Opportunity",
 IF(HS_DB[[#This Row],[Commercial Opportunity Score]]&gt;=PERCENTILE(HS_DB[Commercial Opportunity Score],0.6),"Medium Opportunity",
 "Routine Market"))</f>
        <v>Routine Market</v>
      </c>
      <c r="BB193" s="3" t="str">
        <f>IF(AND(HS_DB[[#This Row],[Product Rank]]&gt;0,HS_DB[[#This Row],[Product Rank]]&lt;=10),"Yes","No")</f>
        <v>No</v>
      </c>
      <c r="BC193" s="3" t="str">
        <f>IF(AND(HS_DB[[#This Row],[Origin Rank]]&gt;0,HS_DB[[#This Row],[Origin Rank]]&lt;=10),"Yes","No")</f>
        <v>No</v>
      </c>
    </row>
    <row r="194" spans="2:55" x14ac:dyDescent="0.3">
      <c r="B194" s="2">
        <f>HS_DB[[#This Row],[Commodity Code]]</f>
        <v>291550</v>
      </c>
      <c r="C194" s="2">
        <f>IFERROR(INDEX(HS_MD!C:C,MATCH(B194,HS_MD!B:B,0),1),"")</f>
        <v>12</v>
      </c>
      <c r="D194" s="17" t="str">
        <f>IFERROR(INDEX(HS_MD!D:D,MATCH(B194,HS_MD!B:B,0),1),"")</f>
        <v>Propionic acid salts</v>
      </c>
      <c r="E194" s="17" t="str">
        <f>IFERROR(INDEX(HS_MD!E:E,MATCH(B194,HS_MD!B:B,0),1),"")</f>
        <v>Calcium Propionate</v>
      </c>
      <c r="F194" s="17" t="str">
        <f>IFERROR(INDEX(HS_MD!F:F,MATCH(B194,HS_MD!B:B,0),1),"")</f>
        <v>PRESERVATIVES</v>
      </c>
      <c r="G194" s="17" t="str">
        <f>IFERROR(INDEX(HS_MD!G:G,MATCH(B194,HS_MD!B:B,0),1),"")</f>
        <v>Organic Preservatives</v>
      </c>
      <c r="H194" s="17" t="str">
        <f>IFERROR(INDEX(HS_MD!H:H,MATCH(B194,HS_MD!B:B,0),1),"")</f>
        <v>Calcium Propionate</v>
      </c>
      <c r="I194" s="17" t="str">
        <f>IFERROR(INDEX(HS_MD!I:I,MATCH(B194,HS_MD!B:B,0),1),"")</f>
        <v>Bakery</v>
      </c>
      <c r="J194" s="17">
        <f>IFERROR(INDEX(Heat_Map[Index],MATCH(HS_DB[[#This Row],[Reporter]],Heat_Map[Global],0),1),"")</f>
        <v>182</v>
      </c>
      <c r="K194" s="17" t="str">
        <f>IF(AND(HS_DB[[#This Row],[Origin Rank]]&gt;1,HS_DB[[#This Row],[Origin Rank]]&lt;=10),"Yes","No")</f>
        <v>No</v>
      </c>
      <c r="L194" s="2">
        <v>2024</v>
      </c>
      <c r="M194" s="2" t="s">
        <v>57</v>
      </c>
      <c r="N194" s="2" t="s">
        <v>56</v>
      </c>
      <c r="O194" s="2" t="s">
        <v>22</v>
      </c>
      <c r="P194" s="2" t="s">
        <v>23</v>
      </c>
      <c r="Q194" s="2" t="s">
        <v>24</v>
      </c>
      <c r="R194" s="2" t="s">
        <v>25</v>
      </c>
      <c r="S194" s="2">
        <v>291550</v>
      </c>
      <c r="T194" s="3">
        <v>37017</v>
      </c>
      <c r="U194" s="3">
        <v>15240</v>
      </c>
      <c r="V194" s="3">
        <v>0</v>
      </c>
      <c r="W194" s="3">
        <v>15240</v>
      </c>
      <c r="X194" s="3" t="s">
        <v>58</v>
      </c>
      <c r="Y194" s="3">
        <v>15240</v>
      </c>
      <c r="Z194" s="3" t="s">
        <v>58</v>
      </c>
      <c r="AA194" s="6">
        <f>SUMIFS(HS_DB[Trade Value - USD],HS_DB[Reporter],HS_DB[[#This Row],[Reporter]])/SUM(HS_DB[Trade Value - USD])</f>
        <v>9.425427433633813E-3</v>
      </c>
      <c r="AB194" s="8" cm="1">
        <f t="array" ref="AB194">SUMPRODUCT(
(HS_DB[Reporter]=HS_DB[[#This Row],[Reporter]])*
(HS_DB[Trade Value - USD]&gt;HS_DB[[#This Row],[Trade Value - USD]])
)+1</f>
        <v>16</v>
      </c>
      <c r="AC194" s="8" t="str">
        <f>IFERROR(IF(INDEX(Heat_Map[Crisis Impact %],MATCH(HS_DB[[#This Row],[Reporter]],Heat_Map[Global],0),1)&gt;0,"Yes","No"),"No")</f>
        <v>Yes</v>
      </c>
      <c r="AD194" s="6">
        <f>IFERROR(INDEX(Heat_Map[Crisis Impact %],MATCH(HS_DB[[#This Row],[Reporter]],Heat_Map[Global],0),1),0)</f>
        <v>4.0000000000000008E-2</v>
      </c>
      <c r="AE194" s="8">
        <f>HS_DB[[#This Row],[Crisis Impact%]]*HS_DB[[#This Row],[Trade Value - USD]]</f>
        <v>1480.6800000000003</v>
      </c>
      <c r="AF194" s="8">
        <f>HS_DB[[#This Row],[Crisis Impact%]]*HS_DB[[#This Row],[Net Weight -KG]]</f>
        <v>609.60000000000014</v>
      </c>
      <c r="AG194" s="6">
        <f>SUMIFS(HS_DB[Trade Value - USD],HS_DB[Products],HS_DB[[#This Row],[Products]])/SUM(HS_DB[Trade Value - USD])</f>
        <v>1.138070847312224E-3</v>
      </c>
      <c r="AH194" s="8">
        <f>_xlfn.RANK.EQ(HS_DB[[#This Row],[Trade Value - USD]], HS_DB[Trade Value - USD], 0)
 + COUNTIFS(HS_DB[Trade Value - USD],HS_DB[[#This Row],[Trade Value - USD]],
            HS_DB[HS Code],"&lt;"&amp;HS_DB[[#This Row],[HS Code]])</f>
        <v>337</v>
      </c>
      <c r="AI194" s="9">
        <f>IFERROR(HS_DB[[#This Row],[Trade Value - USD]]/HS_DB[[#This Row],[Net Weight -KG]],0)</f>
        <v>2.4289370078740156</v>
      </c>
      <c r="AJ194" s="17" cm="1">
        <f t="array" ref="AJ194">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94" s="17" t="str">
        <f>IF(HS_DB[[#This Row],[HS Code Risk Score]]&gt;=40,"High",
 IF(HS_DB[[#This Row],[HS Code Risk Score]]&gt;=25,"Medium","Low"))</f>
        <v>Medium</v>
      </c>
      <c r="AL194" s="17" t="str">
        <f>IF(RANK(HS_DB[[#This Row],[HS Code Risk Score]],HS_DB[HS Code Risk Score])&lt;=10,"Yes","No")</f>
        <v>No</v>
      </c>
      <c r="AM194" s="8">
        <f>SUMIFS(HS_DB[Net Weight -KG],HS_DB[HS Code],HS_DB[[#This Row],[HS Code]])</f>
        <v>1269954.4000000001</v>
      </c>
      <c r="AN194" s="8">
        <f>SUMIFS(HS_DB[Trade Value - USD],HS_DB[HS Code],HS_DB[[#This Row],[HS Code]])</f>
        <v>2145273</v>
      </c>
      <c r="AO194" s="6">
        <f>_xlfn.MAXIFS(HS_DB[Origin Share%],HS_DB[HS Code],HS_DB[[#This Row],[HS Code]])</f>
        <v>6.321329281187793E-2</v>
      </c>
      <c r="AP194" s="8" cm="1">
        <f t="array" ref="AP194">_xlfn.LET(
_xlpm.hs,HS_DB[[#This Row],[HS Code]],
COUNTA(_xlfn.UNIQUE(_xlfn._xlws.FILTER(HS_DB[Reporter],HS_DB[HS Code]=_xlpm.hs)))
)</f>
        <v>11</v>
      </c>
      <c r="AQ194" s="17" t="str">
        <f>IF(HS_DB[[#This Row],[Origin Count]]=1,"Single Source","Multiple Sources")</f>
        <v>Multiple Sources</v>
      </c>
      <c r="AR194" s="8">
        <f>HS_DB[[#This Row],[Annual Spend - USD]]*(HS_DB[[#This Row],[HS Code Risk Score]]/100)</f>
        <v>729392.82000000007</v>
      </c>
      <c r="AS194" s="8">
        <f>RANK(HS_DB[[#This Row],[Risk Exposure - USD]],HS_DB[Risk Exposure - USD],0)</f>
        <v>465</v>
      </c>
      <c r="AT194" s="8" t="str">
        <f>IF(HS_DB[[#This Row],[Risk Exposure Rank]]&lt;=10,"High",
 IF(HS_DB[[#This Row],[Risk Exposure Rank]]&lt;=30,"Medium",
 "Low"))</f>
        <v>Low</v>
      </c>
      <c r="AU194" s="8" t="str">
        <f>IF(HS_DB[[#This Row],[Risk Exposure Rank]]&lt;=5,"Immediate Action",
 IF(HS_DB[[#This Row],[Risk Exposure Rank]]&lt;=15,"Monitor Closely",
 "Routine Control"))</f>
        <v>Routine Control</v>
      </c>
      <c r="AV194" s="8">
        <f>SUMIFS(HS_DB[Trade Value - USD],HS_DB[HS Code],HS_DB[[#This Row],[HS Code]])</f>
        <v>2145273</v>
      </c>
      <c r="AW194" s="6">
        <f>HS_DB[[#This Row],[Annual Spend - USD]]/HS_DB[[#This Row],[Total Market Size - USD]]</f>
        <v>1</v>
      </c>
      <c r="AX194" s="6" cm="1">
        <f t="array" ref="AX194">COUNTA(_xlfn.UNIQUE(_xlfn._xlws.FILTER(HS_DB[Partner],HS_DB[HS Code]=HS_DB[[#This Row],[HS Code]])))</f>
        <v>1</v>
      </c>
      <c r="AY194" s="8" t="str">
        <f>IF(HS_DB[[#This Row],[Competition Intensity]]&lt;=2,"Highly Concentrated",
 IF(HS_DB[[#This Row],[Competition Intensity]]&lt;=5,"Moderate",
 "Highly Competitive"))</f>
        <v>Highly Concentrated</v>
      </c>
      <c r="AZ194" s="8">
        <f>HS_DB[[#This Row],[Total Market Size - USD]]
*
(1+IFERROR(#REF!,0))
/
HS_DB[[#This Row],[Competition Intensity]]</f>
        <v>2145273</v>
      </c>
      <c r="BA194" s="8" t="str">
        <f>IF(HS_DB[[#This Row],[Commercial Opportunity Score]]&gt;=PERCENTILE(HS_DB[Commercial Opportunity Score],0.9),"High Opportunity",
 IF(HS_DB[[#This Row],[Commercial Opportunity Score]]&gt;=PERCENTILE(HS_DB[Commercial Opportunity Score],0.6),"Medium Opportunity",
 "Routine Market"))</f>
        <v>Routine Market</v>
      </c>
      <c r="BB194" s="3" t="str">
        <f>IF(AND(HS_DB[[#This Row],[Product Rank]]&gt;0,HS_DB[[#This Row],[Product Rank]]&lt;=10),"Yes","No")</f>
        <v>No</v>
      </c>
      <c r="BC194" s="3" t="str">
        <f>IF(AND(HS_DB[[#This Row],[Origin Rank]]&gt;0,HS_DB[[#This Row],[Origin Rank]]&lt;=10),"Yes","No")</f>
        <v>No</v>
      </c>
    </row>
    <row r="195" spans="2:55" x14ac:dyDescent="0.3">
      <c r="B195" s="2">
        <f>HS_DB[[#This Row],[Commodity Code]]</f>
        <v>283410</v>
      </c>
      <c r="C195" s="2">
        <f>IFERROR(INDEX(HS_MD!C:C,MATCH(B195,HS_MD!B:B,0),1),"")</f>
        <v>13</v>
      </c>
      <c r="D195" s="17" t="str">
        <f>IFERROR(INDEX(HS_MD!D:D,MATCH(B195,HS_MD!B:B,0),1),"")</f>
        <v>Nitrites</v>
      </c>
      <c r="E195" s="17" t="str">
        <f>IFERROR(INDEX(HS_MD!E:E,MATCH(B195,HS_MD!B:B,0),1),"")</f>
        <v>Sodium Nitrite</v>
      </c>
      <c r="F195" s="17" t="str">
        <f>IFERROR(INDEX(HS_MD!F:F,MATCH(B195,HS_MD!B:B,0),1),"")</f>
        <v>PRESERVATIVES</v>
      </c>
      <c r="G195" s="17" t="str">
        <f>IFERROR(INDEX(HS_MD!G:G,MATCH(B195,HS_MD!B:B,0),1),"")</f>
        <v>Nitrites &amp; Nitrates</v>
      </c>
      <c r="H195" s="17" t="str">
        <f>IFERROR(INDEX(HS_MD!H:H,MATCH(B195,HS_MD!B:B,0),1),"")</f>
        <v>Sodium Nitrite</v>
      </c>
      <c r="I195" s="17" t="str">
        <f>IFERROR(INDEX(HS_MD!I:I,MATCH(B195,HS_MD!B:B,0),1),"")</f>
        <v>Processed Meat</v>
      </c>
      <c r="J195" s="17">
        <f>IFERROR(INDEX(Heat_Map[Index],MATCH(HS_DB[[#This Row],[Reporter]],Heat_Map[Global],0),1),"")</f>
        <v>36</v>
      </c>
      <c r="K195" s="17" t="str">
        <f>IF(AND(HS_DB[[#This Row],[Origin Rank]]&gt;1,HS_DB[[#This Row],[Origin Rank]]&lt;=10),"Yes","No")</f>
        <v>No</v>
      </c>
      <c r="L195" s="2">
        <v>2024</v>
      </c>
      <c r="M195" s="2" t="s">
        <v>57</v>
      </c>
      <c r="N195" s="2" t="s">
        <v>1</v>
      </c>
      <c r="O195" s="2" t="s">
        <v>22</v>
      </c>
      <c r="P195" s="2" t="s">
        <v>23</v>
      </c>
      <c r="Q195" s="2" t="s">
        <v>24</v>
      </c>
      <c r="R195" s="2" t="s">
        <v>25</v>
      </c>
      <c r="S195" s="2">
        <v>283410</v>
      </c>
      <c r="T195" s="3">
        <v>51360</v>
      </c>
      <c r="U195" s="3">
        <v>104000</v>
      </c>
      <c r="V195" s="3">
        <v>0</v>
      </c>
      <c r="W195" s="3">
        <v>104000</v>
      </c>
      <c r="X195" s="3" t="s">
        <v>58</v>
      </c>
      <c r="Y195" s="3">
        <v>104000</v>
      </c>
      <c r="Z195" s="3" t="s">
        <v>58</v>
      </c>
      <c r="AA195" s="6">
        <f>SUMIFS(HS_DB[Trade Value - USD],HS_DB[Reporter],HS_DB[[#This Row],[Reporter]])/SUM(HS_DB[Trade Value - USD])</f>
        <v>6.321329281187793E-2</v>
      </c>
      <c r="AB195" s="8" cm="1">
        <f t="array" ref="AB195">SUMPRODUCT(
(HS_DB[Reporter]=HS_DB[[#This Row],[Reporter]])*
(HS_DB[Trade Value - USD]&gt;HS_DB[[#This Row],[Trade Value - USD]])
)+1</f>
        <v>31</v>
      </c>
      <c r="AC195" s="8" t="str">
        <f>IFERROR(IF(INDEX(Heat_Map[Crisis Impact %],MATCH(HS_DB[[#This Row],[Reporter]],Heat_Map[Global],0),1)&gt;0,"Yes","No"),"No")</f>
        <v>Yes</v>
      </c>
      <c r="AD195" s="6">
        <f>IFERROR(INDEX(Heat_Map[Crisis Impact %],MATCH(HS_DB[[#This Row],[Reporter]],Heat_Map[Global],0),1),0)</f>
        <v>0.14000000000000001</v>
      </c>
      <c r="AE195" s="8">
        <f>HS_DB[[#This Row],[Crisis Impact%]]*HS_DB[[#This Row],[Trade Value - USD]]</f>
        <v>7190.4000000000005</v>
      </c>
      <c r="AF195" s="8">
        <f>HS_DB[[#This Row],[Crisis Impact%]]*HS_DB[[#This Row],[Net Weight -KG]]</f>
        <v>14560.000000000002</v>
      </c>
      <c r="AG195" s="6">
        <f>SUMIFS(HS_DB[Trade Value - USD],HS_DB[Products],HS_DB[[#This Row],[Products]])/SUM(HS_DB[Trade Value - USD])</f>
        <v>7.165273466970071E-5</v>
      </c>
      <c r="AH195" s="8">
        <f>_xlfn.RANK.EQ(HS_DB[[#This Row],[Trade Value - USD]], HS_DB[Trade Value - USD], 0)
 + COUNTIFS(HS_DB[Trade Value - USD],HS_DB[[#This Row],[Trade Value - USD]],
            HS_DB[HS Code],"&lt;"&amp;HS_DB[[#This Row],[HS Code]])</f>
        <v>323</v>
      </c>
      <c r="AI195" s="9">
        <f>IFERROR(HS_DB[[#This Row],[Trade Value - USD]]/HS_DB[[#This Row],[Net Weight -KG]],0)</f>
        <v>0.49384615384615382</v>
      </c>
      <c r="AJ195" s="17" cm="1">
        <f t="array" ref="AJ195">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39</v>
      </c>
      <c r="AK195" s="17" t="str">
        <f>IF(HS_DB[[#This Row],[HS Code Risk Score]]&gt;=40,"High",
 IF(HS_DB[[#This Row],[HS Code Risk Score]]&gt;=25,"Medium","Low"))</f>
        <v>Medium</v>
      </c>
      <c r="AL195" s="17" t="str">
        <f>IF(RANK(HS_DB[[#This Row],[HS Code Risk Score]],HS_DB[HS Code Risk Score])&lt;=10,"Yes","No")</f>
        <v>Yes</v>
      </c>
      <c r="AM195" s="8">
        <f>SUMIFS(HS_DB[Net Weight -KG],HS_DB[HS Code],HS_DB[[#This Row],[HS Code]])</f>
        <v>215019</v>
      </c>
      <c r="AN195" s="8">
        <f>SUMIFS(HS_DB[Trade Value - USD],HS_DB[HS Code],HS_DB[[#This Row],[HS Code]])</f>
        <v>135066</v>
      </c>
      <c r="AO195" s="6">
        <f>_xlfn.MAXIFS(HS_DB[Origin Share%],HS_DB[HS Code],HS_DB[[#This Row],[HS Code]])</f>
        <v>6.321329281187793E-2</v>
      </c>
      <c r="AP195" s="8" cm="1">
        <f t="array" ref="AP195">_xlfn.LET(
_xlpm.hs,HS_DB[[#This Row],[HS Code]],
COUNTA(_xlfn.UNIQUE(_xlfn._xlws.FILTER(HS_DB[Reporter],HS_DB[HS Code]=_xlpm.hs)))
)</f>
        <v>4</v>
      </c>
      <c r="AQ195" s="17" t="str">
        <f>IF(HS_DB[[#This Row],[Origin Count]]=1,"Single Source","Multiple Sources")</f>
        <v>Multiple Sources</v>
      </c>
      <c r="AR195" s="8">
        <f>HS_DB[[#This Row],[Annual Spend - USD]]*(HS_DB[[#This Row],[HS Code Risk Score]]/100)</f>
        <v>52675.740000000005</v>
      </c>
      <c r="AS195" s="8">
        <f>RANK(HS_DB[[#This Row],[Risk Exposure - USD]],HS_DB[Risk Exposure - USD],0)</f>
        <v>530</v>
      </c>
      <c r="AT195" s="8" t="str">
        <f>IF(HS_DB[[#This Row],[Risk Exposure Rank]]&lt;=10,"High",
 IF(HS_DB[[#This Row],[Risk Exposure Rank]]&lt;=30,"Medium",
 "Low"))</f>
        <v>Low</v>
      </c>
      <c r="AU195" s="8" t="str">
        <f>IF(HS_DB[[#This Row],[Risk Exposure Rank]]&lt;=5,"Immediate Action",
 IF(HS_DB[[#This Row],[Risk Exposure Rank]]&lt;=15,"Monitor Closely",
 "Routine Control"))</f>
        <v>Routine Control</v>
      </c>
      <c r="AV195" s="8">
        <f>SUMIFS(HS_DB[Trade Value - USD],HS_DB[HS Code],HS_DB[[#This Row],[HS Code]])</f>
        <v>135066</v>
      </c>
      <c r="AW195" s="6">
        <f>HS_DB[[#This Row],[Annual Spend - USD]]/HS_DB[[#This Row],[Total Market Size - USD]]</f>
        <v>1</v>
      </c>
      <c r="AX195" s="6" cm="1">
        <f t="array" ref="AX195">COUNTA(_xlfn.UNIQUE(_xlfn._xlws.FILTER(HS_DB[Partner],HS_DB[HS Code]=HS_DB[[#This Row],[HS Code]])))</f>
        <v>1</v>
      </c>
      <c r="AY195" s="8" t="str">
        <f>IF(HS_DB[[#This Row],[Competition Intensity]]&lt;=2,"Highly Concentrated",
 IF(HS_DB[[#This Row],[Competition Intensity]]&lt;=5,"Moderate",
 "Highly Competitive"))</f>
        <v>Highly Concentrated</v>
      </c>
      <c r="AZ195" s="8">
        <f>HS_DB[[#This Row],[Total Market Size - USD]]
*
(1+IFERROR(#REF!,0))
/
HS_DB[[#This Row],[Competition Intensity]]</f>
        <v>135066</v>
      </c>
      <c r="BA195" s="8" t="str">
        <f>IF(HS_DB[[#This Row],[Commercial Opportunity Score]]&gt;=PERCENTILE(HS_DB[Commercial Opportunity Score],0.9),"High Opportunity",
 IF(HS_DB[[#This Row],[Commercial Opportunity Score]]&gt;=PERCENTILE(HS_DB[Commercial Opportunity Score],0.6),"Medium Opportunity",
 "Routine Market"))</f>
        <v>Routine Market</v>
      </c>
      <c r="BB195" s="3" t="str">
        <f>IF(AND(HS_DB[[#This Row],[Product Rank]]&gt;0,HS_DB[[#This Row],[Product Rank]]&lt;=10),"Yes","No")</f>
        <v>No</v>
      </c>
      <c r="BC195" s="3" t="str">
        <f>IF(AND(HS_DB[[#This Row],[Origin Rank]]&gt;0,HS_DB[[#This Row],[Origin Rank]]&lt;=10),"Yes","No")</f>
        <v>No</v>
      </c>
    </row>
    <row r="196" spans="2:55" x14ac:dyDescent="0.3">
      <c r="B196" s="2">
        <f>HS_DB[[#This Row],[Commodity Code]]</f>
        <v>283410</v>
      </c>
      <c r="C196" s="2">
        <f>IFERROR(INDEX(HS_MD!C:C,MATCH(B196,HS_MD!B:B,0),1),"")</f>
        <v>13</v>
      </c>
      <c r="D196" s="17" t="str">
        <f>IFERROR(INDEX(HS_MD!D:D,MATCH(B196,HS_MD!B:B,0),1),"")</f>
        <v>Nitrites</v>
      </c>
      <c r="E196" s="17" t="str">
        <f>IFERROR(INDEX(HS_MD!E:E,MATCH(B196,HS_MD!B:B,0),1),"")</f>
        <v>Sodium Nitrite</v>
      </c>
      <c r="F196" s="17" t="str">
        <f>IFERROR(INDEX(HS_MD!F:F,MATCH(B196,HS_MD!B:B,0),1),"")</f>
        <v>PRESERVATIVES</v>
      </c>
      <c r="G196" s="17" t="str">
        <f>IFERROR(INDEX(HS_MD!G:G,MATCH(B196,HS_MD!B:B,0),1),"")</f>
        <v>Nitrites &amp; Nitrates</v>
      </c>
      <c r="H196" s="17" t="str">
        <f>IFERROR(INDEX(HS_MD!H:H,MATCH(B196,HS_MD!B:B,0),1),"")</f>
        <v>Sodium Nitrite</v>
      </c>
      <c r="I196" s="17" t="str">
        <f>IFERROR(INDEX(HS_MD!I:I,MATCH(B196,HS_MD!B:B,0),1),"")</f>
        <v>Processed Meat</v>
      </c>
      <c r="J196" s="17">
        <f>IFERROR(INDEX(Heat_Map[Index],MATCH(HS_DB[[#This Row],[Reporter]],Heat_Map[Global],0),1),"")</f>
        <v>58</v>
      </c>
      <c r="K196" s="17" t="str">
        <f>IF(AND(HS_DB[[#This Row],[Origin Rank]]&gt;1,HS_DB[[#This Row],[Origin Rank]]&lt;=10),"Yes","No")</f>
        <v>Yes</v>
      </c>
      <c r="L196" s="2">
        <v>2024</v>
      </c>
      <c r="M196" s="2" t="s">
        <v>57</v>
      </c>
      <c r="N196" s="2" t="s">
        <v>142</v>
      </c>
      <c r="O196" s="2" t="s">
        <v>22</v>
      </c>
      <c r="P196" s="2" t="s">
        <v>23</v>
      </c>
      <c r="Q196" s="2" t="s">
        <v>24</v>
      </c>
      <c r="R196" s="2" t="s">
        <v>25</v>
      </c>
      <c r="S196" s="2">
        <v>283410</v>
      </c>
      <c r="T196" s="3">
        <v>103</v>
      </c>
      <c r="U196" s="3">
        <v>2</v>
      </c>
      <c r="V196" s="3">
        <v>0</v>
      </c>
      <c r="W196" s="3">
        <v>2</v>
      </c>
      <c r="X196" s="3" t="s">
        <v>58</v>
      </c>
      <c r="Y196" s="3">
        <v>2</v>
      </c>
      <c r="Z196" s="3" t="s">
        <v>58</v>
      </c>
      <c r="AA196" s="6">
        <f>SUMIFS(HS_DB[Trade Value - USD],HS_DB[Reporter],HS_DB[[#This Row],[Reporter]])/SUM(HS_DB[Trade Value - USD])</f>
        <v>3.8908794070852229E-4</v>
      </c>
      <c r="AB196" s="8" cm="1">
        <f t="array" ref="AB196">SUMPRODUCT(
(HS_DB[Reporter]=HS_DB[[#This Row],[Reporter]])*
(HS_DB[Trade Value - USD]&gt;HS_DB[[#This Row],[Trade Value - USD]])
)+1</f>
        <v>2</v>
      </c>
      <c r="AC196" s="8" t="str">
        <f>IFERROR(IF(INDEX(Heat_Map[Crisis Impact %],MATCH(HS_DB[[#This Row],[Reporter]],Heat_Map[Global],0),1)&gt;0,"Yes","No"),"No")</f>
        <v>No</v>
      </c>
      <c r="AD196" s="6">
        <f>IFERROR(INDEX(Heat_Map[Crisis Impact %],MATCH(HS_DB[[#This Row],[Reporter]],Heat_Map[Global],0),1),0)</f>
        <v>0</v>
      </c>
      <c r="AE196" s="8">
        <f>HS_DB[[#This Row],[Crisis Impact%]]*HS_DB[[#This Row],[Trade Value - USD]]</f>
        <v>0</v>
      </c>
      <c r="AF196" s="8">
        <f>HS_DB[[#This Row],[Crisis Impact%]]*HS_DB[[#This Row],[Net Weight -KG]]</f>
        <v>0</v>
      </c>
      <c r="AG196" s="6">
        <f>SUMIFS(HS_DB[Trade Value - USD],HS_DB[Products],HS_DB[[#This Row],[Products]])/SUM(HS_DB[Trade Value - USD])</f>
        <v>7.165273466970071E-5</v>
      </c>
      <c r="AH196" s="8">
        <f>_xlfn.RANK.EQ(HS_DB[[#This Row],[Trade Value - USD]], HS_DB[Trade Value - USD], 0)
 + COUNTIFS(HS_DB[Trade Value - USD],HS_DB[[#This Row],[Trade Value - USD]],
            HS_DB[HS Code],"&lt;"&amp;HS_DB[[#This Row],[HS Code]])</f>
        <v>517</v>
      </c>
      <c r="AI196" s="9">
        <f>IFERROR(HS_DB[[#This Row],[Trade Value - USD]]/HS_DB[[#This Row],[Net Weight -KG]],0)</f>
        <v>51.5</v>
      </c>
      <c r="AJ196" s="17" cm="1">
        <f t="array" ref="AJ196">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39</v>
      </c>
      <c r="AK196" s="17" t="str">
        <f>IF(HS_DB[[#This Row],[HS Code Risk Score]]&gt;=40,"High",
 IF(HS_DB[[#This Row],[HS Code Risk Score]]&gt;=25,"Medium","Low"))</f>
        <v>Medium</v>
      </c>
      <c r="AL196" s="17" t="str">
        <f>IF(RANK(HS_DB[[#This Row],[HS Code Risk Score]],HS_DB[HS Code Risk Score])&lt;=10,"Yes","No")</f>
        <v>Yes</v>
      </c>
      <c r="AM196" s="8">
        <f>SUMIFS(HS_DB[Net Weight -KG],HS_DB[HS Code],HS_DB[[#This Row],[HS Code]])</f>
        <v>215019</v>
      </c>
      <c r="AN196" s="8">
        <f>SUMIFS(HS_DB[Trade Value - USD],HS_DB[HS Code],HS_DB[[#This Row],[HS Code]])</f>
        <v>135066</v>
      </c>
      <c r="AO196" s="6">
        <f>_xlfn.MAXIFS(HS_DB[Origin Share%],HS_DB[HS Code],HS_DB[[#This Row],[HS Code]])</f>
        <v>6.321329281187793E-2</v>
      </c>
      <c r="AP196" s="8" cm="1">
        <f t="array" ref="AP196">_xlfn.LET(
_xlpm.hs,HS_DB[[#This Row],[HS Code]],
COUNTA(_xlfn.UNIQUE(_xlfn._xlws.FILTER(HS_DB[Reporter],HS_DB[HS Code]=_xlpm.hs)))
)</f>
        <v>4</v>
      </c>
      <c r="AQ196" s="17" t="str">
        <f>IF(HS_DB[[#This Row],[Origin Count]]=1,"Single Source","Multiple Sources")</f>
        <v>Multiple Sources</v>
      </c>
      <c r="AR196" s="8">
        <f>HS_DB[[#This Row],[Annual Spend - USD]]*(HS_DB[[#This Row],[HS Code Risk Score]]/100)</f>
        <v>52675.740000000005</v>
      </c>
      <c r="AS196" s="8">
        <f>RANK(HS_DB[[#This Row],[Risk Exposure - USD]],HS_DB[Risk Exposure - USD],0)</f>
        <v>530</v>
      </c>
      <c r="AT196" s="8" t="str">
        <f>IF(HS_DB[[#This Row],[Risk Exposure Rank]]&lt;=10,"High",
 IF(HS_DB[[#This Row],[Risk Exposure Rank]]&lt;=30,"Medium",
 "Low"))</f>
        <v>Low</v>
      </c>
      <c r="AU196" s="8" t="str">
        <f>IF(HS_DB[[#This Row],[Risk Exposure Rank]]&lt;=5,"Immediate Action",
 IF(HS_DB[[#This Row],[Risk Exposure Rank]]&lt;=15,"Monitor Closely",
 "Routine Control"))</f>
        <v>Routine Control</v>
      </c>
      <c r="AV196" s="8">
        <f>SUMIFS(HS_DB[Trade Value - USD],HS_DB[HS Code],HS_DB[[#This Row],[HS Code]])</f>
        <v>135066</v>
      </c>
      <c r="AW196" s="6">
        <f>HS_DB[[#This Row],[Annual Spend - USD]]/HS_DB[[#This Row],[Total Market Size - USD]]</f>
        <v>1</v>
      </c>
      <c r="AX196" s="6" cm="1">
        <f t="array" ref="AX196">COUNTA(_xlfn.UNIQUE(_xlfn._xlws.FILTER(HS_DB[Partner],HS_DB[HS Code]=HS_DB[[#This Row],[HS Code]])))</f>
        <v>1</v>
      </c>
      <c r="AY196" s="8" t="str">
        <f>IF(HS_DB[[#This Row],[Competition Intensity]]&lt;=2,"Highly Concentrated",
 IF(HS_DB[[#This Row],[Competition Intensity]]&lt;=5,"Moderate",
 "Highly Competitive"))</f>
        <v>Highly Concentrated</v>
      </c>
      <c r="AZ196" s="8">
        <f>HS_DB[[#This Row],[Total Market Size - USD]]
*
(1+IFERROR(#REF!,0))
/
HS_DB[[#This Row],[Competition Intensity]]</f>
        <v>135066</v>
      </c>
      <c r="BA196" s="8" t="str">
        <f>IF(HS_DB[[#This Row],[Commercial Opportunity Score]]&gt;=PERCENTILE(HS_DB[Commercial Opportunity Score],0.9),"High Opportunity",
 IF(HS_DB[[#This Row],[Commercial Opportunity Score]]&gt;=PERCENTILE(HS_DB[Commercial Opportunity Score],0.6),"Medium Opportunity",
 "Routine Market"))</f>
        <v>Routine Market</v>
      </c>
      <c r="BB196" s="3" t="str">
        <f>IF(AND(HS_DB[[#This Row],[Product Rank]]&gt;0,HS_DB[[#This Row],[Product Rank]]&lt;=10),"Yes","No")</f>
        <v>No</v>
      </c>
      <c r="BC196" s="3" t="str">
        <f>IF(AND(HS_DB[[#This Row],[Origin Rank]]&gt;0,HS_DB[[#This Row],[Origin Rank]]&lt;=10),"Yes","No")</f>
        <v>Yes</v>
      </c>
    </row>
    <row r="197" spans="2:55" x14ac:dyDescent="0.3">
      <c r="B197" s="2">
        <f>HS_DB[[#This Row],[Commodity Code]]</f>
        <v>283410</v>
      </c>
      <c r="C197" s="2">
        <f>IFERROR(INDEX(HS_MD!C:C,MATCH(B197,HS_MD!B:B,0),1),"")</f>
        <v>13</v>
      </c>
      <c r="D197" s="17" t="str">
        <f>IFERROR(INDEX(HS_MD!D:D,MATCH(B197,HS_MD!B:B,0),1),"")</f>
        <v>Nitrites</v>
      </c>
      <c r="E197" s="17" t="str">
        <f>IFERROR(INDEX(HS_MD!E:E,MATCH(B197,HS_MD!B:B,0),1),"")</f>
        <v>Sodium Nitrite</v>
      </c>
      <c r="F197" s="17" t="str">
        <f>IFERROR(INDEX(HS_MD!F:F,MATCH(B197,HS_MD!B:B,0),1),"")</f>
        <v>PRESERVATIVES</v>
      </c>
      <c r="G197" s="17" t="str">
        <f>IFERROR(INDEX(HS_MD!G:G,MATCH(B197,HS_MD!B:B,0),1),"")</f>
        <v>Nitrites &amp; Nitrates</v>
      </c>
      <c r="H197" s="17" t="str">
        <f>IFERROR(INDEX(HS_MD!H:H,MATCH(B197,HS_MD!B:B,0),1),"")</f>
        <v>Sodium Nitrite</v>
      </c>
      <c r="I197" s="17" t="str">
        <f>IFERROR(INDEX(HS_MD!I:I,MATCH(B197,HS_MD!B:B,0),1),"")</f>
        <v>Processed Meat</v>
      </c>
      <c r="J197" s="17">
        <f>IFERROR(INDEX(Heat_Map[Index],MATCH(HS_DB[[#This Row],[Reporter]],Heat_Map[Global],0),1),"")</f>
        <v>146</v>
      </c>
      <c r="K197" s="17" t="str">
        <f>IF(AND(HS_DB[[#This Row],[Origin Rank]]&gt;1,HS_DB[[#This Row],[Origin Rank]]&lt;=10),"Yes","No")</f>
        <v>Yes</v>
      </c>
      <c r="L197" s="2">
        <v>2024</v>
      </c>
      <c r="M197" s="2" t="s">
        <v>57</v>
      </c>
      <c r="N197" s="2" t="s">
        <v>27</v>
      </c>
      <c r="O197" s="2" t="s">
        <v>22</v>
      </c>
      <c r="P197" s="2" t="s">
        <v>23</v>
      </c>
      <c r="Q197" s="2" t="s">
        <v>24</v>
      </c>
      <c r="R197" s="2" t="s">
        <v>25</v>
      </c>
      <c r="S197" s="2">
        <v>283410</v>
      </c>
      <c r="T197" s="3">
        <v>13410</v>
      </c>
      <c r="U197" s="3">
        <v>11000</v>
      </c>
      <c r="V197" s="3">
        <v>0</v>
      </c>
      <c r="W197" s="3">
        <v>11000</v>
      </c>
      <c r="X197" s="3" t="s">
        <v>58</v>
      </c>
      <c r="Y197" s="3">
        <v>11000</v>
      </c>
      <c r="Z197" s="3" t="s">
        <v>58</v>
      </c>
      <c r="AA197" s="6">
        <f>SUMIFS(HS_DB[Trade Value - USD],HS_DB[Reporter],HS_DB[[#This Row],[Reporter]])/SUM(HS_DB[Trade Value - USD])</f>
        <v>9.709938116315122E-3</v>
      </c>
      <c r="AB197" s="8" cm="1">
        <f t="array" ref="AB197">SUMPRODUCT(
(HS_DB[Reporter]=HS_DB[[#This Row],[Reporter]])*
(HS_DB[Trade Value - USD]&gt;HS_DB[[#This Row],[Trade Value - USD]])
)+1</f>
        <v>10</v>
      </c>
      <c r="AC197" s="8" t="str">
        <f>IFERROR(IF(INDEX(Heat_Map[Crisis Impact %],MATCH(HS_DB[[#This Row],[Reporter]],Heat_Map[Global],0),1)&gt;0,"Yes","No"),"No")</f>
        <v>No</v>
      </c>
      <c r="AD197" s="6">
        <f>IFERROR(INDEX(Heat_Map[Crisis Impact %],MATCH(HS_DB[[#This Row],[Reporter]],Heat_Map[Global],0),1),0)</f>
        <v>0</v>
      </c>
      <c r="AE197" s="8">
        <f>HS_DB[[#This Row],[Crisis Impact%]]*HS_DB[[#This Row],[Trade Value - USD]]</f>
        <v>0</v>
      </c>
      <c r="AF197" s="8">
        <f>HS_DB[[#This Row],[Crisis Impact%]]*HS_DB[[#This Row],[Net Weight -KG]]</f>
        <v>0</v>
      </c>
      <c r="AG197" s="6">
        <f>SUMIFS(HS_DB[Trade Value - USD],HS_DB[Products],HS_DB[[#This Row],[Products]])/SUM(HS_DB[Trade Value - USD])</f>
        <v>7.165273466970071E-5</v>
      </c>
      <c r="AH197" s="8">
        <f>_xlfn.RANK.EQ(HS_DB[[#This Row],[Trade Value - USD]], HS_DB[Trade Value - USD], 0)
 + COUNTIFS(HS_DB[Trade Value - USD],HS_DB[[#This Row],[Trade Value - USD]],
            HS_DB[HS Code],"&lt;"&amp;HS_DB[[#This Row],[HS Code]])</f>
        <v>398</v>
      </c>
      <c r="AI197" s="9">
        <f>IFERROR(HS_DB[[#This Row],[Trade Value - USD]]/HS_DB[[#This Row],[Net Weight -KG]],0)</f>
        <v>1.219090909090909</v>
      </c>
      <c r="AJ197" s="17" cm="1">
        <f t="array" ref="AJ197">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39</v>
      </c>
      <c r="AK197" s="17" t="str">
        <f>IF(HS_DB[[#This Row],[HS Code Risk Score]]&gt;=40,"High",
 IF(HS_DB[[#This Row],[HS Code Risk Score]]&gt;=25,"Medium","Low"))</f>
        <v>Medium</v>
      </c>
      <c r="AL197" s="17" t="str">
        <f>IF(RANK(HS_DB[[#This Row],[HS Code Risk Score]],HS_DB[HS Code Risk Score])&lt;=10,"Yes","No")</f>
        <v>Yes</v>
      </c>
      <c r="AM197" s="8">
        <f>SUMIFS(HS_DB[Net Weight -KG],HS_DB[HS Code],HS_DB[[#This Row],[HS Code]])</f>
        <v>215019</v>
      </c>
      <c r="AN197" s="8">
        <f>SUMIFS(HS_DB[Trade Value - USD],HS_DB[HS Code],HS_DB[[#This Row],[HS Code]])</f>
        <v>135066</v>
      </c>
      <c r="AO197" s="6">
        <f>_xlfn.MAXIFS(HS_DB[Origin Share%],HS_DB[HS Code],HS_DB[[#This Row],[HS Code]])</f>
        <v>6.321329281187793E-2</v>
      </c>
      <c r="AP197" s="8" cm="1">
        <f t="array" ref="AP197">_xlfn.LET(
_xlpm.hs,HS_DB[[#This Row],[HS Code]],
COUNTA(_xlfn.UNIQUE(_xlfn._xlws.FILTER(HS_DB[Reporter],HS_DB[HS Code]=_xlpm.hs)))
)</f>
        <v>4</v>
      </c>
      <c r="AQ197" s="17" t="str">
        <f>IF(HS_DB[[#This Row],[Origin Count]]=1,"Single Source","Multiple Sources")</f>
        <v>Multiple Sources</v>
      </c>
      <c r="AR197" s="8">
        <f>HS_DB[[#This Row],[Annual Spend - USD]]*(HS_DB[[#This Row],[HS Code Risk Score]]/100)</f>
        <v>52675.740000000005</v>
      </c>
      <c r="AS197" s="8">
        <f>RANK(HS_DB[[#This Row],[Risk Exposure - USD]],HS_DB[Risk Exposure - USD],0)</f>
        <v>530</v>
      </c>
      <c r="AT197" s="8" t="str">
        <f>IF(HS_DB[[#This Row],[Risk Exposure Rank]]&lt;=10,"High",
 IF(HS_DB[[#This Row],[Risk Exposure Rank]]&lt;=30,"Medium",
 "Low"))</f>
        <v>Low</v>
      </c>
      <c r="AU197" s="8" t="str">
        <f>IF(HS_DB[[#This Row],[Risk Exposure Rank]]&lt;=5,"Immediate Action",
 IF(HS_DB[[#This Row],[Risk Exposure Rank]]&lt;=15,"Monitor Closely",
 "Routine Control"))</f>
        <v>Routine Control</v>
      </c>
      <c r="AV197" s="8">
        <f>SUMIFS(HS_DB[Trade Value - USD],HS_DB[HS Code],HS_DB[[#This Row],[HS Code]])</f>
        <v>135066</v>
      </c>
      <c r="AW197" s="6">
        <f>HS_DB[[#This Row],[Annual Spend - USD]]/HS_DB[[#This Row],[Total Market Size - USD]]</f>
        <v>1</v>
      </c>
      <c r="AX197" s="6" cm="1">
        <f t="array" ref="AX197">COUNTA(_xlfn.UNIQUE(_xlfn._xlws.FILTER(HS_DB[Partner],HS_DB[HS Code]=HS_DB[[#This Row],[HS Code]])))</f>
        <v>1</v>
      </c>
      <c r="AY197" s="8" t="str">
        <f>IF(HS_DB[[#This Row],[Competition Intensity]]&lt;=2,"Highly Concentrated",
 IF(HS_DB[[#This Row],[Competition Intensity]]&lt;=5,"Moderate",
 "Highly Competitive"))</f>
        <v>Highly Concentrated</v>
      </c>
      <c r="AZ197" s="8">
        <f>HS_DB[[#This Row],[Total Market Size - USD]]
*
(1+IFERROR(#REF!,0))
/
HS_DB[[#This Row],[Competition Intensity]]</f>
        <v>135066</v>
      </c>
      <c r="BA197" s="8" t="str">
        <f>IF(HS_DB[[#This Row],[Commercial Opportunity Score]]&gt;=PERCENTILE(HS_DB[Commercial Opportunity Score],0.9),"High Opportunity",
 IF(HS_DB[[#This Row],[Commercial Opportunity Score]]&gt;=PERCENTILE(HS_DB[Commercial Opportunity Score],0.6),"Medium Opportunity",
 "Routine Market"))</f>
        <v>Routine Market</v>
      </c>
      <c r="BB197" s="3" t="str">
        <f>IF(AND(HS_DB[[#This Row],[Product Rank]]&gt;0,HS_DB[[#This Row],[Product Rank]]&lt;=10),"Yes","No")</f>
        <v>No</v>
      </c>
      <c r="BC197" s="3" t="str">
        <f>IF(AND(HS_DB[[#This Row],[Origin Rank]]&gt;0,HS_DB[[#This Row],[Origin Rank]]&lt;=10),"Yes","No")</f>
        <v>Yes</v>
      </c>
    </row>
    <row r="198" spans="2:55" x14ac:dyDescent="0.3">
      <c r="B198" s="2">
        <f>HS_DB[[#This Row],[Commodity Code]]</f>
        <v>283410</v>
      </c>
      <c r="C198" s="2">
        <f>IFERROR(INDEX(HS_MD!C:C,MATCH(B198,HS_MD!B:B,0),1),"")</f>
        <v>13</v>
      </c>
      <c r="D198" s="17" t="str">
        <f>IFERROR(INDEX(HS_MD!D:D,MATCH(B198,HS_MD!B:B,0),1),"")</f>
        <v>Nitrites</v>
      </c>
      <c r="E198" s="17" t="str">
        <f>IFERROR(INDEX(HS_MD!E:E,MATCH(B198,HS_MD!B:B,0),1),"")</f>
        <v>Sodium Nitrite</v>
      </c>
      <c r="F198" s="17" t="str">
        <f>IFERROR(INDEX(HS_MD!F:F,MATCH(B198,HS_MD!B:B,0),1),"")</f>
        <v>PRESERVATIVES</v>
      </c>
      <c r="G198" s="17" t="str">
        <f>IFERROR(INDEX(HS_MD!G:G,MATCH(B198,HS_MD!B:B,0),1),"")</f>
        <v>Nitrites &amp; Nitrates</v>
      </c>
      <c r="H198" s="17" t="str">
        <f>IFERROR(INDEX(HS_MD!H:H,MATCH(B198,HS_MD!B:B,0),1),"")</f>
        <v>Sodium Nitrite</v>
      </c>
      <c r="I198" s="17" t="str">
        <f>IFERROR(INDEX(HS_MD!I:I,MATCH(B198,HS_MD!B:B,0),1),"")</f>
        <v>Processed Meat</v>
      </c>
      <c r="J198" s="17">
        <f>IFERROR(INDEX(Heat_Map[Index],MATCH(HS_DB[[#This Row],[Reporter]],Heat_Map[Global],0),1),"")</f>
        <v>75</v>
      </c>
      <c r="K198" s="17" t="str">
        <f>IF(AND(HS_DB[[#This Row],[Origin Rank]]&gt;1,HS_DB[[#This Row],[Origin Rank]]&lt;=10),"Yes","No")</f>
        <v>No</v>
      </c>
      <c r="L198" s="2">
        <v>2024</v>
      </c>
      <c r="M198" s="2" t="s">
        <v>57</v>
      </c>
      <c r="N198" s="2" t="s">
        <v>8</v>
      </c>
      <c r="O198" s="2" t="s">
        <v>22</v>
      </c>
      <c r="P198" s="2" t="s">
        <v>23</v>
      </c>
      <c r="Q198" s="2" t="s">
        <v>24</v>
      </c>
      <c r="R198" s="2" t="s">
        <v>25</v>
      </c>
      <c r="S198" s="2">
        <v>283410</v>
      </c>
      <c r="T198" s="3">
        <v>70193</v>
      </c>
      <c r="U198" s="3">
        <v>100017</v>
      </c>
      <c r="V198" s="3">
        <v>0</v>
      </c>
      <c r="W198" s="3">
        <v>100017</v>
      </c>
      <c r="X198" s="3" t="s">
        <v>58</v>
      </c>
      <c r="Y198" s="3">
        <v>100017</v>
      </c>
      <c r="Z198" s="3" t="s">
        <v>58</v>
      </c>
      <c r="AA198" s="6">
        <f>SUMIFS(HS_DB[Trade Value - USD],HS_DB[Reporter],HS_DB[[#This Row],[Reporter]])/SUM(HS_DB[Trade Value - USD])</f>
        <v>2.2441761060335613E-2</v>
      </c>
      <c r="AB198" s="8" cm="1">
        <f t="array" ref="AB198">SUMPRODUCT(
(HS_DB[Reporter]=HS_DB[[#This Row],[Reporter]])*
(HS_DB[Trade Value - USD]&gt;HS_DB[[#This Row],[Trade Value - USD]])
)+1</f>
        <v>26</v>
      </c>
      <c r="AC198" s="8" t="str">
        <f>IFERROR(IF(INDEX(Heat_Map[Crisis Impact %],MATCH(HS_DB[[#This Row],[Reporter]],Heat_Map[Global],0),1)&gt;0,"Yes","No"),"No")</f>
        <v>No</v>
      </c>
      <c r="AD198" s="6">
        <f>IFERROR(INDEX(Heat_Map[Crisis Impact %],MATCH(HS_DB[[#This Row],[Reporter]],Heat_Map[Global],0),1),0)</f>
        <v>0</v>
      </c>
      <c r="AE198" s="8">
        <f>HS_DB[[#This Row],[Crisis Impact%]]*HS_DB[[#This Row],[Trade Value - USD]]</f>
        <v>0</v>
      </c>
      <c r="AF198" s="8">
        <f>HS_DB[[#This Row],[Crisis Impact%]]*HS_DB[[#This Row],[Net Weight -KG]]</f>
        <v>0</v>
      </c>
      <c r="AG198" s="6">
        <f>SUMIFS(HS_DB[Trade Value - USD],HS_DB[Products],HS_DB[[#This Row],[Products]])/SUM(HS_DB[Trade Value - USD])</f>
        <v>7.165273466970071E-5</v>
      </c>
      <c r="AH198" s="8">
        <f>_xlfn.RANK.EQ(HS_DB[[#This Row],[Trade Value - USD]], HS_DB[Trade Value - USD], 0)
 + COUNTIFS(HS_DB[Trade Value - USD],HS_DB[[#This Row],[Trade Value - USD]],
            HS_DB[HS Code],"&lt;"&amp;HS_DB[[#This Row],[HS Code]])</f>
        <v>304</v>
      </c>
      <c r="AI198" s="9">
        <f>IFERROR(HS_DB[[#This Row],[Trade Value - USD]]/HS_DB[[#This Row],[Net Weight -KG]],0)</f>
        <v>0.70181069218232905</v>
      </c>
      <c r="AJ198" s="17" cm="1">
        <f t="array" ref="AJ198">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39</v>
      </c>
      <c r="AK198" s="17" t="str">
        <f>IF(HS_DB[[#This Row],[HS Code Risk Score]]&gt;=40,"High",
 IF(HS_DB[[#This Row],[HS Code Risk Score]]&gt;=25,"Medium","Low"))</f>
        <v>Medium</v>
      </c>
      <c r="AL198" s="17" t="str">
        <f>IF(RANK(HS_DB[[#This Row],[HS Code Risk Score]],HS_DB[HS Code Risk Score])&lt;=10,"Yes","No")</f>
        <v>Yes</v>
      </c>
      <c r="AM198" s="8">
        <f>SUMIFS(HS_DB[Net Weight -KG],HS_DB[HS Code],HS_DB[[#This Row],[HS Code]])</f>
        <v>215019</v>
      </c>
      <c r="AN198" s="8">
        <f>SUMIFS(HS_DB[Trade Value - USD],HS_DB[HS Code],HS_DB[[#This Row],[HS Code]])</f>
        <v>135066</v>
      </c>
      <c r="AO198" s="6">
        <f>_xlfn.MAXIFS(HS_DB[Origin Share%],HS_DB[HS Code],HS_DB[[#This Row],[HS Code]])</f>
        <v>6.321329281187793E-2</v>
      </c>
      <c r="AP198" s="8" cm="1">
        <f t="array" ref="AP198">_xlfn.LET(
_xlpm.hs,HS_DB[[#This Row],[HS Code]],
COUNTA(_xlfn.UNIQUE(_xlfn._xlws.FILTER(HS_DB[Reporter],HS_DB[HS Code]=_xlpm.hs)))
)</f>
        <v>4</v>
      </c>
      <c r="AQ198" s="17" t="str">
        <f>IF(HS_DB[[#This Row],[Origin Count]]=1,"Single Source","Multiple Sources")</f>
        <v>Multiple Sources</v>
      </c>
      <c r="AR198" s="8">
        <f>HS_DB[[#This Row],[Annual Spend - USD]]*(HS_DB[[#This Row],[HS Code Risk Score]]/100)</f>
        <v>52675.740000000005</v>
      </c>
      <c r="AS198" s="8">
        <f>RANK(HS_DB[[#This Row],[Risk Exposure - USD]],HS_DB[Risk Exposure - USD],0)</f>
        <v>530</v>
      </c>
      <c r="AT198" s="8" t="str">
        <f>IF(HS_DB[[#This Row],[Risk Exposure Rank]]&lt;=10,"High",
 IF(HS_DB[[#This Row],[Risk Exposure Rank]]&lt;=30,"Medium",
 "Low"))</f>
        <v>Low</v>
      </c>
      <c r="AU198" s="8" t="str">
        <f>IF(HS_DB[[#This Row],[Risk Exposure Rank]]&lt;=5,"Immediate Action",
 IF(HS_DB[[#This Row],[Risk Exposure Rank]]&lt;=15,"Monitor Closely",
 "Routine Control"))</f>
        <v>Routine Control</v>
      </c>
      <c r="AV198" s="8">
        <f>SUMIFS(HS_DB[Trade Value - USD],HS_DB[HS Code],HS_DB[[#This Row],[HS Code]])</f>
        <v>135066</v>
      </c>
      <c r="AW198" s="6">
        <f>HS_DB[[#This Row],[Annual Spend - USD]]/HS_DB[[#This Row],[Total Market Size - USD]]</f>
        <v>1</v>
      </c>
      <c r="AX198" s="6" cm="1">
        <f t="array" ref="AX198">COUNTA(_xlfn.UNIQUE(_xlfn._xlws.FILTER(HS_DB[Partner],HS_DB[HS Code]=HS_DB[[#This Row],[HS Code]])))</f>
        <v>1</v>
      </c>
      <c r="AY198" s="8" t="str">
        <f>IF(HS_DB[[#This Row],[Competition Intensity]]&lt;=2,"Highly Concentrated",
 IF(HS_DB[[#This Row],[Competition Intensity]]&lt;=5,"Moderate",
 "Highly Competitive"))</f>
        <v>Highly Concentrated</v>
      </c>
      <c r="AZ198" s="8">
        <f>HS_DB[[#This Row],[Total Market Size - USD]]
*
(1+IFERROR(#REF!,0))
/
HS_DB[[#This Row],[Competition Intensity]]</f>
        <v>135066</v>
      </c>
      <c r="BA198" s="8" t="str">
        <f>IF(HS_DB[[#This Row],[Commercial Opportunity Score]]&gt;=PERCENTILE(HS_DB[Commercial Opportunity Score],0.9),"High Opportunity",
 IF(HS_DB[[#This Row],[Commercial Opportunity Score]]&gt;=PERCENTILE(HS_DB[Commercial Opportunity Score],0.6),"Medium Opportunity",
 "Routine Market"))</f>
        <v>Routine Market</v>
      </c>
      <c r="BB198" s="3" t="str">
        <f>IF(AND(HS_DB[[#This Row],[Product Rank]]&gt;0,HS_DB[[#This Row],[Product Rank]]&lt;=10),"Yes","No")</f>
        <v>No</v>
      </c>
      <c r="BC198" s="3" t="str">
        <f>IF(AND(HS_DB[[#This Row],[Origin Rank]]&gt;0,HS_DB[[#This Row],[Origin Rank]]&lt;=10),"Yes","No")</f>
        <v>No</v>
      </c>
    </row>
    <row r="199" spans="2:55" x14ac:dyDescent="0.3">
      <c r="B199" s="2">
        <f>HS_DB[[#This Row],[Commodity Code]]</f>
        <v>283210</v>
      </c>
      <c r="C199" s="2">
        <f>IFERROR(INDEX(HS_MD!C:C,MATCH(B199,HS_MD!B:B,0),1),"")</f>
        <v>14</v>
      </c>
      <c r="D199" s="17" t="str">
        <f>IFERROR(INDEX(HS_MD!D:D,MATCH(B199,HS_MD!B:B,0),1),"")</f>
        <v>Sulfites</v>
      </c>
      <c r="E199" s="17" t="str">
        <f>IFERROR(INDEX(HS_MD!E:E,MATCH(B199,HS_MD!B:B,0),1),"")</f>
        <v>Sodium Metabisulfite</v>
      </c>
      <c r="F199" s="17" t="str">
        <f>IFERROR(INDEX(HS_MD!F:F,MATCH(B199,HS_MD!B:B,0),1),"")</f>
        <v>PRESERVATIVES</v>
      </c>
      <c r="G199" s="17" t="str">
        <f>IFERROR(INDEX(HS_MD!G:G,MATCH(B199,HS_MD!B:B,0),1),"")</f>
        <v>Sulfites</v>
      </c>
      <c r="H199" s="17" t="str">
        <f>IFERROR(INDEX(HS_MD!H:H,MATCH(B199,HS_MD!B:B,0),1),"")</f>
        <v>Sodium Metabisulfite</v>
      </c>
      <c r="I199" s="17" t="str">
        <f>IFERROR(INDEX(HS_MD!I:I,MATCH(B199,HS_MD!B:B,0),1),"")</f>
        <v>Beverages / Food Processing</v>
      </c>
      <c r="J199" s="17">
        <f>IFERROR(INDEX(Heat_Map[Index],MATCH(HS_DB[[#This Row],[Reporter]],Heat_Map[Global],0),1),"")</f>
        <v>17</v>
      </c>
      <c r="K199" s="17" t="str">
        <f>IF(AND(HS_DB[[#This Row],[Origin Rank]]&gt;1,HS_DB[[#This Row],[Origin Rank]]&lt;=10),"Yes","No")</f>
        <v>No</v>
      </c>
      <c r="L199" s="2">
        <v>2024</v>
      </c>
      <c r="M199" s="2" t="s">
        <v>57</v>
      </c>
      <c r="N199" s="2" t="s">
        <v>5</v>
      </c>
      <c r="O199" s="2" t="s">
        <v>22</v>
      </c>
      <c r="P199" s="2" t="s">
        <v>23</v>
      </c>
      <c r="Q199" s="2" t="s">
        <v>24</v>
      </c>
      <c r="R199" s="2" t="s">
        <v>25</v>
      </c>
      <c r="S199" s="2">
        <v>283210</v>
      </c>
      <c r="T199" s="3">
        <v>295</v>
      </c>
      <c r="U199" s="3">
        <v>2</v>
      </c>
      <c r="V199" s="3">
        <v>0</v>
      </c>
      <c r="W199" s="3">
        <v>2</v>
      </c>
      <c r="X199" s="3" t="s">
        <v>58</v>
      </c>
      <c r="Y199" s="3">
        <v>2</v>
      </c>
      <c r="Z199" s="3" t="s">
        <v>58</v>
      </c>
      <c r="AA199" s="6">
        <f>SUMIFS(HS_DB[Trade Value - USD],HS_DB[Reporter],HS_DB[[#This Row],[Reporter]])/SUM(HS_DB[Trade Value - USD])</f>
        <v>5.3992075088500962E-3</v>
      </c>
      <c r="AB199" s="8" cm="1">
        <f t="array" ref="AB199">SUMPRODUCT(
(HS_DB[Reporter]=HS_DB[[#This Row],[Reporter]])*
(HS_DB[Trade Value - USD]&gt;HS_DB[[#This Row],[Trade Value - USD]])
)+1</f>
        <v>25</v>
      </c>
      <c r="AC199" s="8" t="str">
        <f>IFERROR(IF(INDEX(Heat_Map[Crisis Impact %],MATCH(HS_DB[[#This Row],[Reporter]],Heat_Map[Global],0),1)&gt;0,"Yes","No"),"No")</f>
        <v>No</v>
      </c>
      <c r="AD199" s="6">
        <f>IFERROR(INDEX(Heat_Map[Crisis Impact %],MATCH(HS_DB[[#This Row],[Reporter]],Heat_Map[Global],0),1),0)</f>
        <v>0</v>
      </c>
      <c r="AE199" s="8">
        <f>HS_DB[[#This Row],[Crisis Impact%]]*HS_DB[[#This Row],[Trade Value - USD]]</f>
        <v>0</v>
      </c>
      <c r="AF199" s="8">
        <f>HS_DB[[#This Row],[Crisis Impact%]]*HS_DB[[#This Row],[Net Weight -KG]]</f>
        <v>0</v>
      </c>
      <c r="AG199" s="6">
        <f>SUMIFS(HS_DB[Trade Value - USD],HS_DB[Products],HS_DB[[#This Row],[Products]])/SUM(HS_DB[Trade Value - USD])</f>
        <v>2.7944449810822212E-3</v>
      </c>
      <c r="AH199" s="8">
        <f>_xlfn.RANK.EQ(HS_DB[[#This Row],[Trade Value - USD]], HS_DB[Trade Value - USD], 0)
 + COUNTIFS(HS_DB[Trade Value - USD],HS_DB[[#This Row],[Trade Value - USD]],
            HS_DB[HS Code],"&lt;"&amp;HS_DB[[#This Row],[HS Code]])</f>
        <v>502</v>
      </c>
      <c r="AI199" s="9">
        <f>IFERROR(HS_DB[[#This Row],[Trade Value - USD]]/HS_DB[[#This Row],[Net Weight -KG]],0)</f>
        <v>147.5</v>
      </c>
      <c r="AJ199" s="17" cm="1">
        <f t="array" ref="AJ199">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199" s="17" t="str">
        <f>IF(HS_DB[[#This Row],[HS Code Risk Score]]&gt;=40,"High",
 IF(HS_DB[[#This Row],[HS Code Risk Score]]&gt;=25,"Medium","Low"))</f>
        <v>Medium</v>
      </c>
      <c r="AL199" s="17" t="str">
        <f>IF(RANK(HS_DB[[#This Row],[HS Code Risk Score]],HS_DB[HS Code Risk Score])&lt;=10,"Yes","No")</f>
        <v>No</v>
      </c>
      <c r="AM199" s="8">
        <f>SUMIFS(HS_DB[Net Weight -KG],HS_DB[HS Code],HS_DB[[#This Row],[HS Code]])</f>
        <v>13115268</v>
      </c>
      <c r="AN199" s="8">
        <f>SUMIFS(HS_DB[Trade Value - USD],HS_DB[HS Code],HS_DB[[#This Row],[HS Code]])</f>
        <v>5267552</v>
      </c>
      <c r="AO199" s="6">
        <f>_xlfn.MAXIFS(HS_DB[Origin Share%],HS_DB[HS Code],HS_DB[[#This Row],[HS Code]])</f>
        <v>6.321329281187793E-2</v>
      </c>
      <c r="AP199" s="8" cm="1">
        <f t="array" ref="AP199">_xlfn.LET(
_xlpm.hs,HS_DB[[#This Row],[HS Code]],
COUNTA(_xlfn.UNIQUE(_xlfn._xlws.FILTER(HS_DB[Reporter],HS_DB[HS Code]=_xlpm.hs)))
)</f>
        <v>11</v>
      </c>
      <c r="AQ199" s="17" t="str">
        <f>IF(HS_DB[[#This Row],[Origin Count]]=1,"Single Source","Multiple Sources")</f>
        <v>Multiple Sources</v>
      </c>
      <c r="AR199" s="8">
        <f>HS_DB[[#This Row],[Annual Spend - USD]]*(HS_DB[[#This Row],[HS Code Risk Score]]/100)</f>
        <v>1790967.6800000002</v>
      </c>
      <c r="AS199" s="8">
        <f>RANK(HS_DB[[#This Row],[Risk Exposure - USD]],HS_DB[Risk Exposure - USD],0)</f>
        <v>396</v>
      </c>
      <c r="AT199" s="8" t="str">
        <f>IF(HS_DB[[#This Row],[Risk Exposure Rank]]&lt;=10,"High",
 IF(HS_DB[[#This Row],[Risk Exposure Rank]]&lt;=30,"Medium",
 "Low"))</f>
        <v>Low</v>
      </c>
      <c r="AU199" s="8" t="str">
        <f>IF(HS_DB[[#This Row],[Risk Exposure Rank]]&lt;=5,"Immediate Action",
 IF(HS_DB[[#This Row],[Risk Exposure Rank]]&lt;=15,"Monitor Closely",
 "Routine Control"))</f>
        <v>Routine Control</v>
      </c>
      <c r="AV199" s="8">
        <f>SUMIFS(HS_DB[Trade Value - USD],HS_DB[HS Code],HS_DB[[#This Row],[HS Code]])</f>
        <v>5267552</v>
      </c>
      <c r="AW199" s="6">
        <f>HS_DB[[#This Row],[Annual Spend - USD]]/HS_DB[[#This Row],[Total Market Size - USD]]</f>
        <v>1</v>
      </c>
      <c r="AX199" s="6" cm="1">
        <f t="array" ref="AX199">COUNTA(_xlfn.UNIQUE(_xlfn._xlws.FILTER(HS_DB[Partner],HS_DB[HS Code]=HS_DB[[#This Row],[HS Code]])))</f>
        <v>1</v>
      </c>
      <c r="AY199" s="8" t="str">
        <f>IF(HS_DB[[#This Row],[Competition Intensity]]&lt;=2,"Highly Concentrated",
 IF(HS_DB[[#This Row],[Competition Intensity]]&lt;=5,"Moderate",
 "Highly Competitive"))</f>
        <v>Highly Concentrated</v>
      </c>
      <c r="AZ199" s="8">
        <f>HS_DB[[#This Row],[Total Market Size - USD]]
*
(1+IFERROR(#REF!,0))
/
HS_DB[[#This Row],[Competition Intensity]]</f>
        <v>5267552</v>
      </c>
      <c r="BA199" s="8" t="str">
        <f>IF(HS_DB[[#This Row],[Commercial Opportunity Score]]&gt;=PERCENTILE(HS_DB[Commercial Opportunity Score],0.9),"High Opportunity",
 IF(HS_DB[[#This Row],[Commercial Opportunity Score]]&gt;=PERCENTILE(HS_DB[Commercial Opportunity Score],0.6),"Medium Opportunity",
 "Routine Market"))</f>
        <v>Routine Market</v>
      </c>
      <c r="BB199" s="3" t="str">
        <f>IF(AND(HS_DB[[#This Row],[Product Rank]]&gt;0,HS_DB[[#This Row],[Product Rank]]&lt;=10),"Yes","No")</f>
        <v>No</v>
      </c>
      <c r="BC199" s="3" t="str">
        <f>IF(AND(HS_DB[[#This Row],[Origin Rank]]&gt;0,HS_DB[[#This Row],[Origin Rank]]&lt;=10),"Yes","No")</f>
        <v>No</v>
      </c>
    </row>
    <row r="200" spans="2:55" x14ac:dyDescent="0.3">
      <c r="B200" s="2">
        <f>HS_DB[[#This Row],[Commodity Code]]</f>
        <v>283210</v>
      </c>
      <c r="C200" s="2">
        <f>IFERROR(INDEX(HS_MD!C:C,MATCH(B200,HS_MD!B:B,0),1),"")</f>
        <v>14</v>
      </c>
      <c r="D200" s="17" t="str">
        <f>IFERROR(INDEX(HS_MD!D:D,MATCH(B200,HS_MD!B:B,0),1),"")</f>
        <v>Sulfites</v>
      </c>
      <c r="E200" s="17" t="str">
        <f>IFERROR(INDEX(HS_MD!E:E,MATCH(B200,HS_MD!B:B,0),1),"")</f>
        <v>Sodium Metabisulfite</v>
      </c>
      <c r="F200" s="17" t="str">
        <f>IFERROR(INDEX(HS_MD!F:F,MATCH(B200,HS_MD!B:B,0),1),"")</f>
        <v>PRESERVATIVES</v>
      </c>
      <c r="G200" s="17" t="str">
        <f>IFERROR(INDEX(HS_MD!G:G,MATCH(B200,HS_MD!B:B,0),1),"")</f>
        <v>Sulfites</v>
      </c>
      <c r="H200" s="17" t="str">
        <f>IFERROR(INDEX(HS_MD!H:H,MATCH(B200,HS_MD!B:B,0),1),"")</f>
        <v>Sodium Metabisulfite</v>
      </c>
      <c r="I200" s="17" t="str">
        <f>IFERROR(INDEX(HS_MD!I:I,MATCH(B200,HS_MD!B:B,0),1),"")</f>
        <v>Beverages / Food Processing</v>
      </c>
      <c r="J200" s="17">
        <f>IFERROR(INDEX(Heat_Map[Index],MATCH(HS_DB[[#This Row],[Reporter]],Heat_Map[Global],0),1),"")</f>
        <v>36</v>
      </c>
      <c r="K200" s="17" t="str">
        <f>IF(AND(HS_DB[[#This Row],[Origin Rank]]&gt;1,HS_DB[[#This Row],[Origin Rank]]&lt;=10),"Yes","No")</f>
        <v>No</v>
      </c>
      <c r="L200" s="2">
        <v>2024</v>
      </c>
      <c r="M200" s="2" t="s">
        <v>57</v>
      </c>
      <c r="N200" s="2" t="s">
        <v>1</v>
      </c>
      <c r="O200" s="2" t="s">
        <v>22</v>
      </c>
      <c r="P200" s="2" t="s">
        <v>23</v>
      </c>
      <c r="Q200" s="2" t="s">
        <v>24</v>
      </c>
      <c r="R200" s="2" t="s">
        <v>25</v>
      </c>
      <c r="S200" s="2">
        <v>283210</v>
      </c>
      <c r="T200" s="3">
        <v>1189550</v>
      </c>
      <c r="U200" s="3">
        <v>3337825</v>
      </c>
      <c r="V200" s="3">
        <v>0</v>
      </c>
      <c r="W200" s="3">
        <v>3337825</v>
      </c>
      <c r="X200" s="3" t="s">
        <v>58</v>
      </c>
      <c r="Y200" s="3">
        <v>3337825</v>
      </c>
      <c r="Z200" s="3" t="s">
        <v>58</v>
      </c>
      <c r="AA200" s="6">
        <f>SUMIFS(HS_DB[Trade Value - USD],HS_DB[Reporter],HS_DB[[#This Row],[Reporter]])/SUM(HS_DB[Trade Value - USD])</f>
        <v>6.321329281187793E-2</v>
      </c>
      <c r="AB200" s="8" cm="1">
        <f t="array" ref="AB200">SUMPRODUCT(
(HS_DB[Reporter]=HS_DB[[#This Row],[Reporter]])*
(HS_DB[Trade Value - USD]&gt;HS_DB[[#This Row],[Trade Value - USD]])
)+1</f>
        <v>19</v>
      </c>
      <c r="AC200" s="8" t="str">
        <f>IFERROR(IF(INDEX(Heat_Map[Crisis Impact %],MATCH(HS_DB[[#This Row],[Reporter]],Heat_Map[Global],0),1)&gt;0,"Yes","No"),"No")</f>
        <v>Yes</v>
      </c>
      <c r="AD200" s="6">
        <f>IFERROR(INDEX(Heat_Map[Crisis Impact %],MATCH(HS_DB[[#This Row],[Reporter]],Heat_Map[Global],0),1),0)</f>
        <v>0.14000000000000001</v>
      </c>
      <c r="AE200" s="8">
        <f>HS_DB[[#This Row],[Crisis Impact%]]*HS_DB[[#This Row],[Trade Value - USD]]</f>
        <v>166537.00000000003</v>
      </c>
      <c r="AF200" s="8">
        <f>HS_DB[[#This Row],[Crisis Impact%]]*HS_DB[[#This Row],[Net Weight -KG]]</f>
        <v>467295.50000000006</v>
      </c>
      <c r="AG200" s="6">
        <f>SUMIFS(HS_DB[Trade Value - USD],HS_DB[Products],HS_DB[[#This Row],[Products]])/SUM(HS_DB[Trade Value - USD])</f>
        <v>2.7944449810822212E-3</v>
      </c>
      <c r="AH200" s="8">
        <f>_xlfn.RANK.EQ(HS_DB[[#This Row],[Trade Value - USD]], HS_DB[Trade Value - USD], 0)
 + COUNTIFS(HS_DB[Trade Value - USD],HS_DB[[#This Row],[Trade Value - USD]],
            HS_DB[HS Code],"&lt;"&amp;HS_DB[[#This Row],[HS Code]])</f>
        <v>94</v>
      </c>
      <c r="AI200" s="9">
        <f>IFERROR(HS_DB[[#This Row],[Trade Value - USD]]/HS_DB[[#This Row],[Net Weight -KG]],0)</f>
        <v>0.35638477152037629</v>
      </c>
      <c r="AJ200" s="17" cm="1">
        <f t="array" ref="AJ200">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00" s="17" t="str">
        <f>IF(HS_DB[[#This Row],[HS Code Risk Score]]&gt;=40,"High",
 IF(HS_DB[[#This Row],[HS Code Risk Score]]&gt;=25,"Medium","Low"))</f>
        <v>Medium</v>
      </c>
      <c r="AL200" s="17" t="str">
        <f>IF(RANK(HS_DB[[#This Row],[HS Code Risk Score]],HS_DB[HS Code Risk Score])&lt;=10,"Yes","No")</f>
        <v>No</v>
      </c>
      <c r="AM200" s="8">
        <f>SUMIFS(HS_DB[Net Weight -KG],HS_DB[HS Code],HS_DB[[#This Row],[HS Code]])</f>
        <v>13115268</v>
      </c>
      <c r="AN200" s="8">
        <f>SUMIFS(HS_DB[Trade Value - USD],HS_DB[HS Code],HS_DB[[#This Row],[HS Code]])</f>
        <v>5267552</v>
      </c>
      <c r="AO200" s="6">
        <f>_xlfn.MAXIFS(HS_DB[Origin Share%],HS_DB[HS Code],HS_DB[[#This Row],[HS Code]])</f>
        <v>6.321329281187793E-2</v>
      </c>
      <c r="AP200" s="8" cm="1">
        <f t="array" ref="AP200">_xlfn.LET(
_xlpm.hs,HS_DB[[#This Row],[HS Code]],
COUNTA(_xlfn.UNIQUE(_xlfn._xlws.FILTER(HS_DB[Reporter],HS_DB[HS Code]=_xlpm.hs)))
)</f>
        <v>11</v>
      </c>
      <c r="AQ200" s="17" t="str">
        <f>IF(HS_DB[[#This Row],[Origin Count]]=1,"Single Source","Multiple Sources")</f>
        <v>Multiple Sources</v>
      </c>
      <c r="AR200" s="8">
        <f>HS_DB[[#This Row],[Annual Spend - USD]]*(HS_DB[[#This Row],[HS Code Risk Score]]/100)</f>
        <v>1790967.6800000002</v>
      </c>
      <c r="AS200" s="8">
        <f>RANK(HS_DB[[#This Row],[Risk Exposure - USD]],HS_DB[Risk Exposure - USD],0)</f>
        <v>396</v>
      </c>
      <c r="AT200" s="8" t="str">
        <f>IF(HS_DB[[#This Row],[Risk Exposure Rank]]&lt;=10,"High",
 IF(HS_DB[[#This Row],[Risk Exposure Rank]]&lt;=30,"Medium",
 "Low"))</f>
        <v>Low</v>
      </c>
      <c r="AU200" s="8" t="str">
        <f>IF(HS_DB[[#This Row],[Risk Exposure Rank]]&lt;=5,"Immediate Action",
 IF(HS_DB[[#This Row],[Risk Exposure Rank]]&lt;=15,"Monitor Closely",
 "Routine Control"))</f>
        <v>Routine Control</v>
      </c>
      <c r="AV200" s="8">
        <f>SUMIFS(HS_DB[Trade Value - USD],HS_DB[HS Code],HS_DB[[#This Row],[HS Code]])</f>
        <v>5267552</v>
      </c>
      <c r="AW200" s="6">
        <f>HS_DB[[#This Row],[Annual Spend - USD]]/HS_DB[[#This Row],[Total Market Size - USD]]</f>
        <v>1</v>
      </c>
      <c r="AX200" s="6" cm="1">
        <f t="array" ref="AX200">COUNTA(_xlfn.UNIQUE(_xlfn._xlws.FILTER(HS_DB[Partner],HS_DB[HS Code]=HS_DB[[#This Row],[HS Code]])))</f>
        <v>1</v>
      </c>
      <c r="AY200" s="8" t="str">
        <f>IF(HS_DB[[#This Row],[Competition Intensity]]&lt;=2,"Highly Concentrated",
 IF(HS_DB[[#This Row],[Competition Intensity]]&lt;=5,"Moderate",
 "Highly Competitive"))</f>
        <v>Highly Concentrated</v>
      </c>
      <c r="AZ200" s="8">
        <f>HS_DB[[#This Row],[Total Market Size - USD]]
*
(1+IFERROR(#REF!,0))
/
HS_DB[[#This Row],[Competition Intensity]]</f>
        <v>5267552</v>
      </c>
      <c r="BA200" s="8" t="str">
        <f>IF(HS_DB[[#This Row],[Commercial Opportunity Score]]&gt;=PERCENTILE(HS_DB[Commercial Opportunity Score],0.9),"High Opportunity",
 IF(HS_DB[[#This Row],[Commercial Opportunity Score]]&gt;=PERCENTILE(HS_DB[Commercial Opportunity Score],0.6),"Medium Opportunity",
 "Routine Market"))</f>
        <v>Routine Market</v>
      </c>
      <c r="BB200" s="3" t="str">
        <f>IF(AND(HS_DB[[#This Row],[Product Rank]]&gt;0,HS_DB[[#This Row],[Product Rank]]&lt;=10),"Yes","No")</f>
        <v>No</v>
      </c>
      <c r="BC200" s="3" t="str">
        <f>IF(AND(HS_DB[[#This Row],[Origin Rank]]&gt;0,HS_DB[[#This Row],[Origin Rank]]&lt;=10),"Yes","No")</f>
        <v>No</v>
      </c>
    </row>
    <row r="201" spans="2:55" x14ac:dyDescent="0.3">
      <c r="B201" s="2">
        <f>HS_DB[[#This Row],[Commodity Code]]</f>
        <v>283210</v>
      </c>
      <c r="C201" s="2">
        <f>IFERROR(INDEX(HS_MD!C:C,MATCH(B201,HS_MD!B:B,0),1),"")</f>
        <v>14</v>
      </c>
      <c r="D201" s="17" t="str">
        <f>IFERROR(INDEX(HS_MD!D:D,MATCH(B201,HS_MD!B:B,0),1),"")</f>
        <v>Sulfites</v>
      </c>
      <c r="E201" s="17" t="str">
        <f>IFERROR(INDEX(HS_MD!E:E,MATCH(B201,HS_MD!B:B,0),1),"")</f>
        <v>Sodium Metabisulfite</v>
      </c>
      <c r="F201" s="17" t="str">
        <f>IFERROR(INDEX(HS_MD!F:F,MATCH(B201,HS_MD!B:B,0),1),"")</f>
        <v>PRESERVATIVES</v>
      </c>
      <c r="G201" s="17" t="str">
        <f>IFERROR(INDEX(HS_MD!G:G,MATCH(B201,HS_MD!B:B,0),1),"")</f>
        <v>Sulfites</v>
      </c>
      <c r="H201" s="17" t="str">
        <f>IFERROR(INDEX(HS_MD!H:H,MATCH(B201,HS_MD!B:B,0),1),"")</f>
        <v>Sodium Metabisulfite</v>
      </c>
      <c r="I201" s="17" t="str">
        <f>IFERROR(INDEX(HS_MD!I:I,MATCH(B201,HS_MD!B:B,0),1),"")</f>
        <v>Beverages / Food Processing</v>
      </c>
      <c r="J201" s="17">
        <f>IFERROR(INDEX(Heat_Map[Index],MATCH(HS_DB[[#This Row],[Reporter]],Heat_Map[Global],0),1),"")</f>
        <v>59</v>
      </c>
      <c r="K201" s="17" t="str">
        <f>IF(AND(HS_DB[[#This Row],[Origin Rank]]&gt;1,HS_DB[[#This Row],[Origin Rank]]&lt;=10),"Yes","No")</f>
        <v>No</v>
      </c>
      <c r="L201" s="2">
        <v>2024</v>
      </c>
      <c r="M201" s="2" t="s">
        <v>57</v>
      </c>
      <c r="N201" s="2" t="s">
        <v>44</v>
      </c>
      <c r="O201" s="2" t="s">
        <v>22</v>
      </c>
      <c r="P201" s="2" t="s">
        <v>23</v>
      </c>
      <c r="Q201" s="2" t="s">
        <v>24</v>
      </c>
      <c r="R201" s="2" t="s">
        <v>25</v>
      </c>
      <c r="S201" s="2">
        <v>283210</v>
      </c>
      <c r="T201" s="3">
        <v>5629</v>
      </c>
      <c r="U201" s="3">
        <v>3000</v>
      </c>
      <c r="V201" s="3">
        <v>0</v>
      </c>
      <c r="W201" s="3">
        <v>3000</v>
      </c>
      <c r="X201" s="3" t="s">
        <v>58</v>
      </c>
      <c r="Y201" s="3">
        <v>3000</v>
      </c>
      <c r="Z201" s="3" t="s">
        <v>58</v>
      </c>
      <c r="AA201" s="6">
        <f>SUMIFS(HS_DB[Trade Value - USD],HS_DB[Reporter],HS_DB[[#This Row],[Reporter]])/SUM(HS_DB[Trade Value - USD])</f>
        <v>1.6951290293147386E-2</v>
      </c>
      <c r="AB201" s="8" cm="1">
        <f t="array" ref="AB201">SUMPRODUCT(
(HS_DB[Reporter]=HS_DB[[#This Row],[Reporter]])*
(HS_DB[Trade Value - USD]&gt;HS_DB[[#This Row],[Trade Value - USD]])
)+1</f>
        <v>29</v>
      </c>
      <c r="AC201" s="8" t="str">
        <f>IFERROR(IF(INDEX(Heat_Map[Crisis Impact %],MATCH(HS_DB[[#This Row],[Reporter]],Heat_Map[Global],0),1)&gt;0,"Yes","No"),"No")</f>
        <v>No</v>
      </c>
      <c r="AD201" s="6">
        <f>IFERROR(INDEX(Heat_Map[Crisis Impact %],MATCH(HS_DB[[#This Row],[Reporter]],Heat_Map[Global],0),1),0)</f>
        <v>0</v>
      </c>
      <c r="AE201" s="8">
        <f>HS_DB[[#This Row],[Crisis Impact%]]*HS_DB[[#This Row],[Trade Value - USD]]</f>
        <v>0</v>
      </c>
      <c r="AF201" s="8">
        <f>HS_DB[[#This Row],[Crisis Impact%]]*HS_DB[[#This Row],[Net Weight -KG]]</f>
        <v>0</v>
      </c>
      <c r="AG201" s="6">
        <f>SUMIFS(HS_DB[Trade Value - USD],HS_DB[Products],HS_DB[[#This Row],[Products]])/SUM(HS_DB[Trade Value - USD])</f>
        <v>2.7944449810822212E-3</v>
      </c>
      <c r="AH201" s="8">
        <f>_xlfn.RANK.EQ(HS_DB[[#This Row],[Trade Value - USD]], HS_DB[Trade Value - USD], 0)
 + COUNTIFS(HS_DB[Trade Value - USD],HS_DB[[#This Row],[Trade Value - USD]],
            HS_DB[HS Code],"&lt;"&amp;HS_DB[[#This Row],[HS Code]])</f>
        <v>437</v>
      </c>
      <c r="AI201" s="9">
        <f>IFERROR(HS_DB[[#This Row],[Trade Value - USD]]/HS_DB[[#This Row],[Net Weight -KG]],0)</f>
        <v>1.8763333333333334</v>
      </c>
      <c r="AJ201" s="17" cm="1">
        <f t="array" ref="AJ201">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01" s="17" t="str">
        <f>IF(HS_DB[[#This Row],[HS Code Risk Score]]&gt;=40,"High",
 IF(HS_DB[[#This Row],[HS Code Risk Score]]&gt;=25,"Medium","Low"))</f>
        <v>Medium</v>
      </c>
      <c r="AL201" s="17" t="str">
        <f>IF(RANK(HS_DB[[#This Row],[HS Code Risk Score]],HS_DB[HS Code Risk Score])&lt;=10,"Yes","No")</f>
        <v>No</v>
      </c>
      <c r="AM201" s="8">
        <f>SUMIFS(HS_DB[Net Weight -KG],HS_DB[HS Code],HS_DB[[#This Row],[HS Code]])</f>
        <v>13115268</v>
      </c>
      <c r="AN201" s="8">
        <f>SUMIFS(HS_DB[Trade Value - USD],HS_DB[HS Code],HS_DB[[#This Row],[HS Code]])</f>
        <v>5267552</v>
      </c>
      <c r="AO201" s="6">
        <f>_xlfn.MAXIFS(HS_DB[Origin Share%],HS_DB[HS Code],HS_DB[[#This Row],[HS Code]])</f>
        <v>6.321329281187793E-2</v>
      </c>
      <c r="AP201" s="8" cm="1">
        <f t="array" ref="AP201">_xlfn.LET(
_xlpm.hs,HS_DB[[#This Row],[HS Code]],
COUNTA(_xlfn.UNIQUE(_xlfn._xlws.FILTER(HS_DB[Reporter],HS_DB[HS Code]=_xlpm.hs)))
)</f>
        <v>11</v>
      </c>
      <c r="AQ201" s="17" t="str">
        <f>IF(HS_DB[[#This Row],[Origin Count]]=1,"Single Source","Multiple Sources")</f>
        <v>Multiple Sources</v>
      </c>
      <c r="AR201" s="8">
        <f>HS_DB[[#This Row],[Annual Spend - USD]]*(HS_DB[[#This Row],[HS Code Risk Score]]/100)</f>
        <v>1790967.6800000002</v>
      </c>
      <c r="AS201" s="8">
        <f>RANK(HS_DB[[#This Row],[Risk Exposure - USD]],HS_DB[Risk Exposure - USD],0)</f>
        <v>396</v>
      </c>
      <c r="AT201" s="8" t="str">
        <f>IF(HS_DB[[#This Row],[Risk Exposure Rank]]&lt;=10,"High",
 IF(HS_DB[[#This Row],[Risk Exposure Rank]]&lt;=30,"Medium",
 "Low"))</f>
        <v>Low</v>
      </c>
      <c r="AU201" s="8" t="str">
        <f>IF(HS_DB[[#This Row],[Risk Exposure Rank]]&lt;=5,"Immediate Action",
 IF(HS_DB[[#This Row],[Risk Exposure Rank]]&lt;=15,"Monitor Closely",
 "Routine Control"))</f>
        <v>Routine Control</v>
      </c>
      <c r="AV201" s="8">
        <f>SUMIFS(HS_DB[Trade Value - USD],HS_DB[HS Code],HS_DB[[#This Row],[HS Code]])</f>
        <v>5267552</v>
      </c>
      <c r="AW201" s="6">
        <f>HS_DB[[#This Row],[Annual Spend - USD]]/HS_DB[[#This Row],[Total Market Size - USD]]</f>
        <v>1</v>
      </c>
      <c r="AX201" s="6" cm="1">
        <f t="array" ref="AX201">COUNTA(_xlfn.UNIQUE(_xlfn._xlws.FILTER(HS_DB[Partner],HS_DB[HS Code]=HS_DB[[#This Row],[HS Code]])))</f>
        <v>1</v>
      </c>
      <c r="AY201" s="8" t="str">
        <f>IF(HS_DB[[#This Row],[Competition Intensity]]&lt;=2,"Highly Concentrated",
 IF(HS_DB[[#This Row],[Competition Intensity]]&lt;=5,"Moderate",
 "Highly Competitive"))</f>
        <v>Highly Concentrated</v>
      </c>
      <c r="AZ201" s="8">
        <f>HS_DB[[#This Row],[Total Market Size - USD]]
*
(1+IFERROR(#REF!,0))
/
HS_DB[[#This Row],[Competition Intensity]]</f>
        <v>5267552</v>
      </c>
      <c r="BA201" s="8" t="str">
        <f>IF(HS_DB[[#This Row],[Commercial Opportunity Score]]&gt;=PERCENTILE(HS_DB[Commercial Opportunity Score],0.9),"High Opportunity",
 IF(HS_DB[[#This Row],[Commercial Opportunity Score]]&gt;=PERCENTILE(HS_DB[Commercial Opportunity Score],0.6),"Medium Opportunity",
 "Routine Market"))</f>
        <v>Routine Market</v>
      </c>
      <c r="BB201" s="3" t="str">
        <f>IF(AND(HS_DB[[#This Row],[Product Rank]]&gt;0,HS_DB[[#This Row],[Product Rank]]&lt;=10),"Yes","No")</f>
        <v>No</v>
      </c>
      <c r="BC201" s="3" t="str">
        <f>IF(AND(HS_DB[[#This Row],[Origin Rank]]&gt;0,HS_DB[[#This Row],[Origin Rank]]&lt;=10),"Yes","No")</f>
        <v>No</v>
      </c>
    </row>
    <row r="202" spans="2:55" x14ac:dyDescent="0.3">
      <c r="B202" s="2">
        <f>HS_DB[[#This Row],[Commodity Code]]</f>
        <v>283210</v>
      </c>
      <c r="C202" s="2">
        <f>IFERROR(INDEX(HS_MD!C:C,MATCH(B202,HS_MD!B:B,0),1),"")</f>
        <v>14</v>
      </c>
      <c r="D202" s="17" t="str">
        <f>IFERROR(INDEX(HS_MD!D:D,MATCH(B202,HS_MD!B:B,0),1),"")</f>
        <v>Sulfites</v>
      </c>
      <c r="E202" s="17" t="str">
        <f>IFERROR(INDEX(HS_MD!E:E,MATCH(B202,HS_MD!B:B,0),1),"")</f>
        <v>Sodium Metabisulfite</v>
      </c>
      <c r="F202" s="17" t="str">
        <f>IFERROR(INDEX(HS_MD!F:F,MATCH(B202,HS_MD!B:B,0),1),"")</f>
        <v>PRESERVATIVES</v>
      </c>
      <c r="G202" s="17" t="str">
        <f>IFERROR(INDEX(HS_MD!G:G,MATCH(B202,HS_MD!B:B,0),1),"")</f>
        <v>Sulfites</v>
      </c>
      <c r="H202" s="17" t="str">
        <f>IFERROR(INDEX(HS_MD!H:H,MATCH(B202,HS_MD!B:B,0),1),"")</f>
        <v>Sodium Metabisulfite</v>
      </c>
      <c r="I202" s="17" t="str">
        <f>IFERROR(INDEX(HS_MD!I:I,MATCH(B202,HS_MD!B:B,0),1),"")</f>
        <v>Beverages / Food Processing</v>
      </c>
      <c r="J202" s="17">
        <f>IFERROR(INDEX(Heat_Map[Index],MATCH(HS_DB[[#This Row],[Reporter]],Heat_Map[Global],0),1),"")</f>
        <v>65</v>
      </c>
      <c r="K202" s="17" t="str">
        <f>IF(AND(HS_DB[[#This Row],[Origin Rank]]&gt;1,HS_DB[[#This Row],[Origin Rank]]&lt;=10),"Yes","No")</f>
        <v>Yes</v>
      </c>
      <c r="L202" s="2">
        <v>2024</v>
      </c>
      <c r="M202" s="2" t="s">
        <v>57</v>
      </c>
      <c r="N202" s="2" t="s">
        <v>45</v>
      </c>
      <c r="O202" s="2" t="s">
        <v>22</v>
      </c>
      <c r="P202" s="2" t="s">
        <v>23</v>
      </c>
      <c r="Q202" s="2" t="s">
        <v>24</v>
      </c>
      <c r="R202" s="2" t="s">
        <v>25</v>
      </c>
      <c r="S202" s="2">
        <v>283210</v>
      </c>
      <c r="T202" s="3">
        <v>3127</v>
      </c>
      <c r="U202" s="3">
        <v>1325</v>
      </c>
      <c r="V202" s="3">
        <v>0</v>
      </c>
      <c r="W202" s="3">
        <v>1325</v>
      </c>
      <c r="X202" s="3" t="s">
        <v>58</v>
      </c>
      <c r="Y202" s="3">
        <v>1325</v>
      </c>
      <c r="Z202" s="3" t="s">
        <v>58</v>
      </c>
      <c r="AA202" s="6">
        <f>SUMIFS(HS_DB[Trade Value - USD],HS_DB[Reporter],HS_DB[[#This Row],[Reporter]])/SUM(HS_DB[Trade Value - USD])</f>
        <v>7.8962835084717131E-4</v>
      </c>
      <c r="AB202" s="8" cm="1">
        <f t="array" ref="AB202">SUMPRODUCT(
(HS_DB[Reporter]=HS_DB[[#This Row],[Reporter]])*
(HS_DB[Trade Value - USD]&gt;HS_DB[[#This Row],[Trade Value - USD]])
)+1</f>
        <v>5</v>
      </c>
      <c r="AC202" s="8" t="str">
        <f>IFERROR(IF(INDEX(Heat_Map[Crisis Impact %],MATCH(HS_DB[[#This Row],[Reporter]],Heat_Map[Global],0),1)&gt;0,"Yes","No"),"No")</f>
        <v>No</v>
      </c>
      <c r="AD202" s="6">
        <f>IFERROR(INDEX(Heat_Map[Crisis Impact %],MATCH(HS_DB[[#This Row],[Reporter]],Heat_Map[Global],0),1),0)</f>
        <v>0</v>
      </c>
      <c r="AE202" s="8">
        <f>HS_DB[[#This Row],[Crisis Impact%]]*HS_DB[[#This Row],[Trade Value - USD]]</f>
        <v>0</v>
      </c>
      <c r="AF202" s="8">
        <f>HS_DB[[#This Row],[Crisis Impact%]]*HS_DB[[#This Row],[Net Weight -KG]]</f>
        <v>0</v>
      </c>
      <c r="AG202" s="6">
        <f>SUMIFS(HS_DB[Trade Value - USD],HS_DB[Products],HS_DB[[#This Row],[Products]])/SUM(HS_DB[Trade Value - USD])</f>
        <v>2.7944449810822212E-3</v>
      </c>
      <c r="AH202" s="8">
        <f>_xlfn.RANK.EQ(HS_DB[[#This Row],[Trade Value - USD]], HS_DB[Trade Value - USD], 0)
 + COUNTIFS(HS_DB[Trade Value - USD],HS_DB[[#This Row],[Trade Value - USD]],
            HS_DB[HS Code],"&lt;"&amp;HS_DB[[#This Row],[HS Code]])</f>
        <v>458</v>
      </c>
      <c r="AI202" s="9">
        <f>IFERROR(HS_DB[[#This Row],[Trade Value - USD]]/HS_DB[[#This Row],[Net Weight -KG]],0)</f>
        <v>2.36</v>
      </c>
      <c r="AJ202" s="17" cm="1">
        <f t="array" ref="AJ202">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02" s="17" t="str">
        <f>IF(HS_DB[[#This Row],[HS Code Risk Score]]&gt;=40,"High",
 IF(HS_DB[[#This Row],[HS Code Risk Score]]&gt;=25,"Medium","Low"))</f>
        <v>Medium</v>
      </c>
      <c r="AL202" s="17" t="str">
        <f>IF(RANK(HS_DB[[#This Row],[HS Code Risk Score]],HS_DB[HS Code Risk Score])&lt;=10,"Yes","No")</f>
        <v>No</v>
      </c>
      <c r="AM202" s="8">
        <f>SUMIFS(HS_DB[Net Weight -KG],HS_DB[HS Code],HS_DB[[#This Row],[HS Code]])</f>
        <v>13115268</v>
      </c>
      <c r="AN202" s="8">
        <f>SUMIFS(HS_DB[Trade Value - USD],HS_DB[HS Code],HS_DB[[#This Row],[HS Code]])</f>
        <v>5267552</v>
      </c>
      <c r="AO202" s="6">
        <f>_xlfn.MAXIFS(HS_DB[Origin Share%],HS_DB[HS Code],HS_DB[[#This Row],[HS Code]])</f>
        <v>6.321329281187793E-2</v>
      </c>
      <c r="AP202" s="8" cm="1">
        <f t="array" ref="AP202">_xlfn.LET(
_xlpm.hs,HS_DB[[#This Row],[HS Code]],
COUNTA(_xlfn.UNIQUE(_xlfn._xlws.FILTER(HS_DB[Reporter],HS_DB[HS Code]=_xlpm.hs)))
)</f>
        <v>11</v>
      </c>
      <c r="AQ202" s="17" t="str">
        <f>IF(HS_DB[[#This Row],[Origin Count]]=1,"Single Source","Multiple Sources")</f>
        <v>Multiple Sources</v>
      </c>
      <c r="AR202" s="8">
        <f>HS_DB[[#This Row],[Annual Spend - USD]]*(HS_DB[[#This Row],[HS Code Risk Score]]/100)</f>
        <v>1790967.6800000002</v>
      </c>
      <c r="AS202" s="8">
        <f>RANK(HS_DB[[#This Row],[Risk Exposure - USD]],HS_DB[Risk Exposure - USD],0)</f>
        <v>396</v>
      </c>
      <c r="AT202" s="8" t="str">
        <f>IF(HS_DB[[#This Row],[Risk Exposure Rank]]&lt;=10,"High",
 IF(HS_DB[[#This Row],[Risk Exposure Rank]]&lt;=30,"Medium",
 "Low"))</f>
        <v>Low</v>
      </c>
      <c r="AU202" s="8" t="str">
        <f>IF(HS_DB[[#This Row],[Risk Exposure Rank]]&lt;=5,"Immediate Action",
 IF(HS_DB[[#This Row],[Risk Exposure Rank]]&lt;=15,"Monitor Closely",
 "Routine Control"))</f>
        <v>Routine Control</v>
      </c>
      <c r="AV202" s="8">
        <f>SUMIFS(HS_DB[Trade Value - USD],HS_DB[HS Code],HS_DB[[#This Row],[HS Code]])</f>
        <v>5267552</v>
      </c>
      <c r="AW202" s="6">
        <f>HS_DB[[#This Row],[Annual Spend - USD]]/HS_DB[[#This Row],[Total Market Size - USD]]</f>
        <v>1</v>
      </c>
      <c r="AX202" s="6" cm="1">
        <f t="array" ref="AX202">COUNTA(_xlfn.UNIQUE(_xlfn._xlws.FILTER(HS_DB[Partner],HS_DB[HS Code]=HS_DB[[#This Row],[HS Code]])))</f>
        <v>1</v>
      </c>
      <c r="AY202" s="8" t="str">
        <f>IF(HS_DB[[#This Row],[Competition Intensity]]&lt;=2,"Highly Concentrated",
 IF(HS_DB[[#This Row],[Competition Intensity]]&lt;=5,"Moderate",
 "Highly Competitive"))</f>
        <v>Highly Concentrated</v>
      </c>
      <c r="AZ202" s="8">
        <f>HS_DB[[#This Row],[Total Market Size - USD]]
*
(1+IFERROR(#REF!,0))
/
HS_DB[[#This Row],[Competition Intensity]]</f>
        <v>5267552</v>
      </c>
      <c r="BA202" s="8" t="str">
        <f>IF(HS_DB[[#This Row],[Commercial Opportunity Score]]&gt;=PERCENTILE(HS_DB[Commercial Opportunity Score],0.9),"High Opportunity",
 IF(HS_DB[[#This Row],[Commercial Opportunity Score]]&gt;=PERCENTILE(HS_DB[Commercial Opportunity Score],0.6),"Medium Opportunity",
 "Routine Market"))</f>
        <v>Routine Market</v>
      </c>
      <c r="BB202" s="3" t="str">
        <f>IF(AND(HS_DB[[#This Row],[Product Rank]]&gt;0,HS_DB[[#This Row],[Product Rank]]&lt;=10),"Yes","No")</f>
        <v>No</v>
      </c>
      <c r="BC202" s="3" t="str">
        <f>IF(AND(HS_DB[[#This Row],[Origin Rank]]&gt;0,HS_DB[[#This Row],[Origin Rank]]&lt;=10),"Yes","No")</f>
        <v>Yes</v>
      </c>
    </row>
    <row r="203" spans="2:55" x14ac:dyDescent="0.3">
      <c r="B203" s="2">
        <f>HS_DB[[#This Row],[Commodity Code]]</f>
        <v>283210</v>
      </c>
      <c r="C203" s="2">
        <f>IFERROR(INDEX(HS_MD!C:C,MATCH(B203,HS_MD!B:B,0),1),"")</f>
        <v>14</v>
      </c>
      <c r="D203" s="17" t="str">
        <f>IFERROR(INDEX(HS_MD!D:D,MATCH(B203,HS_MD!B:B,0),1),"")</f>
        <v>Sulfites</v>
      </c>
      <c r="E203" s="17" t="str">
        <f>IFERROR(INDEX(HS_MD!E:E,MATCH(B203,HS_MD!B:B,0),1),"")</f>
        <v>Sodium Metabisulfite</v>
      </c>
      <c r="F203" s="17" t="str">
        <f>IFERROR(INDEX(HS_MD!F:F,MATCH(B203,HS_MD!B:B,0),1),"")</f>
        <v>PRESERVATIVES</v>
      </c>
      <c r="G203" s="17" t="str">
        <f>IFERROR(INDEX(HS_MD!G:G,MATCH(B203,HS_MD!B:B,0),1),"")</f>
        <v>Sulfites</v>
      </c>
      <c r="H203" s="17" t="str">
        <f>IFERROR(INDEX(HS_MD!H:H,MATCH(B203,HS_MD!B:B,0),1),"")</f>
        <v>Sodium Metabisulfite</v>
      </c>
      <c r="I203" s="17" t="str">
        <f>IFERROR(INDEX(HS_MD!I:I,MATCH(B203,HS_MD!B:B,0),1),"")</f>
        <v>Beverages / Food Processing</v>
      </c>
      <c r="J203" s="17">
        <f>IFERROR(INDEX(Heat_Map[Index],MATCH(HS_DB[[#This Row],[Reporter]],Heat_Map[Global],0),1),"")</f>
        <v>81</v>
      </c>
      <c r="K203" s="17" t="str">
        <f>IF(AND(HS_DB[[#This Row],[Origin Rank]]&gt;1,HS_DB[[#This Row],[Origin Rank]]&lt;=10),"Yes","No")</f>
        <v>No</v>
      </c>
      <c r="L203" s="2">
        <v>2024</v>
      </c>
      <c r="M203" s="2" t="s">
        <v>57</v>
      </c>
      <c r="N203" s="2" t="s">
        <v>49</v>
      </c>
      <c r="O203" s="2" t="s">
        <v>22</v>
      </c>
      <c r="P203" s="2" t="s">
        <v>23</v>
      </c>
      <c r="Q203" s="2" t="s">
        <v>24</v>
      </c>
      <c r="R203" s="2" t="s">
        <v>25</v>
      </c>
      <c r="S203" s="2">
        <v>283210</v>
      </c>
      <c r="T203" s="3">
        <v>20030</v>
      </c>
      <c r="U203" s="3">
        <v>27020</v>
      </c>
      <c r="V203" s="3">
        <v>0</v>
      </c>
      <c r="W203" s="3">
        <v>27020</v>
      </c>
      <c r="X203" s="3" t="s">
        <v>58</v>
      </c>
      <c r="Y203" s="3">
        <v>27020</v>
      </c>
      <c r="Z203" s="3" t="s">
        <v>58</v>
      </c>
      <c r="AA203" s="6">
        <f>SUMIFS(HS_DB[Trade Value - USD],HS_DB[Reporter],HS_DB[[#This Row],[Reporter]])/SUM(HS_DB[Trade Value - USD])</f>
        <v>1.1178535358665947E-2</v>
      </c>
      <c r="AB203" s="8" cm="1">
        <f t="array" ref="AB203">SUMPRODUCT(
(HS_DB[Reporter]=HS_DB[[#This Row],[Reporter]])*
(HS_DB[Trade Value - USD]&gt;HS_DB[[#This Row],[Trade Value - USD]])
)+1</f>
        <v>20</v>
      </c>
      <c r="AC203" s="8" t="str">
        <f>IFERROR(IF(INDEX(Heat_Map[Crisis Impact %],MATCH(HS_DB[[#This Row],[Reporter]],Heat_Map[Global],0),1)&gt;0,"Yes","No"),"No")</f>
        <v>No</v>
      </c>
      <c r="AD203" s="6">
        <f>IFERROR(INDEX(Heat_Map[Crisis Impact %],MATCH(HS_DB[[#This Row],[Reporter]],Heat_Map[Global],0),1),0)</f>
        <v>0</v>
      </c>
      <c r="AE203" s="8">
        <f>HS_DB[[#This Row],[Crisis Impact%]]*HS_DB[[#This Row],[Trade Value - USD]]</f>
        <v>0</v>
      </c>
      <c r="AF203" s="8">
        <f>HS_DB[[#This Row],[Crisis Impact%]]*HS_DB[[#This Row],[Net Weight -KG]]</f>
        <v>0</v>
      </c>
      <c r="AG203" s="6">
        <f>SUMIFS(HS_DB[Trade Value - USD],HS_DB[Products],HS_DB[[#This Row],[Products]])/SUM(HS_DB[Trade Value - USD])</f>
        <v>2.7944449810822212E-3</v>
      </c>
      <c r="AH203" s="8">
        <f>_xlfn.RANK.EQ(HS_DB[[#This Row],[Trade Value - USD]], HS_DB[Trade Value - USD], 0)
 + COUNTIFS(HS_DB[Trade Value - USD],HS_DB[[#This Row],[Trade Value - USD]],
            HS_DB[HS Code],"&lt;"&amp;HS_DB[[#This Row],[HS Code]])</f>
        <v>381</v>
      </c>
      <c r="AI203" s="9">
        <f>IFERROR(HS_DB[[#This Row],[Trade Value - USD]]/HS_DB[[#This Row],[Net Weight -KG]],0)</f>
        <v>0.74130273871206509</v>
      </c>
      <c r="AJ203" s="17" cm="1">
        <f t="array" ref="AJ203">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03" s="17" t="str">
        <f>IF(HS_DB[[#This Row],[HS Code Risk Score]]&gt;=40,"High",
 IF(HS_DB[[#This Row],[HS Code Risk Score]]&gt;=25,"Medium","Low"))</f>
        <v>Medium</v>
      </c>
      <c r="AL203" s="17" t="str">
        <f>IF(RANK(HS_DB[[#This Row],[HS Code Risk Score]],HS_DB[HS Code Risk Score])&lt;=10,"Yes","No")</f>
        <v>No</v>
      </c>
      <c r="AM203" s="8">
        <f>SUMIFS(HS_DB[Net Weight -KG],HS_DB[HS Code],HS_DB[[#This Row],[HS Code]])</f>
        <v>13115268</v>
      </c>
      <c r="AN203" s="8">
        <f>SUMIFS(HS_DB[Trade Value - USD],HS_DB[HS Code],HS_DB[[#This Row],[HS Code]])</f>
        <v>5267552</v>
      </c>
      <c r="AO203" s="6">
        <f>_xlfn.MAXIFS(HS_DB[Origin Share%],HS_DB[HS Code],HS_DB[[#This Row],[HS Code]])</f>
        <v>6.321329281187793E-2</v>
      </c>
      <c r="AP203" s="8" cm="1">
        <f t="array" ref="AP203">_xlfn.LET(
_xlpm.hs,HS_DB[[#This Row],[HS Code]],
COUNTA(_xlfn.UNIQUE(_xlfn._xlws.FILTER(HS_DB[Reporter],HS_DB[HS Code]=_xlpm.hs)))
)</f>
        <v>11</v>
      </c>
      <c r="AQ203" s="17" t="str">
        <f>IF(HS_DB[[#This Row],[Origin Count]]=1,"Single Source","Multiple Sources")</f>
        <v>Multiple Sources</v>
      </c>
      <c r="AR203" s="8">
        <f>HS_DB[[#This Row],[Annual Spend - USD]]*(HS_DB[[#This Row],[HS Code Risk Score]]/100)</f>
        <v>1790967.6800000002</v>
      </c>
      <c r="AS203" s="8">
        <f>RANK(HS_DB[[#This Row],[Risk Exposure - USD]],HS_DB[Risk Exposure - USD],0)</f>
        <v>396</v>
      </c>
      <c r="AT203" s="8" t="str">
        <f>IF(HS_DB[[#This Row],[Risk Exposure Rank]]&lt;=10,"High",
 IF(HS_DB[[#This Row],[Risk Exposure Rank]]&lt;=30,"Medium",
 "Low"))</f>
        <v>Low</v>
      </c>
      <c r="AU203" s="8" t="str">
        <f>IF(HS_DB[[#This Row],[Risk Exposure Rank]]&lt;=5,"Immediate Action",
 IF(HS_DB[[#This Row],[Risk Exposure Rank]]&lt;=15,"Monitor Closely",
 "Routine Control"))</f>
        <v>Routine Control</v>
      </c>
      <c r="AV203" s="8">
        <f>SUMIFS(HS_DB[Trade Value - USD],HS_DB[HS Code],HS_DB[[#This Row],[HS Code]])</f>
        <v>5267552</v>
      </c>
      <c r="AW203" s="6">
        <f>HS_DB[[#This Row],[Annual Spend - USD]]/HS_DB[[#This Row],[Total Market Size - USD]]</f>
        <v>1</v>
      </c>
      <c r="AX203" s="6" cm="1">
        <f t="array" ref="AX203">COUNTA(_xlfn.UNIQUE(_xlfn._xlws.FILTER(HS_DB[Partner],HS_DB[HS Code]=HS_DB[[#This Row],[HS Code]])))</f>
        <v>1</v>
      </c>
      <c r="AY203" s="8" t="str">
        <f>IF(HS_DB[[#This Row],[Competition Intensity]]&lt;=2,"Highly Concentrated",
 IF(HS_DB[[#This Row],[Competition Intensity]]&lt;=5,"Moderate",
 "Highly Competitive"))</f>
        <v>Highly Concentrated</v>
      </c>
      <c r="AZ203" s="8">
        <f>HS_DB[[#This Row],[Total Market Size - USD]]
*
(1+IFERROR(#REF!,0))
/
HS_DB[[#This Row],[Competition Intensity]]</f>
        <v>5267552</v>
      </c>
      <c r="BA203" s="8" t="str">
        <f>IF(HS_DB[[#This Row],[Commercial Opportunity Score]]&gt;=PERCENTILE(HS_DB[Commercial Opportunity Score],0.9),"High Opportunity",
 IF(HS_DB[[#This Row],[Commercial Opportunity Score]]&gt;=PERCENTILE(HS_DB[Commercial Opportunity Score],0.6),"Medium Opportunity",
 "Routine Market"))</f>
        <v>Routine Market</v>
      </c>
      <c r="BB203" s="3" t="str">
        <f>IF(AND(HS_DB[[#This Row],[Product Rank]]&gt;0,HS_DB[[#This Row],[Product Rank]]&lt;=10),"Yes","No")</f>
        <v>No</v>
      </c>
      <c r="BC203" s="3" t="str">
        <f>IF(AND(HS_DB[[#This Row],[Origin Rank]]&gt;0,HS_DB[[#This Row],[Origin Rank]]&lt;=10),"Yes","No")</f>
        <v>No</v>
      </c>
    </row>
    <row r="204" spans="2:55" x14ac:dyDescent="0.3">
      <c r="B204" s="2">
        <f>HS_DB[[#This Row],[Commodity Code]]</f>
        <v>283210</v>
      </c>
      <c r="C204" s="2">
        <f>IFERROR(INDEX(HS_MD!C:C,MATCH(B204,HS_MD!B:B,0),1),"")</f>
        <v>14</v>
      </c>
      <c r="D204" s="17" t="str">
        <f>IFERROR(INDEX(HS_MD!D:D,MATCH(B204,HS_MD!B:B,0),1),"")</f>
        <v>Sulfites</v>
      </c>
      <c r="E204" s="17" t="str">
        <f>IFERROR(INDEX(HS_MD!E:E,MATCH(B204,HS_MD!B:B,0),1),"")</f>
        <v>Sodium Metabisulfite</v>
      </c>
      <c r="F204" s="17" t="str">
        <f>IFERROR(INDEX(HS_MD!F:F,MATCH(B204,HS_MD!B:B,0),1),"")</f>
        <v>PRESERVATIVES</v>
      </c>
      <c r="G204" s="17" t="str">
        <f>IFERROR(INDEX(HS_MD!G:G,MATCH(B204,HS_MD!B:B,0),1),"")</f>
        <v>Sulfites</v>
      </c>
      <c r="H204" s="17" t="str">
        <f>IFERROR(INDEX(HS_MD!H:H,MATCH(B204,HS_MD!B:B,0),1),"")</f>
        <v>Sodium Metabisulfite</v>
      </c>
      <c r="I204" s="17" t="str">
        <f>IFERROR(INDEX(HS_MD!I:I,MATCH(B204,HS_MD!B:B,0),1),"")</f>
        <v>Beverages / Food Processing</v>
      </c>
      <c r="J204" s="17">
        <f>IFERROR(INDEX(Heat_Map[Index],MATCH(HS_DB[[#This Row],[Reporter]],Heat_Map[Global],0),1),"")</f>
        <v>118</v>
      </c>
      <c r="K204" s="17" t="str">
        <f>IF(AND(HS_DB[[#This Row],[Origin Rank]]&gt;1,HS_DB[[#This Row],[Origin Rank]]&lt;=10),"Yes","No")</f>
        <v>No</v>
      </c>
      <c r="L204" s="2">
        <v>2024</v>
      </c>
      <c r="M204" s="2" t="s">
        <v>57</v>
      </c>
      <c r="N204" s="2" t="s">
        <v>53</v>
      </c>
      <c r="O204" s="2" t="s">
        <v>22</v>
      </c>
      <c r="P204" s="2" t="s">
        <v>23</v>
      </c>
      <c r="Q204" s="2" t="s">
        <v>24</v>
      </c>
      <c r="R204" s="2" t="s">
        <v>25</v>
      </c>
      <c r="S204" s="2">
        <v>283210</v>
      </c>
      <c r="T204" s="3">
        <v>3292</v>
      </c>
      <c r="U204" s="3">
        <v>2081</v>
      </c>
      <c r="V204" s="3">
        <v>0</v>
      </c>
      <c r="W204" s="3">
        <v>2081</v>
      </c>
      <c r="X204" s="3" t="s">
        <v>58</v>
      </c>
      <c r="Y204" s="3">
        <v>2081</v>
      </c>
      <c r="Z204" s="3" t="s">
        <v>58</v>
      </c>
      <c r="AA204" s="6">
        <f>SUMIFS(HS_DB[Trade Value - USD],HS_DB[Reporter],HS_DB[[#This Row],[Reporter]])/SUM(HS_DB[Trade Value - USD])</f>
        <v>1.4561232389604124E-2</v>
      </c>
      <c r="AB204" s="8" cm="1">
        <f t="array" ref="AB204">SUMPRODUCT(
(HS_DB[Reporter]=HS_DB[[#This Row],[Reporter]])*
(HS_DB[Trade Value - USD]&gt;HS_DB[[#This Row],[Trade Value - USD]])
)+1</f>
        <v>28</v>
      </c>
      <c r="AC204" s="8" t="str">
        <f>IFERROR(IF(INDEX(Heat_Map[Crisis Impact %],MATCH(HS_DB[[#This Row],[Reporter]],Heat_Map[Global],0),1)&gt;0,"Yes","No"),"No")</f>
        <v>No</v>
      </c>
      <c r="AD204" s="6">
        <f>IFERROR(INDEX(Heat_Map[Crisis Impact %],MATCH(HS_DB[[#This Row],[Reporter]],Heat_Map[Global],0),1),0)</f>
        <v>0</v>
      </c>
      <c r="AE204" s="8">
        <f>HS_DB[[#This Row],[Crisis Impact%]]*HS_DB[[#This Row],[Trade Value - USD]]</f>
        <v>0</v>
      </c>
      <c r="AF204" s="8">
        <f>HS_DB[[#This Row],[Crisis Impact%]]*HS_DB[[#This Row],[Net Weight -KG]]</f>
        <v>0</v>
      </c>
      <c r="AG204" s="6">
        <f>SUMIFS(HS_DB[Trade Value - USD],HS_DB[Products],HS_DB[[#This Row],[Products]])/SUM(HS_DB[Trade Value - USD])</f>
        <v>2.7944449810822212E-3</v>
      </c>
      <c r="AH204" s="8">
        <f>_xlfn.RANK.EQ(HS_DB[[#This Row],[Trade Value - USD]], HS_DB[Trade Value - USD], 0)
 + COUNTIFS(HS_DB[Trade Value - USD],HS_DB[[#This Row],[Trade Value - USD]],
            HS_DB[HS Code],"&lt;"&amp;HS_DB[[#This Row],[HS Code]])</f>
        <v>455</v>
      </c>
      <c r="AI204" s="9">
        <f>IFERROR(HS_DB[[#This Row],[Trade Value - USD]]/HS_DB[[#This Row],[Net Weight -KG]],0)</f>
        <v>1.5819317635752042</v>
      </c>
      <c r="AJ204" s="17" cm="1">
        <f t="array" ref="AJ204">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04" s="17" t="str">
        <f>IF(HS_DB[[#This Row],[HS Code Risk Score]]&gt;=40,"High",
 IF(HS_DB[[#This Row],[HS Code Risk Score]]&gt;=25,"Medium","Low"))</f>
        <v>Medium</v>
      </c>
      <c r="AL204" s="17" t="str">
        <f>IF(RANK(HS_DB[[#This Row],[HS Code Risk Score]],HS_DB[HS Code Risk Score])&lt;=10,"Yes","No")</f>
        <v>No</v>
      </c>
      <c r="AM204" s="8">
        <f>SUMIFS(HS_DB[Net Weight -KG],HS_DB[HS Code],HS_DB[[#This Row],[HS Code]])</f>
        <v>13115268</v>
      </c>
      <c r="AN204" s="8">
        <f>SUMIFS(HS_DB[Trade Value - USD],HS_DB[HS Code],HS_DB[[#This Row],[HS Code]])</f>
        <v>5267552</v>
      </c>
      <c r="AO204" s="6">
        <f>_xlfn.MAXIFS(HS_DB[Origin Share%],HS_DB[HS Code],HS_DB[[#This Row],[HS Code]])</f>
        <v>6.321329281187793E-2</v>
      </c>
      <c r="AP204" s="8" cm="1">
        <f t="array" ref="AP204">_xlfn.LET(
_xlpm.hs,HS_DB[[#This Row],[HS Code]],
COUNTA(_xlfn.UNIQUE(_xlfn._xlws.FILTER(HS_DB[Reporter],HS_DB[HS Code]=_xlpm.hs)))
)</f>
        <v>11</v>
      </c>
      <c r="AQ204" s="17" t="str">
        <f>IF(HS_DB[[#This Row],[Origin Count]]=1,"Single Source","Multiple Sources")</f>
        <v>Multiple Sources</v>
      </c>
      <c r="AR204" s="8">
        <f>HS_DB[[#This Row],[Annual Spend - USD]]*(HS_DB[[#This Row],[HS Code Risk Score]]/100)</f>
        <v>1790967.6800000002</v>
      </c>
      <c r="AS204" s="8">
        <f>RANK(HS_DB[[#This Row],[Risk Exposure - USD]],HS_DB[Risk Exposure - USD],0)</f>
        <v>396</v>
      </c>
      <c r="AT204" s="8" t="str">
        <f>IF(HS_DB[[#This Row],[Risk Exposure Rank]]&lt;=10,"High",
 IF(HS_DB[[#This Row],[Risk Exposure Rank]]&lt;=30,"Medium",
 "Low"))</f>
        <v>Low</v>
      </c>
      <c r="AU204" s="8" t="str">
        <f>IF(HS_DB[[#This Row],[Risk Exposure Rank]]&lt;=5,"Immediate Action",
 IF(HS_DB[[#This Row],[Risk Exposure Rank]]&lt;=15,"Monitor Closely",
 "Routine Control"))</f>
        <v>Routine Control</v>
      </c>
      <c r="AV204" s="8">
        <f>SUMIFS(HS_DB[Trade Value - USD],HS_DB[HS Code],HS_DB[[#This Row],[HS Code]])</f>
        <v>5267552</v>
      </c>
      <c r="AW204" s="6">
        <f>HS_DB[[#This Row],[Annual Spend - USD]]/HS_DB[[#This Row],[Total Market Size - USD]]</f>
        <v>1</v>
      </c>
      <c r="AX204" s="6" cm="1">
        <f t="array" ref="AX204">COUNTA(_xlfn.UNIQUE(_xlfn._xlws.FILTER(HS_DB[Partner],HS_DB[HS Code]=HS_DB[[#This Row],[HS Code]])))</f>
        <v>1</v>
      </c>
      <c r="AY204" s="8" t="str">
        <f>IF(HS_DB[[#This Row],[Competition Intensity]]&lt;=2,"Highly Concentrated",
 IF(HS_DB[[#This Row],[Competition Intensity]]&lt;=5,"Moderate",
 "Highly Competitive"))</f>
        <v>Highly Concentrated</v>
      </c>
      <c r="AZ204" s="8">
        <f>HS_DB[[#This Row],[Total Market Size - USD]]
*
(1+IFERROR(#REF!,0))
/
HS_DB[[#This Row],[Competition Intensity]]</f>
        <v>5267552</v>
      </c>
      <c r="BA204" s="8" t="str">
        <f>IF(HS_DB[[#This Row],[Commercial Opportunity Score]]&gt;=PERCENTILE(HS_DB[Commercial Opportunity Score],0.9),"High Opportunity",
 IF(HS_DB[[#This Row],[Commercial Opportunity Score]]&gt;=PERCENTILE(HS_DB[Commercial Opportunity Score],0.6),"Medium Opportunity",
 "Routine Market"))</f>
        <v>Routine Market</v>
      </c>
      <c r="BB204" s="3" t="str">
        <f>IF(AND(HS_DB[[#This Row],[Product Rank]]&gt;0,HS_DB[[#This Row],[Product Rank]]&lt;=10),"Yes","No")</f>
        <v>No</v>
      </c>
      <c r="BC204" s="3" t="str">
        <f>IF(AND(HS_DB[[#This Row],[Origin Rank]]&gt;0,HS_DB[[#This Row],[Origin Rank]]&lt;=10),"Yes","No")</f>
        <v>No</v>
      </c>
    </row>
    <row r="205" spans="2:55" x14ac:dyDescent="0.3">
      <c r="B205" s="2">
        <f>HS_DB[[#This Row],[Commodity Code]]</f>
        <v>283210</v>
      </c>
      <c r="C205" s="2">
        <f>IFERROR(INDEX(HS_MD!C:C,MATCH(B205,HS_MD!B:B,0),1),"")</f>
        <v>14</v>
      </c>
      <c r="D205" s="17" t="str">
        <f>IFERROR(INDEX(HS_MD!D:D,MATCH(B205,HS_MD!B:B,0),1),"")</f>
        <v>Sulfites</v>
      </c>
      <c r="E205" s="17" t="str">
        <f>IFERROR(INDEX(HS_MD!E:E,MATCH(B205,HS_MD!B:B,0),1),"")</f>
        <v>Sodium Metabisulfite</v>
      </c>
      <c r="F205" s="17" t="str">
        <f>IFERROR(INDEX(HS_MD!F:F,MATCH(B205,HS_MD!B:B,0),1),"")</f>
        <v>PRESERVATIVES</v>
      </c>
      <c r="G205" s="17" t="str">
        <f>IFERROR(INDEX(HS_MD!G:G,MATCH(B205,HS_MD!B:B,0),1),"")</f>
        <v>Sulfites</v>
      </c>
      <c r="H205" s="17" t="str">
        <f>IFERROR(INDEX(HS_MD!H:H,MATCH(B205,HS_MD!B:B,0),1),"")</f>
        <v>Sodium Metabisulfite</v>
      </c>
      <c r="I205" s="17" t="str">
        <f>IFERROR(INDEX(HS_MD!I:I,MATCH(B205,HS_MD!B:B,0),1),"")</f>
        <v>Beverages / Food Processing</v>
      </c>
      <c r="J205" s="17">
        <f>IFERROR(INDEX(Heat_Map[Index],MATCH(HS_DB[[#This Row],[Reporter]],Heat_Map[Global],0),1),"")</f>
        <v>146</v>
      </c>
      <c r="K205" s="17" t="str">
        <f>IF(AND(HS_DB[[#This Row],[Origin Rank]]&gt;1,HS_DB[[#This Row],[Origin Rank]]&lt;=10),"Yes","No")</f>
        <v>No</v>
      </c>
      <c r="L205" s="2">
        <v>2024</v>
      </c>
      <c r="M205" s="2" t="s">
        <v>57</v>
      </c>
      <c r="N205" s="2" t="s">
        <v>27</v>
      </c>
      <c r="O205" s="2" t="s">
        <v>22</v>
      </c>
      <c r="P205" s="2" t="s">
        <v>23</v>
      </c>
      <c r="Q205" s="2" t="s">
        <v>24</v>
      </c>
      <c r="R205" s="2" t="s">
        <v>25</v>
      </c>
      <c r="S205" s="2">
        <v>283210</v>
      </c>
      <c r="T205" s="3">
        <v>4652</v>
      </c>
      <c r="U205" s="3">
        <v>2486</v>
      </c>
      <c r="V205" s="3">
        <v>0</v>
      </c>
      <c r="W205" s="3">
        <v>2486</v>
      </c>
      <c r="X205" s="3" t="s">
        <v>58</v>
      </c>
      <c r="Y205" s="3">
        <v>2486</v>
      </c>
      <c r="Z205" s="3" t="s">
        <v>58</v>
      </c>
      <c r="AA205" s="6">
        <f>SUMIFS(HS_DB[Trade Value - USD],HS_DB[Reporter],HS_DB[[#This Row],[Reporter]])/SUM(HS_DB[Trade Value - USD])</f>
        <v>9.709938116315122E-3</v>
      </c>
      <c r="AB205" s="8" cm="1">
        <f t="array" ref="AB205">SUMPRODUCT(
(HS_DB[Reporter]=HS_DB[[#This Row],[Reporter]])*
(HS_DB[Trade Value - USD]&gt;HS_DB[[#This Row],[Trade Value - USD]])
)+1</f>
        <v>13</v>
      </c>
      <c r="AC205" s="8" t="str">
        <f>IFERROR(IF(INDEX(Heat_Map[Crisis Impact %],MATCH(HS_DB[[#This Row],[Reporter]],Heat_Map[Global],0),1)&gt;0,"Yes","No"),"No")</f>
        <v>No</v>
      </c>
      <c r="AD205" s="6">
        <f>IFERROR(INDEX(Heat_Map[Crisis Impact %],MATCH(HS_DB[[#This Row],[Reporter]],Heat_Map[Global],0),1),0)</f>
        <v>0</v>
      </c>
      <c r="AE205" s="8">
        <f>HS_DB[[#This Row],[Crisis Impact%]]*HS_DB[[#This Row],[Trade Value - USD]]</f>
        <v>0</v>
      </c>
      <c r="AF205" s="8">
        <f>HS_DB[[#This Row],[Crisis Impact%]]*HS_DB[[#This Row],[Net Weight -KG]]</f>
        <v>0</v>
      </c>
      <c r="AG205" s="6">
        <f>SUMIFS(HS_DB[Trade Value - USD],HS_DB[Products],HS_DB[[#This Row],[Products]])/SUM(HS_DB[Trade Value - USD])</f>
        <v>2.7944449810822212E-3</v>
      </c>
      <c r="AH205" s="8">
        <f>_xlfn.RANK.EQ(HS_DB[[#This Row],[Trade Value - USD]], HS_DB[Trade Value - USD], 0)
 + COUNTIFS(HS_DB[Trade Value - USD],HS_DB[[#This Row],[Trade Value - USD]],
            HS_DB[HS Code],"&lt;"&amp;HS_DB[[#This Row],[HS Code]])</f>
        <v>443</v>
      </c>
      <c r="AI205" s="9">
        <f>IFERROR(HS_DB[[#This Row],[Trade Value - USD]]/HS_DB[[#This Row],[Net Weight -KG]],0)</f>
        <v>1.8712791633145616</v>
      </c>
      <c r="AJ205" s="17" cm="1">
        <f t="array" ref="AJ205">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05" s="17" t="str">
        <f>IF(HS_DB[[#This Row],[HS Code Risk Score]]&gt;=40,"High",
 IF(HS_DB[[#This Row],[HS Code Risk Score]]&gt;=25,"Medium","Low"))</f>
        <v>Medium</v>
      </c>
      <c r="AL205" s="17" t="str">
        <f>IF(RANK(HS_DB[[#This Row],[HS Code Risk Score]],HS_DB[HS Code Risk Score])&lt;=10,"Yes","No")</f>
        <v>No</v>
      </c>
      <c r="AM205" s="8">
        <f>SUMIFS(HS_DB[Net Weight -KG],HS_DB[HS Code],HS_DB[[#This Row],[HS Code]])</f>
        <v>13115268</v>
      </c>
      <c r="AN205" s="8">
        <f>SUMIFS(HS_DB[Trade Value - USD],HS_DB[HS Code],HS_DB[[#This Row],[HS Code]])</f>
        <v>5267552</v>
      </c>
      <c r="AO205" s="6">
        <f>_xlfn.MAXIFS(HS_DB[Origin Share%],HS_DB[HS Code],HS_DB[[#This Row],[HS Code]])</f>
        <v>6.321329281187793E-2</v>
      </c>
      <c r="AP205" s="8" cm="1">
        <f t="array" ref="AP205">_xlfn.LET(
_xlpm.hs,HS_DB[[#This Row],[HS Code]],
COUNTA(_xlfn.UNIQUE(_xlfn._xlws.FILTER(HS_DB[Reporter],HS_DB[HS Code]=_xlpm.hs)))
)</f>
        <v>11</v>
      </c>
      <c r="AQ205" s="17" t="str">
        <f>IF(HS_DB[[#This Row],[Origin Count]]=1,"Single Source","Multiple Sources")</f>
        <v>Multiple Sources</v>
      </c>
      <c r="AR205" s="8">
        <f>HS_DB[[#This Row],[Annual Spend - USD]]*(HS_DB[[#This Row],[HS Code Risk Score]]/100)</f>
        <v>1790967.6800000002</v>
      </c>
      <c r="AS205" s="8">
        <f>RANK(HS_DB[[#This Row],[Risk Exposure - USD]],HS_DB[Risk Exposure - USD],0)</f>
        <v>396</v>
      </c>
      <c r="AT205" s="8" t="str">
        <f>IF(HS_DB[[#This Row],[Risk Exposure Rank]]&lt;=10,"High",
 IF(HS_DB[[#This Row],[Risk Exposure Rank]]&lt;=30,"Medium",
 "Low"))</f>
        <v>Low</v>
      </c>
      <c r="AU205" s="8" t="str">
        <f>IF(HS_DB[[#This Row],[Risk Exposure Rank]]&lt;=5,"Immediate Action",
 IF(HS_DB[[#This Row],[Risk Exposure Rank]]&lt;=15,"Monitor Closely",
 "Routine Control"))</f>
        <v>Routine Control</v>
      </c>
      <c r="AV205" s="8">
        <f>SUMIFS(HS_DB[Trade Value - USD],HS_DB[HS Code],HS_DB[[#This Row],[HS Code]])</f>
        <v>5267552</v>
      </c>
      <c r="AW205" s="6">
        <f>HS_DB[[#This Row],[Annual Spend - USD]]/HS_DB[[#This Row],[Total Market Size - USD]]</f>
        <v>1</v>
      </c>
      <c r="AX205" s="6" cm="1">
        <f t="array" ref="AX205">COUNTA(_xlfn.UNIQUE(_xlfn._xlws.FILTER(HS_DB[Partner],HS_DB[HS Code]=HS_DB[[#This Row],[HS Code]])))</f>
        <v>1</v>
      </c>
      <c r="AY205" s="8" t="str">
        <f>IF(HS_DB[[#This Row],[Competition Intensity]]&lt;=2,"Highly Concentrated",
 IF(HS_DB[[#This Row],[Competition Intensity]]&lt;=5,"Moderate",
 "Highly Competitive"))</f>
        <v>Highly Concentrated</v>
      </c>
      <c r="AZ205" s="8">
        <f>HS_DB[[#This Row],[Total Market Size - USD]]
*
(1+IFERROR(#REF!,0))
/
HS_DB[[#This Row],[Competition Intensity]]</f>
        <v>5267552</v>
      </c>
      <c r="BA205" s="8" t="str">
        <f>IF(HS_DB[[#This Row],[Commercial Opportunity Score]]&gt;=PERCENTILE(HS_DB[Commercial Opportunity Score],0.9),"High Opportunity",
 IF(HS_DB[[#This Row],[Commercial Opportunity Score]]&gt;=PERCENTILE(HS_DB[Commercial Opportunity Score],0.6),"Medium Opportunity",
 "Routine Market"))</f>
        <v>Routine Market</v>
      </c>
      <c r="BB205" s="3" t="str">
        <f>IF(AND(HS_DB[[#This Row],[Product Rank]]&gt;0,HS_DB[[#This Row],[Product Rank]]&lt;=10),"Yes","No")</f>
        <v>No</v>
      </c>
      <c r="BC205" s="3" t="str">
        <f>IF(AND(HS_DB[[#This Row],[Origin Rank]]&gt;0,HS_DB[[#This Row],[Origin Rank]]&lt;=10),"Yes","No")</f>
        <v>No</v>
      </c>
    </row>
    <row r="206" spans="2:55" x14ac:dyDescent="0.3">
      <c r="B206" s="2">
        <f>HS_DB[[#This Row],[Commodity Code]]</f>
        <v>283210</v>
      </c>
      <c r="C206" s="2">
        <f>IFERROR(INDEX(HS_MD!C:C,MATCH(B206,HS_MD!B:B,0),1),"")</f>
        <v>14</v>
      </c>
      <c r="D206" s="17" t="str">
        <f>IFERROR(INDEX(HS_MD!D:D,MATCH(B206,HS_MD!B:B,0),1),"")</f>
        <v>Sulfites</v>
      </c>
      <c r="E206" s="17" t="str">
        <f>IFERROR(INDEX(HS_MD!E:E,MATCH(B206,HS_MD!B:B,0),1),"")</f>
        <v>Sodium Metabisulfite</v>
      </c>
      <c r="F206" s="17" t="str">
        <f>IFERROR(INDEX(HS_MD!F:F,MATCH(B206,HS_MD!B:B,0),1),"")</f>
        <v>PRESERVATIVES</v>
      </c>
      <c r="G206" s="17" t="str">
        <f>IFERROR(INDEX(HS_MD!G:G,MATCH(B206,HS_MD!B:B,0),1),"")</f>
        <v>Sulfites</v>
      </c>
      <c r="H206" s="17" t="str">
        <f>IFERROR(INDEX(HS_MD!H:H,MATCH(B206,HS_MD!B:B,0),1),"")</f>
        <v>Sodium Metabisulfite</v>
      </c>
      <c r="I206" s="17" t="str">
        <f>IFERROR(INDEX(HS_MD!I:I,MATCH(B206,HS_MD!B:B,0),1),"")</f>
        <v>Beverages / Food Processing</v>
      </c>
      <c r="J206" s="17">
        <f>IFERROR(INDEX(Heat_Map[Index],MATCH(HS_DB[[#This Row],[Reporter]],Heat_Map[Global],0),1),"")</f>
        <v>75</v>
      </c>
      <c r="K206" s="17" t="str">
        <f>IF(AND(HS_DB[[#This Row],[Origin Rank]]&gt;1,HS_DB[[#This Row],[Origin Rank]]&lt;=10),"Yes","No")</f>
        <v>No</v>
      </c>
      <c r="L206" s="2">
        <v>2024</v>
      </c>
      <c r="M206" s="2" t="s">
        <v>57</v>
      </c>
      <c r="N206" s="2" t="s">
        <v>8</v>
      </c>
      <c r="O206" s="2" t="s">
        <v>22</v>
      </c>
      <c r="P206" s="2" t="s">
        <v>23</v>
      </c>
      <c r="Q206" s="2" t="s">
        <v>24</v>
      </c>
      <c r="R206" s="2" t="s">
        <v>25</v>
      </c>
      <c r="S206" s="2">
        <v>283210</v>
      </c>
      <c r="T206" s="3">
        <v>15762</v>
      </c>
      <c r="U206" s="3">
        <v>3369</v>
      </c>
      <c r="V206" s="3">
        <v>0</v>
      </c>
      <c r="W206" s="3">
        <v>3369</v>
      </c>
      <c r="X206" s="3" t="s">
        <v>58</v>
      </c>
      <c r="Y206" s="3">
        <v>3369</v>
      </c>
      <c r="Z206" s="3" t="s">
        <v>58</v>
      </c>
      <c r="AA206" s="6">
        <f>SUMIFS(HS_DB[Trade Value - USD],HS_DB[Reporter],HS_DB[[#This Row],[Reporter]])/SUM(HS_DB[Trade Value - USD])</f>
        <v>2.2441761060335613E-2</v>
      </c>
      <c r="AB206" s="8" cm="1">
        <f t="array" ref="AB206">SUMPRODUCT(
(HS_DB[Reporter]=HS_DB[[#This Row],[Reporter]])*
(HS_DB[Trade Value - USD]&gt;HS_DB[[#This Row],[Trade Value - USD]])
)+1</f>
        <v>33</v>
      </c>
      <c r="AC206" s="8" t="str">
        <f>IFERROR(IF(INDEX(Heat_Map[Crisis Impact %],MATCH(HS_DB[[#This Row],[Reporter]],Heat_Map[Global],0),1)&gt;0,"Yes","No"),"No")</f>
        <v>No</v>
      </c>
      <c r="AD206" s="6">
        <f>IFERROR(INDEX(Heat_Map[Crisis Impact %],MATCH(HS_DB[[#This Row],[Reporter]],Heat_Map[Global],0),1),0)</f>
        <v>0</v>
      </c>
      <c r="AE206" s="8">
        <f>HS_DB[[#This Row],[Crisis Impact%]]*HS_DB[[#This Row],[Trade Value - USD]]</f>
        <v>0</v>
      </c>
      <c r="AF206" s="8">
        <f>HS_DB[[#This Row],[Crisis Impact%]]*HS_DB[[#This Row],[Net Weight -KG]]</f>
        <v>0</v>
      </c>
      <c r="AG206" s="6">
        <f>SUMIFS(HS_DB[Trade Value - USD],HS_DB[Products],HS_DB[[#This Row],[Products]])/SUM(HS_DB[Trade Value - USD])</f>
        <v>2.7944449810822212E-3</v>
      </c>
      <c r="AH206" s="8">
        <f>_xlfn.RANK.EQ(HS_DB[[#This Row],[Trade Value - USD]], HS_DB[Trade Value - USD], 0)
 + COUNTIFS(HS_DB[Trade Value - USD],HS_DB[[#This Row],[Trade Value - USD]],
            HS_DB[HS Code],"&lt;"&amp;HS_DB[[#This Row],[HS Code]])</f>
        <v>391</v>
      </c>
      <c r="AI206" s="9">
        <f>IFERROR(HS_DB[[#This Row],[Trade Value - USD]]/HS_DB[[#This Row],[Net Weight -KG]],0)</f>
        <v>4.6785396260017809</v>
      </c>
      <c r="AJ206" s="17" cm="1">
        <f t="array" ref="AJ206">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06" s="17" t="str">
        <f>IF(HS_DB[[#This Row],[HS Code Risk Score]]&gt;=40,"High",
 IF(HS_DB[[#This Row],[HS Code Risk Score]]&gt;=25,"Medium","Low"))</f>
        <v>Medium</v>
      </c>
      <c r="AL206" s="17" t="str">
        <f>IF(RANK(HS_DB[[#This Row],[HS Code Risk Score]],HS_DB[HS Code Risk Score])&lt;=10,"Yes","No")</f>
        <v>No</v>
      </c>
      <c r="AM206" s="8">
        <f>SUMIFS(HS_DB[Net Weight -KG],HS_DB[HS Code],HS_DB[[#This Row],[HS Code]])</f>
        <v>13115268</v>
      </c>
      <c r="AN206" s="8">
        <f>SUMIFS(HS_DB[Trade Value - USD],HS_DB[HS Code],HS_DB[[#This Row],[HS Code]])</f>
        <v>5267552</v>
      </c>
      <c r="AO206" s="6">
        <f>_xlfn.MAXIFS(HS_DB[Origin Share%],HS_DB[HS Code],HS_DB[[#This Row],[HS Code]])</f>
        <v>6.321329281187793E-2</v>
      </c>
      <c r="AP206" s="8" cm="1">
        <f t="array" ref="AP206">_xlfn.LET(
_xlpm.hs,HS_DB[[#This Row],[HS Code]],
COUNTA(_xlfn.UNIQUE(_xlfn._xlws.FILTER(HS_DB[Reporter],HS_DB[HS Code]=_xlpm.hs)))
)</f>
        <v>11</v>
      </c>
      <c r="AQ206" s="17" t="str">
        <f>IF(HS_DB[[#This Row],[Origin Count]]=1,"Single Source","Multiple Sources")</f>
        <v>Multiple Sources</v>
      </c>
      <c r="AR206" s="8">
        <f>HS_DB[[#This Row],[Annual Spend - USD]]*(HS_DB[[#This Row],[HS Code Risk Score]]/100)</f>
        <v>1790967.6800000002</v>
      </c>
      <c r="AS206" s="8">
        <f>RANK(HS_DB[[#This Row],[Risk Exposure - USD]],HS_DB[Risk Exposure - USD],0)</f>
        <v>396</v>
      </c>
      <c r="AT206" s="8" t="str">
        <f>IF(HS_DB[[#This Row],[Risk Exposure Rank]]&lt;=10,"High",
 IF(HS_DB[[#This Row],[Risk Exposure Rank]]&lt;=30,"Medium",
 "Low"))</f>
        <v>Low</v>
      </c>
      <c r="AU206" s="8" t="str">
        <f>IF(HS_DB[[#This Row],[Risk Exposure Rank]]&lt;=5,"Immediate Action",
 IF(HS_DB[[#This Row],[Risk Exposure Rank]]&lt;=15,"Monitor Closely",
 "Routine Control"))</f>
        <v>Routine Control</v>
      </c>
      <c r="AV206" s="8">
        <f>SUMIFS(HS_DB[Trade Value - USD],HS_DB[HS Code],HS_DB[[#This Row],[HS Code]])</f>
        <v>5267552</v>
      </c>
      <c r="AW206" s="6">
        <f>HS_DB[[#This Row],[Annual Spend - USD]]/HS_DB[[#This Row],[Total Market Size - USD]]</f>
        <v>1</v>
      </c>
      <c r="AX206" s="6" cm="1">
        <f t="array" ref="AX206">COUNTA(_xlfn.UNIQUE(_xlfn._xlws.FILTER(HS_DB[Partner],HS_DB[HS Code]=HS_DB[[#This Row],[HS Code]])))</f>
        <v>1</v>
      </c>
      <c r="AY206" s="8" t="str">
        <f>IF(HS_DB[[#This Row],[Competition Intensity]]&lt;=2,"Highly Concentrated",
 IF(HS_DB[[#This Row],[Competition Intensity]]&lt;=5,"Moderate",
 "Highly Competitive"))</f>
        <v>Highly Concentrated</v>
      </c>
      <c r="AZ206" s="8">
        <f>HS_DB[[#This Row],[Total Market Size - USD]]
*
(1+IFERROR(#REF!,0))
/
HS_DB[[#This Row],[Competition Intensity]]</f>
        <v>5267552</v>
      </c>
      <c r="BA206" s="8" t="str">
        <f>IF(HS_DB[[#This Row],[Commercial Opportunity Score]]&gt;=PERCENTILE(HS_DB[Commercial Opportunity Score],0.9),"High Opportunity",
 IF(HS_DB[[#This Row],[Commercial Opportunity Score]]&gt;=PERCENTILE(HS_DB[Commercial Opportunity Score],0.6),"Medium Opportunity",
 "Routine Market"))</f>
        <v>Routine Market</v>
      </c>
      <c r="BB206" s="3" t="str">
        <f>IF(AND(HS_DB[[#This Row],[Product Rank]]&gt;0,HS_DB[[#This Row],[Product Rank]]&lt;=10),"Yes","No")</f>
        <v>No</v>
      </c>
      <c r="BC206" s="3" t="str">
        <f>IF(AND(HS_DB[[#This Row],[Origin Rank]]&gt;0,HS_DB[[#This Row],[Origin Rank]]&lt;=10),"Yes","No")</f>
        <v>No</v>
      </c>
    </row>
    <row r="207" spans="2:55" x14ac:dyDescent="0.3">
      <c r="B207" s="2">
        <f>HS_DB[[#This Row],[Commodity Code]]</f>
        <v>283210</v>
      </c>
      <c r="C207" s="2">
        <f>IFERROR(INDEX(HS_MD!C:C,MATCH(B207,HS_MD!B:B,0),1),"")</f>
        <v>14</v>
      </c>
      <c r="D207" s="17" t="str">
        <f>IFERROR(INDEX(HS_MD!D:D,MATCH(B207,HS_MD!B:B,0),1),"")</f>
        <v>Sulfites</v>
      </c>
      <c r="E207" s="17" t="str">
        <f>IFERROR(INDEX(HS_MD!E:E,MATCH(B207,HS_MD!B:B,0),1),"")</f>
        <v>Sodium Metabisulfite</v>
      </c>
      <c r="F207" s="17" t="str">
        <f>IFERROR(INDEX(HS_MD!F:F,MATCH(B207,HS_MD!B:B,0),1),"")</f>
        <v>PRESERVATIVES</v>
      </c>
      <c r="G207" s="17" t="str">
        <f>IFERROR(INDEX(HS_MD!G:G,MATCH(B207,HS_MD!B:B,0),1),"")</f>
        <v>Sulfites</v>
      </c>
      <c r="H207" s="17" t="str">
        <f>IFERROR(INDEX(HS_MD!H:H,MATCH(B207,HS_MD!B:B,0),1),"")</f>
        <v>Sodium Metabisulfite</v>
      </c>
      <c r="I207" s="17" t="str">
        <f>IFERROR(INDEX(HS_MD!I:I,MATCH(B207,HS_MD!B:B,0),1),"")</f>
        <v>Beverages / Food Processing</v>
      </c>
      <c r="J207" s="17">
        <f>IFERROR(INDEX(Heat_Map[Index],MATCH(HS_DB[[#This Row],[Reporter]],Heat_Map[Global],0),1),"")</f>
        <v>159</v>
      </c>
      <c r="K207" s="17" t="str">
        <f>IF(AND(HS_DB[[#This Row],[Origin Rank]]&gt;1,HS_DB[[#This Row],[Origin Rank]]&lt;=10),"Yes","No")</f>
        <v>No</v>
      </c>
      <c r="L207" s="2">
        <v>2024</v>
      </c>
      <c r="M207" s="2" t="s">
        <v>57</v>
      </c>
      <c r="N207" s="2" t="s">
        <v>30</v>
      </c>
      <c r="O207" s="2" t="s">
        <v>22</v>
      </c>
      <c r="P207" s="2" t="s">
        <v>23</v>
      </c>
      <c r="Q207" s="2" t="s">
        <v>24</v>
      </c>
      <c r="R207" s="2" t="s">
        <v>25</v>
      </c>
      <c r="S207" s="2">
        <v>283210</v>
      </c>
      <c r="T207" s="3">
        <v>27205</v>
      </c>
      <c r="U207" s="3">
        <v>24630</v>
      </c>
      <c r="V207" s="3">
        <v>0</v>
      </c>
      <c r="W207" s="3">
        <v>24630</v>
      </c>
      <c r="X207" s="3" t="s">
        <v>58</v>
      </c>
      <c r="Y207" s="3">
        <v>24630</v>
      </c>
      <c r="Z207" s="3" t="s">
        <v>58</v>
      </c>
      <c r="AA207" s="6">
        <f>SUMIFS(HS_DB[Trade Value - USD],HS_DB[Reporter],HS_DB[[#This Row],[Reporter]])/SUM(HS_DB[Trade Value - USD])</f>
        <v>6.110186869383482E-3</v>
      </c>
      <c r="AB207" s="8" cm="1">
        <f t="array" ref="AB207">SUMPRODUCT(
(HS_DB[Reporter]=HS_DB[[#This Row],[Reporter]])*
(HS_DB[Trade Value - USD]&gt;HS_DB[[#This Row],[Trade Value - USD]])
)+1</f>
        <v>15</v>
      </c>
      <c r="AC207" s="8" t="str">
        <f>IFERROR(IF(INDEX(Heat_Map[Crisis Impact %],MATCH(HS_DB[[#This Row],[Reporter]],Heat_Map[Global],0),1)&gt;0,"Yes","No"),"No")</f>
        <v>No</v>
      </c>
      <c r="AD207" s="6">
        <f>IFERROR(INDEX(Heat_Map[Crisis Impact %],MATCH(HS_DB[[#This Row],[Reporter]],Heat_Map[Global],0),1),0)</f>
        <v>0</v>
      </c>
      <c r="AE207" s="8">
        <f>HS_DB[[#This Row],[Crisis Impact%]]*HS_DB[[#This Row],[Trade Value - USD]]</f>
        <v>0</v>
      </c>
      <c r="AF207" s="8">
        <f>HS_DB[[#This Row],[Crisis Impact%]]*HS_DB[[#This Row],[Net Weight -KG]]</f>
        <v>0</v>
      </c>
      <c r="AG207" s="6">
        <f>SUMIFS(HS_DB[Trade Value - USD],HS_DB[Products],HS_DB[[#This Row],[Products]])/SUM(HS_DB[Trade Value - USD])</f>
        <v>2.7944449810822212E-3</v>
      </c>
      <c r="AH207" s="8">
        <f>_xlfn.RANK.EQ(HS_DB[[#This Row],[Trade Value - USD]], HS_DB[Trade Value - USD], 0)
 + COUNTIFS(HS_DB[Trade Value - USD],HS_DB[[#This Row],[Trade Value - USD]],
            HS_DB[HS Code],"&lt;"&amp;HS_DB[[#This Row],[HS Code]])</f>
        <v>362</v>
      </c>
      <c r="AI207" s="9">
        <f>IFERROR(HS_DB[[#This Row],[Trade Value - USD]]/HS_DB[[#This Row],[Net Weight -KG]],0)</f>
        <v>1.104547300040601</v>
      </c>
      <c r="AJ207" s="17" cm="1">
        <f t="array" ref="AJ207">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07" s="17" t="str">
        <f>IF(HS_DB[[#This Row],[HS Code Risk Score]]&gt;=40,"High",
 IF(HS_DB[[#This Row],[HS Code Risk Score]]&gt;=25,"Medium","Low"))</f>
        <v>Medium</v>
      </c>
      <c r="AL207" s="17" t="str">
        <f>IF(RANK(HS_DB[[#This Row],[HS Code Risk Score]],HS_DB[HS Code Risk Score])&lt;=10,"Yes","No")</f>
        <v>No</v>
      </c>
      <c r="AM207" s="8">
        <f>SUMIFS(HS_DB[Net Weight -KG],HS_DB[HS Code],HS_DB[[#This Row],[HS Code]])</f>
        <v>13115268</v>
      </c>
      <c r="AN207" s="8">
        <f>SUMIFS(HS_DB[Trade Value - USD],HS_DB[HS Code],HS_DB[[#This Row],[HS Code]])</f>
        <v>5267552</v>
      </c>
      <c r="AO207" s="6">
        <f>_xlfn.MAXIFS(HS_DB[Origin Share%],HS_DB[HS Code],HS_DB[[#This Row],[HS Code]])</f>
        <v>6.321329281187793E-2</v>
      </c>
      <c r="AP207" s="8" cm="1">
        <f t="array" ref="AP207">_xlfn.LET(
_xlpm.hs,HS_DB[[#This Row],[HS Code]],
COUNTA(_xlfn.UNIQUE(_xlfn._xlws.FILTER(HS_DB[Reporter],HS_DB[HS Code]=_xlpm.hs)))
)</f>
        <v>11</v>
      </c>
      <c r="AQ207" s="17" t="str">
        <f>IF(HS_DB[[#This Row],[Origin Count]]=1,"Single Source","Multiple Sources")</f>
        <v>Multiple Sources</v>
      </c>
      <c r="AR207" s="8">
        <f>HS_DB[[#This Row],[Annual Spend - USD]]*(HS_DB[[#This Row],[HS Code Risk Score]]/100)</f>
        <v>1790967.6800000002</v>
      </c>
      <c r="AS207" s="8">
        <f>RANK(HS_DB[[#This Row],[Risk Exposure - USD]],HS_DB[Risk Exposure - USD],0)</f>
        <v>396</v>
      </c>
      <c r="AT207" s="8" t="str">
        <f>IF(HS_DB[[#This Row],[Risk Exposure Rank]]&lt;=10,"High",
 IF(HS_DB[[#This Row],[Risk Exposure Rank]]&lt;=30,"Medium",
 "Low"))</f>
        <v>Low</v>
      </c>
      <c r="AU207" s="8" t="str">
        <f>IF(HS_DB[[#This Row],[Risk Exposure Rank]]&lt;=5,"Immediate Action",
 IF(HS_DB[[#This Row],[Risk Exposure Rank]]&lt;=15,"Monitor Closely",
 "Routine Control"))</f>
        <v>Routine Control</v>
      </c>
      <c r="AV207" s="8">
        <f>SUMIFS(HS_DB[Trade Value - USD],HS_DB[HS Code],HS_DB[[#This Row],[HS Code]])</f>
        <v>5267552</v>
      </c>
      <c r="AW207" s="6">
        <f>HS_DB[[#This Row],[Annual Spend - USD]]/HS_DB[[#This Row],[Total Market Size - USD]]</f>
        <v>1</v>
      </c>
      <c r="AX207" s="6" cm="1">
        <f t="array" ref="AX207">COUNTA(_xlfn.UNIQUE(_xlfn._xlws.FILTER(HS_DB[Partner],HS_DB[HS Code]=HS_DB[[#This Row],[HS Code]])))</f>
        <v>1</v>
      </c>
      <c r="AY207" s="8" t="str">
        <f>IF(HS_DB[[#This Row],[Competition Intensity]]&lt;=2,"Highly Concentrated",
 IF(HS_DB[[#This Row],[Competition Intensity]]&lt;=5,"Moderate",
 "Highly Competitive"))</f>
        <v>Highly Concentrated</v>
      </c>
      <c r="AZ207" s="8">
        <f>HS_DB[[#This Row],[Total Market Size - USD]]
*
(1+IFERROR(#REF!,0))
/
HS_DB[[#This Row],[Competition Intensity]]</f>
        <v>5267552</v>
      </c>
      <c r="BA207" s="8" t="str">
        <f>IF(HS_DB[[#This Row],[Commercial Opportunity Score]]&gt;=PERCENTILE(HS_DB[Commercial Opportunity Score],0.9),"High Opportunity",
 IF(HS_DB[[#This Row],[Commercial Opportunity Score]]&gt;=PERCENTILE(HS_DB[Commercial Opportunity Score],0.6),"Medium Opportunity",
 "Routine Market"))</f>
        <v>Routine Market</v>
      </c>
      <c r="BB207" s="3" t="str">
        <f>IF(AND(HS_DB[[#This Row],[Product Rank]]&gt;0,HS_DB[[#This Row],[Product Rank]]&lt;=10),"Yes","No")</f>
        <v>No</v>
      </c>
      <c r="BC207" s="3" t="str">
        <f>IF(AND(HS_DB[[#This Row],[Origin Rank]]&gt;0,HS_DB[[#This Row],[Origin Rank]]&lt;=10),"Yes","No")</f>
        <v>No</v>
      </c>
    </row>
    <row r="208" spans="2:55" x14ac:dyDescent="0.3">
      <c r="B208" s="2">
        <f>HS_DB[[#This Row],[Commodity Code]]</f>
        <v>283210</v>
      </c>
      <c r="C208" s="2">
        <f>IFERROR(INDEX(HS_MD!C:C,MATCH(B208,HS_MD!B:B,0),1),"")</f>
        <v>14</v>
      </c>
      <c r="D208" s="17" t="str">
        <f>IFERROR(INDEX(HS_MD!D:D,MATCH(B208,HS_MD!B:B,0),1),"")</f>
        <v>Sulfites</v>
      </c>
      <c r="E208" s="17" t="str">
        <f>IFERROR(INDEX(HS_MD!E:E,MATCH(B208,HS_MD!B:B,0),1),"")</f>
        <v>Sodium Metabisulfite</v>
      </c>
      <c r="F208" s="17" t="str">
        <f>IFERROR(INDEX(HS_MD!F:F,MATCH(B208,HS_MD!B:B,0),1),"")</f>
        <v>PRESERVATIVES</v>
      </c>
      <c r="G208" s="17" t="str">
        <f>IFERROR(INDEX(HS_MD!G:G,MATCH(B208,HS_MD!B:B,0),1),"")</f>
        <v>Sulfites</v>
      </c>
      <c r="H208" s="17" t="str">
        <f>IFERROR(INDEX(HS_MD!H:H,MATCH(B208,HS_MD!B:B,0),1),"")</f>
        <v>Sodium Metabisulfite</v>
      </c>
      <c r="I208" s="17" t="str">
        <f>IFERROR(INDEX(HS_MD!I:I,MATCH(B208,HS_MD!B:B,0),1),"")</f>
        <v>Beverages / Food Processing</v>
      </c>
      <c r="J208" s="17">
        <f>IFERROR(INDEX(Heat_Map[Index],MATCH(HS_DB[[#This Row],[Reporter]],Heat_Map[Global],0),1),"")</f>
        <v>169</v>
      </c>
      <c r="K208" s="17" t="str">
        <f>IF(AND(HS_DB[[#This Row],[Origin Rank]]&gt;1,HS_DB[[#This Row],[Origin Rank]]&lt;=10),"Yes","No")</f>
        <v>Yes</v>
      </c>
      <c r="L208" s="2">
        <v>2024</v>
      </c>
      <c r="M208" s="2" t="s">
        <v>57</v>
      </c>
      <c r="N208" s="2" t="s">
        <v>33</v>
      </c>
      <c r="O208" s="2" t="s">
        <v>22</v>
      </c>
      <c r="P208" s="2" t="s">
        <v>23</v>
      </c>
      <c r="Q208" s="2" t="s">
        <v>24</v>
      </c>
      <c r="R208" s="2" t="s">
        <v>25</v>
      </c>
      <c r="S208" s="2">
        <v>283210</v>
      </c>
      <c r="T208" s="3">
        <v>603005</v>
      </c>
      <c r="U208" s="3">
        <v>1450000</v>
      </c>
      <c r="V208" s="3">
        <v>0</v>
      </c>
      <c r="W208" s="3">
        <v>1450000</v>
      </c>
      <c r="X208" s="3" t="s">
        <v>58</v>
      </c>
      <c r="Y208" s="3">
        <v>1450000</v>
      </c>
      <c r="Z208" s="3" t="s">
        <v>58</v>
      </c>
      <c r="AA208" s="6">
        <f>SUMIFS(HS_DB[Trade Value - USD],HS_DB[Reporter],HS_DB[[#This Row],[Reporter]])/SUM(HS_DB[Trade Value - USD])</f>
        <v>8.0337630087875059E-4</v>
      </c>
      <c r="AB208" s="8" cm="1">
        <f t="array" ref="AB208">SUMPRODUCT(
(HS_DB[Reporter]=HS_DB[[#This Row],[Reporter]])*
(HS_DB[Trade Value - USD]&gt;HS_DB[[#This Row],[Trade Value - USD]])
)+1</f>
        <v>2</v>
      </c>
      <c r="AC208" s="8" t="str">
        <f>IFERROR(IF(INDEX(Heat_Map[Crisis Impact %],MATCH(HS_DB[[#This Row],[Reporter]],Heat_Map[Global],0),1)&gt;0,"Yes","No"),"No")</f>
        <v>No</v>
      </c>
      <c r="AD208" s="6">
        <f>IFERROR(INDEX(Heat_Map[Crisis Impact %],MATCH(HS_DB[[#This Row],[Reporter]],Heat_Map[Global],0),1),0)</f>
        <v>0</v>
      </c>
      <c r="AE208" s="8">
        <f>HS_DB[[#This Row],[Crisis Impact%]]*HS_DB[[#This Row],[Trade Value - USD]]</f>
        <v>0</v>
      </c>
      <c r="AF208" s="8">
        <f>HS_DB[[#This Row],[Crisis Impact%]]*HS_DB[[#This Row],[Net Weight -KG]]</f>
        <v>0</v>
      </c>
      <c r="AG208" s="6">
        <f>SUMIFS(HS_DB[Trade Value - USD],HS_DB[Products],HS_DB[[#This Row],[Products]])/SUM(HS_DB[Trade Value - USD])</f>
        <v>2.7944449810822212E-3</v>
      </c>
      <c r="AH208" s="8">
        <f>_xlfn.RANK.EQ(HS_DB[[#This Row],[Trade Value - USD]], HS_DB[Trade Value - USD], 0)
 + COUNTIFS(HS_DB[Trade Value - USD],HS_DB[[#This Row],[Trade Value - USD]],
            HS_DB[HS Code],"&lt;"&amp;HS_DB[[#This Row],[HS Code]])</f>
        <v>132</v>
      </c>
      <c r="AI208" s="9">
        <f>IFERROR(HS_DB[[#This Row],[Trade Value - USD]]/HS_DB[[#This Row],[Net Weight -KG]],0)</f>
        <v>0.41586551724137932</v>
      </c>
      <c r="AJ208" s="17" cm="1">
        <f t="array" ref="AJ208">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08" s="17" t="str">
        <f>IF(HS_DB[[#This Row],[HS Code Risk Score]]&gt;=40,"High",
 IF(HS_DB[[#This Row],[HS Code Risk Score]]&gt;=25,"Medium","Low"))</f>
        <v>Medium</v>
      </c>
      <c r="AL208" s="17" t="str">
        <f>IF(RANK(HS_DB[[#This Row],[HS Code Risk Score]],HS_DB[HS Code Risk Score])&lt;=10,"Yes","No")</f>
        <v>No</v>
      </c>
      <c r="AM208" s="8">
        <f>SUMIFS(HS_DB[Net Weight -KG],HS_DB[HS Code],HS_DB[[#This Row],[HS Code]])</f>
        <v>13115268</v>
      </c>
      <c r="AN208" s="8">
        <f>SUMIFS(HS_DB[Trade Value - USD],HS_DB[HS Code],HS_DB[[#This Row],[HS Code]])</f>
        <v>5267552</v>
      </c>
      <c r="AO208" s="6">
        <f>_xlfn.MAXIFS(HS_DB[Origin Share%],HS_DB[HS Code],HS_DB[[#This Row],[HS Code]])</f>
        <v>6.321329281187793E-2</v>
      </c>
      <c r="AP208" s="8" cm="1">
        <f t="array" ref="AP208">_xlfn.LET(
_xlpm.hs,HS_DB[[#This Row],[HS Code]],
COUNTA(_xlfn.UNIQUE(_xlfn._xlws.FILTER(HS_DB[Reporter],HS_DB[HS Code]=_xlpm.hs)))
)</f>
        <v>11</v>
      </c>
      <c r="AQ208" s="17" t="str">
        <f>IF(HS_DB[[#This Row],[Origin Count]]=1,"Single Source","Multiple Sources")</f>
        <v>Multiple Sources</v>
      </c>
      <c r="AR208" s="8">
        <f>HS_DB[[#This Row],[Annual Spend - USD]]*(HS_DB[[#This Row],[HS Code Risk Score]]/100)</f>
        <v>1790967.6800000002</v>
      </c>
      <c r="AS208" s="8">
        <f>RANK(HS_DB[[#This Row],[Risk Exposure - USD]],HS_DB[Risk Exposure - USD],0)</f>
        <v>396</v>
      </c>
      <c r="AT208" s="8" t="str">
        <f>IF(HS_DB[[#This Row],[Risk Exposure Rank]]&lt;=10,"High",
 IF(HS_DB[[#This Row],[Risk Exposure Rank]]&lt;=30,"Medium",
 "Low"))</f>
        <v>Low</v>
      </c>
      <c r="AU208" s="8" t="str">
        <f>IF(HS_DB[[#This Row],[Risk Exposure Rank]]&lt;=5,"Immediate Action",
 IF(HS_DB[[#This Row],[Risk Exposure Rank]]&lt;=15,"Monitor Closely",
 "Routine Control"))</f>
        <v>Routine Control</v>
      </c>
      <c r="AV208" s="8">
        <f>SUMIFS(HS_DB[Trade Value - USD],HS_DB[HS Code],HS_DB[[#This Row],[HS Code]])</f>
        <v>5267552</v>
      </c>
      <c r="AW208" s="6">
        <f>HS_DB[[#This Row],[Annual Spend - USD]]/HS_DB[[#This Row],[Total Market Size - USD]]</f>
        <v>1</v>
      </c>
      <c r="AX208" s="6" cm="1">
        <f t="array" ref="AX208">COUNTA(_xlfn.UNIQUE(_xlfn._xlws.FILTER(HS_DB[Partner],HS_DB[HS Code]=HS_DB[[#This Row],[HS Code]])))</f>
        <v>1</v>
      </c>
      <c r="AY208" s="8" t="str">
        <f>IF(HS_DB[[#This Row],[Competition Intensity]]&lt;=2,"Highly Concentrated",
 IF(HS_DB[[#This Row],[Competition Intensity]]&lt;=5,"Moderate",
 "Highly Competitive"))</f>
        <v>Highly Concentrated</v>
      </c>
      <c r="AZ208" s="8">
        <f>HS_DB[[#This Row],[Total Market Size - USD]]
*
(1+IFERROR(#REF!,0))
/
HS_DB[[#This Row],[Competition Intensity]]</f>
        <v>5267552</v>
      </c>
      <c r="BA208" s="8" t="str">
        <f>IF(HS_DB[[#This Row],[Commercial Opportunity Score]]&gt;=PERCENTILE(HS_DB[Commercial Opportunity Score],0.9),"High Opportunity",
 IF(HS_DB[[#This Row],[Commercial Opportunity Score]]&gt;=PERCENTILE(HS_DB[Commercial Opportunity Score],0.6),"Medium Opportunity",
 "Routine Market"))</f>
        <v>Routine Market</v>
      </c>
      <c r="BB208" s="3" t="str">
        <f>IF(AND(HS_DB[[#This Row],[Product Rank]]&gt;0,HS_DB[[#This Row],[Product Rank]]&lt;=10),"Yes","No")</f>
        <v>No</v>
      </c>
      <c r="BC208" s="3" t="str">
        <f>IF(AND(HS_DB[[#This Row],[Origin Rank]]&gt;0,HS_DB[[#This Row],[Origin Rank]]&lt;=10),"Yes","No")</f>
        <v>Yes</v>
      </c>
    </row>
    <row r="209" spans="2:55" x14ac:dyDescent="0.3">
      <c r="B209" s="2">
        <f>HS_DB[[#This Row],[Commodity Code]]</f>
        <v>283210</v>
      </c>
      <c r="C209" s="2">
        <f>IFERROR(INDEX(HS_MD!C:C,MATCH(B209,HS_MD!B:B,0),1),"")</f>
        <v>14</v>
      </c>
      <c r="D209" s="17" t="str">
        <f>IFERROR(INDEX(HS_MD!D:D,MATCH(B209,HS_MD!B:B,0),1),"")</f>
        <v>Sulfites</v>
      </c>
      <c r="E209" s="17" t="str">
        <f>IFERROR(INDEX(HS_MD!E:E,MATCH(B209,HS_MD!B:B,0),1),"")</f>
        <v>Sodium Metabisulfite</v>
      </c>
      <c r="F209" s="17" t="str">
        <f>IFERROR(INDEX(HS_MD!F:F,MATCH(B209,HS_MD!B:B,0),1),"")</f>
        <v>PRESERVATIVES</v>
      </c>
      <c r="G209" s="17" t="str">
        <f>IFERROR(INDEX(HS_MD!G:G,MATCH(B209,HS_MD!B:B,0),1),"")</f>
        <v>Sulfites</v>
      </c>
      <c r="H209" s="17" t="str">
        <f>IFERROR(INDEX(HS_MD!H:H,MATCH(B209,HS_MD!B:B,0),1),"")</f>
        <v>Sodium Metabisulfite</v>
      </c>
      <c r="I209" s="17" t="str">
        <f>IFERROR(INDEX(HS_MD!I:I,MATCH(B209,HS_MD!B:B,0),1),"")</f>
        <v>Beverages / Food Processing</v>
      </c>
      <c r="J209" s="17">
        <f>IFERROR(INDEX(Heat_Map[Index],MATCH(HS_DB[[#This Row],[Reporter]],Heat_Map[Global],0),1),"")</f>
        <v>175</v>
      </c>
      <c r="K209" s="17" t="str">
        <f>IF(AND(HS_DB[[#This Row],[Origin Rank]]&gt;1,HS_DB[[#This Row],[Origin Rank]]&lt;=10),"Yes","No")</f>
        <v>Yes</v>
      </c>
      <c r="L209" s="2">
        <v>2024</v>
      </c>
      <c r="M209" s="2" t="s">
        <v>57</v>
      </c>
      <c r="N209" s="2" t="s">
        <v>34</v>
      </c>
      <c r="O209" s="2" t="s">
        <v>22</v>
      </c>
      <c r="P209" s="2" t="s">
        <v>23</v>
      </c>
      <c r="Q209" s="2" t="s">
        <v>24</v>
      </c>
      <c r="R209" s="2" t="s">
        <v>25</v>
      </c>
      <c r="S209" s="2">
        <v>283210</v>
      </c>
      <c r="T209" s="3">
        <v>3395005</v>
      </c>
      <c r="U209" s="3">
        <v>8263530</v>
      </c>
      <c r="V209" s="3">
        <v>0</v>
      </c>
      <c r="W209" s="3">
        <v>8263530</v>
      </c>
      <c r="X209" s="3" t="s">
        <v>58</v>
      </c>
      <c r="Y209" s="3">
        <v>8263530</v>
      </c>
      <c r="Z209" s="3" t="s">
        <v>58</v>
      </c>
      <c r="AA209" s="6">
        <f>SUMIFS(HS_DB[Trade Value - USD],HS_DB[Reporter],HS_DB[[#This Row],[Reporter]])/SUM(HS_DB[Trade Value - USD])</f>
        <v>4.7522902002533667E-2</v>
      </c>
      <c r="AB209" s="8" cm="1">
        <f t="array" ref="AB209">SUMPRODUCT(
(HS_DB[Reporter]=HS_DB[[#This Row],[Reporter]])*
(HS_DB[Trade Value - USD]&gt;HS_DB[[#This Row],[Trade Value - USD]])
)+1</f>
        <v>8</v>
      </c>
      <c r="AC209" s="8" t="str">
        <f>IFERROR(IF(INDEX(Heat_Map[Crisis Impact %],MATCH(HS_DB[[#This Row],[Reporter]],Heat_Map[Global],0),1)&gt;0,"Yes","No"),"No")</f>
        <v>Yes</v>
      </c>
      <c r="AD209" s="6">
        <f>IFERROR(INDEX(Heat_Map[Crisis Impact %],MATCH(HS_DB[[#This Row],[Reporter]],Heat_Map[Global],0),1),0)</f>
        <v>0.1</v>
      </c>
      <c r="AE209" s="8">
        <f>HS_DB[[#This Row],[Crisis Impact%]]*HS_DB[[#This Row],[Trade Value - USD]]</f>
        <v>339500.5</v>
      </c>
      <c r="AF209" s="8">
        <f>HS_DB[[#This Row],[Crisis Impact%]]*HS_DB[[#This Row],[Net Weight -KG]]</f>
        <v>826353</v>
      </c>
      <c r="AG209" s="6">
        <f>SUMIFS(HS_DB[Trade Value - USD],HS_DB[Products],HS_DB[[#This Row],[Products]])/SUM(HS_DB[Trade Value - USD])</f>
        <v>2.7944449810822212E-3</v>
      </c>
      <c r="AH209" s="8">
        <f>_xlfn.RANK.EQ(HS_DB[[#This Row],[Trade Value - USD]], HS_DB[Trade Value - USD], 0)
 + COUNTIFS(HS_DB[Trade Value - USD],HS_DB[[#This Row],[Trade Value - USD]],
            HS_DB[HS Code],"&lt;"&amp;HS_DB[[#This Row],[HS Code]])</f>
        <v>41</v>
      </c>
      <c r="AI209" s="9">
        <f>IFERROR(HS_DB[[#This Row],[Trade Value - USD]]/HS_DB[[#This Row],[Net Weight -KG]],0)</f>
        <v>0.41084197673391398</v>
      </c>
      <c r="AJ209" s="17" cm="1">
        <f t="array" ref="AJ209">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09" s="17" t="str">
        <f>IF(HS_DB[[#This Row],[HS Code Risk Score]]&gt;=40,"High",
 IF(HS_DB[[#This Row],[HS Code Risk Score]]&gt;=25,"Medium","Low"))</f>
        <v>Medium</v>
      </c>
      <c r="AL209" s="17" t="str">
        <f>IF(RANK(HS_DB[[#This Row],[HS Code Risk Score]],HS_DB[HS Code Risk Score])&lt;=10,"Yes","No")</f>
        <v>No</v>
      </c>
      <c r="AM209" s="8">
        <f>SUMIFS(HS_DB[Net Weight -KG],HS_DB[HS Code],HS_DB[[#This Row],[HS Code]])</f>
        <v>13115268</v>
      </c>
      <c r="AN209" s="8">
        <f>SUMIFS(HS_DB[Trade Value - USD],HS_DB[HS Code],HS_DB[[#This Row],[HS Code]])</f>
        <v>5267552</v>
      </c>
      <c r="AO209" s="6">
        <f>_xlfn.MAXIFS(HS_DB[Origin Share%],HS_DB[HS Code],HS_DB[[#This Row],[HS Code]])</f>
        <v>6.321329281187793E-2</v>
      </c>
      <c r="AP209" s="8" cm="1">
        <f t="array" ref="AP209">_xlfn.LET(
_xlpm.hs,HS_DB[[#This Row],[HS Code]],
COUNTA(_xlfn.UNIQUE(_xlfn._xlws.FILTER(HS_DB[Reporter],HS_DB[HS Code]=_xlpm.hs)))
)</f>
        <v>11</v>
      </c>
      <c r="AQ209" s="17" t="str">
        <f>IF(HS_DB[[#This Row],[Origin Count]]=1,"Single Source","Multiple Sources")</f>
        <v>Multiple Sources</v>
      </c>
      <c r="AR209" s="8">
        <f>HS_DB[[#This Row],[Annual Spend - USD]]*(HS_DB[[#This Row],[HS Code Risk Score]]/100)</f>
        <v>1790967.6800000002</v>
      </c>
      <c r="AS209" s="8">
        <f>RANK(HS_DB[[#This Row],[Risk Exposure - USD]],HS_DB[Risk Exposure - USD],0)</f>
        <v>396</v>
      </c>
      <c r="AT209" s="8" t="str">
        <f>IF(HS_DB[[#This Row],[Risk Exposure Rank]]&lt;=10,"High",
 IF(HS_DB[[#This Row],[Risk Exposure Rank]]&lt;=30,"Medium",
 "Low"))</f>
        <v>Low</v>
      </c>
      <c r="AU209" s="8" t="str">
        <f>IF(HS_DB[[#This Row],[Risk Exposure Rank]]&lt;=5,"Immediate Action",
 IF(HS_DB[[#This Row],[Risk Exposure Rank]]&lt;=15,"Monitor Closely",
 "Routine Control"))</f>
        <v>Routine Control</v>
      </c>
      <c r="AV209" s="8">
        <f>SUMIFS(HS_DB[Trade Value - USD],HS_DB[HS Code],HS_DB[[#This Row],[HS Code]])</f>
        <v>5267552</v>
      </c>
      <c r="AW209" s="6">
        <f>HS_DB[[#This Row],[Annual Spend - USD]]/HS_DB[[#This Row],[Total Market Size - USD]]</f>
        <v>1</v>
      </c>
      <c r="AX209" s="6" cm="1">
        <f t="array" ref="AX209">COUNTA(_xlfn.UNIQUE(_xlfn._xlws.FILTER(HS_DB[Partner],HS_DB[HS Code]=HS_DB[[#This Row],[HS Code]])))</f>
        <v>1</v>
      </c>
      <c r="AY209" s="8" t="str">
        <f>IF(HS_DB[[#This Row],[Competition Intensity]]&lt;=2,"Highly Concentrated",
 IF(HS_DB[[#This Row],[Competition Intensity]]&lt;=5,"Moderate",
 "Highly Competitive"))</f>
        <v>Highly Concentrated</v>
      </c>
      <c r="AZ209" s="8">
        <f>HS_DB[[#This Row],[Total Market Size - USD]]
*
(1+IFERROR(#REF!,0))
/
HS_DB[[#This Row],[Competition Intensity]]</f>
        <v>5267552</v>
      </c>
      <c r="BA209" s="8" t="str">
        <f>IF(HS_DB[[#This Row],[Commercial Opportunity Score]]&gt;=PERCENTILE(HS_DB[Commercial Opportunity Score],0.9),"High Opportunity",
 IF(HS_DB[[#This Row],[Commercial Opportunity Score]]&gt;=PERCENTILE(HS_DB[Commercial Opportunity Score],0.6),"Medium Opportunity",
 "Routine Market"))</f>
        <v>Routine Market</v>
      </c>
      <c r="BB209" s="3" t="str">
        <f>IF(AND(HS_DB[[#This Row],[Product Rank]]&gt;0,HS_DB[[#This Row],[Product Rank]]&lt;=10),"Yes","No")</f>
        <v>No</v>
      </c>
      <c r="BC209" s="3" t="str">
        <f>IF(AND(HS_DB[[#This Row],[Origin Rank]]&gt;0,HS_DB[[#This Row],[Origin Rank]]&lt;=10),"Yes","No")</f>
        <v>Yes</v>
      </c>
    </row>
    <row r="210" spans="2:55" x14ac:dyDescent="0.3">
      <c r="B210" s="2">
        <f>HS_DB[[#This Row],[Commodity Code]]</f>
        <v>292320</v>
      </c>
      <c r="C210" s="2">
        <f>IFERROR(INDEX(HS_MD!C:C,MATCH(B210,HS_MD!B:B,0),1),"")</f>
        <v>16</v>
      </c>
      <c r="D210" s="17" t="str">
        <f>IFERROR(INDEX(HS_MD!D:D,MATCH(B210,HS_MD!B:B,0),1),"")</f>
        <v>Lecithins</v>
      </c>
      <c r="E210" s="17" t="str">
        <f>IFERROR(INDEX(HS_MD!E:E,MATCH(B210,HS_MD!B:B,0),1),"")</f>
        <v>Lecithin</v>
      </c>
      <c r="F210" s="17" t="str">
        <f>IFERROR(INDEX(HS_MD!F:F,MATCH(B210,HS_MD!B:B,0),1),"")</f>
        <v>FUNCTIONAL INGREDIENTS</v>
      </c>
      <c r="G210" s="17" t="str">
        <f>IFERROR(INDEX(HS_MD!G:G,MATCH(B210,HS_MD!B:B,0),1),"")</f>
        <v>Emulsifiers</v>
      </c>
      <c r="H210" s="17" t="str">
        <f>IFERROR(INDEX(HS_MD!H:H,MATCH(B210,HS_MD!B:B,0),1),"")</f>
        <v>Lecithin</v>
      </c>
      <c r="I210" s="17" t="str">
        <f>IFERROR(INDEX(HS_MD!I:I,MATCH(B210,HS_MD!B:B,0),1),"")</f>
        <v>Bakery / Chocolate / Sauces</v>
      </c>
      <c r="J210" s="17">
        <f>IFERROR(INDEX(Heat_Map[Index],MATCH(HS_DB[[#This Row],[Reporter]],Heat_Map[Global],0),1),"")</f>
        <v>24</v>
      </c>
      <c r="K210" s="17" t="str">
        <f>IF(AND(HS_DB[[#This Row],[Origin Rank]]&gt;1,HS_DB[[#This Row],[Origin Rank]]&lt;=10),"Yes","No")</f>
        <v>No</v>
      </c>
      <c r="L210" s="2">
        <v>2024</v>
      </c>
      <c r="M210" s="2" t="s">
        <v>57</v>
      </c>
      <c r="N210" s="2" t="s">
        <v>38</v>
      </c>
      <c r="O210" s="2" t="s">
        <v>22</v>
      </c>
      <c r="P210" s="2" t="s">
        <v>23</v>
      </c>
      <c r="Q210" s="2" t="s">
        <v>24</v>
      </c>
      <c r="R210" s="2" t="s">
        <v>25</v>
      </c>
      <c r="S210" s="2">
        <v>292320</v>
      </c>
      <c r="T210" s="3">
        <v>2445031</v>
      </c>
      <c r="U210" s="3">
        <v>2438440</v>
      </c>
      <c r="V210" s="3">
        <v>0</v>
      </c>
      <c r="W210" s="3">
        <v>2438440</v>
      </c>
      <c r="X210" s="3" t="s">
        <v>58</v>
      </c>
      <c r="Y210" s="3">
        <v>2438440</v>
      </c>
      <c r="Z210" s="3" t="s">
        <v>58</v>
      </c>
      <c r="AA210" s="6">
        <f>SUMIFS(HS_DB[Trade Value - USD],HS_DB[Reporter],HS_DB[[#This Row],[Reporter]])/SUM(HS_DB[Trade Value - USD])</f>
        <v>1.3771095818184687E-3</v>
      </c>
      <c r="AB210" s="8" cm="1">
        <f t="array" ref="AB210">SUMPRODUCT(
(HS_DB[Reporter]=HS_DB[[#This Row],[Reporter]])*
(HS_DB[Trade Value - USD]&gt;HS_DB[[#This Row],[Trade Value - USD]])
)+1</f>
        <v>1</v>
      </c>
      <c r="AC210" s="8" t="str">
        <f>IFERROR(IF(INDEX(Heat_Map[Crisis Impact %],MATCH(HS_DB[[#This Row],[Reporter]],Heat_Map[Global],0),1)&gt;0,"Yes","No"),"No")</f>
        <v>No</v>
      </c>
      <c r="AD210" s="6">
        <f>IFERROR(INDEX(Heat_Map[Crisis Impact %],MATCH(HS_DB[[#This Row],[Reporter]],Heat_Map[Global],0),1),0)</f>
        <v>0</v>
      </c>
      <c r="AE210" s="8">
        <f>HS_DB[[#This Row],[Crisis Impact%]]*HS_DB[[#This Row],[Trade Value - USD]]</f>
        <v>0</v>
      </c>
      <c r="AF210" s="8">
        <f>HS_DB[[#This Row],[Crisis Impact%]]*HS_DB[[#This Row],[Net Weight -KG]]</f>
        <v>0</v>
      </c>
      <c r="AG210" s="6">
        <f>SUMIFS(HS_DB[Trade Value - USD],HS_DB[Products],HS_DB[[#This Row],[Products]])/SUM(HS_DB[Trade Value - USD])</f>
        <v>2.7891765692835096E-3</v>
      </c>
      <c r="AH210" s="8">
        <f>_xlfn.RANK.EQ(HS_DB[[#This Row],[Trade Value - USD]], HS_DB[Trade Value - USD], 0)
 + COUNTIFS(HS_DB[Trade Value - USD],HS_DB[[#This Row],[Trade Value - USD]],
            HS_DB[HS Code],"&lt;"&amp;HS_DB[[#This Row],[HS Code]])</f>
        <v>55</v>
      </c>
      <c r="AI210" s="9">
        <f>IFERROR(HS_DB[[#This Row],[Trade Value - USD]]/HS_DB[[#This Row],[Net Weight -KG]],0)</f>
        <v>1.0027029576286479</v>
      </c>
      <c r="AJ210" s="17" cm="1">
        <f t="array" ref="AJ210">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10" s="17" t="str">
        <f>IF(HS_DB[[#This Row],[HS Code Risk Score]]&gt;=40,"High",
 IF(HS_DB[[#This Row],[HS Code Risk Score]]&gt;=25,"Medium","Low"))</f>
        <v>Medium</v>
      </c>
      <c r="AL210" s="17" t="str">
        <f>IF(RANK(HS_DB[[#This Row],[HS Code Risk Score]],HS_DB[HS Code Risk Score])&lt;=10,"Yes","No")</f>
        <v>No</v>
      </c>
      <c r="AM210" s="8">
        <f>SUMIFS(HS_DB[Net Weight -KG],HS_DB[HS Code],HS_DB[[#This Row],[HS Code]])</f>
        <v>4015418.8</v>
      </c>
      <c r="AN210" s="8">
        <f>SUMIFS(HS_DB[Trade Value - USD],HS_DB[HS Code],HS_DB[[#This Row],[HS Code]])</f>
        <v>5257621</v>
      </c>
      <c r="AO210" s="6">
        <f>_xlfn.MAXIFS(HS_DB[Origin Share%],HS_DB[HS Code],HS_DB[[#This Row],[HS Code]])</f>
        <v>6.321329281187793E-2</v>
      </c>
      <c r="AP210" s="8" cm="1">
        <f t="array" ref="AP210">_xlfn.LET(
_xlpm.hs,HS_DB[[#This Row],[HS Code]],
COUNTA(_xlfn.UNIQUE(_xlfn._xlws.FILTER(HS_DB[Reporter],HS_DB[HS Code]=_xlpm.hs)))
)</f>
        <v>14</v>
      </c>
      <c r="AQ210" s="17" t="str">
        <f>IF(HS_DB[[#This Row],[Origin Count]]=1,"Single Source","Multiple Sources")</f>
        <v>Multiple Sources</v>
      </c>
      <c r="AR210" s="8">
        <f>HS_DB[[#This Row],[Annual Spend - USD]]*(HS_DB[[#This Row],[HS Code Risk Score]]/100)</f>
        <v>1787591.1400000001</v>
      </c>
      <c r="AS210" s="8">
        <f>RANK(HS_DB[[#This Row],[Risk Exposure - USD]],HS_DB[Risk Exposure - USD],0)</f>
        <v>407</v>
      </c>
      <c r="AT210" s="8" t="str">
        <f>IF(HS_DB[[#This Row],[Risk Exposure Rank]]&lt;=10,"High",
 IF(HS_DB[[#This Row],[Risk Exposure Rank]]&lt;=30,"Medium",
 "Low"))</f>
        <v>Low</v>
      </c>
      <c r="AU210" s="8" t="str">
        <f>IF(HS_DB[[#This Row],[Risk Exposure Rank]]&lt;=5,"Immediate Action",
 IF(HS_DB[[#This Row],[Risk Exposure Rank]]&lt;=15,"Monitor Closely",
 "Routine Control"))</f>
        <v>Routine Control</v>
      </c>
      <c r="AV210" s="8">
        <f>SUMIFS(HS_DB[Trade Value - USD],HS_DB[HS Code],HS_DB[[#This Row],[HS Code]])</f>
        <v>5257621</v>
      </c>
      <c r="AW210" s="6">
        <f>HS_DB[[#This Row],[Annual Spend - USD]]/HS_DB[[#This Row],[Total Market Size - USD]]</f>
        <v>1</v>
      </c>
      <c r="AX210" s="6" cm="1">
        <f t="array" ref="AX210">COUNTA(_xlfn.UNIQUE(_xlfn._xlws.FILTER(HS_DB[Partner],HS_DB[HS Code]=HS_DB[[#This Row],[HS Code]])))</f>
        <v>1</v>
      </c>
      <c r="AY210" s="8" t="str">
        <f>IF(HS_DB[[#This Row],[Competition Intensity]]&lt;=2,"Highly Concentrated",
 IF(HS_DB[[#This Row],[Competition Intensity]]&lt;=5,"Moderate",
 "Highly Competitive"))</f>
        <v>Highly Concentrated</v>
      </c>
      <c r="AZ210" s="8">
        <f>HS_DB[[#This Row],[Total Market Size - USD]]
*
(1+IFERROR(#REF!,0))
/
HS_DB[[#This Row],[Competition Intensity]]</f>
        <v>5257621</v>
      </c>
      <c r="BA210" s="8" t="str">
        <f>IF(HS_DB[[#This Row],[Commercial Opportunity Score]]&gt;=PERCENTILE(HS_DB[Commercial Opportunity Score],0.9),"High Opportunity",
 IF(HS_DB[[#This Row],[Commercial Opportunity Score]]&gt;=PERCENTILE(HS_DB[Commercial Opportunity Score],0.6),"Medium Opportunity",
 "Routine Market"))</f>
        <v>Routine Market</v>
      </c>
      <c r="BB210" s="3" t="str">
        <f>IF(AND(HS_DB[[#This Row],[Product Rank]]&gt;0,HS_DB[[#This Row],[Product Rank]]&lt;=10),"Yes","No")</f>
        <v>No</v>
      </c>
      <c r="BC210" s="3" t="str">
        <f>IF(AND(HS_DB[[#This Row],[Origin Rank]]&gt;0,HS_DB[[#This Row],[Origin Rank]]&lt;=10),"Yes","No")</f>
        <v>Yes</v>
      </c>
    </row>
    <row r="211" spans="2:55" x14ac:dyDescent="0.3">
      <c r="B211" s="2">
        <f>HS_DB[[#This Row],[Commodity Code]]</f>
        <v>292320</v>
      </c>
      <c r="C211" s="2">
        <f>IFERROR(INDEX(HS_MD!C:C,MATCH(B211,HS_MD!B:B,0),1),"")</f>
        <v>16</v>
      </c>
      <c r="D211" s="17" t="str">
        <f>IFERROR(INDEX(HS_MD!D:D,MATCH(B211,HS_MD!B:B,0),1),"")</f>
        <v>Lecithins</v>
      </c>
      <c r="E211" s="17" t="str">
        <f>IFERROR(INDEX(HS_MD!E:E,MATCH(B211,HS_MD!B:B,0),1),"")</f>
        <v>Lecithin</v>
      </c>
      <c r="F211" s="17" t="str">
        <f>IFERROR(INDEX(HS_MD!F:F,MATCH(B211,HS_MD!B:B,0),1),"")</f>
        <v>FUNCTIONAL INGREDIENTS</v>
      </c>
      <c r="G211" s="17" t="str">
        <f>IFERROR(INDEX(HS_MD!G:G,MATCH(B211,HS_MD!B:B,0),1),"")</f>
        <v>Emulsifiers</v>
      </c>
      <c r="H211" s="17" t="str">
        <f>IFERROR(INDEX(HS_MD!H:H,MATCH(B211,HS_MD!B:B,0),1),"")</f>
        <v>Lecithin</v>
      </c>
      <c r="I211" s="17" t="str">
        <f>IFERROR(INDEX(HS_MD!I:I,MATCH(B211,HS_MD!B:B,0),1),"")</f>
        <v>Bakery / Chocolate / Sauces</v>
      </c>
      <c r="J211" s="17">
        <f>IFERROR(INDEX(Heat_Map[Index],MATCH(HS_DB[[#This Row],[Reporter]],Heat_Map[Global],0),1),"")</f>
        <v>36</v>
      </c>
      <c r="K211" s="17" t="str">
        <f>IF(AND(HS_DB[[#This Row],[Origin Rank]]&gt;1,HS_DB[[#This Row],[Origin Rank]]&lt;=10),"Yes","No")</f>
        <v>No</v>
      </c>
      <c r="L211" s="2">
        <v>2024</v>
      </c>
      <c r="M211" s="2" t="s">
        <v>57</v>
      </c>
      <c r="N211" s="2" t="s">
        <v>1</v>
      </c>
      <c r="O211" s="2" t="s">
        <v>22</v>
      </c>
      <c r="P211" s="2" t="s">
        <v>23</v>
      </c>
      <c r="Q211" s="2" t="s">
        <v>24</v>
      </c>
      <c r="R211" s="2" t="s">
        <v>25</v>
      </c>
      <c r="S211" s="2">
        <v>292320</v>
      </c>
      <c r="T211" s="3">
        <v>242280</v>
      </c>
      <c r="U211" s="3">
        <v>242400</v>
      </c>
      <c r="V211" s="3">
        <v>0</v>
      </c>
      <c r="W211" s="3">
        <v>242400</v>
      </c>
      <c r="X211" s="3" t="s">
        <v>58</v>
      </c>
      <c r="Y211" s="3">
        <v>242400</v>
      </c>
      <c r="Z211" s="3" t="s">
        <v>58</v>
      </c>
      <c r="AA211" s="6">
        <f>SUMIFS(HS_DB[Trade Value - USD],HS_DB[Reporter],HS_DB[[#This Row],[Reporter]])/SUM(HS_DB[Trade Value - USD])</f>
        <v>6.321329281187793E-2</v>
      </c>
      <c r="AB211" s="8" cm="1">
        <f t="array" ref="AB211">SUMPRODUCT(
(HS_DB[Reporter]=HS_DB[[#This Row],[Reporter]])*
(HS_DB[Trade Value - USD]&gt;HS_DB[[#This Row],[Trade Value - USD]])
)+1</f>
        <v>28</v>
      </c>
      <c r="AC211" s="8" t="str">
        <f>IFERROR(IF(INDEX(Heat_Map[Crisis Impact %],MATCH(HS_DB[[#This Row],[Reporter]],Heat_Map[Global],0),1)&gt;0,"Yes","No"),"No")</f>
        <v>Yes</v>
      </c>
      <c r="AD211" s="6">
        <f>IFERROR(INDEX(Heat_Map[Crisis Impact %],MATCH(HS_DB[[#This Row],[Reporter]],Heat_Map[Global],0),1),0)</f>
        <v>0.14000000000000001</v>
      </c>
      <c r="AE211" s="8">
        <f>HS_DB[[#This Row],[Crisis Impact%]]*HS_DB[[#This Row],[Trade Value - USD]]</f>
        <v>33919.200000000004</v>
      </c>
      <c r="AF211" s="8">
        <f>HS_DB[[#This Row],[Crisis Impact%]]*HS_DB[[#This Row],[Net Weight -KG]]</f>
        <v>33936</v>
      </c>
      <c r="AG211" s="6">
        <f>SUMIFS(HS_DB[Trade Value - USD],HS_DB[Products],HS_DB[[#This Row],[Products]])/SUM(HS_DB[Trade Value - USD])</f>
        <v>2.7891765692835096E-3</v>
      </c>
      <c r="AH211" s="8">
        <f>_xlfn.RANK.EQ(HS_DB[[#This Row],[Trade Value - USD]], HS_DB[Trade Value - USD], 0)
 + COUNTIFS(HS_DB[Trade Value - USD],HS_DB[[#This Row],[Trade Value - USD]],
            HS_DB[HS Code],"&lt;"&amp;HS_DB[[#This Row],[HS Code]])</f>
        <v>204</v>
      </c>
      <c r="AI211" s="9">
        <f>IFERROR(HS_DB[[#This Row],[Trade Value - USD]]/HS_DB[[#This Row],[Net Weight -KG]],0)</f>
        <v>0.9995049504950495</v>
      </c>
      <c r="AJ211" s="17" cm="1">
        <f t="array" ref="AJ211">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11" s="17" t="str">
        <f>IF(HS_DB[[#This Row],[HS Code Risk Score]]&gt;=40,"High",
 IF(HS_DB[[#This Row],[HS Code Risk Score]]&gt;=25,"Medium","Low"))</f>
        <v>Medium</v>
      </c>
      <c r="AL211" s="17" t="str">
        <f>IF(RANK(HS_DB[[#This Row],[HS Code Risk Score]],HS_DB[HS Code Risk Score])&lt;=10,"Yes","No")</f>
        <v>No</v>
      </c>
      <c r="AM211" s="8">
        <f>SUMIFS(HS_DB[Net Weight -KG],HS_DB[HS Code],HS_DB[[#This Row],[HS Code]])</f>
        <v>4015418.8</v>
      </c>
      <c r="AN211" s="8">
        <f>SUMIFS(HS_DB[Trade Value - USD],HS_DB[HS Code],HS_DB[[#This Row],[HS Code]])</f>
        <v>5257621</v>
      </c>
      <c r="AO211" s="6">
        <f>_xlfn.MAXIFS(HS_DB[Origin Share%],HS_DB[HS Code],HS_DB[[#This Row],[HS Code]])</f>
        <v>6.321329281187793E-2</v>
      </c>
      <c r="AP211" s="8" cm="1">
        <f t="array" ref="AP211">_xlfn.LET(
_xlpm.hs,HS_DB[[#This Row],[HS Code]],
COUNTA(_xlfn.UNIQUE(_xlfn._xlws.FILTER(HS_DB[Reporter],HS_DB[HS Code]=_xlpm.hs)))
)</f>
        <v>14</v>
      </c>
      <c r="AQ211" s="17" t="str">
        <f>IF(HS_DB[[#This Row],[Origin Count]]=1,"Single Source","Multiple Sources")</f>
        <v>Multiple Sources</v>
      </c>
      <c r="AR211" s="8">
        <f>HS_DB[[#This Row],[Annual Spend - USD]]*(HS_DB[[#This Row],[HS Code Risk Score]]/100)</f>
        <v>1787591.1400000001</v>
      </c>
      <c r="AS211" s="8">
        <f>RANK(HS_DB[[#This Row],[Risk Exposure - USD]],HS_DB[Risk Exposure - USD],0)</f>
        <v>407</v>
      </c>
      <c r="AT211" s="8" t="str">
        <f>IF(HS_DB[[#This Row],[Risk Exposure Rank]]&lt;=10,"High",
 IF(HS_DB[[#This Row],[Risk Exposure Rank]]&lt;=30,"Medium",
 "Low"))</f>
        <v>Low</v>
      </c>
      <c r="AU211" s="8" t="str">
        <f>IF(HS_DB[[#This Row],[Risk Exposure Rank]]&lt;=5,"Immediate Action",
 IF(HS_DB[[#This Row],[Risk Exposure Rank]]&lt;=15,"Monitor Closely",
 "Routine Control"))</f>
        <v>Routine Control</v>
      </c>
      <c r="AV211" s="8">
        <f>SUMIFS(HS_DB[Trade Value - USD],HS_DB[HS Code],HS_DB[[#This Row],[HS Code]])</f>
        <v>5257621</v>
      </c>
      <c r="AW211" s="6">
        <f>HS_DB[[#This Row],[Annual Spend - USD]]/HS_DB[[#This Row],[Total Market Size - USD]]</f>
        <v>1</v>
      </c>
      <c r="AX211" s="6" cm="1">
        <f t="array" ref="AX211">COUNTA(_xlfn.UNIQUE(_xlfn._xlws.FILTER(HS_DB[Partner],HS_DB[HS Code]=HS_DB[[#This Row],[HS Code]])))</f>
        <v>1</v>
      </c>
      <c r="AY211" s="8" t="str">
        <f>IF(HS_DB[[#This Row],[Competition Intensity]]&lt;=2,"Highly Concentrated",
 IF(HS_DB[[#This Row],[Competition Intensity]]&lt;=5,"Moderate",
 "Highly Competitive"))</f>
        <v>Highly Concentrated</v>
      </c>
      <c r="AZ211" s="8">
        <f>HS_DB[[#This Row],[Total Market Size - USD]]
*
(1+IFERROR(#REF!,0))
/
HS_DB[[#This Row],[Competition Intensity]]</f>
        <v>5257621</v>
      </c>
      <c r="BA211" s="8" t="str">
        <f>IF(HS_DB[[#This Row],[Commercial Opportunity Score]]&gt;=PERCENTILE(HS_DB[Commercial Opportunity Score],0.9),"High Opportunity",
 IF(HS_DB[[#This Row],[Commercial Opportunity Score]]&gt;=PERCENTILE(HS_DB[Commercial Opportunity Score],0.6),"Medium Opportunity",
 "Routine Market"))</f>
        <v>Routine Market</v>
      </c>
      <c r="BB211" s="3" t="str">
        <f>IF(AND(HS_DB[[#This Row],[Product Rank]]&gt;0,HS_DB[[#This Row],[Product Rank]]&lt;=10),"Yes","No")</f>
        <v>No</v>
      </c>
      <c r="BC211" s="3" t="str">
        <f>IF(AND(HS_DB[[#This Row],[Origin Rank]]&gt;0,HS_DB[[#This Row],[Origin Rank]]&lt;=10),"Yes","No")</f>
        <v>No</v>
      </c>
    </row>
    <row r="212" spans="2:55" x14ac:dyDescent="0.3">
      <c r="B212" s="2">
        <f>HS_DB[[#This Row],[Commodity Code]]</f>
        <v>292320</v>
      </c>
      <c r="C212" s="2">
        <f>IFERROR(INDEX(HS_MD!C:C,MATCH(B212,HS_MD!B:B,0),1),"")</f>
        <v>16</v>
      </c>
      <c r="D212" s="17" t="str">
        <f>IFERROR(INDEX(HS_MD!D:D,MATCH(B212,HS_MD!B:B,0),1),"")</f>
        <v>Lecithins</v>
      </c>
      <c r="E212" s="17" t="str">
        <f>IFERROR(INDEX(HS_MD!E:E,MATCH(B212,HS_MD!B:B,0),1),"")</f>
        <v>Lecithin</v>
      </c>
      <c r="F212" s="17" t="str">
        <f>IFERROR(INDEX(HS_MD!F:F,MATCH(B212,HS_MD!B:B,0),1),"")</f>
        <v>FUNCTIONAL INGREDIENTS</v>
      </c>
      <c r="G212" s="17" t="str">
        <f>IFERROR(INDEX(HS_MD!G:G,MATCH(B212,HS_MD!B:B,0),1),"")</f>
        <v>Emulsifiers</v>
      </c>
      <c r="H212" s="17" t="str">
        <f>IFERROR(INDEX(HS_MD!H:H,MATCH(B212,HS_MD!B:B,0),1),"")</f>
        <v>Lecithin</v>
      </c>
      <c r="I212" s="17" t="str">
        <f>IFERROR(INDEX(HS_MD!I:I,MATCH(B212,HS_MD!B:B,0),1),"")</f>
        <v>Bakery / Chocolate / Sauces</v>
      </c>
      <c r="J212" s="17">
        <f>IFERROR(INDEX(Heat_Map[Index],MATCH(HS_DB[[#This Row],[Reporter]],Heat_Map[Global],0),1),"")</f>
        <v>45</v>
      </c>
      <c r="K212" s="17" t="str">
        <f>IF(AND(HS_DB[[#This Row],[Origin Rank]]&gt;1,HS_DB[[#This Row],[Origin Rank]]&lt;=10),"Yes","No")</f>
        <v>No</v>
      </c>
      <c r="L212" s="2">
        <v>2024</v>
      </c>
      <c r="M212" s="2" t="s">
        <v>57</v>
      </c>
      <c r="N212" s="2" t="s">
        <v>42</v>
      </c>
      <c r="O212" s="2" t="s">
        <v>22</v>
      </c>
      <c r="P212" s="2" t="s">
        <v>23</v>
      </c>
      <c r="Q212" s="2" t="s">
        <v>24</v>
      </c>
      <c r="R212" s="2" t="s">
        <v>25</v>
      </c>
      <c r="S212" s="2">
        <v>292320</v>
      </c>
      <c r="T212" s="3">
        <v>362757</v>
      </c>
      <c r="U212" s="3">
        <v>43200</v>
      </c>
      <c r="V212" s="3">
        <v>0</v>
      </c>
      <c r="W212" s="3">
        <v>43200</v>
      </c>
      <c r="X212" s="3" t="s">
        <v>58</v>
      </c>
      <c r="Y212" s="3">
        <v>43200</v>
      </c>
      <c r="Z212" s="3" t="s">
        <v>58</v>
      </c>
      <c r="AA212" s="6">
        <f>SUMIFS(HS_DB[Trade Value - USD],HS_DB[Reporter],HS_DB[[#This Row],[Reporter]])/SUM(HS_DB[Trade Value - USD])</f>
        <v>4.8573207719329804E-4</v>
      </c>
      <c r="AB212" s="8" cm="1">
        <f t="array" ref="AB212">SUMPRODUCT(
(HS_DB[Reporter]=HS_DB[[#This Row],[Reporter]])*
(HS_DB[Trade Value - USD]&gt;HS_DB[[#This Row],[Trade Value - USD]])
)+1</f>
        <v>1</v>
      </c>
      <c r="AC212" s="8" t="str">
        <f>IFERROR(IF(INDEX(Heat_Map[Crisis Impact %],MATCH(HS_DB[[#This Row],[Reporter]],Heat_Map[Global],0),1)&gt;0,"Yes","No"),"No")</f>
        <v>No</v>
      </c>
      <c r="AD212" s="6">
        <f>IFERROR(INDEX(Heat_Map[Crisis Impact %],MATCH(HS_DB[[#This Row],[Reporter]],Heat_Map[Global],0),1),0)</f>
        <v>0</v>
      </c>
      <c r="AE212" s="8">
        <f>HS_DB[[#This Row],[Crisis Impact%]]*HS_DB[[#This Row],[Trade Value - USD]]</f>
        <v>0</v>
      </c>
      <c r="AF212" s="8">
        <f>HS_DB[[#This Row],[Crisis Impact%]]*HS_DB[[#This Row],[Net Weight -KG]]</f>
        <v>0</v>
      </c>
      <c r="AG212" s="6">
        <f>SUMIFS(HS_DB[Trade Value - USD],HS_DB[Products],HS_DB[[#This Row],[Products]])/SUM(HS_DB[Trade Value - USD])</f>
        <v>2.7891765692835096E-3</v>
      </c>
      <c r="AH212" s="8">
        <f>_xlfn.RANK.EQ(HS_DB[[#This Row],[Trade Value - USD]], HS_DB[Trade Value - USD], 0)
 + COUNTIFS(HS_DB[Trade Value - USD],HS_DB[[#This Row],[Trade Value - USD]],
            HS_DB[HS Code],"&lt;"&amp;HS_DB[[#This Row],[HS Code]])</f>
        <v>173</v>
      </c>
      <c r="AI212" s="9">
        <f>IFERROR(HS_DB[[#This Row],[Trade Value - USD]]/HS_DB[[#This Row],[Net Weight -KG]],0)</f>
        <v>8.3971527777777784</v>
      </c>
      <c r="AJ212" s="17" cm="1">
        <f t="array" ref="AJ212">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12" s="17" t="str">
        <f>IF(HS_DB[[#This Row],[HS Code Risk Score]]&gt;=40,"High",
 IF(HS_DB[[#This Row],[HS Code Risk Score]]&gt;=25,"Medium","Low"))</f>
        <v>Medium</v>
      </c>
      <c r="AL212" s="17" t="str">
        <f>IF(RANK(HS_DB[[#This Row],[HS Code Risk Score]],HS_DB[HS Code Risk Score])&lt;=10,"Yes","No")</f>
        <v>No</v>
      </c>
      <c r="AM212" s="8">
        <f>SUMIFS(HS_DB[Net Weight -KG],HS_DB[HS Code],HS_DB[[#This Row],[HS Code]])</f>
        <v>4015418.8</v>
      </c>
      <c r="AN212" s="8">
        <f>SUMIFS(HS_DB[Trade Value - USD],HS_DB[HS Code],HS_DB[[#This Row],[HS Code]])</f>
        <v>5257621</v>
      </c>
      <c r="AO212" s="6">
        <f>_xlfn.MAXIFS(HS_DB[Origin Share%],HS_DB[HS Code],HS_DB[[#This Row],[HS Code]])</f>
        <v>6.321329281187793E-2</v>
      </c>
      <c r="AP212" s="8" cm="1">
        <f t="array" ref="AP212">_xlfn.LET(
_xlpm.hs,HS_DB[[#This Row],[HS Code]],
COUNTA(_xlfn.UNIQUE(_xlfn._xlws.FILTER(HS_DB[Reporter],HS_DB[HS Code]=_xlpm.hs)))
)</f>
        <v>14</v>
      </c>
      <c r="AQ212" s="17" t="str">
        <f>IF(HS_DB[[#This Row],[Origin Count]]=1,"Single Source","Multiple Sources")</f>
        <v>Multiple Sources</v>
      </c>
      <c r="AR212" s="8">
        <f>HS_DB[[#This Row],[Annual Spend - USD]]*(HS_DB[[#This Row],[HS Code Risk Score]]/100)</f>
        <v>1787591.1400000001</v>
      </c>
      <c r="AS212" s="8">
        <f>RANK(HS_DB[[#This Row],[Risk Exposure - USD]],HS_DB[Risk Exposure - USD],0)</f>
        <v>407</v>
      </c>
      <c r="AT212" s="8" t="str">
        <f>IF(HS_DB[[#This Row],[Risk Exposure Rank]]&lt;=10,"High",
 IF(HS_DB[[#This Row],[Risk Exposure Rank]]&lt;=30,"Medium",
 "Low"))</f>
        <v>Low</v>
      </c>
      <c r="AU212" s="8" t="str">
        <f>IF(HS_DB[[#This Row],[Risk Exposure Rank]]&lt;=5,"Immediate Action",
 IF(HS_DB[[#This Row],[Risk Exposure Rank]]&lt;=15,"Monitor Closely",
 "Routine Control"))</f>
        <v>Routine Control</v>
      </c>
      <c r="AV212" s="8">
        <f>SUMIFS(HS_DB[Trade Value - USD],HS_DB[HS Code],HS_DB[[#This Row],[HS Code]])</f>
        <v>5257621</v>
      </c>
      <c r="AW212" s="6">
        <f>HS_DB[[#This Row],[Annual Spend - USD]]/HS_DB[[#This Row],[Total Market Size - USD]]</f>
        <v>1</v>
      </c>
      <c r="AX212" s="6" cm="1">
        <f t="array" ref="AX212">COUNTA(_xlfn.UNIQUE(_xlfn._xlws.FILTER(HS_DB[Partner],HS_DB[HS Code]=HS_DB[[#This Row],[HS Code]])))</f>
        <v>1</v>
      </c>
      <c r="AY212" s="8" t="str">
        <f>IF(HS_DB[[#This Row],[Competition Intensity]]&lt;=2,"Highly Concentrated",
 IF(HS_DB[[#This Row],[Competition Intensity]]&lt;=5,"Moderate",
 "Highly Competitive"))</f>
        <v>Highly Concentrated</v>
      </c>
      <c r="AZ212" s="8">
        <f>HS_DB[[#This Row],[Total Market Size - USD]]
*
(1+IFERROR(#REF!,0))
/
HS_DB[[#This Row],[Competition Intensity]]</f>
        <v>5257621</v>
      </c>
      <c r="BA212" s="8" t="str">
        <f>IF(HS_DB[[#This Row],[Commercial Opportunity Score]]&gt;=PERCENTILE(HS_DB[Commercial Opportunity Score],0.9),"High Opportunity",
 IF(HS_DB[[#This Row],[Commercial Opportunity Score]]&gt;=PERCENTILE(HS_DB[Commercial Opportunity Score],0.6),"Medium Opportunity",
 "Routine Market"))</f>
        <v>Routine Market</v>
      </c>
      <c r="BB212" s="3" t="str">
        <f>IF(AND(HS_DB[[#This Row],[Product Rank]]&gt;0,HS_DB[[#This Row],[Product Rank]]&lt;=10),"Yes","No")</f>
        <v>No</v>
      </c>
      <c r="BC212" s="3" t="str">
        <f>IF(AND(HS_DB[[#This Row],[Origin Rank]]&gt;0,HS_DB[[#This Row],[Origin Rank]]&lt;=10),"Yes","No")</f>
        <v>Yes</v>
      </c>
    </row>
    <row r="213" spans="2:55" x14ac:dyDescent="0.3">
      <c r="B213" s="2">
        <f>HS_DB[[#This Row],[Commodity Code]]</f>
        <v>292320</v>
      </c>
      <c r="C213" s="2">
        <f>IFERROR(INDEX(HS_MD!C:C,MATCH(B213,HS_MD!B:B,0),1),"")</f>
        <v>16</v>
      </c>
      <c r="D213" s="17" t="str">
        <f>IFERROR(INDEX(HS_MD!D:D,MATCH(B213,HS_MD!B:B,0),1),"")</f>
        <v>Lecithins</v>
      </c>
      <c r="E213" s="17" t="str">
        <f>IFERROR(INDEX(HS_MD!E:E,MATCH(B213,HS_MD!B:B,0),1),"")</f>
        <v>Lecithin</v>
      </c>
      <c r="F213" s="17" t="str">
        <f>IFERROR(INDEX(HS_MD!F:F,MATCH(B213,HS_MD!B:B,0),1),"")</f>
        <v>FUNCTIONAL INGREDIENTS</v>
      </c>
      <c r="G213" s="17" t="str">
        <f>IFERROR(INDEX(HS_MD!G:G,MATCH(B213,HS_MD!B:B,0),1),"")</f>
        <v>Emulsifiers</v>
      </c>
      <c r="H213" s="17" t="str">
        <f>IFERROR(INDEX(HS_MD!H:H,MATCH(B213,HS_MD!B:B,0),1),"")</f>
        <v>Lecithin</v>
      </c>
      <c r="I213" s="17" t="str">
        <f>IFERROR(INDEX(HS_MD!I:I,MATCH(B213,HS_MD!B:B,0),1),"")</f>
        <v>Bakery / Chocolate / Sauces</v>
      </c>
      <c r="J213" s="17">
        <f>IFERROR(INDEX(Heat_Map[Index],MATCH(HS_DB[[#This Row],[Reporter]],Heat_Map[Global],0),1),"")</f>
        <v>59</v>
      </c>
      <c r="K213" s="17" t="str">
        <f>IF(AND(HS_DB[[#This Row],[Origin Rank]]&gt;1,HS_DB[[#This Row],[Origin Rank]]&lt;=10),"Yes","No")</f>
        <v>No</v>
      </c>
      <c r="L213" s="2">
        <v>2024</v>
      </c>
      <c r="M213" s="2" t="s">
        <v>57</v>
      </c>
      <c r="N213" s="2" t="s">
        <v>44</v>
      </c>
      <c r="O213" s="2" t="s">
        <v>22</v>
      </c>
      <c r="P213" s="2" t="s">
        <v>23</v>
      </c>
      <c r="Q213" s="2" t="s">
        <v>24</v>
      </c>
      <c r="R213" s="2" t="s">
        <v>25</v>
      </c>
      <c r="S213" s="2">
        <v>292320</v>
      </c>
      <c r="T213" s="3">
        <v>14342</v>
      </c>
      <c r="U213" s="3">
        <v>195</v>
      </c>
      <c r="V213" s="3">
        <v>0</v>
      </c>
      <c r="W213" s="3">
        <v>195</v>
      </c>
      <c r="X213" s="3" t="s">
        <v>58</v>
      </c>
      <c r="Y213" s="3">
        <v>195</v>
      </c>
      <c r="Z213" s="3" t="s">
        <v>58</v>
      </c>
      <c r="AA213" s="6">
        <f>SUMIFS(HS_DB[Trade Value - USD],HS_DB[Reporter],HS_DB[[#This Row],[Reporter]])/SUM(HS_DB[Trade Value - USD])</f>
        <v>1.6951290293147386E-2</v>
      </c>
      <c r="AB213" s="8" cm="1">
        <f t="array" ref="AB213">SUMPRODUCT(
(HS_DB[Reporter]=HS_DB[[#This Row],[Reporter]])*
(HS_DB[Trade Value - USD]&gt;HS_DB[[#This Row],[Trade Value - USD]])
)+1</f>
        <v>27</v>
      </c>
      <c r="AC213" s="8" t="str">
        <f>IFERROR(IF(INDEX(Heat_Map[Crisis Impact %],MATCH(HS_DB[[#This Row],[Reporter]],Heat_Map[Global],0),1)&gt;0,"Yes","No"),"No")</f>
        <v>No</v>
      </c>
      <c r="AD213" s="6">
        <f>IFERROR(INDEX(Heat_Map[Crisis Impact %],MATCH(HS_DB[[#This Row],[Reporter]],Heat_Map[Global],0),1),0)</f>
        <v>0</v>
      </c>
      <c r="AE213" s="8">
        <f>HS_DB[[#This Row],[Crisis Impact%]]*HS_DB[[#This Row],[Trade Value - USD]]</f>
        <v>0</v>
      </c>
      <c r="AF213" s="8">
        <f>HS_DB[[#This Row],[Crisis Impact%]]*HS_DB[[#This Row],[Net Weight -KG]]</f>
        <v>0</v>
      </c>
      <c r="AG213" s="6">
        <f>SUMIFS(HS_DB[Trade Value - USD],HS_DB[Products],HS_DB[[#This Row],[Products]])/SUM(HS_DB[Trade Value - USD])</f>
        <v>2.7891765692835096E-3</v>
      </c>
      <c r="AH213" s="8">
        <f>_xlfn.RANK.EQ(HS_DB[[#This Row],[Trade Value - USD]], HS_DB[Trade Value - USD], 0)
 + COUNTIFS(HS_DB[Trade Value - USD],HS_DB[[#This Row],[Trade Value - USD]],
            HS_DB[HS Code],"&lt;"&amp;HS_DB[[#This Row],[HS Code]])</f>
        <v>395</v>
      </c>
      <c r="AI213" s="9">
        <f>IFERROR(HS_DB[[#This Row],[Trade Value - USD]]/HS_DB[[#This Row],[Net Weight -KG]],0)</f>
        <v>73.54871794871795</v>
      </c>
      <c r="AJ213" s="17" cm="1">
        <f t="array" ref="AJ213">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13" s="17" t="str">
        <f>IF(HS_DB[[#This Row],[HS Code Risk Score]]&gt;=40,"High",
 IF(HS_DB[[#This Row],[HS Code Risk Score]]&gt;=25,"Medium","Low"))</f>
        <v>Medium</v>
      </c>
      <c r="AL213" s="17" t="str">
        <f>IF(RANK(HS_DB[[#This Row],[HS Code Risk Score]],HS_DB[HS Code Risk Score])&lt;=10,"Yes","No")</f>
        <v>No</v>
      </c>
      <c r="AM213" s="8">
        <f>SUMIFS(HS_DB[Net Weight -KG],HS_DB[HS Code],HS_DB[[#This Row],[HS Code]])</f>
        <v>4015418.8</v>
      </c>
      <c r="AN213" s="8">
        <f>SUMIFS(HS_DB[Trade Value - USD],HS_DB[HS Code],HS_DB[[#This Row],[HS Code]])</f>
        <v>5257621</v>
      </c>
      <c r="AO213" s="6">
        <f>_xlfn.MAXIFS(HS_DB[Origin Share%],HS_DB[HS Code],HS_DB[[#This Row],[HS Code]])</f>
        <v>6.321329281187793E-2</v>
      </c>
      <c r="AP213" s="8" cm="1">
        <f t="array" ref="AP213">_xlfn.LET(
_xlpm.hs,HS_DB[[#This Row],[HS Code]],
COUNTA(_xlfn.UNIQUE(_xlfn._xlws.FILTER(HS_DB[Reporter],HS_DB[HS Code]=_xlpm.hs)))
)</f>
        <v>14</v>
      </c>
      <c r="AQ213" s="17" t="str">
        <f>IF(HS_DB[[#This Row],[Origin Count]]=1,"Single Source","Multiple Sources")</f>
        <v>Multiple Sources</v>
      </c>
      <c r="AR213" s="8">
        <f>HS_DB[[#This Row],[Annual Spend - USD]]*(HS_DB[[#This Row],[HS Code Risk Score]]/100)</f>
        <v>1787591.1400000001</v>
      </c>
      <c r="AS213" s="8">
        <f>RANK(HS_DB[[#This Row],[Risk Exposure - USD]],HS_DB[Risk Exposure - USD],0)</f>
        <v>407</v>
      </c>
      <c r="AT213" s="8" t="str">
        <f>IF(HS_DB[[#This Row],[Risk Exposure Rank]]&lt;=10,"High",
 IF(HS_DB[[#This Row],[Risk Exposure Rank]]&lt;=30,"Medium",
 "Low"))</f>
        <v>Low</v>
      </c>
      <c r="AU213" s="8" t="str">
        <f>IF(HS_DB[[#This Row],[Risk Exposure Rank]]&lt;=5,"Immediate Action",
 IF(HS_DB[[#This Row],[Risk Exposure Rank]]&lt;=15,"Monitor Closely",
 "Routine Control"))</f>
        <v>Routine Control</v>
      </c>
      <c r="AV213" s="8">
        <f>SUMIFS(HS_DB[Trade Value - USD],HS_DB[HS Code],HS_DB[[#This Row],[HS Code]])</f>
        <v>5257621</v>
      </c>
      <c r="AW213" s="6">
        <f>HS_DB[[#This Row],[Annual Spend - USD]]/HS_DB[[#This Row],[Total Market Size - USD]]</f>
        <v>1</v>
      </c>
      <c r="AX213" s="6" cm="1">
        <f t="array" ref="AX213">COUNTA(_xlfn.UNIQUE(_xlfn._xlws.FILTER(HS_DB[Partner],HS_DB[HS Code]=HS_DB[[#This Row],[HS Code]])))</f>
        <v>1</v>
      </c>
      <c r="AY213" s="8" t="str">
        <f>IF(HS_DB[[#This Row],[Competition Intensity]]&lt;=2,"Highly Concentrated",
 IF(HS_DB[[#This Row],[Competition Intensity]]&lt;=5,"Moderate",
 "Highly Competitive"))</f>
        <v>Highly Concentrated</v>
      </c>
      <c r="AZ213" s="8">
        <f>HS_DB[[#This Row],[Total Market Size - USD]]
*
(1+IFERROR(#REF!,0))
/
HS_DB[[#This Row],[Competition Intensity]]</f>
        <v>5257621</v>
      </c>
      <c r="BA213" s="8" t="str">
        <f>IF(HS_DB[[#This Row],[Commercial Opportunity Score]]&gt;=PERCENTILE(HS_DB[Commercial Opportunity Score],0.9),"High Opportunity",
 IF(HS_DB[[#This Row],[Commercial Opportunity Score]]&gt;=PERCENTILE(HS_DB[Commercial Opportunity Score],0.6),"Medium Opportunity",
 "Routine Market"))</f>
        <v>Routine Market</v>
      </c>
      <c r="BB213" s="3" t="str">
        <f>IF(AND(HS_DB[[#This Row],[Product Rank]]&gt;0,HS_DB[[#This Row],[Product Rank]]&lt;=10),"Yes","No")</f>
        <v>No</v>
      </c>
      <c r="BC213" s="3" t="str">
        <f>IF(AND(HS_DB[[#This Row],[Origin Rank]]&gt;0,HS_DB[[#This Row],[Origin Rank]]&lt;=10),"Yes","No")</f>
        <v>No</v>
      </c>
    </row>
    <row r="214" spans="2:55" x14ac:dyDescent="0.3">
      <c r="B214" s="2">
        <f>HS_DB[[#This Row],[Commodity Code]]</f>
        <v>292320</v>
      </c>
      <c r="C214" s="2">
        <f>IFERROR(INDEX(HS_MD!C:C,MATCH(B214,HS_MD!B:B,0),1),"")</f>
        <v>16</v>
      </c>
      <c r="D214" s="17" t="str">
        <f>IFERROR(INDEX(HS_MD!D:D,MATCH(B214,HS_MD!B:B,0),1),"")</f>
        <v>Lecithins</v>
      </c>
      <c r="E214" s="17" t="str">
        <f>IFERROR(INDEX(HS_MD!E:E,MATCH(B214,HS_MD!B:B,0),1),"")</f>
        <v>Lecithin</v>
      </c>
      <c r="F214" s="17" t="str">
        <f>IFERROR(INDEX(HS_MD!F:F,MATCH(B214,HS_MD!B:B,0),1),"")</f>
        <v>FUNCTIONAL INGREDIENTS</v>
      </c>
      <c r="G214" s="17" t="str">
        <f>IFERROR(INDEX(HS_MD!G:G,MATCH(B214,HS_MD!B:B,0),1),"")</f>
        <v>Emulsifiers</v>
      </c>
      <c r="H214" s="17" t="str">
        <f>IFERROR(INDEX(HS_MD!H:H,MATCH(B214,HS_MD!B:B,0),1),"")</f>
        <v>Lecithin</v>
      </c>
      <c r="I214" s="17" t="str">
        <f>IFERROR(INDEX(HS_MD!I:I,MATCH(B214,HS_MD!B:B,0),1),"")</f>
        <v>Bakery / Chocolate / Sauces</v>
      </c>
      <c r="J214" s="17">
        <f>IFERROR(INDEX(Heat_Map[Index],MATCH(HS_DB[[#This Row],[Reporter]],Heat_Map[Global],0),1),"")</f>
        <v>63</v>
      </c>
      <c r="K214" s="17" t="str">
        <f>IF(AND(HS_DB[[#This Row],[Origin Rank]]&gt;1,HS_DB[[#This Row],[Origin Rank]]&lt;=10),"Yes","No")</f>
        <v>No</v>
      </c>
      <c r="L214" s="2">
        <v>2024</v>
      </c>
      <c r="M214" s="2" t="s">
        <v>57</v>
      </c>
      <c r="N214" s="2" t="s">
        <v>2</v>
      </c>
      <c r="O214" s="2" t="s">
        <v>22</v>
      </c>
      <c r="P214" s="2" t="s">
        <v>23</v>
      </c>
      <c r="Q214" s="2" t="s">
        <v>24</v>
      </c>
      <c r="R214" s="2" t="s">
        <v>25</v>
      </c>
      <c r="S214" s="2">
        <v>292320</v>
      </c>
      <c r="T214" s="3">
        <v>64462</v>
      </c>
      <c r="U214" s="3">
        <v>782.8</v>
      </c>
      <c r="V214" s="3">
        <v>0</v>
      </c>
      <c r="W214" s="3">
        <v>783</v>
      </c>
      <c r="X214" s="3" t="s">
        <v>58</v>
      </c>
      <c r="Y214" s="3">
        <v>0</v>
      </c>
      <c r="Z214" s="3" t="s">
        <v>26</v>
      </c>
      <c r="AA214" s="6">
        <f>SUMIFS(HS_DB[Trade Value - USD],HS_DB[Reporter],HS_DB[[#This Row],[Reporter]])/SUM(HS_DB[Trade Value - USD])</f>
        <v>1.1674623358397021E-2</v>
      </c>
      <c r="AB214" s="8" cm="1">
        <f t="array" ref="AB214">SUMPRODUCT(
(HS_DB[Reporter]=HS_DB[[#This Row],[Reporter]])*
(HS_DB[Trade Value - USD]&gt;HS_DB[[#This Row],[Trade Value - USD]])
)+1</f>
        <v>25</v>
      </c>
      <c r="AC214" s="8" t="str">
        <f>IFERROR(IF(INDEX(Heat_Map[Crisis Impact %],MATCH(HS_DB[[#This Row],[Reporter]],Heat_Map[Global],0),1)&gt;0,"Yes","No"),"No")</f>
        <v>No</v>
      </c>
      <c r="AD214" s="6">
        <f>IFERROR(INDEX(Heat_Map[Crisis Impact %],MATCH(HS_DB[[#This Row],[Reporter]],Heat_Map[Global],0),1),0)</f>
        <v>0</v>
      </c>
      <c r="AE214" s="8">
        <f>HS_DB[[#This Row],[Crisis Impact%]]*HS_DB[[#This Row],[Trade Value - USD]]</f>
        <v>0</v>
      </c>
      <c r="AF214" s="8">
        <f>HS_DB[[#This Row],[Crisis Impact%]]*HS_DB[[#This Row],[Net Weight -KG]]</f>
        <v>0</v>
      </c>
      <c r="AG214" s="6">
        <f>SUMIFS(HS_DB[Trade Value - USD],HS_DB[Products],HS_DB[[#This Row],[Products]])/SUM(HS_DB[Trade Value - USD])</f>
        <v>2.7891765692835096E-3</v>
      </c>
      <c r="AH214" s="8">
        <f>_xlfn.RANK.EQ(HS_DB[[#This Row],[Trade Value - USD]], HS_DB[Trade Value - USD], 0)
 + COUNTIFS(HS_DB[Trade Value - USD],HS_DB[[#This Row],[Trade Value - USD]],
            HS_DB[HS Code],"&lt;"&amp;HS_DB[[#This Row],[HS Code]])</f>
        <v>312</v>
      </c>
      <c r="AI214" s="9">
        <f>IFERROR(HS_DB[[#This Row],[Trade Value - USD]]/HS_DB[[#This Row],[Net Weight -KG]],0)</f>
        <v>82.347981604496681</v>
      </c>
      <c r="AJ214" s="17" cm="1">
        <f t="array" ref="AJ214">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14" s="17" t="str">
        <f>IF(HS_DB[[#This Row],[HS Code Risk Score]]&gt;=40,"High",
 IF(HS_DB[[#This Row],[HS Code Risk Score]]&gt;=25,"Medium","Low"))</f>
        <v>Medium</v>
      </c>
      <c r="AL214" s="17" t="str">
        <f>IF(RANK(HS_DB[[#This Row],[HS Code Risk Score]],HS_DB[HS Code Risk Score])&lt;=10,"Yes","No")</f>
        <v>No</v>
      </c>
      <c r="AM214" s="8">
        <f>SUMIFS(HS_DB[Net Weight -KG],HS_DB[HS Code],HS_DB[[#This Row],[HS Code]])</f>
        <v>4015418.8</v>
      </c>
      <c r="AN214" s="8">
        <f>SUMIFS(HS_DB[Trade Value - USD],HS_DB[HS Code],HS_DB[[#This Row],[HS Code]])</f>
        <v>5257621</v>
      </c>
      <c r="AO214" s="6">
        <f>_xlfn.MAXIFS(HS_DB[Origin Share%],HS_DB[HS Code],HS_DB[[#This Row],[HS Code]])</f>
        <v>6.321329281187793E-2</v>
      </c>
      <c r="AP214" s="8" cm="1">
        <f t="array" ref="AP214">_xlfn.LET(
_xlpm.hs,HS_DB[[#This Row],[HS Code]],
COUNTA(_xlfn.UNIQUE(_xlfn._xlws.FILTER(HS_DB[Reporter],HS_DB[HS Code]=_xlpm.hs)))
)</f>
        <v>14</v>
      </c>
      <c r="AQ214" s="17" t="str">
        <f>IF(HS_DB[[#This Row],[Origin Count]]=1,"Single Source","Multiple Sources")</f>
        <v>Multiple Sources</v>
      </c>
      <c r="AR214" s="8">
        <f>HS_DB[[#This Row],[Annual Spend - USD]]*(HS_DB[[#This Row],[HS Code Risk Score]]/100)</f>
        <v>1787591.1400000001</v>
      </c>
      <c r="AS214" s="8">
        <f>RANK(HS_DB[[#This Row],[Risk Exposure - USD]],HS_DB[Risk Exposure - USD],0)</f>
        <v>407</v>
      </c>
      <c r="AT214" s="8" t="str">
        <f>IF(HS_DB[[#This Row],[Risk Exposure Rank]]&lt;=10,"High",
 IF(HS_DB[[#This Row],[Risk Exposure Rank]]&lt;=30,"Medium",
 "Low"))</f>
        <v>Low</v>
      </c>
      <c r="AU214" s="8" t="str">
        <f>IF(HS_DB[[#This Row],[Risk Exposure Rank]]&lt;=5,"Immediate Action",
 IF(HS_DB[[#This Row],[Risk Exposure Rank]]&lt;=15,"Monitor Closely",
 "Routine Control"))</f>
        <v>Routine Control</v>
      </c>
      <c r="AV214" s="8">
        <f>SUMIFS(HS_DB[Trade Value - USD],HS_DB[HS Code],HS_DB[[#This Row],[HS Code]])</f>
        <v>5257621</v>
      </c>
      <c r="AW214" s="6">
        <f>HS_DB[[#This Row],[Annual Spend - USD]]/HS_DB[[#This Row],[Total Market Size - USD]]</f>
        <v>1</v>
      </c>
      <c r="AX214" s="6" cm="1">
        <f t="array" ref="AX214">COUNTA(_xlfn.UNIQUE(_xlfn._xlws.FILTER(HS_DB[Partner],HS_DB[HS Code]=HS_DB[[#This Row],[HS Code]])))</f>
        <v>1</v>
      </c>
      <c r="AY214" s="8" t="str">
        <f>IF(HS_DB[[#This Row],[Competition Intensity]]&lt;=2,"Highly Concentrated",
 IF(HS_DB[[#This Row],[Competition Intensity]]&lt;=5,"Moderate",
 "Highly Competitive"))</f>
        <v>Highly Concentrated</v>
      </c>
      <c r="AZ214" s="8">
        <f>HS_DB[[#This Row],[Total Market Size - USD]]
*
(1+IFERROR(#REF!,0))
/
HS_DB[[#This Row],[Competition Intensity]]</f>
        <v>5257621</v>
      </c>
      <c r="BA214" s="8" t="str">
        <f>IF(HS_DB[[#This Row],[Commercial Opportunity Score]]&gt;=PERCENTILE(HS_DB[Commercial Opportunity Score],0.9),"High Opportunity",
 IF(HS_DB[[#This Row],[Commercial Opportunity Score]]&gt;=PERCENTILE(HS_DB[Commercial Opportunity Score],0.6),"Medium Opportunity",
 "Routine Market"))</f>
        <v>Routine Market</v>
      </c>
      <c r="BB214" s="3" t="str">
        <f>IF(AND(HS_DB[[#This Row],[Product Rank]]&gt;0,HS_DB[[#This Row],[Product Rank]]&lt;=10),"Yes","No")</f>
        <v>No</v>
      </c>
      <c r="BC214" s="3" t="str">
        <f>IF(AND(HS_DB[[#This Row],[Origin Rank]]&gt;0,HS_DB[[#This Row],[Origin Rank]]&lt;=10),"Yes","No")</f>
        <v>No</v>
      </c>
    </row>
    <row r="215" spans="2:55" x14ac:dyDescent="0.3">
      <c r="B215" s="2">
        <f>HS_DB[[#This Row],[Commodity Code]]</f>
        <v>292320</v>
      </c>
      <c r="C215" s="2">
        <f>IFERROR(INDEX(HS_MD!C:C,MATCH(B215,HS_MD!B:B,0),1),"")</f>
        <v>16</v>
      </c>
      <c r="D215" s="17" t="str">
        <f>IFERROR(INDEX(HS_MD!D:D,MATCH(B215,HS_MD!B:B,0),1),"")</f>
        <v>Lecithins</v>
      </c>
      <c r="E215" s="17" t="str">
        <f>IFERROR(INDEX(HS_MD!E:E,MATCH(B215,HS_MD!B:B,0),1),"")</f>
        <v>Lecithin</v>
      </c>
      <c r="F215" s="17" t="str">
        <f>IFERROR(INDEX(HS_MD!F:F,MATCH(B215,HS_MD!B:B,0),1),"")</f>
        <v>FUNCTIONAL INGREDIENTS</v>
      </c>
      <c r="G215" s="17" t="str">
        <f>IFERROR(INDEX(HS_MD!G:G,MATCH(B215,HS_MD!B:B,0),1),"")</f>
        <v>Emulsifiers</v>
      </c>
      <c r="H215" s="17" t="str">
        <f>IFERROR(INDEX(HS_MD!H:H,MATCH(B215,HS_MD!B:B,0),1),"")</f>
        <v>Lecithin</v>
      </c>
      <c r="I215" s="17" t="str">
        <f>IFERROR(INDEX(HS_MD!I:I,MATCH(B215,HS_MD!B:B,0),1),"")</f>
        <v>Bakery / Chocolate / Sauces</v>
      </c>
      <c r="J215" s="17">
        <f>IFERROR(INDEX(Heat_Map[Index],MATCH(HS_DB[[#This Row],[Reporter]],Heat_Map[Global],0),1),"")</f>
        <v>123</v>
      </c>
      <c r="K215" s="17" t="str">
        <f>IF(AND(HS_DB[[#This Row],[Origin Rank]]&gt;1,HS_DB[[#This Row],[Origin Rank]]&lt;=10),"Yes","No")</f>
        <v>Yes</v>
      </c>
      <c r="L215" s="2">
        <v>2024</v>
      </c>
      <c r="M215" s="2" t="s">
        <v>57</v>
      </c>
      <c r="N215" s="2" t="s">
        <v>330</v>
      </c>
      <c r="O215" s="2" t="s">
        <v>22</v>
      </c>
      <c r="P215" s="2" t="s">
        <v>23</v>
      </c>
      <c r="Q215" s="2" t="s">
        <v>24</v>
      </c>
      <c r="R215" s="2" t="s">
        <v>25</v>
      </c>
      <c r="S215" s="2">
        <v>292320</v>
      </c>
      <c r="T215" s="3">
        <v>1</v>
      </c>
      <c r="U215" s="3">
        <v>1</v>
      </c>
      <c r="V215" s="3">
        <v>0</v>
      </c>
      <c r="W215" s="3">
        <v>1</v>
      </c>
      <c r="X215" s="3" t="s">
        <v>58</v>
      </c>
      <c r="Y215" s="3">
        <v>1</v>
      </c>
      <c r="Z215" s="3" t="s">
        <v>58</v>
      </c>
      <c r="AA215" s="6">
        <f>SUMIFS(HS_DB[Trade Value - USD],HS_DB[Reporter],HS_DB[[#This Row],[Reporter]])/SUM(HS_DB[Trade Value - USD])</f>
        <v>1.389484063100993E-2</v>
      </c>
      <c r="AB215" s="8" cm="1">
        <f t="array" ref="AB215">SUMPRODUCT(
(HS_DB[Reporter]=HS_DB[[#This Row],[Reporter]])*
(HS_DB[Trade Value - USD]&gt;HS_DB[[#This Row],[Trade Value - USD]])
)+1</f>
        <v>9</v>
      </c>
      <c r="AC215" s="8" t="str">
        <f>IFERROR(IF(INDEX(Heat_Map[Crisis Impact %],MATCH(HS_DB[[#This Row],[Reporter]],Heat_Map[Global],0),1)&gt;0,"Yes","No"),"No")</f>
        <v>No</v>
      </c>
      <c r="AD215" s="6">
        <f>IFERROR(INDEX(Heat_Map[Crisis Impact %],MATCH(HS_DB[[#This Row],[Reporter]],Heat_Map[Global],0),1),0)</f>
        <v>0</v>
      </c>
      <c r="AE215" s="8">
        <f>HS_DB[[#This Row],[Crisis Impact%]]*HS_DB[[#This Row],[Trade Value - USD]]</f>
        <v>0</v>
      </c>
      <c r="AF215" s="8">
        <f>HS_DB[[#This Row],[Crisis Impact%]]*HS_DB[[#This Row],[Net Weight -KG]]</f>
        <v>0</v>
      </c>
      <c r="AG215" s="6">
        <f>SUMIFS(HS_DB[Trade Value - USD],HS_DB[Products],HS_DB[[#This Row],[Products]])/SUM(HS_DB[Trade Value - USD])</f>
        <v>2.7891765692835096E-3</v>
      </c>
      <c r="AH215" s="8">
        <f>_xlfn.RANK.EQ(HS_DB[[#This Row],[Trade Value - USD]], HS_DB[Trade Value - USD], 0)
 + COUNTIFS(HS_DB[Trade Value - USD],HS_DB[[#This Row],[Trade Value - USD]],
            HS_DB[HS Code],"&lt;"&amp;HS_DB[[#This Row],[HS Code]])</f>
        <v>538</v>
      </c>
      <c r="AI215" s="9">
        <f>IFERROR(HS_DB[[#This Row],[Trade Value - USD]]/HS_DB[[#This Row],[Net Weight -KG]],0)</f>
        <v>1</v>
      </c>
      <c r="AJ215" s="17" cm="1">
        <f t="array" ref="AJ215">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15" s="17" t="str">
        <f>IF(HS_DB[[#This Row],[HS Code Risk Score]]&gt;=40,"High",
 IF(HS_DB[[#This Row],[HS Code Risk Score]]&gt;=25,"Medium","Low"))</f>
        <v>Medium</v>
      </c>
      <c r="AL215" s="17" t="str">
        <f>IF(RANK(HS_DB[[#This Row],[HS Code Risk Score]],HS_DB[HS Code Risk Score])&lt;=10,"Yes","No")</f>
        <v>No</v>
      </c>
      <c r="AM215" s="8">
        <f>SUMIFS(HS_DB[Net Weight -KG],HS_DB[HS Code],HS_DB[[#This Row],[HS Code]])</f>
        <v>4015418.8</v>
      </c>
      <c r="AN215" s="8">
        <f>SUMIFS(HS_DB[Trade Value - USD],HS_DB[HS Code],HS_DB[[#This Row],[HS Code]])</f>
        <v>5257621</v>
      </c>
      <c r="AO215" s="6">
        <f>_xlfn.MAXIFS(HS_DB[Origin Share%],HS_DB[HS Code],HS_DB[[#This Row],[HS Code]])</f>
        <v>6.321329281187793E-2</v>
      </c>
      <c r="AP215" s="8" cm="1">
        <f t="array" ref="AP215">_xlfn.LET(
_xlpm.hs,HS_DB[[#This Row],[HS Code]],
COUNTA(_xlfn.UNIQUE(_xlfn._xlws.FILTER(HS_DB[Reporter],HS_DB[HS Code]=_xlpm.hs)))
)</f>
        <v>14</v>
      </c>
      <c r="AQ215" s="17" t="str">
        <f>IF(HS_DB[[#This Row],[Origin Count]]=1,"Single Source","Multiple Sources")</f>
        <v>Multiple Sources</v>
      </c>
      <c r="AR215" s="8">
        <f>HS_DB[[#This Row],[Annual Spend - USD]]*(HS_DB[[#This Row],[HS Code Risk Score]]/100)</f>
        <v>1787591.1400000001</v>
      </c>
      <c r="AS215" s="8">
        <f>RANK(HS_DB[[#This Row],[Risk Exposure - USD]],HS_DB[Risk Exposure - USD],0)</f>
        <v>407</v>
      </c>
      <c r="AT215" s="8" t="str">
        <f>IF(HS_DB[[#This Row],[Risk Exposure Rank]]&lt;=10,"High",
 IF(HS_DB[[#This Row],[Risk Exposure Rank]]&lt;=30,"Medium",
 "Low"))</f>
        <v>Low</v>
      </c>
      <c r="AU215" s="8" t="str">
        <f>IF(HS_DB[[#This Row],[Risk Exposure Rank]]&lt;=5,"Immediate Action",
 IF(HS_DB[[#This Row],[Risk Exposure Rank]]&lt;=15,"Monitor Closely",
 "Routine Control"))</f>
        <v>Routine Control</v>
      </c>
      <c r="AV215" s="8">
        <f>SUMIFS(HS_DB[Trade Value - USD],HS_DB[HS Code],HS_DB[[#This Row],[HS Code]])</f>
        <v>5257621</v>
      </c>
      <c r="AW215" s="6">
        <f>HS_DB[[#This Row],[Annual Spend - USD]]/HS_DB[[#This Row],[Total Market Size - USD]]</f>
        <v>1</v>
      </c>
      <c r="AX215" s="6" cm="1">
        <f t="array" ref="AX215">COUNTA(_xlfn.UNIQUE(_xlfn._xlws.FILTER(HS_DB[Partner],HS_DB[HS Code]=HS_DB[[#This Row],[HS Code]])))</f>
        <v>1</v>
      </c>
      <c r="AY215" s="8" t="str">
        <f>IF(HS_DB[[#This Row],[Competition Intensity]]&lt;=2,"Highly Concentrated",
 IF(HS_DB[[#This Row],[Competition Intensity]]&lt;=5,"Moderate",
 "Highly Competitive"))</f>
        <v>Highly Concentrated</v>
      </c>
      <c r="AZ215" s="8">
        <f>HS_DB[[#This Row],[Total Market Size - USD]]
*
(1+IFERROR(#REF!,0))
/
HS_DB[[#This Row],[Competition Intensity]]</f>
        <v>5257621</v>
      </c>
      <c r="BA215" s="8" t="str">
        <f>IF(HS_DB[[#This Row],[Commercial Opportunity Score]]&gt;=PERCENTILE(HS_DB[Commercial Opportunity Score],0.9),"High Opportunity",
 IF(HS_DB[[#This Row],[Commercial Opportunity Score]]&gt;=PERCENTILE(HS_DB[Commercial Opportunity Score],0.6),"Medium Opportunity",
 "Routine Market"))</f>
        <v>Routine Market</v>
      </c>
      <c r="BB215" s="3" t="str">
        <f>IF(AND(HS_DB[[#This Row],[Product Rank]]&gt;0,HS_DB[[#This Row],[Product Rank]]&lt;=10),"Yes","No")</f>
        <v>No</v>
      </c>
      <c r="BC215" s="3" t="str">
        <f>IF(AND(HS_DB[[#This Row],[Origin Rank]]&gt;0,HS_DB[[#This Row],[Origin Rank]]&lt;=10),"Yes","No")</f>
        <v>Yes</v>
      </c>
    </row>
    <row r="216" spans="2:55" x14ac:dyDescent="0.3">
      <c r="B216" s="2">
        <f>HS_DB[[#This Row],[Commodity Code]]</f>
        <v>292320</v>
      </c>
      <c r="C216" s="2">
        <f>IFERROR(INDEX(HS_MD!C:C,MATCH(B216,HS_MD!B:B,0),1),"")</f>
        <v>16</v>
      </c>
      <c r="D216" s="17" t="str">
        <f>IFERROR(INDEX(HS_MD!D:D,MATCH(B216,HS_MD!B:B,0),1),"")</f>
        <v>Lecithins</v>
      </c>
      <c r="E216" s="17" t="str">
        <f>IFERROR(INDEX(HS_MD!E:E,MATCH(B216,HS_MD!B:B,0),1),"")</f>
        <v>Lecithin</v>
      </c>
      <c r="F216" s="17" t="str">
        <f>IFERROR(INDEX(HS_MD!F:F,MATCH(B216,HS_MD!B:B,0),1),"")</f>
        <v>FUNCTIONAL INGREDIENTS</v>
      </c>
      <c r="G216" s="17" t="str">
        <f>IFERROR(INDEX(HS_MD!G:G,MATCH(B216,HS_MD!B:B,0),1),"")</f>
        <v>Emulsifiers</v>
      </c>
      <c r="H216" s="17" t="str">
        <f>IFERROR(INDEX(HS_MD!H:H,MATCH(B216,HS_MD!B:B,0),1),"")</f>
        <v>Lecithin</v>
      </c>
      <c r="I216" s="17" t="str">
        <f>IFERROR(INDEX(HS_MD!I:I,MATCH(B216,HS_MD!B:B,0),1),"")</f>
        <v>Bakery / Chocolate / Sauces</v>
      </c>
      <c r="J216" s="17">
        <f>IFERROR(INDEX(Heat_Map[Index],MATCH(HS_DB[[#This Row],[Reporter]],Heat_Map[Global],0),1),"")</f>
        <v>118</v>
      </c>
      <c r="K216" s="17" t="str">
        <f>IF(AND(HS_DB[[#This Row],[Origin Rank]]&gt;1,HS_DB[[#This Row],[Origin Rank]]&lt;=10),"Yes","No")</f>
        <v>Yes</v>
      </c>
      <c r="L216" s="2">
        <v>2024</v>
      </c>
      <c r="M216" s="2" t="s">
        <v>57</v>
      </c>
      <c r="N216" s="2" t="s">
        <v>53</v>
      </c>
      <c r="O216" s="2" t="s">
        <v>22</v>
      </c>
      <c r="P216" s="2" t="s">
        <v>23</v>
      </c>
      <c r="Q216" s="2" t="s">
        <v>24</v>
      </c>
      <c r="R216" s="2" t="s">
        <v>25</v>
      </c>
      <c r="S216" s="2">
        <v>292320</v>
      </c>
      <c r="T216" s="3">
        <v>583531</v>
      </c>
      <c r="U216" s="3">
        <v>360017</v>
      </c>
      <c r="V216" s="3">
        <v>0</v>
      </c>
      <c r="W216" s="3">
        <v>360017</v>
      </c>
      <c r="X216" s="3" t="s">
        <v>58</v>
      </c>
      <c r="Y216" s="3">
        <v>360017</v>
      </c>
      <c r="Z216" s="3" t="s">
        <v>58</v>
      </c>
      <c r="AA216" s="6">
        <f>SUMIFS(HS_DB[Trade Value - USD],HS_DB[Reporter],HS_DB[[#This Row],[Reporter]])/SUM(HS_DB[Trade Value - USD])</f>
        <v>1.4561232389604124E-2</v>
      </c>
      <c r="AB216" s="8" cm="1">
        <f t="array" ref="AB216">SUMPRODUCT(
(HS_DB[Reporter]=HS_DB[[#This Row],[Reporter]])*
(HS_DB[Trade Value - USD]&gt;HS_DB[[#This Row],[Trade Value - USD]])
)+1</f>
        <v>7</v>
      </c>
      <c r="AC216" s="8" t="str">
        <f>IFERROR(IF(INDEX(Heat_Map[Crisis Impact %],MATCH(HS_DB[[#This Row],[Reporter]],Heat_Map[Global],0),1)&gt;0,"Yes","No"),"No")</f>
        <v>No</v>
      </c>
      <c r="AD216" s="6">
        <f>IFERROR(INDEX(Heat_Map[Crisis Impact %],MATCH(HS_DB[[#This Row],[Reporter]],Heat_Map[Global],0),1),0)</f>
        <v>0</v>
      </c>
      <c r="AE216" s="8">
        <f>HS_DB[[#This Row],[Crisis Impact%]]*HS_DB[[#This Row],[Trade Value - USD]]</f>
        <v>0</v>
      </c>
      <c r="AF216" s="8">
        <f>HS_DB[[#This Row],[Crisis Impact%]]*HS_DB[[#This Row],[Net Weight -KG]]</f>
        <v>0</v>
      </c>
      <c r="AG216" s="6">
        <f>SUMIFS(HS_DB[Trade Value - USD],HS_DB[Products],HS_DB[[#This Row],[Products]])/SUM(HS_DB[Trade Value - USD])</f>
        <v>2.7891765692835096E-3</v>
      </c>
      <c r="AH216" s="8">
        <f>_xlfn.RANK.EQ(HS_DB[[#This Row],[Trade Value - USD]], HS_DB[Trade Value - USD], 0)
 + COUNTIFS(HS_DB[Trade Value - USD],HS_DB[[#This Row],[Trade Value - USD]],
            HS_DB[HS Code],"&lt;"&amp;HS_DB[[#This Row],[HS Code]])</f>
        <v>137</v>
      </c>
      <c r="AI216" s="9">
        <f>IFERROR(HS_DB[[#This Row],[Trade Value - USD]]/HS_DB[[#This Row],[Net Weight -KG]],0)</f>
        <v>1.6208429046406141</v>
      </c>
      <c r="AJ216" s="17" cm="1">
        <f t="array" ref="AJ216">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16" s="17" t="str">
        <f>IF(HS_DB[[#This Row],[HS Code Risk Score]]&gt;=40,"High",
 IF(HS_DB[[#This Row],[HS Code Risk Score]]&gt;=25,"Medium","Low"))</f>
        <v>Medium</v>
      </c>
      <c r="AL216" s="17" t="str">
        <f>IF(RANK(HS_DB[[#This Row],[HS Code Risk Score]],HS_DB[HS Code Risk Score])&lt;=10,"Yes","No")</f>
        <v>No</v>
      </c>
      <c r="AM216" s="8">
        <f>SUMIFS(HS_DB[Net Weight -KG],HS_DB[HS Code],HS_DB[[#This Row],[HS Code]])</f>
        <v>4015418.8</v>
      </c>
      <c r="AN216" s="8">
        <f>SUMIFS(HS_DB[Trade Value - USD],HS_DB[HS Code],HS_DB[[#This Row],[HS Code]])</f>
        <v>5257621</v>
      </c>
      <c r="AO216" s="6">
        <f>_xlfn.MAXIFS(HS_DB[Origin Share%],HS_DB[HS Code],HS_DB[[#This Row],[HS Code]])</f>
        <v>6.321329281187793E-2</v>
      </c>
      <c r="AP216" s="8" cm="1">
        <f t="array" ref="AP216">_xlfn.LET(
_xlpm.hs,HS_DB[[#This Row],[HS Code]],
COUNTA(_xlfn.UNIQUE(_xlfn._xlws.FILTER(HS_DB[Reporter],HS_DB[HS Code]=_xlpm.hs)))
)</f>
        <v>14</v>
      </c>
      <c r="AQ216" s="17" t="str">
        <f>IF(HS_DB[[#This Row],[Origin Count]]=1,"Single Source","Multiple Sources")</f>
        <v>Multiple Sources</v>
      </c>
      <c r="AR216" s="8">
        <f>HS_DB[[#This Row],[Annual Spend - USD]]*(HS_DB[[#This Row],[HS Code Risk Score]]/100)</f>
        <v>1787591.1400000001</v>
      </c>
      <c r="AS216" s="8">
        <f>RANK(HS_DB[[#This Row],[Risk Exposure - USD]],HS_DB[Risk Exposure - USD],0)</f>
        <v>407</v>
      </c>
      <c r="AT216" s="8" t="str">
        <f>IF(HS_DB[[#This Row],[Risk Exposure Rank]]&lt;=10,"High",
 IF(HS_DB[[#This Row],[Risk Exposure Rank]]&lt;=30,"Medium",
 "Low"))</f>
        <v>Low</v>
      </c>
      <c r="AU216" s="8" t="str">
        <f>IF(HS_DB[[#This Row],[Risk Exposure Rank]]&lt;=5,"Immediate Action",
 IF(HS_DB[[#This Row],[Risk Exposure Rank]]&lt;=15,"Monitor Closely",
 "Routine Control"))</f>
        <v>Routine Control</v>
      </c>
      <c r="AV216" s="8">
        <f>SUMIFS(HS_DB[Trade Value - USD],HS_DB[HS Code],HS_DB[[#This Row],[HS Code]])</f>
        <v>5257621</v>
      </c>
      <c r="AW216" s="6">
        <f>HS_DB[[#This Row],[Annual Spend - USD]]/HS_DB[[#This Row],[Total Market Size - USD]]</f>
        <v>1</v>
      </c>
      <c r="AX216" s="6" cm="1">
        <f t="array" ref="AX216">COUNTA(_xlfn.UNIQUE(_xlfn._xlws.FILTER(HS_DB[Partner],HS_DB[HS Code]=HS_DB[[#This Row],[HS Code]])))</f>
        <v>1</v>
      </c>
      <c r="AY216" s="8" t="str">
        <f>IF(HS_DB[[#This Row],[Competition Intensity]]&lt;=2,"Highly Concentrated",
 IF(HS_DB[[#This Row],[Competition Intensity]]&lt;=5,"Moderate",
 "Highly Competitive"))</f>
        <v>Highly Concentrated</v>
      </c>
      <c r="AZ216" s="8">
        <f>HS_DB[[#This Row],[Total Market Size - USD]]
*
(1+IFERROR(#REF!,0))
/
HS_DB[[#This Row],[Competition Intensity]]</f>
        <v>5257621</v>
      </c>
      <c r="BA216" s="8" t="str">
        <f>IF(HS_DB[[#This Row],[Commercial Opportunity Score]]&gt;=PERCENTILE(HS_DB[Commercial Opportunity Score],0.9),"High Opportunity",
 IF(HS_DB[[#This Row],[Commercial Opportunity Score]]&gt;=PERCENTILE(HS_DB[Commercial Opportunity Score],0.6),"Medium Opportunity",
 "Routine Market"))</f>
        <v>Routine Market</v>
      </c>
      <c r="BB216" s="3" t="str">
        <f>IF(AND(HS_DB[[#This Row],[Product Rank]]&gt;0,HS_DB[[#This Row],[Product Rank]]&lt;=10),"Yes","No")</f>
        <v>No</v>
      </c>
      <c r="BC216" s="3" t="str">
        <f>IF(AND(HS_DB[[#This Row],[Origin Rank]]&gt;0,HS_DB[[#This Row],[Origin Rank]]&lt;=10),"Yes","No")</f>
        <v>Yes</v>
      </c>
    </row>
    <row r="217" spans="2:55" x14ac:dyDescent="0.3">
      <c r="B217" s="2">
        <f>HS_DB[[#This Row],[Commodity Code]]</f>
        <v>292320</v>
      </c>
      <c r="C217" s="2">
        <f>IFERROR(INDEX(HS_MD!C:C,MATCH(B217,HS_MD!B:B,0),1),"")</f>
        <v>16</v>
      </c>
      <c r="D217" s="17" t="str">
        <f>IFERROR(INDEX(HS_MD!D:D,MATCH(B217,HS_MD!B:B,0),1),"")</f>
        <v>Lecithins</v>
      </c>
      <c r="E217" s="17" t="str">
        <f>IFERROR(INDEX(HS_MD!E:E,MATCH(B217,HS_MD!B:B,0),1),"")</f>
        <v>Lecithin</v>
      </c>
      <c r="F217" s="17" t="str">
        <f>IFERROR(INDEX(HS_MD!F:F,MATCH(B217,HS_MD!B:B,0),1),"")</f>
        <v>FUNCTIONAL INGREDIENTS</v>
      </c>
      <c r="G217" s="17" t="str">
        <f>IFERROR(INDEX(HS_MD!G:G,MATCH(B217,HS_MD!B:B,0),1),"")</f>
        <v>Emulsifiers</v>
      </c>
      <c r="H217" s="17" t="str">
        <f>IFERROR(INDEX(HS_MD!H:H,MATCH(B217,HS_MD!B:B,0),1),"")</f>
        <v>Lecithin</v>
      </c>
      <c r="I217" s="17" t="str">
        <f>IFERROR(INDEX(HS_MD!I:I,MATCH(B217,HS_MD!B:B,0),1),"")</f>
        <v>Bakery / Chocolate / Sauces</v>
      </c>
      <c r="J217" s="17">
        <f>IFERROR(INDEX(Heat_Map[Index],MATCH(HS_DB[[#This Row],[Reporter]],Heat_Map[Global],0),1),"")</f>
        <v>134</v>
      </c>
      <c r="K217" s="17" t="str">
        <f>IF(AND(HS_DB[[#This Row],[Origin Rank]]&gt;1,HS_DB[[#This Row],[Origin Rank]]&lt;=10),"Yes","No")</f>
        <v>Yes</v>
      </c>
      <c r="L217" s="2">
        <v>2024</v>
      </c>
      <c r="M217" s="2" t="s">
        <v>57</v>
      </c>
      <c r="N217" s="2" t="s">
        <v>55</v>
      </c>
      <c r="O217" s="2" t="s">
        <v>22</v>
      </c>
      <c r="P217" s="2" t="s">
        <v>23</v>
      </c>
      <c r="Q217" s="2" t="s">
        <v>24</v>
      </c>
      <c r="R217" s="2" t="s">
        <v>25</v>
      </c>
      <c r="S217" s="2">
        <v>292320</v>
      </c>
      <c r="T217" s="3">
        <v>1497</v>
      </c>
      <c r="U217" s="3">
        <v>40</v>
      </c>
      <c r="V217" s="3">
        <v>0</v>
      </c>
      <c r="W217" s="3">
        <v>40</v>
      </c>
      <c r="X217" s="3" t="s">
        <v>58</v>
      </c>
      <c r="Y217" s="3">
        <v>40</v>
      </c>
      <c r="Z217" s="3" t="s">
        <v>58</v>
      </c>
      <c r="AA217" s="6">
        <f>SUMIFS(HS_DB[Trade Value - USD],HS_DB[Reporter],HS_DB[[#This Row],[Reporter]])/SUM(HS_DB[Trade Value - USD])</f>
        <v>6.3855771678493602E-3</v>
      </c>
      <c r="AB217" s="8" cm="1">
        <f t="array" ref="AB217">SUMPRODUCT(
(HS_DB[Reporter]=HS_DB[[#This Row],[Reporter]])*
(HS_DB[Trade Value - USD]&gt;HS_DB[[#This Row],[Trade Value - USD]])
)+1</f>
        <v>9</v>
      </c>
      <c r="AC217" s="8" t="str">
        <f>IFERROR(IF(INDEX(Heat_Map[Crisis Impact %],MATCH(HS_DB[[#This Row],[Reporter]],Heat_Map[Global],0),1)&gt;0,"Yes","No"),"No")</f>
        <v>Yes</v>
      </c>
      <c r="AD217" s="6">
        <f>IFERROR(INDEX(Heat_Map[Crisis Impact %],MATCH(HS_DB[[#This Row],[Reporter]],Heat_Map[Global],0),1),0)</f>
        <v>0.06</v>
      </c>
      <c r="AE217" s="8">
        <f>HS_DB[[#This Row],[Crisis Impact%]]*HS_DB[[#This Row],[Trade Value - USD]]</f>
        <v>89.82</v>
      </c>
      <c r="AF217" s="8">
        <f>HS_DB[[#This Row],[Crisis Impact%]]*HS_DB[[#This Row],[Net Weight -KG]]</f>
        <v>2.4</v>
      </c>
      <c r="AG217" s="6">
        <f>SUMIFS(HS_DB[Trade Value - USD],HS_DB[Products],HS_DB[[#This Row],[Products]])/SUM(HS_DB[Trade Value - USD])</f>
        <v>2.7891765692835096E-3</v>
      </c>
      <c r="AH217" s="8">
        <f>_xlfn.RANK.EQ(HS_DB[[#This Row],[Trade Value - USD]], HS_DB[Trade Value - USD], 0)
 + COUNTIFS(HS_DB[Trade Value - USD],HS_DB[[#This Row],[Trade Value - USD]],
            HS_DB[HS Code],"&lt;"&amp;HS_DB[[#This Row],[HS Code]])</f>
        <v>476</v>
      </c>
      <c r="AI217" s="9">
        <f>IFERROR(HS_DB[[#This Row],[Trade Value - USD]]/HS_DB[[#This Row],[Net Weight -KG]],0)</f>
        <v>37.424999999999997</v>
      </c>
      <c r="AJ217" s="17" cm="1">
        <f t="array" ref="AJ217">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17" s="17" t="str">
        <f>IF(HS_DB[[#This Row],[HS Code Risk Score]]&gt;=40,"High",
 IF(HS_DB[[#This Row],[HS Code Risk Score]]&gt;=25,"Medium","Low"))</f>
        <v>Medium</v>
      </c>
      <c r="AL217" s="17" t="str">
        <f>IF(RANK(HS_DB[[#This Row],[HS Code Risk Score]],HS_DB[HS Code Risk Score])&lt;=10,"Yes","No")</f>
        <v>No</v>
      </c>
      <c r="AM217" s="8">
        <f>SUMIFS(HS_DB[Net Weight -KG],HS_DB[HS Code],HS_DB[[#This Row],[HS Code]])</f>
        <v>4015418.8</v>
      </c>
      <c r="AN217" s="8">
        <f>SUMIFS(HS_DB[Trade Value - USD],HS_DB[HS Code],HS_DB[[#This Row],[HS Code]])</f>
        <v>5257621</v>
      </c>
      <c r="AO217" s="6">
        <f>_xlfn.MAXIFS(HS_DB[Origin Share%],HS_DB[HS Code],HS_DB[[#This Row],[HS Code]])</f>
        <v>6.321329281187793E-2</v>
      </c>
      <c r="AP217" s="8" cm="1">
        <f t="array" ref="AP217">_xlfn.LET(
_xlpm.hs,HS_DB[[#This Row],[HS Code]],
COUNTA(_xlfn.UNIQUE(_xlfn._xlws.FILTER(HS_DB[Reporter],HS_DB[HS Code]=_xlpm.hs)))
)</f>
        <v>14</v>
      </c>
      <c r="AQ217" s="17" t="str">
        <f>IF(HS_DB[[#This Row],[Origin Count]]=1,"Single Source","Multiple Sources")</f>
        <v>Multiple Sources</v>
      </c>
      <c r="AR217" s="8">
        <f>HS_DB[[#This Row],[Annual Spend - USD]]*(HS_DB[[#This Row],[HS Code Risk Score]]/100)</f>
        <v>1787591.1400000001</v>
      </c>
      <c r="AS217" s="8">
        <f>RANK(HS_DB[[#This Row],[Risk Exposure - USD]],HS_DB[Risk Exposure - USD],0)</f>
        <v>407</v>
      </c>
      <c r="AT217" s="8" t="str">
        <f>IF(HS_DB[[#This Row],[Risk Exposure Rank]]&lt;=10,"High",
 IF(HS_DB[[#This Row],[Risk Exposure Rank]]&lt;=30,"Medium",
 "Low"))</f>
        <v>Low</v>
      </c>
      <c r="AU217" s="8" t="str">
        <f>IF(HS_DB[[#This Row],[Risk Exposure Rank]]&lt;=5,"Immediate Action",
 IF(HS_DB[[#This Row],[Risk Exposure Rank]]&lt;=15,"Monitor Closely",
 "Routine Control"))</f>
        <v>Routine Control</v>
      </c>
      <c r="AV217" s="8">
        <f>SUMIFS(HS_DB[Trade Value - USD],HS_DB[HS Code],HS_DB[[#This Row],[HS Code]])</f>
        <v>5257621</v>
      </c>
      <c r="AW217" s="6">
        <f>HS_DB[[#This Row],[Annual Spend - USD]]/HS_DB[[#This Row],[Total Market Size - USD]]</f>
        <v>1</v>
      </c>
      <c r="AX217" s="6" cm="1">
        <f t="array" ref="AX217">COUNTA(_xlfn.UNIQUE(_xlfn._xlws.FILTER(HS_DB[Partner],HS_DB[HS Code]=HS_DB[[#This Row],[HS Code]])))</f>
        <v>1</v>
      </c>
      <c r="AY217" s="8" t="str">
        <f>IF(HS_DB[[#This Row],[Competition Intensity]]&lt;=2,"Highly Concentrated",
 IF(HS_DB[[#This Row],[Competition Intensity]]&lt;=5,"Moderate",
 "Highly Competitive"))</f>
        <v>Highly Concentrated</v>
      </c>
      <c r="AZ217" s="8">
        <f>HS_DB[[#This Row],[Total Market Size - USD]]
*
(1+IFERROR(#REF!,0))
/
HS_DB[[#This Row],[Competition Intensity]]</f>
        <v>5257621</v>
      </c>
      <c r="BA217" s="8" t="str">
        <f>IF(HS_DB[[#This Row],[Commercial Opportunity Score]]&gt;=PERCENTILE(HS_DB[Commercial Opportunity Score],0.9),"High Opportunity",
 IF(HS_DB[[#This Row],[Commercial Opportunity Score]]&gt;=PERCENTILE(HS_DB[Commercial Opportunity Score],0.6),"Medium Opportunity",
 "Routine Market"))</f>
        <v>Routine Market</v>
      </c>
      <c r="BB217" s="3" t="str">
        <f>IF(AND(HS_DB[[#This Row],[Product Rank]]&gt;0,HS_DB[[#This Row],[Product Rank]]&lt;=10),"Yes","No")</f>
        <v>No</v>
      </c>
      <c r="BC217" s="3" t="str">
        <f>IF(AND(HS_DB[[#This Row],[Origin Rank]]&gt;0,HS_DB[[#This Row],[Origin Rank]]&lt;=10),"Yes","No")</f>
        <v>Yes</v>
      </c>
    </row>
    <row r="218" spans="2:55" x14ac:dyDescent="0.3">
      <c r="B218" s="2">
        <f>HS_DB[[#This Row],[Commodity Code]]</f>
        <v>292320</v>
      </c>
      <c r="C218" s="2">
        <f>IFERROR(INDEX(HS_MD!C:C,MATCH(B218,HS_MD!B:B,0),1),"")</f>
        <v>16</v>
      </c>
      <c r="D218" s="17" t="str">
        <f>IFERROR(INDEX(HS_MD!D:D,MATCH(B218,HS_MD!B:B,0),1),"")</f>
        <v>Lecithins</v>
      </c>
      <c r="E218" s="17" t="str">
        <f>IFERROR(INDEX(HS_MD!E:E,MATCH(B218,HS_MD!B:B,0),1),"")</f>
        <v>Lecithin</v>
      </c>
      <c r="F218" s="17" t="str">
        <f>IFERROR(INDEX(HS_MD!F:F,MATCH(B218,HS_MD!B:B,0),1),"")</f>
        <v>FUNCTIONAL INGREDIENTS</v>
      </c>
      <c r="G218" s="17" t="str">
        <f>IFERROR(INDEX(HS_MD!G:G,MATCH(B218,HS_MD!B:B,0),1),"")</f>
        <v>Emulsifiers</v>
      </c>
      <c r="H218" s="17" t="str">
        <f>IFERROR(INDEX(HS_MD!H:H,MATCH(B218,HS_MD!B:B,0),1),"")</f>
        <v>Lecithin</v>
      </c>
      <c r="I218" s="17" t="str">
        <f>IFERROR(INDEX(HS_MD!I:I,MATCH(B218,HS_MD!B:B,0),1),"")</f>
        <v>Bakery / Chocolate / Sauces</v>
      </c>
      <c r="J218" s="17">
        <f>IFERROR(INDEX(Heat_Map[Index],MATCH(HS_DB[[#This Row],[Reporter]],Heat_Map[Global],0),1),"")</f>
        <v>75</v>
      </c>
      <c r="K218" s="17" t="str">
        <f>IF(AND(HS_DB[[#This Row],[Origin Rank]]&gt;1,HS_DB[[#This Row],[Origin Rank]]&lt;=10),"Yes","No")</f>
        <v>Yes</v>
      </c>
      <c r="L218" s="2">
        <v>2024</v>
      </c>
      <c r="M218" s="2" t="s">
        <v>57</v>
      </c>
      <c r="N218" s="2" t="s">
        <v>8</v>
      </c>
      <c r="O218" s="2" t="s">
        <v>22</v>
      </c>
      <c r="P218" s="2" t="s">
        <v>23</v>
      </c>
      <c r="Q218" s="2" t="s">
        <v>24</v>
      </c>
      <c r="R218" s="2" t="s">
        <v>25</v>
      </c>
      <c r="S218" s="2">
        <v>292320</v>
      </c>
      <c r="T218" s="3">
        <v>1203296</v>
      </c>
      <c r="U218" s="3">
        <v>786687</v>
      </c>
      <c r="V218" s="3">
        <v>0</v>
      </c>
      <c r="W218" s="3">
        <v>786687</v>
      </c>
      <c r="X218" s="3" t="s">
        <v>58</v>
      </c>
      <c r="Y218" s="3">
        <v>786687</v>
      </c>
      <c r="Z218" s="3" t="s">
        <v>58</v>
      </c>
      <c r="AA218" s="6">
        <f>SUMIFS(HS_DB[Trade Value - USD],HS_DB[Reporter],HS_DB[[#This Row],[Reporter]])/SUM(HS_DB[Trade Value - USD])</f>
        <v>2.2441761060335613E-2</v>
      </c>
      <c r="AB218" s="8" cm="1">
        <f t="array" ref="AB218">SUMPRODUCT(
(HS_DB[Reporter]=HS_DB[[#This Row],[Reporter]])*
(HS_DB[Trade Value - USD]&gt;HS_DB[[#This Row],[Trade Value - USD]])
)+1</f>
        <v>10</v>
      </c>
      <c r="AC218" s="8" t="str">
        <f>IFERROR(IF(INDEX(Heat_Map[Crisis Impact %],MATCH(HS_DB[[#This Row],[Reporter]],Heat_Map[Global],0),1)&gt;0,"Yes","No"),"No")</f>
        <v>No</v>
      </c>
      <c r="AD218" s="6">
        <f>IFERROR(INDEX(Heat_Map[Crisis Impact %],MATCH(HS_DB[[#This Row],[Reporter]],Heat_Map[Global],0),1),0)</f>
        <v>0</v>
      </c>
      <c r="AE218" s="8">
        <f>HS_DB[[#This Row],[Crisis Impact%]]*HS_DB[[#This Row],[Trade Value - USD]]</f>
        <v>0</v>
      </c>
      <c r="AF218" s="8">
        <f>HS_DB[[#This Row],[Crisis Impact%]]*HS_DB[[#This Row],[Net Weight -KG]]</f>
        <v>0</v>
      </c>
      <c r="AG218" s="6">
        <f>SUMIFS(HS_DB[Trade Value - USD],HS_DB[Products],HS_DB[[#This Row],[Products]])/SUM(HS_DB[Trade Value - USD])</f>
        <v>2.7891765692835096E-3</v>
      </c>
      <c r="AH218" s="8">
        <f>_xlfn.RANK.EQ(HS_DB[[#This Row],[Trade Value - USD]], HS_DB[Trade Value - USD], 0)
 + COUNTIFS(HS_DB[Trade Value - USD],HS_DB[[#This Row],[Trade Value - USD]],
            HS_DB[HS Code],"&lt;"&amp;HS_DB[[#This Row],[HS Code]])</f>
        <v>92</v>
      </c>
      <c r="AI218" s="9">
        <f>IFERROR(HS_DB[[#This Row],[Trade Value - USD]]/HS_DB[[#This Row],[Net Weight -KG]],0)</f>
        <v>1.5295740237222681</v>
      </c>
      <c r="AJ218" s="17" cm="1">
        <f t="array" ref="AJ218">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18" s="17" t="str">
        <f>IF(HS_DB[[#This Row],[HS Code Risk Score]]&gt;=40,"High",
 IF(HS_DB[[#This Row],[HS Code Risk Score]]&gt;=25,"Medium","Low"))</f>
        <v>Medium</v>
      </c>
      <c r="AL218" s="17" t="str">
        <f>IF(RANK(HS_DB[[#This Row],[HS Code Risk Score]],HS_DB[HS Code Risk Score])&lt;=10,"Yes","No")</f>
        <v>No</v>
      </c>
      <c r="AM218" s="8">
        <f>SUMIFS(HS_DB[Net Weight -KG],HS_DB[HS Code],HS_DB[[#This Row],[HS Code]])</f>
        <v>4015418.8</v>
      </c>
      <c r="AN218" s="8">
        <f>SUMIFS(HS_DB[Trade Value - USD],HS_DB[HS Code],HS_DB[[#This Row],[HS Code]])</f>
        <v>5257621</v>
      </c>
      <c r="AO218" s="6">
        <f>_xlfn.MAXIFS(HS_DB[Origin Share%],HS_DB[HS Code],HS_DB[[#This Row],[HS Code]])</f>
        <v>6.321329281187793E-2</v>
      </c>
      <c r="AP218" s="8" cm="1">
        <f t="array" ref="AP218">_xlfn.LET(
_xlpm.hs,HS_DB[[#This Row],[HS Code]],
COUNTA(_xlfn.UNIQUE(_xlfn._xlws.FILTER(HS_DB[Reporter],HS_DB[HS Code]=_xlpm.hs)))
)</f>
        <v>14</v>
      </c>
      <c r="AQ218" s="17" t="str">
        <f>IF(HS_DB[[#This Row],[Origin Count]]=1,"Single Source","Multiple Sources")</f>
        <v>Multiple Sources</v>
      </c>
      <c r="AR218" s="8">
        <f>HS_DB[[#This Row],[Annual Spend - USD]]*(HS_DB[[#This Row],[HS Code Risk Score]]/100)</f>
        <v>1787591.1400000001</v>
      </c>
      <c r="AS218" s="8">
        <f>RANK(HS_DB[[#This Row],[Risk Exposure - USD]],HS_DB[Risk Exposure - USD],0)</f>
        <v>407</v>
      </c>
      <c r="AT218" s="8" t="str">
        <f>IF(HS_DB[[#This Row],[Risk Exposure Rank]]&lt;=10,"High",
 IF(HS_DB[[#This Row],[Risk Exposure Rank]]&lt;=30,"Medium",
 "Low"))</f>
        <v>Low</v>
      </c>
      <c r="AU218" s="8" t="str">
        <f>IF(HS_DB[[#This Row],[Risk Exposure Rank]]&lt;=5,"Immediate Action",
 IF(HS_DB[[#This Row],[Risk Exposure Rank]]&lt;=15,"Monitor Closely",
 "Routine Control"))</f>
        <v>Routine Control</v>
      </c>
      <c r="AV218" s="8">
        <f>SUMIFS(HS_DB[Trade Value - USD],HS_DB[HS Code],HS_DB[[#This Row],[HS Code]])</f>
        <v>5257621</v>
      </c>
      <c r="AW218" s="6">
        <f>HS_DB[[#This Row],[Annual Spend - USD]]/HS_DB[[#This Row],[Total Market Size - USD]]</f>
        <v>1</v>
      </c>
      <c r="AX218" s="6" cm="1">
        <f t="array" ref="AX218">COUNTA(_xlfn.UNIQUE(_xlfn._xlws.FILTER(HS_DB[Partner],HS_DB[HS Code]=HS_DB[[#This Row],[HS Code]])))</f>
        <v>1</v>
      </c>
      <c r="AY218" s="8" t="str">
        <f>IF(HS_DB[[#This Row],[Competition Intensity]]&lt;=2,"Highly Concentrated",
 IF(HS_DB[[#This Row],[Competition Intensity]]&lt;=5,"Moderate",
 "Highly Competitive"))</f>
        <v>Highly Concentrated</v>
      </c>
      <c r="AZ218" s="8">
        <f>HS_DB[[#This Row],[Total Market Size - USD]]
*
(1+IFERROR(#REF!,0))
/
HS_DB[[#This Row],[Competition Intensity]]</f>
        <v>5257621</v>
      </c>
      <c r="BA218" s="8" t="str">
        <f>IF(HS_DB[[#This Row],[Commercial Opportunity Score]]&gt;=PERCENTILE(HS_DB[Commercial Opportunity Score],0.9),"High Opportunity",
 IF(HS_DB[[#This Row],[Commercial Opportunity Score]]&gt;=PERCENTILE(HS_DB[Commercial Opportunity Score],0.6),"Medium Opportunity",
 "Routine Market"))</f>
        <v>Routine Market</v>
      </c>
      <c r="BB218" s="3" t="str">
        <f>IF(AND(HS_DB[[#This Row],[Product Rank]]&gt;0,HS_DB[[#This Row],[Product Rank]]&lt;=10),"Yes","No")</f>
        <v>No</v>
      </c>
      <c r="BC218" s="3" t="str">
        <f>IF(AND(HS_DB[[#This Row],[Origin Rank]]&gt;0,HS_DB[[#This Row],[Origin Rank]]&lt;=10),"Yes","No")</f>
        <v>Yes</v>
      </c>
    </row>
    <row r="219" spans="2:55" x14ac:dyDescent="0.3">
      <c r="B219" s="2">
        <f>HS_DB[[#This Row],[Commodity Code]]</f>
        <v>292320</v>
      </c>
      <c r="C219" s="2">
        <f>IFERROR(INDEX(HS_MD!C:C,MATCH(B219,HS_MD!B:B,0),1),"")</f>
        <v>16</v>
      </c>
      <c r="D219" s="17" t="str">
        <f>IFERROR(INDEX(HS_MD!D:D,MATCH(B219,HS_MD!B:B,0),1),"")</f>
        <v>Lecithins</v>
      </c>
      <c r="E219" s="17" t="str">
        <f>IFERROR(INDEX(HS_MD!E:E,MATCH(B219,HS_MD!B:B,0),1),"")</f>
        <v>Lecithin</v>
      </c>
      <c r="F219" s="17" t="str">
        <f>IFERROR(INDEX(HS_MD!F:F,MATCH(B219,HS_MD!B:B,0),1),"")</f>
        <v>FUNCTIONAL INGREDIENTS</v>
      </c>
      <c r="G219" s="17" t="str">
        <f>IFERROR(INDEX(HS_MD!G:G,MATCH(B219,HS_MD!B:B,0),1),"")</f>
        <v>Emulsifiers</v>
      </c>
      <c r="H219" s="17" t="str">
        <f>IFERROR(INDEX(HS_MD!H:H,MATCH(B219,HS_MD!B:B,0),1),"")</f>
        <v>Lecithin</v>
      </c>
      <c r="I219" s="17" t="str">
        <f>IFERROR(INDEX(HS_MD!I:I,MATCH(B219,HS_MD!B:B,0),1),"")</f>
        <v>Bakery / Chocolate / Sauces</v>
      </c>
      <c r="J219" s="17">
        <f>IFERROR(INDEX(Heat_Map[Index],MATCH(HS_DB[[#This Row],[Reporter]],Heat_Map[Global],0),1),"")</f>
        <v>151</v>
      </c>
      <c r="K219" s="17" t="str">
        <f>IF(AND(HS_DB[[#This Row],[Origin Rank]]&gt;1,HS_DB[[#This Row],[Origin Rank]]&lt;=10),"Yes","No")</f>
        <v>Yes</v>
      </c>
      <c r="L219" s="2">
        <v>2024</v>
      </c>
      <c r="M219" s="2" t="s">
        <v>57</v>
      </c>
      <c r="N219" s="2" t="s">
        <v>28</v>
      </c>
      <c r="O219" s="2" t="s">
        <v>22</v>
      </c>
      <c r="P219" s="2" t="s">
        <v>23</v>
      </c>
      <c r="Q219" s="2" t="s">
        <v>24</v>
      </c>
      <c r="R219" s="2" t="s">
        <v>25</v>
      </c>
      <c r="S219" s="2">
        <v>292320</v>
      </c>
      <c r="T219" s="3">
        <v>85993</v>
      </c>
      <c r="U219" s="3">
        <v>21000</v>
      </c>
      <c r="V219" s="3">
        <v>0</v>
      </c>
      <c r="W219" s="3">
        <v>21000</v>
      </c>
      <c r="X219" s="3" t="s">
        <v>58</v>
      </c>
      <c r="Y219" s="3">
        <v>21000</v>
      </c>
      <c r="Z219" s="3" t="s">
        <v>58</v>
      </c>
      <c r="AA219" s="6">
        <f>SUMIFS(HS_DB[Trade Value - USD],HS_DB[Reporter],HS_DB[[#This Row],[Reporter]])/SUM(HS_DB[Trade Value - USD])</f>
        <v>8.2796770445636432E-4</v>
      </c>
      <c r="AB219" s="8" cm="1">
        <f t="array" ref="AB219">SUMPRODUCT(
(HS_DB[Reporter]=HS_DB[[#This Row],[Reporter]])*
(HS_DB[Trade Value - USD]&gt;HS_DB[[#This Row],[Trade Value - USD]])
)+1</f>
        <v>3</v>
      </c>
      <c r="AC219" s="8" t="str">
        <f>IFERROR(IF(INDEX(Heat_Map[Crisis Impact %],MATCH(HS_DB[[#This Row],[Reporter]],Heat_Map[Global],0),1)&gt;0,"Yes","No"),"No")</f>
        <v>Yes</v>
      </c>
      <c r="AD219" s="6">
        <f>IFERROR(INDEX(Heat_Map[Crisis Impact %],MATCH(HS_DB[[#This Row],[Reporter]],Heat_Map[Global],0),1),0)</f>
        <v>0.06</v>
      </c>
      <c r="AE219" s="8">
        <f>HS_DB[[#This Row],[Crisis Impact%]]*HS_DB[[#This Row],[Trade Value - USD]]</f>
        <v>5159.58</v>
      </c>
      <c r="AF219" s="8">
        <f>HS_DB[[#This Row],[Crisis Impact%]]*HS_DB[[#This Row],[Net Weight -KG]]</f>
        <v>1260</v>
      </c>
      <c r="AG219" s="6">
        <f>SUMIFS(HS_DB[Trade Value - USD],HS_DB[Products],HS_DB[[#This Row],[Products]])/SUM(HS_DB[Trade Value - USD])</f>
        <v>2.7891765692835096E-3</v>
      </c>
      <c r="AH219" s="8">
        <f>_xlfn.RANK.EQ(HS_DB[[#This Row],[Trade Value - USD]], HS_DB[Trade Value - USD], 0)
 + COUNTIFS(HS_DB[Trade Value - USD],HS_DB[[#This Row],[Trade Value - USD]],
            HS_DB[HS Code],"&lt;"&amp;HS_DB[[#This Row],[HS Code]])</f>
        <v>286</v>
      </c>
      <c r="AI219" s="9">
        <f>IFERROR(HS_DB[[#This Row],[Trade Value - USD]]/HS_DB[[#This Row],[Net Weight -KG]],0)</f>
        <v>4.094904761904762</v>
      </c>
      <c r="AJ219" s="17" cm="1">
        <f t="array" ref="AJ219">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19" s="17" t="str">
        <f>IF(HS_DB[[#This Row],[HS Code Risk Score]]&gt;=40,"High",
 IF(HS_DB[[#This Row],[HS Code Risk Score]]&gt;=25,"Medium","Low"))</f>
        <v>Medium</v>
      </c>
      <c r="AL219" s="17" t="str">
        <f>IF(RANK(HS_DB[[#This Row],[HS Code Risk Score]],HS_DB[HS Code Risk Score])&lt;=10,"Yes","No")</f>
        <v>No</v>
      </c>
      <c r="AM219" s="8">
        <f>SUMIFS(HS_DB[Net Weight -KG],HS_DB[HS Code],HS_DB[[#This Row],[HS Code]])</f>
        <v>4015418.8</v>
      </c>
      <c r="AN219" s="8">
        <f>SUMIFS(HS_DB[Trade Value - USD],HS_DB[HS Code],HS_DB[[#This Row],[HS Code]])</f>
        <v>5257621</v>
      </c>
      <c r="AO219" s="6">
        <f>_xlfn.MAXIFS(HS_DB[Origin Share%],HS_DB[HS Code],HS_DB[[#This Row],[HS Code]])</f>
        <v>6.321329281187793E-2</v>
      </c>
      <c r="AP219" s="8" cm="1">
        <f t="array" ref="AP219">_xlfn.LET(
_xlpm.hs,HS_DB[[#This Row],[HS Code]],
COUNTA(_xlfn.UNIQUE(_xlfn._xlws.FILTER(HS_DB[Reporter],HS_DB[HS Code]=_xlpm.hs)))
)</f>
        <v>14</v>
      </c>
      <c r="AQ219" s="17" t="str">
        <f>IF(HS_DB[[#This Row],[Origin Count]]=1,"Single Source","Multiple Sources")</f>
        <v>Multiple Sources</v>
      </c>
      <c r="AR219" s="8">
        <f>HS_DB[[#This Row],[Annual Spend - USD]]*(HS_DB[[#This Row],[HS Code Risk Score]]/100)</f>
        <v>1787591.1400000001</v>
      </c>
      <c r="AS219" s="8">
        <f>RANK(HS_DB[[#This Row],[Risk Exposure - USD]],HS_DB[Risk Exposure - USD],0)</f>
        <v>407</v>
      </c>
      <c r="AT219" s="8" t="str">
        <f>IF(HS_DB[[#This Row],[Risk Exposure Rank]]&lt;=10,"High",
 IF(HS_DB[[#This Row],[Risk Exposure Rank]]&lt;=30,"Medium",
 "Low"))</f>
        <v>Low</v>
      </c>
      <c r="AU219" s="8" t="str">
        <f>IF(HS_DB[[#This Row],[Risk Exposure Rank]]&lt;=5,"Immediate Action",
 IF(HS_DB[[#This Row],[Risk Exposure Rank]]&lt;=15,"Monitor Closely",
 "Routine Control"))</f>
        <v>Routine Control</v>
      </c>
      <c r="AV219" s="8">
        <f>SUMIFS(HS_DB[Trade Value - USD],HS_DB[HS Code],HS_DB[[#This Row],[HS Code]])</f>
        <v>5257621</v>
      </c>
      <c r="AW219" s="6">
        <f>HS_DB[[#This Row],[Annual Spend - USD]]/HS_DB[[#This Row],[Total Market Size - USD]]</f>
        <v>1</v>
      </c>
      <c r="AX219" s="6" cm="1">
        <f t="array" ref="AX219">COUNTA(_xlfn.UNIQUE(_xlfn._xlws.FILTER(HS_DB[Partner],HS_DB[HS Code]=HS_DB[[#This Row],[HS Code]])))</f>
        <v>1</v>
      </c>
      <c r="AY219" s="8" t="str">
        <f>IF(HS_DB[[#This Row],[Competition Intensity]]&lt;=2,"Highly Concentrated",
 IF(HS_DB[[#This Row],[Competition Intensity]]&lt;=5,"Moderate",
 "Highly Competitive"))</f>
        <v>Highly Concentrated</v>
      </c>
      <c r="AZ219" s="8">
        <f>HS_DB[[#This Row],[Total Market Size - USD]]
*
(1+IFERROR(#REF!,0))
/
HS_DB[[#This Row],[Competition Intensity]]</f>
        <v>5257621</v>
      </c>
      <c r="BA219" s="8" t="str">
        <f>IF(HS_DB[[#This Row],[Commercial Opportunity Score]]&gt;=PERCENTILE(HS_DB[Commercial Opportunity Score],0.9),"High Opportunity",
 IF(HS_DB[[#This Row],[Commercial Opportunity Score]]&gt;=PERCENTILE(HS_DB[Commercial Opportunity Score],0.6),"Medium Opportunity",
 "Routine Market"))</f>
        <v>Routine Market</v>
      </c>
      <c r="BB219" s="3" t="str">
        <f>IF(AND(HS_DB[[#This Row],[Product Rank]]&gt;0,HS_DB[[#This Row],[Product Rank]]&lt;=10),"Yes","No")</f>
        <v>No</v>
      </c>
      <c r="BC219" s="3" t="str">
        <f>IF(AND(HS_DB[[#This Row],[Origin Rank]]&gt;0,HS_DB[[#This Row],[Origin Rank]]&lt;=10),"Yes","No")</f>
        <v>Yes</v>
      </c>
    </row>
    <row r="220" spans="2:55" x14ac:dyDescent="0.3">
      <c r="B220" s="2">
        <f>HS_DB[[#This Row],[Commodity Code]]</f>
        <v>292320</v>
      </c>
      <c r="C220" s="2">
        <f>IFERROR(INDEX(HS_MD!C:C,MATCH(B220,HS_MD!B:B,0),1),"")</f>
        <v>16</v>
      </c>
      <c r="D220" s="17" t="str">
        <f>IFERROR(INDEX(HS_MD!D:D,MATCH(B220,HS_MD!B:B,0),1),"")</f>
        <v>Lecithins</v>
      </c>
      <c r="E220" s="17" t="str">
        <f>IFERROR(INDEX(HS_MD!E:E,MATCH(B220,HS_MD!B:B,0),1),"")</f>
        <v>Lecithin</v>
      </c>
      <c r="F220" s="17" t="str">
        <f>IFERROR(INDEX(HS_MD!F:F,MATCH(B220,HS_MD!B:B,0),1),"")</f>
        <v>FUNCTIONAL INGREDIENTS</v>
      </c>
      <c r="G220" s="17" t="str">
        <f>IFERROR(INDEX(HS_MD!G:G,MATCH(B220,HS_MD!B:B,0),1),"")</f>
        <v>Emulsifiers</v>
      </c>
      <c r="H220" s="17" t="str">
        <f>IFERROR(INDEX(HS_MD!H:H,MATCH(B220,HS_MD!B:B,0),1),"")</f>
        <v>Lecithin</v>
      </c>
      <c r="I220" s="17" t="str">
        <f>IFERROR(INDEX(HS_MD!I:I,MATCH(B220,HS_MD!B:B,0),1),"")</f>
        <v>Bakery / Chocolate / Sauces</v>
      </c>
      <c r="J220" s="17">
        <f>IFERROR(INDEX(Heat_Map[Index],MATCH(HS_DB[[#This Row],[Reporter]],Heat_Map[Global],0),1),"")</f>
        <v>159</v>
      </c>
      <c r="K220" s="17" t="str">
        <f>IF(AND(HS_DB[[#This Row],[Origin Rank]]&gt;1,HS_DB[[#This Row],[Origin Rank]]&lt;=10),"Yes","No")</f>
        <v>No</v>
      </c>
      <c r="L220" s="2">
        <v>2024</v>
      </c>
      <c r="M220" s="2" t="s">
        <v>57</v>
      </c>
      <c r="N220" s="2" t="s">
        <v>30</v>
      </c>
      <c r="O220" s="2" t="s">
        <v>22</v>
      </c>
      <c r="P220" s="2" t="s">
        <v>23</v>
      </c>
      <c r="Q220" s="2" t="s">
        <v>24</v>
      </c>
      <c r="R220" s="2" t="s">
        <v>25</v>
      </c>
      <c r="S220" s="2">
        <v>292320</v>
      </c>
      <c r="T220" s="3">
        <v>2164</v>
      </c>
      <c r="U220" s="3">
        <v>450</v>
      </c>
      <c r="V220" s="3">
        <v>0</v>
      </c>
      <c r="W220" s="3">
        <v>450</v>
      </c>
      <c r="X220" s="3" t="s">
        <v>58</v>
      </c>
      <c r="Y220" s="3">
        <v>450</v>
      </c>
      <c r="Z220" s="3" t="s">
        <v>58</v>
      </c>
      <c r="AA220" s="6">
        <f>SUMIFS(HS_DB[Trade Value - USD],HS_DB[Reporter],HS_DB[[#This Row],[Reporter]])/SUM(HS_DB[Trade Value - USD])</f>
        <v>6.110186869383482E-3</v>
      </c>
      <c r="AB220" s="8" cm="1">
        <f t="array" ref="AB220">SUMPRODUCT(
(HS_DB[Reporter]=HS_DB[[#This Row],[Reporter]])*
(HS_DB[Trade Value - USD]&gt;HS_DB[[#This Row],[Trade Value - USD]])
)+1</f>
        <v>22</v>
      </c>
      <c r="AC220" s="8" t="str">
        <f>IFERROR(IF(INDEX(Heat_Map[Crisis Impact %],MATCH(HS_DB[[#This Row],[Reporter]],Heat_Map[Global],0),1)&gt;0,"Yes","No"),"No")</f>
        <v>No</v>
      </c>
      <c r="AD220" s="6">
        <f>IFERROR(INDEX(Heat_Map[Crisis Impact %],MATCH(HS_DB[[#This Row],[Reporter]],Heat_Map[Global],0),1),0)</f>
        <v>0</v>
      </c>
      <c r="AE220" s="8">
        <f>HS_DB[[#This Row],[Crisis Impact%]]*HS_DB[[#This Row],[Trade Value - USD]]</f>
        <v>0</v>
      </c>
      <c r="AF220" s="8">
        <f>HS_DB[[#This Row],[Crisis Impact%]]*HS_DB[[#This Row],[Net Weight -KG]]</f>
        <v>0</v>
      </c>
      <c r="AG220" s="6">
        <f>SUMIFS(HS_DB[Trade Value - USD],HS_DB[Products],HS_DB[[#This Row],[Products]])/SUM(HS_DB[Trade Value - USD])</f>
        <v>2.7891765692835096E-3</v>
      </c>
      <c r="AH220" s="8">
        <f>_xlfn.RANK.EQ(HS_DB[[#This Row],[Trade Value - USD]], HS_DB[Trade Value - USD], 0)
 + COUNTIFS(HS_DB[Trade Value - USD],HS_DB[[#This Row],[Trade Value - USD]],
            HS_DB[HS Code],"&lt;"&amp;HS_DB[[#This Row],[HS Code]])</f>
        <v>469</v>
      </c>
      <c r="AI220" s="9">
        <f>IFERROR(HS_DB[[#This Row],[Trade Value - USD]]/HS_DB[[#This Row],[Net Weight -KG]],0)</f>
        <v>4.8088888888888892</v>
      </c>
      <c r="AJ220" s="17" cm="1">
        <f t="array" ref="AJ220">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20" s="17" t="str">
        <f>IF(HS_DB[[#This Row],[HS Code Risk Score]]&gt;=40,"High",
 IF(HS_DB[[#This Row],[HS Code Risk Score]]&gt;=25,"Medium","Low"))</f>
        <v>Medium</v>
      </c>
      <c r="AL220" s="17" t="str">
        <f>IF(RANK(HS_DB[[#This Row],[HS Code Risk Score]],HS_DB[HS Code Risk Score])&lt;=10,"Yes","No")</f>
        <v>No</v>
      </c>
      <c r="AM220" s="8">
        <f>SUMIFS(HS_DB[Net Weight -KG],HS_DB[HS Code],HS_DB[[#This Row],[HS Code]])</f>
        <v>4015418.8</v>
      </c>
      <c r="AN220" s="8">
        <f>SUMIFS(HS_DB[Trade Value - USD],HS_DB[HS Code],HS_DB[[#This Row],[HS Code]])</f>
        <v>5257621</v>
      </c>
      <c r="AO220" s="6">
        <f>_xlfn.MAXIFS(HS_DB[Origin Share%],HS_DB[HS Code],HS_DB[[#This Row],[HS Code]])</f>
        <v>6.321329281187793E-2</v>
      </c>
      <c r="AP220" s="8" cm="1">
        <f t="array" ref="AP220">_xlfn.LET(
_xlpm.hs,HS_DB[[#This Row],[HS Code]],
COUNTA(_xlfn.UNIQUE(_xlfn._xlws.FILTER(HS_DB[Reporter],HS_DB[HS Code]=_xlpm.hs)))
)</f>
        <v>14</v>
      </c>
      <c r="AQ220" s="17" t="str">
        <f>IF(HS_DB[[#This Row],[Origin Count]]=1,"Single Source","Multiple Sources")</f>
        <v>Multiple Sources</v>
      </c>
      <c r="AR220" s="8">
        <f>HS_DB[[#This Row],[Annual Spend - USD]]*(HS_DB[[#This Row],[HS Code Risk Score]]/100)</f>
        <v>1787591.1400000001</v>
      </c>
      <c r="AS220" s="8">
        <f>RANK(HS_DB[[#This Row],[Risk Exposure - USD]],HS_DB[Risk Exposure - USD],0)</f>
        <v>407</v>
      </c>
      <c r="AT220" s="8" t="str">
        <f>IF(HS_DB[[#This Row],[Risk Exposure Rank]]&lt;=10,"High",
 IF(HS_DB[[#This Row],[Risk Exposure Rank]]&lt;=30,"Medium",
 "Low"))</f>
        <v>Low</v>
      </c>
      <c r="AU220" s="8" t="str">
        <f>IF(HS_DB[[#This Row],[Risk Exposure Rank]]&lt;=5,"Immediate Action",
 IF(HS_DB[[#This Row],[Risk Exposure Rank]]&lt;=15,"Monitor Closely",
 "Routine Control"))</f>
        <v>Routine Control</v>
      </c>
      <c r="AV220" s="8">
        <f>SUMIFS(HS_DB[Trade Value - USD],HS_DB[HS Code],HS_DB[[#This Row],[HS Code]])</f>
        <v>5257621</v>
      </c>
      <c r="AW220" s="6">
        <f>HS_DB[[#This Row],[Annual Spend - USD]]/HS_DB[[#This Row],[Total Market Size - USD]]</f>
        <v>1</v>
      </c>
      <c r="AX220" s="6" cm="1">
        <f t="array" ref="AX220">COUNTA(_xlfn.UNIQUE(_xlfn._xlws.FILTER(HS_DB[Partner],HS_DB[HS Code]=HS_DB[[#This Row],[HS Code]])))</f>
        <v>1</v>
      </c>
      <c r="AY220" s="8" t="str">
        <f>IF(HS_DB[[#This Row],[Competition Intensity]]&lt;=2,"Highly Concentrated",
 IF(HS_DB[[#This Row],[Competition Intensity]]&lt;=5,"Moderate",
 "Highly Competitive"))</f>
        <v>Highly Concentrated</v>
      </c>
      <c r="AZ220" s="8">
        <f>HS_DB[[#This Row],[Total Market Size - USD]]
*
(1+IFERROR(#REF!,0))
/
HS_DB[[#This Row],[Competition Intensity]]</f>
        <v>5257621</v>
      </c>
      <c r="BA220" s="8" t="str">
        <f>IF(HS_DB[[#This Row],[Commercial Opportunity Score]]&gt;=PERCENTILE(HS_DB[Commercial Opportunity Score],0.9),"High Opportunity",
 IF(HS_DB[[#This Row],[Commercial Opportunity Score]]&gt;=PERCENTILE(HS_DB[Commercial Opportunity Score],0.6),"Medium Opportunity",
 "Routine Market"))</f>
        <v>Routine Market</v>
      </c>
      <c r="BB220" s="3" t="str">
        <f>IF(AND(HS_DB[[#This Row],[Product Rank]]&gt;0,HS_DB[[#This Row],[Product Rank]]&lt;=10),"Yes","No")</f>
        <v>No</v>
      </c>
      <c r="BC220" s="3" t="str">
        <f>IF(AND(HS_DB[[#This Row],[Origin Rank]]&gt;0,HS_DB[[#This Row],[Origin Rank]]&lt;=10),"Yes","No")</f>
        <v>No</v>
      </c>
    </row>
    <row r="221" spans="2:55" x14ac:dyDescent="0.3">
      <c r="B221" s="2">
        <f>HS_DB[[#This Row],[Commodity Code]]</f>
        <v>292320</v>
      </c>
      <c r="C221" s="2">
        <f>IFERROR(INDEX(HS_MD!C:C,MATCH(B221,HS_MD!B:B,0),1),"")</f>
        <v>16</v>
      </c>
      <c r="D221" s="17" t="str">
        <f>IFERROR(INDEX(HS_MD!D:D,MATCH(B221,HS_MD!B:B,0),1),"")</f>
        <v>Lecithins</v>
      </c>
      <c r="E221" s="17" t="str">
        <f>IFERROR(INDEX(HS_MD!E:E,MATCH(B221,HS_MD!B:B,0),1),"")</f>
        <v>Lecithin</v>
      </c>
      <c r="F221" s="17" t="str">
        <f>IFERROR(INDEX(HS_MD!F:F,MATCH(B221,HS_MD!B:B,0),1),"")</f>
        <v>FUNCTIONAL INGREDIENTS</v>
      </c>
      <c r="G221" s="17" t="str">
        <f>IFERROR(INDEX(HS_MD!G:G,MATCH(B221,HS_MD!B:B,0),1),"")</f>
        <v>Emulsifiers</v>
      </c>
      <c r="H221" s="17" t="str">
        <f>IFERROR(INDEX(HS_MD!H:H,MATCH(B221,HS_MD!B:B,0),1),"")</f>
        <v>Lecithin</v>
      </c>
      <c r="I221" s="17" t="str">
        <f>IFERROR(INDEX(HS_MD!I:I,MATCH(B221,HS_MD!B:B,0),1),"")</f>
        <v>Bakery / Chocolate / Sauces</v>
      </c>
      <c r="J221" s="17">
        <f>IFERROR(INDEX(Heat_Map[Index],MATCH(HS_DB[[#This Row],[Reporter]],Heat_Map[Global],0),1),"")</f>
        <v>175</v>
      </c>
      <c r="K221" s="17" t="str">
        <f>IF(AND(HS_DB[[#This Row],[Origin Rank]]&gt;1,HS_DB[[#This Row],[Origin Rank]]&lt;=10),"Yes","No")</f>
        <v>No</v>
      </c>
      <c r="L221" s="2">
        <v>2024</v>
      </c>
      <c r="M221" s="2" t="s">
        <v>57</v>
      </c>
      <c r="N221" s="2" t="s">
        <v>34</v>
      </c>
      <c r="O221" s="2" t="s">
        <v>22</v>
      </c>
      <c r="P221" s="2" t="s">
        <v>23</v>
      </c>
      <c r="Q221" s="2" t="s">
        <v>24</v>
      </c>
      <c r="R221" s="2" t="s">
        <v>25</v>
      </c>
      <c r="S221" s="2">
        <v>292320</v>
      </c>
      <c r="T221" s="3">
        <v>33</v>
      </c>
      <c r="U221" s="3">
        <v>25</v>
      </c>
      <c r="V221" s="3">
        <v>0</v>
      </c>
      <c r="W221" s="3">
        <v>25</v>
      </c>
      <c r="X221" s="3" t="s">
        <v>58</v>
      </c>
      <c r="Y221" s="3">
        <v>25</v>
      </c>
      <c r="Z221" s="3" t="s">
        <v>58</v>
      </c>
      <c r="AA221" s="6">
        <f>SUMIFS(HS_DB[Trade Value - USD],HS_DB[Reporter],HS_DB[[#This Row],[Reporter]])/SUM(HS_DB[Trade Value - USD])</f>
        <v>4.7522902002533667E-2</v>
      </c>
      <c r="AB221" s="8" cm="1">
        <f t="array" ref="AB221">SUMPRODUCT(
(HS_DB[Reporter]=HS_DB[[#This Row],[Reporter]])*
(HS_DB[Trade Value - USD]&gt;HS_DB[[#This Row],[Trade Value - USD]])
)+1</f>
        <v>36</v>
      </c>
      <c r="AC221" s="8" t="str">
        <f>IFERROR(IF(INDEX(Heat_Map[Crisis Impact %],MATCH(HS_DB[[#This Row],[Reporter]],Heat_Map[Global],0),1)&gt;0,"Yes","No"),"No")</f>
        <v>Yes</v>
      </c>
      <c r="AD221" s="6">
        <f>IFERROR(INDEX(Heat_Map[Crisis Impact %],MATCH(HS_DB[[#This Row],[Reporter]],Heat_Map[Global],0),1),0)</f>
        <v>0.1</v>
      </c>
      <c r="AE221" s="8">
        <f>HS_DB[[#This Row],[Crisis Impact%]]*HS_DB[[#This Row],[Trade Value - USD]]</f>
        <v>3.3000000000000003</v>
      </c>
      <c r="AF221" s="8">
        <f>HS_DB[[#This Row],[Crisis Impact%]]*HS_DB[[#This Row],[Net Weight -KG]]</f>
        <v>2.5</v>
      </c>
      <c r="AG221" s="6">
        <f>SUMIFS(HS_DB[Trade Value - USD],HS_DB[Products],HS_DB[[#This Row],[Products]])/SUM(HS_DB[Trade Value - USD])</f>
        <v>2.7891765692835096E-3</v>
      </c>
      <c r="AH221" s="8">
        <f>_xlfn.RANK.EQ(HS_DB[[#This Row],[Trade Value - USD]], HS_DB[Trade Value - USD], 0)
 + COUNTIFS(HS_DB[Trade Value - USD],HS_DB[[#This Row],[Trade Value - USD]],
            HS_DB[HS Code],"&lt;"&amp;HS_DB[[#This Row],[HS Code]])</f>
        <v>526</v>
      </c>
      <c r="AI221" s="9">
        <f>IFERROR(HS_DB[[#This Row],[Trade Value - USD]]/HS_DB[[#This Row],[Net Weight -KG]],0)</f>
        <v>1.32</v>
      </c>
      <c r="AJ221" s="17" cm="1">
        <f t="array" ref="AJ221">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21" s="17" t="str">
        <f>IF(HS_DB[[#This Row],[HS Code Risk Score]]&gt;=40,"High",
 IF(HS_DB[[#This Row],[HS Code Risk Score]]&gt;=25,"Medium","Low"))</f>
        <v>Medium</v>
      </c>
      <c r="AL221" s="17" t="str">
        <f>IF(RANK(HS_DB[[#This Row],[HS Code Risk Score]],HS_DB[HS Code Risk Score])&lt;=10,"Yes","No")</f>
        <v>No</v>
      </c>
      <c r="AM221" s="8">
        <f>SUMIFS(HS_DB[Net Weight -KG],HS_DB[HS Code],HS_DB[[#This Row],[HS Code]])</f>
        <v>4015418.8</v>
      </c>
      <c r="AN221" s="8">
        <f>SUMIFS(HS_DB[Trade Value - USD],HS_DB[HS Code],HS_DB[[#This Row],[HS Code]])</f>
        <v>5257621</v>
      </c>
      <c r="AO221" s="6">
        <f>_xlfn.MAXIFS(HS_DB[Origin Share%],HS_DB[HS Code],HS_DB[[#This Row],[HS Code]])</f>
        <v>6.321329281187793E-2</v>
      </c>
      <c r="AP221" s="8" cm="1">
        <f t="array" ref="AP221">_xlfn.LET(
_xlpm.hs,HS_DB[[#This Row],[HS Code]],
COUNTA(_xlfn.UNIQUE(_xlfn._xlws.FILTER(HS_DB[Reporter],HS_DB[HS Code]=_xlpm.hs)))
)</f>
        <v>14</v>
      </c>
      <c r="AQ221" s="17" t="str">
        <f>IF(HS_DB[[#This Row],[Origin Count]]=1,"Single Source","Multiple Sources")</f>
        <v>Multiple Sources</v>
      </c>
      <c r="AR221" s="8">
        <f>HS_DB[[#This Row],[Annual Spend - USD]]*(HS_DB[[#This Row],[HS Code Risk Score]]/100)</f>
        <v>1787591.1400000001</v>
      </c>
      <c r="AS221" s="8">
        <f>RANK(HS_DB[[#This Row],[Risk Exposure - USD]],HS_DB[Risk Exposure - USD],0)</f>
        <v>407</v>
      </c>
      <c r="AT221" s="8" t="str">
        <f>IF(HS_DB[[#This Row],[Risk Exposure Rank]]&lt;=10,"High",
 IF(HS_DB[[#This Row],[Risk Exposure Rank]]&lt;=30,"Medium",
 "Low"))</f>
        <v>Low</v>
      </c>
      <c r="AU221" s="8" t="str">
        <f>IF(HS_DB[[#This Row],[Risk Exposure Rank]]&lt;=5,"Immediate Action",
 IF(HS_DB[[#This Row],[Risk Exposure Rank]]&lt;=15,"Monitor Closely",
 "Routine Control"))</f>
        <v>Routine Control</v>
      </c>
      <c r="AV221" s="8">
        <f>SUMIFS(HS_DB[Trade Value - USD],HS_DB[HS Code],HS_DB[[#This Row],[HS Code]])</f>
        <v>5257621</v>
      </c>
      <c r="AW221" s="6">
        <f>HS_DB[[#This Row],[Annual Spend - USD]]/HS_DB[[#This Row],[Total Market Size - USD]]</f>
        <v>1</v>
      </c>
      <c r="AX221" s="6" cm="1">
        <f t="array" ref="AX221">COUNTA(_xlfn.UNIQUE(_xlfn._xlws.FILTER(HS_DB[Partner],HS_DB[HS Code]=HS_DB[[#This Row],[HS Code]])))</f>
        <v>1</v>
      </c>
      <c r="AY221" s="8" t="str">
        <f>IF(HS_DB[[#This Row],[Competition Intensity]]&lt;=2,"Highly Concentrated",
 IF(HS_DB[[#This Row],[Competition Intensity]]&lt;=5,"Moderate",
 "Highly Competitive"))</f>
        <v>Highly Concentrated</v>
      </c>
      <c r="AZ221" s="8">
        <f>HS_DB[[#This Row],[Total Market Size - USD]]
*
(1+IFERROR(#REF!,0))
/
HS_DB[[#This Row],[Competition Intensity]]</f>
        <v>5257621</v>
      </c>
      <c r="BA221" s="8" t="str">
        <f>IF(HS_DB[[#This Row],[Commercial Opportunity Score]]&gt;=PERCENTILE(HS_DB[Commercial Opportunity Score],0.9),"High Opportunity",
 IF(HS_DB[[#This Row],[Commercial Opportunity Score]]&gt;=PERCENTILE(HS_DB[Commercial Opportunity Score],0.6),"Medium Opportunity",
 "Routine Market"))</f>
        <v>Routine Market</v>
      </c>
      <c r="BB221" s="3" t="str">
        <f>IF(AND(HS_DB[[#This Row],[Product Rank]]&gt;0,HS_DB[[#This Row],[Product Rank]]&lt;=10),"Yes","No")</f>
        <v>No</v>
      </c>
      <c r="BC221" s="3" t="str">
        <f>IF(AND(HS_DB[[#This Row],[Origin Rank]]&gt;0,HS_DB[[#This Row],[Origin Rank]]&lt;=10),"Yes","No")</f>
        <v>No</v>
      </c>
    </row>
    <row r="222" spans="2:55" x14ac:dyDescent="0.3">
      <c r="B222" s="2">
        <f>HS_DB[[#This Row],[Commodity Code]]</f>
        <v>292320</v>
      </c>
      <c r="C222" s="2">
        <f>IFERROR(INDEX(HS_MD!C:C,MATCH(B222,HS_MD!B:B,0),1),"")</f>
        <v>16</v>
      </c>
      <c r="D222" s="17" t="str">
        <f>IFERROR(INDEX(HS_MD!D:D,MATCH(B222,HS_MD!B:B,0),1),"")</f>
        <v>Lecithins</v>
      </c>
      <c r="E222" s="17" t="str">
        <f>IFERROR(INDEX(HS_MD!E:E,MATCH(B222,HS_MD!B:B,0),1),"")</f>
        <v>Lecithin</v>
      </c>
      <c r="F222" s="17" t="str">
        <f>IFERROR(INDEX(HS_MD!F:F,MATCH(B222,HS_MD!B:B,0),1),"")</f>
        <v>FUNCTIONAL INGREDIENTS</v>
      </c>
      <c r="G222" s="17" t="str">
        <f>IFERROR(INDEX(HS_MD!G:G,MATCH(B222,HS_MD!B:B,0),1),"")</f>
        <v>Emulsifiers</v>
      </c>
      <c r="H222" s="17" t="str">
        <f>IFERROR(INDEX(HS_MD!H:H,MATCH(B222,HS_MD!B:B,0),1),"")</f>
        <v>Lecithin</v>
      </c>
      <c r="I222" s="17" t="str">
        <f>IFERROR(INDEX(HS_MD!I:I,MATCH(B222,HS_MD!B:B,0),1),"")</f>
        <v>Bakery / Chocolate / Sauces</v>
      </c>
      <c r="J222" s="17">
        <f>IFERROR(INDEX(Heat_Map[Index],MATCH(HS_DB[[#This Row],[Reporter]],Heat_Map[Global],0),1),"")</f>
        <v>181</v>
      </c>
      <c r="K222" s="17" t="str">
        <f>IF(AND(HS_DB[[#This Row],[Origin Rank]]&gt;1,HS_DB[[#This Row],[Origin Rank]]&lt;=10),"Yes","No")</f>
        <v>Yes</v>
      </c>
      <c r="L222" s="2">
        <v>2024</v>
      </c>
      <c r="M222" s="2" t="s">
        <v>57</v>
      </c>
      <c r="N222" s="2" t="s">
        <v>36</v>
      </c>
      <c r="O222" s="2" t="s">
        <v>22</v>
      </c>
      <c r="P222" s="2" t="s">
        <v>23</v>
      </c>
      <c r="Q222" s="2" t="s">
        <v>24</v>
      </c>
      <c r="R222" s="2" t="s">
        <v>25</v>
      </c>
      <c r="S222" s="2">
        <v>292320</v>
      </c>
      <c r="T222" s="3">
        <v>119538</v>
      </c>
      <c r="U222" s="3">
        <v>24000</v>
      </c>
      <c r="V222" s="3">
        <v>0</v>
      </c>
      <c r="W222" s="3">
        <v>24000</v>
      </c>
      <c r="X222" s="3" t="s">
        <v>58</v>
      </c>
      <c r="Y222" s="3">
        <v>24000</v>
      </c>
      <c r="Z222" s="3" t="s">
        <v>58</v>
      </c>
      <c r="AA222" s="6">
        <f>SUMIFS(HS_DB[Trade Value - USD],HS_DB[Reporter],HS_DB[[#This Row],[Reporter]])/SUM(HS_DB[Trade Value - USD])</f>
        <v>1.3104801671892474E-3</v>
      </c>
      <c r="AB222" s="8" cm="1">
        <f t="array" ref="AB222">SUMPRODUCT(
(HS_DB[Reporter]=HS_DB[[#This Row],[Reporter]])*
(HS_DB[Trade Value - USD]&gt;HS_DB[[#This Row],[Trade Value - USD]])
)+1</f>
        <v>6</v>
      </c>
      <c r="AC222" s="8" t="str">
        <f>IFERROR(IF(INDEX(Heat_Map[Crisis Impact %],MATCH(HS_DB[[#This Row],[Reporter]],Heat_Map[Global],0),1)&gt;0,"Yes","No"),"No")</f>
        <v>No</v>
      </c>
      <c r="AD222" s="6">
        <f>IFERROR(INDEX(Heat_Map[Crisis Impact %],MATCH(HS_DB[[#This Row],[Reporter]],Heat_Map[Global],0),1),0)</f>
        <v>0</v>
      </c>
      <c r="AE222" s="8">
        <f>HS_DB[[#This Row],[Crisis Impact%]]*HS_DB[[#This Row],[Trade Value - USD]]</f>
        <v>0</v>
      </c>
      <c r="AF222" s="8">
        <f>HS_DB[[#This Row],[Crisis Impact%]]*HS_DB[[#This Row],[Net Weight -KG]]</f>
        <v>0</v>
      </c>
      <c r="AG222" s="6">
        <f>SUMIFS(HS_DB[Trade Value - USD],HS_DB[Products],HS_DB[[#This Row],[Products]])/SUM(HS_DB[Trade Value - USD])</f>
        <v>2.7891765692835096E-3</v>
      </c>
      <c r="AH222" s="8">
        <f>_xlfn.RANK.EQ(HS_DB[[#This Row],[Trade Value - USD]], HS_DB[Trade Value - USD], 0)
 + COUNTIFS(HS_DB[Trade Value - USD],HS_DB[[#This Row],[Trade Value - USD]],
            HS_DB[HS Code],"&lt;"&amp;HS_DB[[#This Row],[HS Code]])</f>
        <v>262</v>
      </c>
      <c r="AI222" s="9">
        <f>IFERROR(HS_DB[[#This Row],[Trade Value - USD]]/HS_DB[[#This Row],[Net Weight -KG]],0)</f>
        <v>4.9807499999999996</v>
      </c>
      <c r="AJ222" s="17" cm="1">
        <f t="array" ref="AJ222">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22" s="17" t="str">
        <f>IF(HS_DB[[#This Row],[HS Code Risk Score]]&gt;=40,"High",
 IF(HS_DB[[#This Row],[HS Code Risk Score]]&gt;=25,"Medium","Low"))</f>
        <v>Medium</v>
      </c>
      <c r="AL222" s="17" t="str">
        <f>IF(RANK(HS_DB[[#This Row],[HS Code Risk Score]],HS_DB[HS Code Risk Score])&lt;=10,"Yes","No")</f>
        <v>No</v>
      </c>
      <c r="AM222" s="8">
        <f>SUMIFS(HS_DB[Net Weight -KG],HS_DB[HS Code],HS_DB[[#This Row],[HS Code]])</f>
        <v>4015418.8</v>
      </c>
      <c r="AN222" s="8">
        <f>SUMIFS(HS_DB[Trade Value - USD],HS_DB[HS Code],HS_DB[[#This Row],[HS Code]])</f>
        <v>5257621</v>
      </c>
      <c r="AO222" s="6">
        <f>_xlfn.MAXIFS(HS_DB[Origin Share%],HS_DB[HS Code],HS_DB[[#This Row],[HS Code]])</f>
        <v>6.321329281187793E-2</v>
      </c>
      <c r="AP222" s="8" cm="1">
        <f t="array" ref="AP222">_xlfn.LET(
_xlpm.hs,HS_DB[[#This Row],[HS Code]],
COUNTA(_xlfn.UNIQUE(_xlfn._xlws.FILTER(HS_DB[Reporter],HS_DB[HS Code]=_xlpm.hs)))
)</f>
        <v>14</v>
      </c>
      <c r="AQ222" s="17" t="str">
        <f>IF(HS_DB[[#This Row],[Origin Count]]=1,"Single Source","Multiple Sources")</f>
        <v>Multiple Sources</v>
      </c>
      <c r="AR222" s="8">
        <f>HS_DB[[#This Row],[Annual Spend - USD]]*(HS_DB[[#This Row],[HS Code Risk Score]]/100)</f>
        <v>1787591.1400000001</v>
      </c>
      <c r="AS222" s="8">
        <f>RANK(HS_DB[[#This Row],[Risk Exposure - USD]],HS_DB[Risk Exposure - USD],0)</f>
        <v>407</v>
      </c>
      <c r="AT222" s="8" t="str">
        <f>IF(HS_DB[[#This Row],[Risk Exposure Rank]]&lt;=10,"High",
 IF(HS_DB[[#This Row],[Risk Exposure Rank]]&lt;=30,"Medium",
 "Low"))</f>
        <v>Low</v>
      </c>
      <c r="AU222" s="8" t="str">
        <f>IF(HS_DB[[#This Row],[Risk Exposure Rank]]&lt;=5,"Immediate Action",
 IF(HS_DB[[#This Row],[Risk Exposure Rank]]&lt;=15,"Monitor Closely",
 "Routine Control"))</f>
        <v>Routine Control</v>
      </c>
      <c r="AV222" s="8">
        <f>SUMIFS(HS_DB[Trade Value - USD],HS_DB[HS Code],HS_DB[[#This Row],[HS Code]])</f>
        <v>5257621</v>
      </c>
      <c r="AW222" s="6">
        <f>HS_DB[[#This Row],[Annual Spend - USD]]/HS_DB[[#This Row],[Total Market Size - USD]]</f>
        <v>1</v>
      </c>
      <c r="AX222" s="6" cm="1">
        <f t="array" ref="AX222">COUNTA(_xlfn.UNIQUE(_xlfn._xlws.FILTER(HS_DB[Partner],HS_DB[HS Code]=HS_DB[[#This Row],[HS Code]])))</f>
        <v>1</v>
      </c>
      <c r="AY222" s="8" t="str">
        <f>IF(HS_DB[[#This Row],[Competition Intensity]]&lt;=2,"Highly Concentrated",
 IF(HS_DB[[#This Row],[Competition Intensity]]&lt;=5,"Moderate",
 "Highly Competitive"))</f>
        <v>Highly Concentrated</v>
      </c>
      <c r="AZ222" s="8">
        <f>HS_DB[[#This Row],[Total Market Size - USD]]
*
(1+IFERROR(#REF!,0))
/
HS_DB[[#This Row],[Competition Intensity]]</f>
        <v>5257621</v>
      </c>
      <c r="BA222" s="8" t="str">
        <f>IF(HS_DB[[#This Row],[Commercial Opportunity Score]]&gt;=PERCENTILE(HS_DB[Commercial Opportunity Score],0.9),"High Opportunity",
 IF(HS_DB[[#This Row],[Commercial Opportunity Score]]&gt;=PERCENTILE(HS_DB[Commercial Opportunity Score],0.6),"Medium Opportunity",
 "Routine Market"))</f>
        <v>Routine Market</v>
      </c>
      <c r="BB222" s="3" t="str">
        <f>IF(AND(HS_DB[[#This Row],[Product Rank]]&gt;0,HS_DB[[#This Row],[Product Rank]]&lt;=10),"Yes","No")</f>
        <v>No</v>
      </c>
      <c r="BC222" s="3" t="str">
        <f>IF(AND(HS_DB[[#This Row],[Origin Rank]]&gt;0,HS_DB[[#This Row],[Origin Rank]]&lt;=10),"Yes","No")</f>
        <v>Yes</v>
      </c>
    </row>
    <row r="223" spans="2:55" x14ac:dyDescent="0.3">
      <c r="B223" s="2">
        <f>HS_DB[[#This Row],[Commodity Code]]</f>
        <v>292320</v>
      </c>
      <c r="C223" s="2">
        <f>IFERROR(INDEX(HS_MD!C:C,MATCH(B223,HS_MD!B:B,0),1),"")</f>
        <v>16</v>
      </c>
      <c r="D223" s="17" t="str">
        <f>IFERROR(INDEX(HS_MD!D:D,MATCH(B223,HS_MD!B:B,0),1),"")</f>
        <v>Lecithins</v>
      </c>
      <c r="E223" s="17" t="str">
        <f>IFERROR(INDEX(HS_MD!E:E,MATCH(B223,HS_MD!B:B,0),1),"")</f>
        <v>Lecithin</v>
      </c>
      <c r="F223" s="17" t="str">
        <f>IFERROR(INDEX(HS_MD!F:F,MATCH(B223,HS_MD!B:B,0),1),"")</f>
        <v>FUNCTIONAL INGREDIENTS</v>
      </c>
      <c r="G223" s="17" t="str">
        <f>IFERROR(INDEX(HS_MD!G:G,MATCH(B223,HS_MD!B:B,0),1),"")</f>
        <v>Emulsifiers</v>
      </c>
      <c r="H223" s="17" t="str">
        <f>IFERROR(INDEX(HS_MD!H:H,MATCH(B223,HS_MD!B:B,0),1),"")</f>
        <v>Lecithin</v>
      </c>
      <c r="I223" s="17" t="str">
        <f>IFERROR(INDEX(HS_MD!I:I,MATCH(B223,HS_MD!B:B,0),1),"")</f>
        <v>Bakery / Chocolate / Sauces</v>
      </c>
      <c r="J223" s="17">
        <f>IFERROR(INDEX(Heat_Map[Index],MATCH(HS_DB[[#This Row],[Reporter]],Heat_Map[Global],0),1),"")</f>
        <v>182</v>
      </c>
      <c r="K223" s="17" t="str">
        <f>IF(AND(HS_DB[[#This Row],[Origin Rank]]&gt;1,HS_DB[[#This Row],[Origin Rank]]&lt;=10),"Yes","No")</f>
        <v>No</v>
      </c>
      <c r="L223" s="2">
        <v>2024</v>
      </c>
      <c r="M223" s="2" t="s">
        <v>57</v>
      </c>
      <c r="N223" s="2" t="s">
        <v>56</v>
      </c>
      <c r="O223" s="2" t="s">
        <v>22</v>
      </c>
      <c r="P223" s="2" t="s">
        <v>23</v>
      </c>
      <c r="Q223" s="2" t="s">
        <v>24</v>
      </c>
      <c r="R223" s="2" t="s">
        <v>25</v>
      </c>
      <c r="S223" s="2">
        <v>292320</v>
      </c>
      <c r="T223" s="3">
        <v>132696</v>
      </c>
      <c r="U223" s="3">
        <v>98181</v>
      </c>
      <c r="V223" s="3">
        <v>0</v>
      </c>
      <c r="W223" s="3">
        <v>98181</v>
      </c>
      <c r="X223" s="3" t="s">
        <v>58</v>
      </c>
      <c r="Y223" s="3">
        <v>98181</v>
      </c>
      <c r="Z223" s="3" t="s">
        <v>58</v>
      </c>
      <c r="AA223" s="6">
        <f>SUMIFS(HS_DB[Trade Value - USD],HS_DB[Reporter],HS_DB[[#This Row],[Reporter]])/SUM(HS_DB[Trade Value - USD])</f>
        <v>9.425427433633813E-3</v>
      </c>
      <c r="AB223" s="8" cm="1">
        <f t="array" ref="AB223">SUMPRODUCT(
(HS_DB[Reporter]=HS_DB[[#This Row],[Reporter]])*
(HS_DB[Trade Value - USD]&gt;HS_DB[[#This Row],[Trade Value - USD]])
)+1</f>
        <v>13</v>
      </c>
      <c r="AC223" s="8" t="str">
        <f>IFERROR(IF(INDEX(Heat_Map[Crisis Impact %],MATCH(HS_DB[[#This Row],[Reporter]],Heat_Map[Global],0),1)&gt;0,"Yes","No"),"No")</f>
        <v>Yes</v>
      </c>
      <c r="AD223" s="6">
        <f>IFERROR(INDEX(Heat_Map[Crisis Impact %],MATCH(HS_DB[[#This Row],[Reporter]],Heat_Map[Global],0),1),0)</f>
        <v>4.0000000000000008E-2</v>
      </c>
      <c r="AE223" s="8">
        <f>HS_DB[[#This Row],[Crisis Impact%]]*HS_DB[[#This Row],[Trade Value - USD]]</f>
        <v>5307.8400000000011</v>
      </c>
      <c r="AF223" s="8">
        <f>HS_DB[[#This Row],[Crisis Impact%]]*HS_DB[[#This Row],[Net Weight -KG]]</f>
        <v>3927.2400000000007</v>
      </c>
      <c r="AG223" s="6">
        <f>SUMIFS(HS_DB[Trade Value - USD],HS_DB[Products],HS_DB[[#This Row],[Products]])/SUM(HS_DB[Trade Value - USD])</f>
        <v>2.7891765692835096E-3</v>
      </c>
      <c r="AH223" s="8">
        <f>_xlfn.RANK.EQ(HS_DB[[#This Row],[Trade Value - USD]], HS_DB[Trade Value - USD], 0)
 + COUNTIFS(HS_DB[Trade Value - USD],HS_DB[[#This Row],[Trade Value - USD]],
            HS_DB[HS Code],"&lt;"&amp;HS_DB[[#This Row],[HS Code]])</f>
        <v>257</v>
      </c>
      <c r="AI223" s="9">
        <f>IFERROR(HS_DB[[#This Row],[Trade Value - USD]]/HS_DB[[#This Row],[Net Weight -KG]],0)</f>
        <v>1.3515445962049684</v>
      </c>
      <c r="AJ223" s="17" cm="1">
        <f t="array" ref="AJ223">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23" s="17" t="str">
        <f>IF(HS_DB[[#This Row],[HS Code Risk Score]]&gt;=40,"High",
 IF(HS_DB[[#This Row],[HS Code Risk Score]]&gt;=25,"Medium","Low"))</f>
        <v>Medium</v>
      </c>
      <c r="AL223" s="17" t="str">
        <f>IF(RANK(HS_DB[[#This Row],[HS Code Risk Score]],HS_DB[HS Code Risk Score])&lt;=10,"Yes","No")</f>
        <v>No</v>
      </c>
      <c r="AM223" s="8">
        <f>SUMIFS(HS_DB[Net Weight -KG],HS_DB[HS Code],HS_DB[[#This Row],[HS Code]])</f>
        <v>4015418.8</v>
      </c>
      <c r="AN223" s="8">
        <f>SUMIFS(HS_DB[Trade Value - USD],HS_DB[HS Code],HS_DB[[#This Row],[HS Code]])</f>
        <v>5257621</v>
      </c>
      <c r="AO223" s="6">
        <f>_xlfn.MAXIFS(HS_DB[Origin Share%],HS_DB[HS Code],HS_DB[[#This Row],[HS Code]])</f>
        <v>6.321329281187793E-2</v>
      </c>
      <c r="AP223" s="8" cm="1">
        <f t="array" ref="AP223">_xlfn.LET(
_xlpm.hs,HS_DB[[#This Row],[HS Code]],
COUNTA(_xlfn.UNIQUE(_xlfn._xlws.FILTER(HS_DB[Reporter],HS_DB[HS Code]=_xlpm.hs)))
)</f>
        <v>14</v>
      </c>
      <c r="AQ223" s="17" t="str">
        <f>IF(HS_DB[[#This Row],[Origin Count]]=1,"Single Source","Multiple Sources")</f>
        <v>Multiple Sources</v>
      </c>
      <c r="AR223" s="8">
        <f>HS_DB[[#This Row],[Annual Spend - USD]]*(HS_DB[[#This Row],[HS Code Risk Score]]/100)</f>
        <v>1787591.1400000001</v>
      </c>
      <c r="AS223" s="8">
        <f>RANK(HS_DB[[#This Row],[Risk Exposure - USD]],HS_DB[Risk Exposure - USD],0)</f>
        <v>407</v>
      </c>
      <c r="AT223" s="8" t="str">
        <f>IF(HS_DB[[#This Row],[Risk Exposure Rank]]&lt;=10,"High",
 IF(HS_DB[[#This Row],[Risk Exposure Rank]]&lt;=30,"Medium",
 "Low"))</f>
        <v>Low</v>
      </c>
      <c r="AU223" s="8" t="str">
        <f>IF(HS_DB[[#This Row],[Risk Exposure Rank]]&lt;=5,"Immediate Action",
 IF(HS_DB[[#This Row],[Risk Exposure Rank]]&lt;=15,"Monitor Closely",
 "Routine Control"))</f>
        <v>Routine Control</v>
      </c>
      <c r="AV223" s="8">
        <f>SUMIFS(HS_DB[Trade Value - USD],HS_DB[HS Code],HS_DB[[#This Row],[HS Code]])</f>
        <v>5257621</v>
      </c>
      <c r="AW223" s="6">
        <f>HS_DB[[#This Row],[Annual Spend - USD]]/HS_DB[[#This Row],[Total Market Size - USD]]</f>
        <v>1</v>
      </c>
      <c r="AX223" s="6" cm="1">
        <f t="array" ref="AX223">COUNTA(_xlfn.UNIQUE(_xlfn._xlws.FILTER(HS_DB[Partner],HS_DB[HS Code]=HS_DB[[#This Row],[HS Code]])))</f>
        <v>1</v>
      </c>
      <c r="AY223" s="8" t="str">
        <f>IF(HS_DB[[#This Row],[Competition Intensity]]&lt;=2,"Highly Concentrated",
 IF(HS_DB[[#This Row],[Competition Intensity]]&lt;=5,"Moderate",
 "Highly Competitive"))</f>
        <v>Highly Concentrated</v>
      </c>
      <c r="AZ223" s="8">
        <f>HS_DB[[#This Row],[Total Market Size - USD]]
*
(1+IFERROR(#REF!,0))
/
HS_DB[[#This Row],[Competition Intensity]]</f>
        <v>5257621</v>
      </c>
      <c r="BA223" s="8" t="str">
        <f>IF(HS_DB[[#This Row],[Commercial Opportunity Score]]&gt;=PERCENTILE(HS_DB[Commercial Opportunity Score],0.9),"High Opportunity",
 IF(HS_DB[[#This Row],[Commercial Opportunity Score]]&gt;=PERCENTILE(HS_DB[Commercial Opportunity Score],0.6),"Medium Opportunity",
 "Routine Market"))</f>
        <v>Routine Market</v>
      </c>
      <c r="BB223" s="3" t="str">
        <f>IF(AND(HS_DB[[#This Row],[Product Rank]]&gt;0,HS_DB[[#This Row],[Product Rank]]&lt;=10),"Yes","No")</f>
        <v>No</v>
      </c>
      <c r="BC223" s="3" t="str">
        <f>IF(AND(HS_DB[[#This Row],[Origin Rank]]&gt;0,HS_DB[[#This Row],[Origin Rank]]&lt;=10),"Yes","No")</f>
        <v>No</v>
      </c>
    </row>
    <row r="224" spans="2:55" x14ac:dyDescent="0.3">
      <c r="B224" s="2">
        <f>HS_DB[[#This Row],[Commodity Code]]</f>
        <v>291570</v>
      </c>
      <c r="C224" s="2">
        <f>IFERROR(INDEX(HS_MD!C:C,MATCH(B224,HS_MD!B:B,0),1),"")</f>
        <v>17</v>
      </c>
      <c r="D224" s="17" t="str">
        <f>IFERROR(INDEX(HS_MD!D:D,MATCH(B224,HS_MD!B:B,0),1),"")</f>
        <v>Fatty acid derivatives</v>
      </c>
      <c r="E224" s="17" t="str">
        <f>IFERROR(INDEX(HS_MD!E:E,MATCH(B224,HS_MD!B:B,0),1),"")</f>
        <v>Mono &amp; Diglycerides</v>
      </c>
      <c r="F224" s="17" t="str">
        <f>IFERROR(INDEX(HS_MD!F:F,MATCH(B224,HS_MD!B:B,0),1),"")</f>
        <v>FUNCTIONAL INGREDIENTS</v>
      </c>
      <c r="G224" s="17" t="str">
        <f>IFERROR(INDEX(HS_MD!G:G,MATCH(B224,HS_MD!B:B,0),1),"")</f>
        <v>Emulsifiers</v>
      </c>
      <c r="H224" s="17" t="str">
        <f>IFERROR(INDEX(HS_MD!H:H,MATCH(B224,HS_MD!B:B,0),1),"")</f>
        <v>Mono &amp; Diglycerides</v>
      </c>
      <c r="I224" s="17" t="str">
        <f>IFERROR(INDEX(HS_MD!I:I,MATCH(B224,HS_MD!B:B,0),1),"")</f>
        <v>Bakery / Margarine / Sauces</v>
      </c>
      <c r="J224" s="17">
        <f>IFERROR(INDEX(Heat_Map[Index],MATCH(HS_DB[[#This Row],[Reporter]],Heat_Map[Global],0),1),"")</f>
        <v>17</v>
      </c>
      <c r="K224" s="17" t="str">
        <f>IF(AND(HS_DB[[#This Row],[Origin Rank]]&gt;1,HS_DB[[#This Row],[Origin Rank]]&lt;=10),"Yes","No")</f>
        <v>No</v>
      </c>
      <c r="L224" s="2">
        <v>2024</v>
      </c>
      <c r="M224" s="2" t="s">
        <v>57</v>
      </c>
      <c r="N224" s="2" t="s">
        <v>5</v>
      </c>
      <c r="O224" s="2" t="s">
        <v>22</v>
      </c>
      <c r="P224" s="2" t="s">
        <v>23</v>
      </c>
      <c r="Q224" s="2" t="s">
        <v>24</v>
      </c>
      <c r="R224" s="2" t="s">
        <v>25</v>
      </c>
      <c r="S224" s="2">
        <v>291570</v>
      </c>
      <c r="T224" s="3">
        <v>11270</v>
      </c>
      <c r="U224" s="3">
        <v>1693.6</v>
      </c>
      <c r="V224" s="3">
        <v>0</v>
      </c>
      <c r="W224" s="3">
        <v>1694</v>
      </c>
      <c r="X224" s="3" t="s">
        <v>58</v>
      </c>
      <c r="Y224" s="3">
        <v>1694</v>
      </c>
      <c r="Z224" s="3" t="s">
        <v>58</v>
      </c>
      <c r="AA224" s="6">
        <f>SUMIFS(HS_DB[Trade Value - USD],HS_DB[Reporter],HS_DB[[#This Row],[Reporter]])/SUM(HS_DB[Trade Value - USD])</f>
        <v>5.3992075088500962E-3</v>
      </c>
      <c r="AB224" s="8" cm="1">
        <f t="array" ref="AB224">SUMPRODUCT(
(HS_DB[Reporter]=HS_DB[[#This Row],[Reporter]])*
(HS_DB[Trade Value - USD]&gt;HS_DB[[#This Row],[Trade Value - USD]])
)+1</f>
        <v>19</v>
      </c>
      <c r="AC224" s="8" t="str">
        <f>IFERROR(IF(INDEX(Heat_Map[Crisis Impact %],MATCH(HS_DB[[#This Row],[Reporter]],Heat_Map[Global],0),1)&gt;0,"Yes","No"),"No")</f>
        <v>No</v>
      </c>
      <c r="AD224" s="6">
        <f>IFERROR(INDEX(Heat_Map[Crisis Impact %],MATCH(HS_DB[[#This Row],[Reporter]],Heat_Map[Global],0),1),0)</f>
        <v>0</v>
      </c>
      <c r="AE224" s="8">
        <f>HS_DB[[#This Row],[Crisis Impact%]]*HS_DB[[#This Row],[Trade Value - USD]]</f>
        <v>0</v>
      </c>
      <c r="AF224" s="8">
        <f>HS_DB[[#This Row],[Crisis Impact%]]*HS_DB[[#This Row],[Net Weight -KG]]</f>
        <v>0</v>
      </c>
      <c r="AG224" s="6">
        <f>SUMIFS(HS_DB[Trade Value - USD],HS_DB[Products],HS_DB[[#This Row],[Products]])/SUM(HS_DB[Trade Value - USD])</f>
        <v>4.3846809447427443E-3</v>
      </c>
      <c r="AH224" s="8">
        <f>_xlfn.RANK.EQ(HS_DB[[#This Row],[Trade Value - USD]], HS_DB[Trade Value - USD], 0)
 + COUNTIFS(HS_DB[Trade Value - USD],HS_DB[[#This Row],[Trade Value - USD]],
            HS_DB[HS Code],"&lt;"&amp;HS_DB[[#This Row],[HS Code]])</f>
        <v>409</v>
      </c>
      <c r="AI224" s="9">
        <f>IFERROR(HS_DB[[#This Row],[Trade Value - USD]]/HS_DB[[#This Row],[Net Weight -KG]],0)</f>
        <v>6.6544638639584317</v>
      </c>
      <c r="AJ224" s="17" cm="1">
        <f t="array" ref="AJ224">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24" s="17" t="str">
        <f>IF(HS_DB[[#This Row],[HS Code Risk Score]]&gt;=40,"High",
 IF(HS_DB[[#This Row],[HS Code Risk Score]]&gt;=25,"Medium","Low"))</f>
        <v>Medium</v>
      </c>
      <c r="AL224" s="17" t="str">
        <f>IF(RANK(HS_DB[[#This Row],[HS Code Risk Score]],HS_DB[HS Code Risk Score])&lt;=10,"Yes","No")</f>
        <v>No</v>
      </c>
      <c r="AM224" s="8">
        <f>SUMIFS(HS_DB[Net Weight -KG],HS_DB[HS Code],HS_DB[[#This Row],[HS Code]])</f>
        <v>3811780.5999999996</v>
      </c>
      <c r="AN224" s="8">
        <f>SUMIFS(HS_DB[Trade Value - USD],HS_DB[HS Code],HS_DB[[#This Row],[HS Code]])</f>
        <v>8265160</v>
      </c>
      <c r="AO224" s="6">
        <f>_xlfn.MAXIFS(HS_DB[Origin Share%],HS_DB[HS Code],HS_DB[[#This Row],[HS Code]])</f>
        <v>0.39900464236999494</v>
      </c>
      <c r="AP224" s="8" cm="1">
        <f t="array" ref="AP224">_xlfn.LET(
_xlpm.hs,HS_DB[[#This Row],[HS Code]],
COUNTA(_xlfn.UNIQUE(_xlfn._xlws.FILTER(HS_DB[Reporter],HS_DB[HS Code]=_xlpm.hs)))
)</f>
        <v>17</v>
      </c>
      <c r="AQ224" s="17" t="str">
        <f>IF(HS_DB[[#This Row],[Origin Count]]=1,"Single Source","Multiple Sources")</f>
        <v>Multiple Sources</v>
      </c>
      <c r="AR224" s="8">
        <f>HS_DB[[#This Row],[Annual Spend - USD]]*(HS_DB[[#This Row],[HS Code Risk Score]]/100)</f>
        <v>2810154.4000000004</v>
      </c>
      <c r="AS224" s="8">
        <f>RANK(HS_DB[[#This Row],[Risk Exposure - USD]],HS_DB[Risk Exposure - USD],0)</f>
        <v>329</v>
      </c>
      <c r="AT224" s="8" t="str">
        <f>IF(HS_DB[[#This Row],[Risk Exposure Rank]]&lt;=10,"High",
 IF(HS_DB[[#This Row],[Risk Exposure Rank]]&lt;=30,"Medium",
 "Low"))</f>
        <v>Low</v>
      </c>
      <c r="AU224" s="8" t="str">
        <f>IF(HS_DB[[#This Row],[Risk Exposure Rank]]&lt;=5,"Immediate Action",
 IF(HS_DB[[#This Row],[Risk Exposure Rank]]&lt;=15,"Monitor Closely",
 "Routine Control"))</f>
        <v>Routine Control</v>
      </c>
      <c r="AV224" s="8">
        <f>SUMIFS(HS_DB[Trade Value - USD],HS_DB[HS Code],HS_DB[[#This Row],[HS Code]])</f>
        <v>8265160</v>
      </c>
      <c r="AW224" s="6">
        <f>HS_DB[[#This Row],[Annual Spend - USD]]/HS_DB[[#This Row],[Total Market Size - USD]]</f>
        <v>1</v>
      </c>
      <c r="AX224" s="6" cm="1">
        <f t="array" ref="AX224">COUNTA(_xlfn.UNIQUE(_xlfn._xlws.FILTER(HS_DB[Partner],HS_DB[HS Code]=HS_DB[[#This Row],[HS Code]])))</f>
        <v>1</v>
      </c>
      <c r="AY224" s="8" t="str">
        <f>IF(HS_DB[[#This Row],[Competition Intensity]]&lt;=2,"Highly Concentrated",
 IF(HS_DB[[#This Row],[Competition Intensity]]&lt;=5,"Moderate",
 "Highly Competitive"))</f>
        <v>Highly Concentrated</v>
      </c>
      <c r="AZ224" s="8">
        <f>HS_DB[[#This Row],[Total Market Size - USD]]
*
(1+IFERROR(#REF!,0))
/
HS_DB[[#This Row],[Competition Intensity]]</f>
        <v>8265160</v>
      </c>
      <c r="BA224" s="8" t="str">
        <f>IF(HS_DB[[#This Row],[Commercial Opportunity Score]]&gt;=PERCENTILE(HS_DB[Commercial Opportunity Score],0.9),"High Opportunity",
 IF(HS_DB[[#This Row],[Commercial Opportunity Score]]&gt;=PERCENTILE(HS_DB[Commercial Opportunity Score],0.6),"Medium Opportunity",
 "Routine Market"))</f>
        <v>Routine Market</v>
      </c>
      <c r="BB224" s="3" t="str">
        <f>IF(AND(HS_DB[[#This Row],[Product Rank]]&gt;0,HS_DB[[#This Row],[Product Rank]]&lt;=10),"Yes","No")</f>
        <v>No</v>
      </c>
      <c r="BC224" s="3" t="str">
        <f>IF(AND(HS_DB[[#This Row],[Origin Rank]]&gt;0,HS_DB[[#This Row],[Origin Rank]]&lt;=10),"Yes","No")</f>
        <v>No</v>
      </c>
    </row>
    <row r="225" spans="2:55" x14ac:dyDescent="0.3">
      <c r="B225" s="2">
        <f>HS_DB[[#This Row],[Commodity Code]]</f>
        <v>291570</v>
      </c>
      <c r="C225" s="2">
        <f>IFERROR(INDEX(HS_MD!C:C,MATCH(B225,HS_MD!B:B,0),1),"")</f>
        <v>17</v>
      </c>
      <c r="D225" s="17" t="str">
        <f>IFERROR(INDEX(HS_MD!D:D,MATCH(B225,HS_MD!B:B,0),1),"")</f>
        <v>Fatty acid derivatives</v>
      </c>
      <c r="E225" s="17" t="str">
        <f>IFERROR(INDEX(HS_MD!E:E,MATCH(B225,HS_MD!B:B,0),1),"")</f>
        <v>Mono &amp; Diglycerides</v>
      </c>
      <c r="F225" s="17" t="str">
        <f>IFERROR(INDEX(HS_MD!F:F,MATCH(B225,HS_MD!B:B,0),1),"")</f>
        <v>FUNCTIONAL INGREDIENTS</v>
      </c>
      <c r="G225" s="17" t="str">
        <f>IFERROR(INDEX(HS_MD!G:G,MATCH(B225,HS_MD!B:B,0),1),"")</f>
        <v>Emulsifiers</v>
      </c>
      <c r="H225" s="17" t="str">
        <f>IFERROR(INDEX(HS_MD!H:H,MATCH(B225,HS_MD!B:B,0),1),"")</f>
        <v>Mono &amp; Diglycerides</v>
      </c>
      <c r="I225" s="17" t="str">
        <f>IFERROR(INDEX(HS_MD!I:I,MATCH(B225,HS_MD!B:B,0),1),"")</f>
        <v>Bakery / Margarine / Sauces</v>
      </c>
      <c r="J225" s="17">
        <f>IFERROR(INDEX(Heat_Map[Index],MATCH(HS_DB[[#This Row],[Reporter]],Heat_Map[Global],0),1),"")</f>
        <v>36</v>
      </c>
      <c r="K225" s="17" t="str">
        <f>IF(AND(HS_DB[[#This Row],[Origin Rank]]&gt;1,HS_DB[[#This Row],[Origin Rank]]&lt;=10),"Yes","No")</f>
        <v>No</v>
      </c>
      <c r="L225" s="2">
        <v>2024</v>
      </c>
      <c r="M225" s="2" t="s">
        <v>57</v>
      </c>
      <c r="N225" s="2" t="s">
        <v>1</v>
      </c>
      <c r="O225" s="2" t="s">
        <v>22</v>
      </c>
      <c r="P225" s="2" t="s">
        <v>23</v>
      </c>
      <c r="Q225" s="2" t="s">
        <v>24</v>
      </c>
      <c r="R225" s="2" t="s">
        <v>25</v>
      </c>
      <c r="S225" s="2">
        <v>291570</v>
      </c>
      <c r="T225" s="3">
        <v>290846</v>
      </c>
      <c r="U225" s="3">
        <v>146019</v>
      </c>
      <c r="V225" s="3">
        <v>0</v>
      </c>
      <c r="W225" s="3">
        <v>146019</v>
      </c>
      <c r="X225" s="3" t="s">
        <v>58</v>
      </c>
      <c r="Y225" s="3">
        <v>146019</v>
      </c>
      <c r="Z225" s="3" t="s">
        <v>58</v>
      </c>
      <c r="AA225" s="6">
        <f>SUMIFS(HS_DB[Trade Value - USD],HS_DB[Reporter],HS_DB[[#This Row],[Reporter]])/SUM(HS_DB[Trade Value - USD])</f>
        <v>6.321329281187793E-2</v>
      </c>
      <c r="AB225" s="8" cm="1">
        <f t="array" ref="AB225">SUMPRODUCT(
(HS_DB[Reporter]=HS_DB[[#This Row],[Reporter]])*
(HS_DB[Trade Value - USD]&gt;HS_DB[[#This Row],[Trade Value - USD]])
)+1</f>
        <v>25</v>
      </c>
      <c r="AC225" s="8" t="str">
        <f>IFERROR(IF(INDEX(Heat_Map[Crisis Impact %],MATCH(HS_DB[[#This Row],[Reporter]],Heat_Map[Global],0),1)&gt;0,"Yes","No"),"No")</f>
        <v>Yes</v>
      </c>
      <c r="AD225" s="6">
        <f>IFERROR(INDEX(Heat_Map[Crisis Impact %],MATCH(HS_DB[[#This Row],[Reporter]],Heat_Map[Global],0),1),0)</f>
        <v>0.14000000000000001</v>
      </c>
      <c r="AE225" s="8">
        <f>HS_DB[[#This Row],[Crisis Impact%]]*HS_DB[[#This Row],[Trade Value - USD]]</f>
        <v>40718.44</v>
      </c>
      <c r="AF225" s="8">
        <f>HS_DB[[#This Row],[Crisis Impact%]]*HS_DB[[#This Row],[Net Weight -KG]]</f>
        <v>20442.660000000003</v>
      </c>
      <c r="AG225" s="6">
        <f>SUMIFS(HS_DB[Trade Value - USD],HS_DB[Products],HS_DB[[#This Row],[Products]])/SUM(HS_DB[Trade Value - USD])</f>
        <v>4.3846809447427443E-3</v>
      </c>
      <c r="AH225" s="8">
        <f>_xlfn.RANK.EQ(HS_DB[[#This Row],[Trade Value - USD]], HS_DB[Trade Value - USD], 0)
 + COUNTIFS(HS_DB[Trade Value - USD],HS_DB[[#This Row],[Trade Value - USD]],
            HS_DB[HS Code],"&lt;"&amp;HS_DB[[#This Row],[HS Code]])</f>
        <v>193</v>
      </c>
      <c r="AI225" s="9">
        <f>IFERROR(HS_DB[[#This Row],[Trade Value - USD]]/HS_DB[[#This Row],[Net Weight -KG]],0)</f>
        <v>1.9918366787883768</v>
      </c>
      <c r="AJ225" s="17" cm="1">
        <f t="array" ref="AJ225">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25" s="17" t="str">
        <f>IF(HS_DB[[#This Row],[HS Code Risk Score]]&gt;=40,"High",
 IF(HS_DB[[#This Row],[HS Code Risk Score]]&gt;=25,"Medium","Low"))</f>
        <v>Medium</v>
      </c>
      <c r="AL225" s="17" t="str">
        <f>IF(RANK(HS_DB[[#This Row],[HS Code Risk Score]],HS_DB[HS Code Risk Score])&lt;=10,"Yes","No")</f>
        <v>No</v>
      </c>
      <c r="AM225" s="8">
        <f>SUMIFS(HS_DB[Net Weight -KG],HS_DB[HS Code],HS_DB[[#This Row],[HS Code]])</f>
        <v>3811780.5999999996</v>
      </c>
      <c r="AN225" s="8">
        <f>SUMIFS(HS_DB[Trade Value - USD],HS_DB[HS Code],HS_DB[[#This Row],[HS Code]])</f>
        <v>8265160</v>
      </c>
      <c r="AO225" s="6">
        <f>_xlfn.MAXIFS(HS_DB[Origin Share%],HS_DB[HS Code],HS_DB[[#This Row],[HS Code]])</f>
        <v>0.39900464236999494</v>
      </c>
      <c r="AP225" s="8" cm="1">
        <f t="array" ref="AP225">_xlfn.LET(
_xlpm.hs,HS_DB[[#This Row],[HS Code]],
COUNTA(_xlfn.UNIQUE(_xlfn._xlws.FILTER(HS_DB[Reporter],HS_DB[HS Code]=_xlpm.hs)))
)</f>
        <v>17</v>
      </c>
      <c r="AQ225" s="17" t="str">
        <f>IF(HS_DB[[#This Row],[Origin Count]]=1,"Single Source","Multiple Sources")</f>
        <v>Multiple Sources</v>
      </c>
      <c r="AR225" s="8">
        <f>HS_DB[[#This Row],[Annual Spend - USD]]*(HS_DB[[#This Row],[HS Code Risk Score]]/100)</f>
        <v>2810154.4000000004</v>
      </c>
      <c r="AS225" s="8">
        <f>RANK(HS_DB[[#This Row],[Risk Exposure - USD]],HS_DB[Risk Exposure - USD],0)</f>
        <v>329</v>
      </c>
      <c r="AT225" s="8" t="str">
        <f>IF(HS_DB[[#This Row],[Risk Exposure Rank]]&lt;=10,"High",
 IF(HS_DB[[#This Row],[Risk Exposure Rank]]&lt;=30,"Medium",
 "Low"))</f>
        <v>Low</v>
      </c>
      <c r="AU225" s="8" t="str">
        <f>IF(HS_DB[[#This Row],[Risk Exposure Rank]]&lt;=5,"Immediate Action",
 IF(HS_DB[[#This Row],[Risk Exposure Rank]]&lt;=15,"Monitor Closely",
 "Routine Control"))</f>
        <v>Routine Control</v>
      </c>
      <c r="AV225" s="8">
        <f>SUMIFS(HS_DB[Trade Value - USD],HS_DB[HS Code],HS_DB[[#This Row],[HS Code]])</f>
        <v>8265160</v>
      </c>
      <c r="AW225" s="6">
        <f>HS_DB[[#This Row],[Annual Spend - USD]]/HS_DB[[#This Row],[Total Market Size - USD]]</f>
        <v>1</v>
      </c>
      <c r="AX225" s="6" cm="1">
        <f t="array" ref="AX225">COUNTA(_xlfn.UNIQUE(_xlfn._xlws.FILTER(HS_DB[Partner],HS_DB[HS Code]=HS_DB[[#This Row],[HS Code]])))</f>
        <v>1</v>
      </c>
      <c r="AY225" s="8" t="str">
        <f>IF(HS_DB[[#This Row],[Competition Intensity]]&lt;=2,"Highly Concentrated",
 IF(HS_DB[[#This Row],[Competition Intensity]]&lt;=5,"Moderate",
 "Highly Competitive"))</f>
        <v>Highly Concentrated</v>
      </c>
      <c r="AZ225" s="8">
        <f>HS_DB[[#This Row],[Total Market Size - USD]]
*
(1+IFERROR(#REF!,0))
/
HS_DB[[#This Row],[Competition Intensity]]</f>
        <v>8265160</v>
      </c>
      <c r="BA225" s="8" t="str">
        <f>IF(HS_DB[[#This Row],[Commercial Opportunity Score]]&gt;=PERCENTILE(HS_DB[Commercial Opportunity Score],0.9),"High Opportunity",
 IF(HS_DB[[#This Row],[Commercial Opportunity Score]]&gt;=PERCENTILE(HS_DB[Commercial Opportunity Score],0.6),"Medium Opportunity",
 "Routine Market"))</f>
        <v>Routine Market</v>
      </c>
      <c r="BB225" s="3" t="str">
        <f>IF(AND(HS_DB[[#This Row],[Product Rank]]&gt;0,HS_DB[[#This Row],[Product Rank]]&lt;=10),"Yes","No")</f>
        <v>No</v>
      </c>
      <c r="BC225" s="3" t="str">
        <f>IF(AND(HS_DB[[#This Row],[Origin Rank]]&gt;0,HS_DB[[#This Row],[Origin Rank]]&lt;=10),"Yes","No")</f>
        <v>No</v>
      </c>
    </row>
    <row r="226" spans="2:55" x14ac:dyDescent="0.3">
      <c r="B226" s="2">
        <f>HS_DB[[#This Row],[Commodity Code]]</f>
        <v>291570</v>
      </c>
      <c r="C226" s="2">
        <f>IFERROR(INDEX(HS_MD!C:C,MATCH(B226,HS_MD!B:B,0),1),"")</f>
        <v>17</v>
      </c>
      <c r="D226" s="17" t="str">
        <f>IFERROR(INDEX(HS_MD!D:D,MATCH(B226,HS_MD!B:B,0),1),"")</f>
        <v>Fatty acid derivatives</v>
      </c>
      <c r="E226" s="17" t="str">
        <f>IFERROR(INDEX(HS_MD!E:E,MATCH(B226,HS_MD!B:B,0),1),"")</f>
        <v>Mono &amp; Diglycerides</v>
      </c>
      <c r="F226" s="17" t="str">
        <f>IFERROR(INDEX(HS_MD!F:F,MATCH(B226,HS_MD!B:B,0),1),"")</f>
        <v>FUNCTIONAL INGREDIENTS</v>
      </c>
      <c r="G226" s="17" t="str">
        <f>IFERROR(INDEX(HS_MD!G:G,MATCH(B226,HS_MD!B:B,0),1),"")</f>
        <v>Emulsifiers</v>
      </c>
      <c r="H226" s="17" t="str">
        <f>IFERROR(INDEX(HS_MD!H:H,MATCH(B226,HS_MD!B:B,0),1),"")</f>
        <v>Mono &amp; Diglycerides</v>
      </c>
      <c r="I226" s="17" t="str">
        <f>IFERROR(INDEX(HS_MD!I:I,MATCH(B226,HS_MD!B:B,0),1),"")</f>
        <v>Bakery / Margarine / Sauces</v>
      </c>
      <c r="J226" s="17">
        <f>IFERROR(INDEX(Heat_Map[Index],MATCH(HS_DB[[#This Row],[Reporter]],Heat_Map[Global],0),1),"")</f>
        <v>59</v>
      </c>
      <c r="K226" s="17" t="str">
        <f>IF(AND(HS_DB[[#This Row],[Origin Rank]]&gt;1,HS_DB[[#This Row],[Origin Rank]]&lt;=10),"Yes","No")</f>
        <v>No</v>
      </c>
      <c r="L226" s="2">
        <v>2024</v>
      </c>
      <c r="M226" s="2" t="s">
        <v>57</v>
      </c>
      <c r="N226" s="2" t="s">
        <v>44</v>
      </c>
      <c r="O226" s="2" t="s">
        <v>22</v>
      </c>
      <c r="P226" s="2" t="s">
        <v>23</v>
      </c>
      <c r="Q226" s="2" t="s">
        <v>24</v>
      </c>
      <c r="R226" s="2" t="s">
        <v>25</v>
      </c>
      <c r="S226" s="2">
        <v>291570</v>
      </c>
      <c r="T226" s="3">
        <v>272330</v>
      </c>
      <c r="U226" s="3">
        <v>27570</v>
      </c>
      <c r="V226" s="3">
        <v>0</v>
      </c>
      <c r="W226" s="3">
        <v>27570</v>
      </c>
      <c r="X226" s="3" t="s">
        <v>58</v>
      </c>
      <c r="Y226" s="3">
        <v>27570</v>
      </c>
      <c r="Z226" s="3" t="s">
        <v>58</v>
      </c>
      <c r="AA226" s="6">
        <f>SUMIFS(HS_DB[Trade Value - USD],HS_DB[Reporter],HS_DB[[#This Row],[Reporter]])/SUM(HS_DB[Trade Value - USD])</f>
        <v>1.6951290293147386E-2</v>
      </c>
      <c r="AB226" s="8" cm="1">
        <f t="array" ref="AB226">SUMPRODUCT(
(HS_DB[Reporter]=HS_DB[[#This Row],[Reporter]])*
(HS_DB[Trade Value - USD]&gt;HS_DB[[#This Row],[Trade Value - USD]])
)+1</f>
        <v>15</v>
      </c>
      <c r="AC226" s="8" t="str">
        <f>IFERROR(IF(INDEX(Heat_Map[Crisis Impact %],MATCH(HS_DB[[#This Row],[Reporter]],Heat_Map[Global],0),1)&gt;0,"Yes","No"),"No")</f>
        <v>No</v>
      </c>
      <c r="AD226" s="6">
        <f>IFERROR(INDEX(Heat_Map[Crisis Impact %],MATCH(HS_DB[[#This Row],[Reporter]],Heat_Map[Global],0),1),0)</f>
        <v>0</v>
      </c>
      <c r="AE226" s="8">
        <f>HS_DB[[#This Row],[Crisis Impact%]]*HS_DB[[#This Row],[Trade Value - USD]]</f>
        <v>0</v>
      </c>
      <c r="AF226" s="8">
        <f>HS_DB[[#This Row],[Crisis Impact%]]*HS_DB[[#This Row],[Net Weight -KG]]</f>
        <v>0</v>
      </c>
      <c r="AG226" s="6">
        <f>SUMIFS(HS_DB[Trade Value - USD],HS_DB[Products],HS_DB[[#This Row],[Products]])/SUM(HS_DB[Trade Value - USD])</f>
        <v>4.3846809447427443E-3</v>
      </c>
      <c r="AH226" s="8">
        <f>_xlfn.RANK.EQ(HS_DB[[#This Row],[Trade Value - USD]], HS_DB[Trade Value - USD], 0)
 + COUNTIFS(HS_DB[Trade Value - USD],HS_DB[[#This Row],[Trade Value - USD]],
            HS_DB[HS Code],"&lt;"&amp;HS_DB[[#This Row],[HS Code]])</f>
        <v>198</v>
      </c>
      <c r="AI226" s="9">
        <f>IFERROR(HS_DB[[#This Row],[Trade Value - USD]]/HS_DB[[#This Row],[Net Weight -KG]],0)</f>
        <v>9.8777656873413129</v>
      </c>
      <c r="AJ226" s="17" cm="1">
        <f t="array" ref="AJ226">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26" s="17" t="str">
        <f>IF(HS_DB[[#This Row],[HS Code Risk Score]]&gt;=40,"High",
 IF(HS_DB[[#This Row],[HS Code Risk Score]]&gt;=25,"Medium","Low"))</f>
        <v>Medium</v>
      </c>
      <c r="AL226" s="17" t="str">
        <f>IF(RANK(HS_DB[[#This Row],[HS Code Risk Score]],HS_DB[HS Code Risk Score])&lt;=10,"Yes","No")</f>
        <v>No</v>
      </c>
      <c r="AM226" s="8">
        <f>SUMIFS(HS_DB[Net Weight -KG],HS_DB[HS Code],HS_DB[[#This Row],[HS Code]])</f>
        <v>3811780.5999999996</v>
      </c>
      <c r="AN226" s="8">
        <f>SUMIFS(HS_DB[Trade Value - USD],HS_DB[HS Code],HS_DB[[#This Row],[HS Code]])</f>
        <v>8265160</v>
      </c>
      <c r="AO226" s="6">
        <f>_xlfn.MAXIFS(HS_DB[Origin Share%],HS_DB[HS Code],HS_DB[[#This Row],[HS Code]])</f>
        <v>0.39900464236999494</v>
      </c>
      <c r="AP226" s="8" cm="1">
        <f t="array" ref="AP226">_xlfn.LET(
_xlpm.hs,HS_DB[[#This Row],[HS Code]],
COUNTA(_xlfn.UNIQUE(_xlfn._xlws.FILTER(HS_DB[Reporter],HS_DB[HS Code]=_xlpm.hs)))
)</f>
        <v>17</v>
      </c>
      <c r="AQ226" s="17" t="str">
        <f>IF(HS_DB[[#This Row],[Origin Count]]=1,"Single Source","Multiple Sources")</f>
        <v>Multiple Sources</v>
      </c>
      <c r="AR226" s="8">
        <f>HS_DB[[#This Row],[Annual Spend - USD]]*(HS_DB[[#This Row],[HS Code Risk Score]]/100)</f>
        <v>2810154.4000000004</v>
      </c>
      <c r="AS226" s="8">
        <f>RANK(HS_DB[[#This Row],[Risk Exposure - USD]],HS_DB[Risk Exposure - USD],0)</f>
        <v>329</v>
      </c>
      <c r="AT226" s="8" t="str">
        <f>IF(HS_DB[[#This Row],[Risk Exposure Rank]]&lt;=10,"High",
 IF(HS_DB[[#This Row],[Risk Exposure Rank]]&lt;=30,"Medium",
 "Low"))</f>
        <v>Low</v>
      </c>
      <c r="AU226" s="8" t="str">
        <f>IF(HS_DB[[#This Row],[Risk Exposure Rank]]&lt;=5,"Immediate Action",
 IF(HS_DB[[#This Row],[Risk Exposure Rank]]&lt;=15,"Monitor Closely",
 "Routine Control"))</f>
        <v>Routine Control</v>
      </c>
      <c r="AV226" s="8">
        <f>SUMIFS(HS_DB[Trade Value - USD],HS_DB[HS Code],HS_DB[[#This Row],[HS Code]])</f>
        <v>8265160</v>
      </c>
      <c r="AW226" s="6">
        <f>HS_DB[[#This Row],[Annual Spend - USD]]/HS_DB[[#This Row],[Total Market Size - USD]]</f>
        <v>1</v>
      </c>
      <c r="AX226" s="6" cm="1">
        <f t="array" ref="AX226">COUNTA(_xlfn.UNIQUE(_xlfn._xlws.FILTER(HS_DB[Partner],HS_DB[HS Code]=HS_DB[[#This Row],[HS Code]])))</f>
        <v>1</v>
      </c>
      <c r="AY226" s="8" t="str">
        <f>IF(HS_DB[[#This Row],[Competition Intensity]]&lt;=2,"Highly Concentrated",
 IF(HS_DB[[#This Row],[Competition Intensity]]&lt;=5,"Moderate",
 "Highly Competitive"))</f>
        <v>Highly Concentrated</v>
      </c>
      <c r="AZ226" s="8">
        <f>HS_DB[[#This Row],[Total Market Size - USD]]
*
(1+IFERROR(#REF!,0))
/
HS_DB[[#This Row],[Competition Intensity]]</f>
        <v>8265160</v>
      </c>
      <c r="BA226" s="8" t="str">
        <f>IF(HS_DB[[#This Row],[Commercial Opportunity Score]]&gt;=PERCENTILE(HS_DB[Commercial Opportunity Score],0.9),"High Opportunity",
 IF(HS_DB[[#This Row],[Commercial Opportunity Score]]&gt;=PERCENTILE(HS_DB[Commercial Opportunity Score],0.6),"Medium Opportunity",
 "Routine Market"))</f>
        <v>Routine Market</v>
      </c>
      <c r="BB226" s="3" t="str">
        <f>IF(AND(HS_DB[[#This Row],[Product Rank]]&gt;0,HS_DB[[#This Row],[Product Rank]]&lt;=10),"Yes","No")</f>
        <v>No</v>
      </c>
      <c r="BC226" s="3" t="str">
        <f>IF(AND(HS_DB[[#This Row],[Origin Rank]]&gt;0,HS_DB[[#This Row],[Origin Rank]]&lt;=10),"Yes","No")</f>
        <v>No</v>
      </c>
    </row>
    <row r="227" spans="2:55" x14ac:dyDescent="0.3">
      <c r="B227" s="2">
        <f>HS_DB[[#This Row],[Commodity Code]]</f>
        <v>291570</v>
      </c>
      <c r="C227" s="2">
        <f>IFERROR(INDEX(HS_MD!C:C,MATCH(B227,HS_MD!B:B,0),1),"")</f>
        <v>17</v>
      </c>
      <c r="D227" s="17" t="str">
        <f>IFERROR(INDEX(HS_MD!D:D,MATCH(B227,HS_MD!B:B,0),1),"")</f>
        <v>Fatty acid derivatives</v>
      </c>
      <c r="E227" s="17" t="str">
        <f>IFERROR(INDEX(HS_MD!E:E,MATCH(B227,HS_MD!B:B,0),1),"")</f>
        <v>Mono &amp; Diglycerides</v>
      </c>
      <c r="F227" s="17" t="str">
        <f>IFERROR(INDEX(HS_MD!F:F,MATCH(B227,HS_MD!B:B,0),1),"")</f>
        <v>FUNCTIONAL INGREDIENTS</v>
      </c>
      <c r="G227" s="17" t="str">
        <f>IFERROR(INDEX(HS_MD!G:G,MATCH(B227,HS_MD!B:B,0),1),"")</f>
        <v>Emulsifiers</v>
      </c>
      <c r="H227" s="17" t="str">
        <f>IFERROR(INDEX(HS_MD!H:H,MATCH(B227,HS_MD!B:B,0),1),"")</f>
        <v>Mono &amp; Diglycerides</v>
      </c>
      <c r="I227" s="17" t="str">
        <f>IFERROR(INDEX(HS_MD!I:I,MATCH(B227,HS_MD!B:B,0),1),"")</f>
        <v>Bakery / Margarine / Sauces</v>
      </c>
      <c r="J227" s="17">
        <f>IFERROR(INDEX(Heat_Map[Index],MATCH(HS_DB[[#This Row],[Reporter]],Heat_Map[Global],0),1),"")</f>
        <v>63</v>
      </c>
      <c r="K227" s="17" t="str">
        <f>IF(AND(HS_DB[[#This Row],[Origin Rank]]&gt;1,HS_DB[[#This Row],[Origin Rank]]&lt;=10),"Yes","No")</f>
        <v>No</v>
      </c>
      <c r="L227" s="2">
        <v>2024</v>
      </c>
      <c r="M227" s="2" t="s">
        <v>57</v>
      </c>
      <c r="N227" s="2" t="s">
        <v>2</v>
      </c>
      <c r="O227" s="2" t="s">
        <v>22</v>
      </c>
      <c r="P227" s="2" t="s">
        <v>23</v>
      </c>
      <c r="Q227" s="2" t="s">
        <v>24</v>
      </c>
      <c r="R227" s="2" t="s">
        <v>25</v>
      </c>
      <c r="S227" s="2">
        <v>291570</v>
      </c>
      <c r="T227" s="3">
        <v>30714</v>
      </c>
      <c r="U227" s="3">
        <v>4682.8</v>
      </c>
      <c r="V227" s="3">
        <v>0</v>
      </c>
      <c r="W227" s="3">
        <v>4683</v>
      </c>
      <c r="X227" s="3" t="s">
        <v>58</v>
      </c>
      <c r="Y227" s="3">
        <v>0</v>
      </c>
      <c r="Z227" s="3" t="s">
        <v>26</v>
      </c>
      <c r="AA227" s="6">
        <f>SUMIFS(HS_DB[Trade Value - USD],HS_DB[Reporter],HS_DB[[#This Row],[Reporter]])/SUM(HS_DB[Trade Value - USD])</f>
        <v>1.1674623358397021E-2</v>
      </c>
      <c r="AB227" s="8" cm="1">
        <f t="array" ref="AB227">SUMPRODUCT(
(HS_DB[Reporter]=HS_DB[[#This Row],[Reporter]])*
(HS_DB[Trade Value - USD]&gt;HS_DB[[#This Row],[Trade Value - USD]])
)+1</f>
        <v>29</v>
      </c>
      <c r="AC227" s="8" t="str">
        <f>IFERROR(IF(INDEX(Heat_Map[Crisis Impact %],MATCH(HS_DB[[#This Row],[Reporter]],Heat_Map[Global],0),1)&gt;0,"Yes","No"),"No")</f>
        <v>No</v>
      </c>
      <c r="AD227" s="6">
        <f>IFERROR(INDEX(Heat_Map[Crisis Impact %],MATCH(HS_DB[[#This Row],[Reporter]],Heat_Map[Global],0),1),0)</f>
        <v>0</v>
      </c>
      <c r="AE227" s="8">
        <f>HS_DB[[#This Row],[Crisis Impact%]]*HS_DB[[#This Row],[Trade Value - USD]]</f>
        <v>0</v>
      </c>
      <c r="AF227" s="8">
        <f>HS_DB[[#This Row],[Crisis Impact%]]*HS_DB[[#This Row],[Net Weight -KG]]</f>
        <v>0</v>
      </c>
      <c r="AG227" s="6">
        <f>SUMIFS(HS_DB[Trade Value - USD],HS_DB[Products],HS_DB[[#This Row],[Products]])/SUM(HS_DB[Trade Value - USD])</f>
        <v>4.3846809447427443E-3</v>
      </c>
      <c r="AH227" s="8">
        <f>_xlfn.RANK.EQ(HS_DB[[#This Row],[Trade Value - USD]], HS_DB[Trade Value - USD], 0)
 + COUNTIFS(HS_DB[Trade Value - USD],HS_DB[[#This Row],[Trade Value - USD]],
            HS_DB[HS Code],"&lt;"&amp;HS_DB[[#This Row],[HS Code]])</f>
        <v>354</v>
      </c>
      <c r="AI227" s="9">
        <f>IFERROR(HS_DB[[#This Row],[Trade Value - USD]]/HS_DB[[#This Row],[Net Weight -KG]],0)</f>
        <v>6.5588963867771417</v>
      </c>
      <c r="AJ227" s="17" cm="1">
        <f t="array" ref="AJ227">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27" s="17" t="str">
        <f>IF(HS_DB[[#This Row],[HS Code Risk Score]]&gt;=40,"High",
 IF(HS_DB[[#This Row],[HS Code Risk Score]]&gt;=25,"Medium","Low"))</f>
        <v>Medium</v>
      </c>
      <c r="AL227" s="17" t="str">
        <f>IF(RANK(HS_DB[[#This Row],[HS Code Risk Score]],HS_DB[HS Code Risk Score])&lt;=10,"Yes","No")</f>
        <v>No</v>
      </c>
      <c r="AM227" s="8">
        <f>SUMIFS(HS_DB[Net Weight -KG],HS_DB[HS Code],HS_DB[[#This Row],[HS Code]])</f>
        <v>3811780.5999999996</v>
      </c>
      <c r="AN227" s="8">
        <f>SUMIFS(HS_DB[Trade Value - USD],HS_DB[HS Code],HS_DB[[#This Row],[HS Code]])</f>
        <v>8265160</v>
      </c>
      <c r="AO227" s="6">
        <f>_xlfn.MAXIFS(HS_DB[Origin Share%],HS_DB[HS Code],HS_DB[[#This Row],[HS Code]])</f>
        <v>0.39900464236999494</v>
      </c>
      <c r="AP227" s="8" cm="1">
        <f t="array" ref="AP227">_xlfn.LET(
_xlpm.hs,HS_DB[[#This Row],[HS Code]],
COUNTA(_xlfn.UNIQUE(_xlfn._xlws.FILTER(HS_DB[Reporter],HS_DB[HS Code]=_xlpm.hs)))
)</f>
        <v>17</v>
      </c>
      <c r="AQ227" s="17" t="str">
        <f>IF(HS_DB[[#This Row],[Origin Count]]=1,"Single Source","Multiple Sources")</f>
        <v>Multiple Sources</v>
      </c>
      <c r="AR227" s="8">
        <f>HS_DB[[#This Row],[Annual Spend - USD]]*(HS_DB[[#This Row],[HS Code Risk Score]]/100)</f>
        <v>2810154.4000000004</v>
      </c>
      <c r="AS227" s="8">
        <f>RANK(HS_DB[[#This Row],[Risk Exposure - USD]],HS_DB[Risk Exposure - USD],0)</f>
        <v>329</v>
      </c>
      <c r="AT227" s="8" t="str">
        <f>IF(HS_DB[[#This Row],[Risk Exposure Rank]]&lt;=10,"High",
 IF(HS_DB[[#This Row],[Risk Exposure Rank]]&lt;=30,"Medium",
 "Low"))</f>
        <v>Low</v>
      </c>
      <c r="AU227" s="8" t="str">
        <f>IF(HS_DB[[#This Row],[Risk Exposure Rank]]&lt;=5,"Immediate Action",
 IF(HS_DB[[#This Row],[Risk Exposure Rank]]&lt;=15,"Monitor Closely",
 "Routine Control"))</f>
        <v>Routine Control</v>
      </c>
      <c r="AV227" s="8">
        <f>SUMIFS(HS_DB[Trade Value - USD],HS_DB[HS Code],HS_DB[[#This Row],[HS Code]])</f>
        <v>8265160</v>
      </c>
      <c r="AW227" s="6">
        <f>HS_DB[[#This Row],[Annual Spend - USD]]/HS_DB[[#This Row],[Total Market Size - USD]]</f>
        <v>1</v>
      </c>
      <c r="AX227" s="6" cm="1">
        <f t="array" ref="AX227">COUNTA(_xlfn.UNIQUE(_xlfn._xlws.FILTER(HS_DB[Partner],HS_DB[HS Code]=HS_DB[[#This Row],[HS Code]])))</f>
        <v>1</v>
      </c>
      <c r="AY227" s="8" t="str">
        <f>IF(HS_DB[[#This Row],[Competition Intensity]]&lt;=2,"Highly Concentrated",
 IF(HS_DB[[#This Row],[Competition Intensity]]&lt;=5,"Moderate",
 "Highly Competitive"))</f>
        <v>Highly Concentrated</v>
      </c>
      <c r="AZ227" s="8">
        <f>HS_DB[[#This Row],[Total Market Size - USD]]
*
(1+IFERROR(#REF!,0))
/
HS_DB[[#This Row],[Competition Intensity]]</f>
        <v>8265160</v>
      </c>
      <c r="BA227" s="8" t="str">
        <f>IF(HS_DB[[#This Row],[Commercial Opportunity Score]]&gt;=PERCENTILE(HS_DB[Commercial Opportunity Score],0.9),"High Opportunity",
 IF(HS_DB[[#This Row],[Commercial Opportunity Score]]&gt;=PERCENTILE(HS_DB[Commercial Opportunity Score],0.6),"Medium Opportunity",
 "Routine Market"))</f>
        <v>Routine Market</v>
      </c>
      <c r="BB227" s="3" t="str">
        <f>IF(AND(HS_DB[[#This Row],[Product Rank]]&gt;0,HS_DB[[#This Row],[Product Rank]]&lt;=10),"Yes","No")</f>
        <v>No</v>
      </c>
      <c r="BC227" s="3" t="str">
        <f>IF(AND(HS_DB[[#This Row],[Origin Rank]]&gt;0,HS_DB[[#This Row],[Origin Rank]]&lt;=10),"Yes","No")</f>
        <v>No</v>
      </c>
    </row>
    <row r="228" spans="2:55" x14ac:dyDescent="0.3">
      <c r="B228" s="2">
        <f>HS_DB[[#This Row],[Commodity Code]]</f>
        <v>291570</v>
      </c>
      <c r="C228" s="2">
        <f>IFERROR(INDEX(HS_MD!C:C,MATCH(B228,HS_MD!B:B,0),1),"")</f>
        <v>17</v>
      </c>
      <c r="D228" s="17" t="str">
        <f>IFERROR(INDEX(HS_MD!D:D,MATCH(B228,HS_MD!B:B,0),1),"")</f>
        <v>Fatty acid derivatives</v>
      </c>
      <c r="E228" s="17" t="str">
        <f>IFERROR(INDEX(HS_MD!E:E,MATCH(B228,HS_MD!B:B,0),1),"")</f>
        <v>Mono &amp; Diglycerides</v>
      </c>
      <c r="F228" s="17" t="str">
        <f>IFERROR(INDEX(HS_MD!F:F,MATCH(B228,HS_MD!B:B,0),1),"")</f>
        <v>FUNCTIONAL INGREDIENTS</v>
      </c>
      <c r="G228" s="17" t="str">
        <f>IFERROR(INDEX(HS_MD!G:G,MATCH(B228,HS_MD!B:B,0),1),"")</f>
        <v>Emulsifiers</v>
      </c>
      <c r="H228" s="17" t="str">
        <f>IFERROR(INDEX(HS_MD!H:H,MATCH(B228,HS_MD!B:B,0),1),"")</f>
        <v>Mono &amp; Diglycerides</v>
      </c>
      <c r="I228" s="17" t="str">
        <f>IFERROR(INDEX(HS_MD!I:I,MATCH(B228,HS_MD!B:B,0),1),"")</f>
        <v>Bakery / Margarine / Sauces</v>
      </c>
      <c r="J228" s="17">
        <f>IFERROR(INDEX(Heat_Map[Index],MATCH(HS_DB[[#This Row],[Reporter]],Heat_Map[Global],0),1),"")</f>
        <v>65</v>
      </c>
      <c r="K228" s="17" t="str">
        <f>IF(AND(HS_DB[[#This Row],[Origin Rank]]&gt;1,HS_DB[[#This Row],[Origin Rank]]&lt;=10),"Yes","No")</f>
        <v>Yes</v>
      </c>
      <c r="L228" s="2">
        <v>2024</v>
      </c>
      <c r="M228" s="2" t="s">
        <v>57</v>
      </c>
      <c r="N228" s="2" t="s">
        <v>45</v>
      </c>
      <c r="O228" s="2" t="s">
        <v>22</v>
      </c>
      <c r="P228" s="2" t="s">
        <v>23</v>
      </c>
      <c r="Q228" s="2" t="s">
        <v>24</v>
      </c>
      <c r="R228" s="2" t="s">
        <v>25</v>
      </c>
      <c r="S228" s="2">
        <v>291570</v>
      </c>
      <c r="T228" s="3">
        <v>11213</v>
      </c>
      <c r="U228" s="3">
        <v>3700</v>
      </c>
      <c r="V228" s="3">
        <v>0</v>
      </c>
      <c r="W228" s="3">
        <v>3700</v>
      </c>
      <c r="X228" s="3" t="s">
        <v>58</v>
      </c>
      <c r="Y228" s="3">
        <v>3700</v>
      </c>
      <c r="Z228" s="3" t="s">
        <v>58</v>
      </c>
      <c r="AA228" s="6">
        <f>SUMIFS(HS_DB[Trade Value - USD],HS_DB[Reporter],HS_DB[[#This Row],[Reporter]])/SUM(HS_DB[Trade Value - USD])</f>
        <v>7.8962835084717131E-4</v>
      </c>
      <c r="AB228" s="8" cm="1">
        <f t="array" ref="AB228">SUMPRODUCT(
(HS_DB[Reporter]=HS_DB[[#This Row],[Reporter]])*
(HS_DB[Trade Value - USD]&gt;HS_DB[[#This Row],[Trade Value - USD]])
)+1</f>
        <v>4</v>
      </c>
      <c r="AC228" s="8" t="str">
        <f>IFERROR(IF(INDEX(Heat_Map[Crisis Impact %],MATCH(HS_DB[[#This Row],[Reporter]],Heat_Map[Global],0),1)&gt;0,"Yes","No"),"No")</f>
        <v>No</v>
      </c>
      <c r="AD228" s="6">
        <f>IFERROR(INDEX(Heat_Map[Crisis Impact %],MATCH(HS_DB[[#This Row],[Reporter]],Heat_Map[Global],0),1),0)</f>
        <v>0</v>
      </c>
      <c r="AE228" s="8">
        <f>HS_DB[[#This Row],[Crisis Impact%]]*HS_DB[[#This Row],[Trade Value - USD]]</f>
        <v>0</v>
      </c>
      <c r="AF228" s="8">
        <f>HS_DB[[#This Row],[Crisis Impact%]]*HS_DB[[#This Row],[Net Weight -KG]]</f>
        <v>0</v>
      </c>
      <c r="AG228" s="6">
        <f>SUMIFS(HS_DB[Trade Value - USD],HS_DB[Products],HS_DB[[#This Row],[Products]])/SUM(HS_DB[Trade Value - USD])</f>
        <v>4.3846809447427443E-3</v>
      </c>
      <c r="AH228" s="8">
        <f>_xlfn.RANK.EQ(HS_DB[[#This Row],[Trade Value - USD]], HS_DB[Trade Value - USD], 0)
 + COUNTIFS(HS_DB[Trade Value - USD],HS_DB[[#This Row],[Trade Value - USD]],
            HS_DB[HS Code],"&lt;"&amp;HS_DB[[#This Row],[HS Code]])</f>
        <v>410</v>
      </c>
      <c r="AI228" s="9">
        <f>IFERROR(HS_DB[[#This Row],[Trade Value - USD]]/HS_DB[[#This Row],[Net Weight -KG]],0)</f>
        <v>3.0305405405405406</v>
      </c>
      <c r="AJ228" s="17" cm="1">
        <f t="array" ref="AJ228">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28" s="17" t="str">
        <f>IF(HS_DB[[#This Row],[HS Code Risk Score]]&gt;=40,"High",
 IF(HS_DB[[#This Row],[HS Code Risk Score]]&gt;=25,"Medium","Low"))</f>
        <v>Medium</v>
      </c>
      <c r="AL228" s="17" t="str">
        <f>IF(RANK(HS_DB[[#This Row],[HS Code Risk Score]],HS_DB[HS Code Risk Score])&lt;=10,"Yes","No")</f>
        <v>No</v>
      </c>
      <c r="AM228" s="8">
        <f>SUMIFS(HS_DB[Net Weight -KG],HS_DB[HS Code],HS_DB[[#This Row],[HS Code]])</f>
        <v>3811780.5999999996</v>
      </c>
      <c r="AN228" s="8">
        <f>SUMIFS(HS_DB[Trade Value - USD],HS_DB[HS Code],HS_DB[[#This Row],[HS Code]])</f>
        <v>8265160</v>
      </c>
      <c r="AO228" s="6">
        <f>_xlfn.MAXIFS(HS_DB[Origin Share%],HS_DB[HS Code],HS_DB[[#This Row],[HS Code]])</f>
        <v>0.39900464236999494</v>
      </c>
      <c r="AP228" s="8" cm="1">
        <f t="array" ref="AP228">_xlfn.LET(
_xlpm.hs,HS_DB[[#This Row],[HS Code]],
COUNTA(_xlfn.UNIQUE(_xlfn._xlws.FILTER(HS_DB[Reporter],HS_DB[HS Code]=_xlpm.hs)))
)</f>
        <v>17</v>
      </c>
      <c r="AQ228" s="17" t="str">
        <f>IF(HS_DB[[#This Row],[Origin Count]]=1,"Single Source","Multiple Sources")</f>
        <v>Multiple Sources</v>
      </c>
      <c r="AR228" s="8">
        <f>HS_DB[[#This Row],[Annual Spend - USD]]*(HS_DB[[#This Row],[HS Code Risk Score]]/100)</f>
        <v>2810154.4000000004</v>
      </c>
      <c r="AS228" s="8">
        <f>RANK(HS_DB[[#This Row],[Risk Exposure - USD]],HS_DB[Risk Exposure - USD],0)</f>
        <v>329</v>
      </c>
      <c r="AT228" s="8" t="str">
        <f>IF(HS_DB[[#This Row],[Risk Exposure Rank]]&lt;=10,"High",
 IF(HS_DB[[#This Row],[Risk Exposure Rank]]&lt;=30,"Medium",
 "Low"))</f>
        <v>Low</v>
      </c>
      <c r="AU228" s="8" t="str">
        <f>IF(HS_DB[[#This Row],[Risk Exposure Rank]]&lt;=5,"Immediate Action",
 IF(HS_DB[[#This Row],[Risk Exposure Rank]]&lt;=15,"Monitor Closely",
 "Routine Control"))</f>
        <v>Routine Control</v>
      </c>
      <c r="AV228" s="8">
        <f>SUMIFS(HS_DB[Trade Value - USD],HS_DB[HS Code],HS_DB[[#This Row],[HS Code]])</f>
        <v>8265160</v>
      </c>
      <c r="AW228" s="6">
        <f>HS_DB[[#This Row],[Annual Spend - USD]]/HS_DB[[#This Row],[Total Market Size - USD]]</f>
        <v>1</v>
      </c>
      <c r="AX228" s="6" cm="1">
        <f t="array" ref="AX228">COUNTA(_xlfn.UNIQUE(_xlfn._xlws.FILTER(HS_DB[Partner],HS_DB[HS Code]=HS_DB[[#This Row],[HS Code]])))</f>
        <v>1</v>
      </c>
      <c r="AY228" s="8" t="str">
        <f>IF(HS_DB[[#This Row],[Competition Intensity]]&lt;=2,"Highly Concentrated",
 IF(HS_DB[[#This Row],[Competition Intensity]]&lt;=5,"Moderate",
 "Highly Competitive"))</f>
        <v>Highly Concentrated</v>
      </c>
      <c r="AZ228" s="8">
        <f>HS_DB[[#This Row],[Total Market Size - USD]]
*
(1+IFERROR(#REF!,0))
/
HS_DB[[#This Row],[Competition Intensity]]</f>
        <v>8265160</v>
      </c>
      <c r="BA228" s="8" t="str">
        <f>IF(HS_DB[[#This Row],[Commercial Opportunity Score]]&gt;=PERCENTILE(HS_DB[Commercial Opportunity Score],0.9),"High Opportunity",
 IF(HS_DB[[#This Row],[Commercial Opportunity Score]]&gt;=PERCENTILE(HS_DB[Commercial Opportunity Score],0.6),"Medium Opportunity",
 "Routine Market"))</f>
        <v>Routine Market</v>
      </c>
      <c r="BB228" s="3" t="str">
        <f>IF(AND(HS_DB[[#This Row],[Product Rank]]&gt;0,HS_DB[[#This Row],[Product Rank]]&lt;=10),"Yes","No")</f>
        <v>No</v>
      </c>
      <c r="BC228" s="3" t="str">
        <f>IF(AND(HS_DB[[#This Row],[Origin Rank]]&gt;0,HS_DB[[#This Row],[Origin Rank]]&lt;=10),"Yes","No")</f>
        <v>Yes</v>
      </c>
    </row>
    <row r="229" spans="2:55" x14ac:dyDescent="0.3">
      <c r="B229" s="2">
        <f>HS_DB[[#This Row],[Commodity Code]]</f>
        <v>291570</v>
      </c>
      <c r="C229" s="2">
        <f>IFERROR(INDEX(HS_MD!C:C,MATCH(B229,HS_MD!B:B,0),1),"")</f>
        <v>17</v>
      </c>
      <c r="D229" s="17" t="str">
        <f>IFERROR(INDEX(HS_MD!D:D,MATCH(B229,HS_MD!B:B,0),1),"")</f>
        <v>Fatty acid derivatives</v>
      </c>
      <c r="E229" s="17" t="str">
        <f>IFERROR(INDEX(HS_MD!E:E,MATCH(B229,HS_MD!B:B,0),1),"")</f>
        <v>Mono &amp; Diglycerides</v>
      </c>
      <c r="F229" s="17" t="str">
        <f>IFERROR(INDEX(HS_MD!F:F,MATCH(B229,HS_MD!B:B,0),1),"")</f>
        <v>FUNCTIONAL INGREDIENTS</v>
      </c>
      <c r="G229" s="17" t="str">
        <f>IFERROR(INDEX(HS_MD!G:G,MATCH(B229,HS_MD!B:B,0),1),"")</f>
        <v>Emulsifiers</v>
      </c>
      <c r="H229" s="17" t="str">
        <f>IFERROR(INDEX(HS_MD!H:H,MATCH(B229,HS_MD!B:B,0),1),"")</f>
        <v>Mono &amp; Diglycerides</v>
      </c>
      <c r="I229" s="17" t="str">
        <f>IFERROR(INDEX(HS_MD!I:I,MATCH(B229,HS_MD!B:B,0),1),"")</f>
        <v>Bakery / Margarine / Sauces</v>
      </c>
      <c r="J229" s="17">
        <f>IFERROR(INDEX(Heat_Map[Index],MATCH(HS_DB[[#This Row],[Reporter]],Heat_Map[Global],0),1),"")</f>
        <v>73</v>
      </c>
      <c r="K229" s="17" t="str">
        <f>IF(AND(HS_DB[[#This Row],[Origin Rank]]&gt;1,HS_DB[[#This Row],[Origin Rank]]&lt;=10),"Yes","No")</f>
        <v>Yes</v>
      </c>
      <c r="L229" s="2">
        <v>2024</v>
      </c>
      <c r="M229" s="2" t="s">
        <v>57</v>
      </c>
      <c r="N229" s="2" t="s">
        <v>46</v>
      </c>
      <c r="O229" s="2" t="s">
        <v>22</v>
      </c>
      <c r="P229" s="2" t="s">
        <v>23</v>
      </c>
      <c r="Q229" s="2" t="s">
        <v>24</v>
      </c>
      <c r="R229" s="2" t="s">
        <v>25</v>
      </c>
      <c r="S229" s="2">
        <v>291570</v>
      </c>
      <c r="T229" s="3">
        <v>1278</v>
      </c>
      <c r="U229" s="3">
        <v>308</v>
      </c>
      <c r="V229" s="3">
        <v>0</v>
      </c>
      <c r="W229" s="3">
        <v>308</v>
      </c>
      <c r="X229" s="3" t="s">
        <v>58</v>
      </c>
      <c r="Y229" s="3">
        <v>308</v>
      </c>
      <c r="Z229" s="3" t="s">
        <v>58</v>
      </c>
      <c r="AA229" s="6">
        <f>SUMIFS(HS_DB[Trade Value - USD],HS_DB[Reporter],HS_DB[[#This Row],[Reporter]])/SUM(HS_DB[Trade Value - USD])</f>
        <v>2.621940701411424E-4</v>
      </c>
      <c r="AB229" s="8" cm="1">
        <f t="array" ref="AB229">SUMPRODUCT(
(HS_DB[Reporter]=HS_DB[[#This Row],[Reporter]])*
(HS_DB[Trade Value - USD]&gt;HS_DB[[#This Row],[Trade Value - USD]])
)+1</f>
        <v>4</v>
      </c>
      <c r="AC229" s="8" t="str">
        <f>IFERROR(IF(INDEX(Heat_Map[Crisis Impact %],MATCH(HS_DB[[#This Row],[Reporter]],Heat_Map[Global],0),1)&gt;0,"Yes","No"),"No")</f>
        <v>No</v>
      </c>
      <c r="AD229" s="6">
        <f>IFERROR(INDEX(Heat_Map[Crisis Impact %],MATCH(HS_DB[[#This Row],[Reporter]],Heat_Map[Global],0),1),0)</f>
        <v>0</v>
      </c>
      <c r="AE229" s="8">
        <f>HS_DB[[#This Row],[Crisis Impact%]]*HS_DB[[#This Row],[Trade Value - USD]]</f>
        <v>0</v>
      </c>
      <c r="AF229" s="8">
        <f>HS_DB[[#This Row],[Crisis Impact%]]*HS_DB[[#This Row],[Net Weight -KG]]</f>
        <v>0</v>
      </c>
      <c r="AG229" s="6">
        <f>SUMIFS(HS_DB[Trade Value - USD],HS_DB[Products],HS_DB[[#This Row],[Products]])/SUM(HS_DB[Trade Value - USD])</f>
        <v>4.3846809447427443E-3</v>
      </c>
      <c r="AH229" s="8">
        <f>_xlfn.RANK.EQ(HS_DB[[#This Row],[Trade Value - USD]], HS_DB[Trade Value - USD], 0)
 + COUNTIFS(HS_DB[Trade Value - USD],HS_DB[[#This Row],[Trade Value - USD]],
            HS_DB[HS Code],"&lt;"&amp;HS_DB[[#This Row],[HS Code]])</f>
        <v>481</v>
      </c>
      <c r="AI229" s="9">
        <f>IFERROR(HS_DB[[#This Row],[Trade Value - USD]]/HS_DB[[#This Row],[Net Weight -KG]],0)</f>
        <v>4.1493506493506498</v>
      </c>
      <c r="AJ229" s="17" cm="1">
        <f t="array" ref="AJ229">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29" s="17" t="str">
        <f>IF(HS_DB[[#This Row],[HS Code Risk Score]]&gt;=40,"High",
 IF(HS_DB[[#This Row],[HS Code Risk Score]]&gt;=25,"Medium","Low"))</f>
        <v>Medium</v>
      </c>
      <c r="AL229" s="17" t="str">
        <f>IF(RANK(HS_DB[[#This Row],[HS Code Risk Score]],HS_DB[HS Code Risk Score])&lt;=10,"Yes","No")</f>
        <v>No</v>
      </c>
      <c r="AM229" s="8">
        <f>SUMIFS(HS_DB[Net Weight -KG],HS_DB[HS Code],HS_DB[[#This Row],[HS Code]])</f>
        <v>3811780.5999999996</v>
      </c>
      <c r="AN229" s="8">
        <f>SUMIFS(HS_DB[Trade Value - USD],HS_DB[HS Code],HS_DB[[#This Row],[HS Code]])</f>
        <v>8265160</v>
      </c>
      <c r="AO229" s="6">
        <f>_xlfn.MAXIFS(HS_DB[Origin Share%],HS_DB[HS Code],HS_DB[[#This Row],[HS Code]])</f>
        <v>0.39900464236999494</v>
      </c>
      <c r="AP229" s="8" cm="1">
        <f t="array" ref="AP229">_xlfn.LET(
_xlpm.hs,HS_DB[[#This Row],[HS Code]],
COUNTA(_xlfn.UNIQUE(_xlfn._xlws.FILTER(HS_DB[Reporter],HS_DB[HS Code]=_xlpm.hs)))
)</f>
        <v>17</v>
      </c>
      <c r="AQ229" s="17" t="str">
        <f>IF(HS_DB[[#This Row],[Origin Count]]=1,"Single Source","Multiple Sources")</f>
        <v>Multiple Sources</v>
      </c>
      <c r="AR229" s="8">
        <f>HS_DB[[#This Row],[Annual Spend - USD]]*(HS_DB[[#This Row],[HS Code Risk Score]]/100)</f>
        <v>2810154.4000000004</v>
      </c>
      <c r="AS229" s="8">
        <f>RANK(HS_DB[[#This Row],[Risk Exposure - USD]],HS_DB[Risk Exposure - USD],0)</f>
        <v>329</v>
      </c>
      <c r="AT229" s="8" t="str">
        <f>IF(HS_DB[[#This Row],[Risk Exposure Rank]]&lt;=10,"High",
 IF(HS_DB[[#This Row],[Risk Exposure Rank]]&lt;=30,"Medium",
 "Low"))</f>
        <v>Low</v>
      </c>
      <c r="AU229" s="8" t="str">
        <f>IF(HS_DB[[#This Row],[Risk Exposure Rank]]&lt;=5,"Immediate Action",
 IF(HS_DB[[#This Row],[Risk Exposure Rank]]&lt;=15,"Monitor Closely",
 "Routine Control"))</f>
        <v>Routine Control</v>
      </c>
      <c r="AV229" s="8">
        <f>SUMIFS(HS_DB[Trade Value - USD],HS_DB[HS Code],HS_DB[[#This Row],[HS Code]])</f>
        <v>8265160</v>
      </c>
      <c r="AW229" s="6">
        <f>HS_DB[[#This Row],[Annual Spend - USD]]/HS_DB[[#This Row],[Total Market Size - USD]]</f>
        <v>1</v>
      </c>
      <c r="AX229" s="6" cm="1">
        <f t="array" ref="AX229">COUNTA(_xlfn.UNIQUE(_xlfn._xlws.FILTER(HS_DB[Partner],HS_DB[HS Code]=HS_DB[[#This Row],[HS Code]])))</f>
        <v>1</v>
      </c>
      <c r="AY229" s="8" t="str">
        <f>IF(HS_DB[[#This Row],[Competition Intensity]]&lt;=2,"Highly Concentrated",
 IF(HS_DB[[#This Row],[Competition Intensity]]&lt;=5,"Moderate",
 "Highly Competitive"))</f>
        <v>Highly Concentrated</v>
      </c>
      <c r="AZ229" s="8">
        <f>HS_DB[[#This Row],[Total Market Size - USD]]
*
(1+IFERROR(#REF!,0))
/
HS_DB[[#This Row],[Competition Intensity]]</f>
        <v>8265160</v>
      </c>
      <c r="BA229" s="8" t="str">
        <f>IF(HS_DB[[#This Row],[Commercial Opportunity Score]]&gt;=PERCENTILE(HS_DB[Commercial Opportunity Score],0.9),"High Opportunity",
 IF(HS_DB[[#This Row],[Commercial Opportunity Score]]&gt;=PERCENTILE(HS_DB[Commercial Opportunity Score],0.6),"Medium Opportunity",
 "Routine Market"))</f>
        <v>Routine Market</v>
      </c>
      <c r="BB229" s="3" t="str">
        <f>IF(AND(HS_DB[[#This Row],[Product Rank]]&gt;0,HS_DB[[#This Row],[Product Rank]]&lt;=10),"Yes","No")</f>
        <v>No</v>
      </c>
      <c r="BC229" s="3" t="str">
        <f>IF(AND(HS_DB[[#This Row],[Origin Rank]]&gt;0,HS_DB[[#This Row],[Origin Rank]]&lt;=10),"Yes","No")</f>
        <v>Yes</v>
      </c>
    </row>
    <row r="230" spans="2:55" x14ac:dyDescent="0.3">
      <c r="B230" s="2">
        <f>HS_DB[[#This Row],[Commodity Code]]</f>
        <v>291570</v>
      </c>
      <c r="C230" s="2">
        <f>IFERROR(INDEX(HS_MD!C:C,MATCH(B230,HS_MD!B:B,0),1),"")</f>
        <v>17</v>
      </c>
      <c r="D230" s="17" t="str">
        <f>IFERROR(INDEX(HS_MD!D:D,MATCH(B230,HS_MD!B:B,0),1),"")</f>
        <v>Fatty acid derivatives</v>
      </c>
      <c r="E230" s="17" t="str">
        <f>IFERROR(INDEX(HS_MD!E:E,MATCH(B230,HS_MD!B:B,0),1),"")</f>
        <v>Mono &amp; Diglycerides</v>
      </c>
      <c r="F230" s="17" t="str">
        <f>IFERROR(INDEX(HS_MD!F:F,MATCH(B230,HS_MD!B:B,0),1),"")</f>
        <v>FUNCTIONAL INGREDIENTS</v>
      </c>
      <c r="G230" s="17" t="str">
        <f>IFERROR(INDEX(HS_MD!G:G,MATCH(B230,HS_MD!B:B,0),1),"")</f>
        <v>Emulsifiers</v>
      </c>
      <c r="H230" s="17" t="str">
        <f>IFERROR(INDEX(HS_MD!H:H,MATCH(B230,HS_MD!B:B,0),1),"")</f>
        <v>Mono &amp; Diglycerides</v>
      </c>
      <c r="I230" s="17" t="str">
        <f>IFERROR(INDEX(HS_MD!I:I,MATCH(B230,HS_MD!B:B,0),1),"")</f>
        <v>Bakery / Margarine / Sauces</v>
      </c>
      <c r="J230" s="17">
        <f>IFERROR(INDEX(Heat_Map[Index],MATCH(HS_DB[[#This Row],[Reporter]],Heat_Map[Global],0),1),"")</f>
        <v>76</v>
      </c>
      <c r="K230" s="17" t="str">
        <f>IF(AND(HS_DB[[#This Row],[Origin Rank]]&gt;1,HS_DB[[#This Row],[Origin Rank]]&lt;=10),"Yes","No")</f>
        <v>Yes</v>
      </c>
      <c r="L230" s="2">
        <v>2024</v>
      </c>
      <c r="M230" s="2" t="s">
        <v>57</v>
      </c>
      <c r="N230" s="2" t="s">
        <v>47</v>
      </c>
      <c r="O230" s="2" t="s">
        <v>22</v>
      </c>
      <c r="P230" s="2" t="s">
        <v>23</v>
      </c>
      <c r="Q230" s="2" t="s">
        <v>24</v>
      </c>
      <c r="R230" s="2" t="s">
        <v>25</v>
      </c>
      <c r="S230" s="2">
        <v>291570</v>
      </c>
      <c r="T230" s="3">
        <v>373198</v>
      </c>
      <c r="U230" s="3">
        <v>317600</v>
      </c>
      <c r="V230" s="3">
        <v>0</v>
      </c>
      <c r="W230" s="3">
        <v>317600</v>
      </c>
      <c r="X230" s="3" t="s">
        <v>58</v>
      </c>
      <c r="Y230" s="3">
        <v>317600</v>
      </c>
      <c r="Z230" s="3" t="s">
        <v>58</v>
      </c>
      <c r="AA230" s="6">
        <f>SUMIFS(HS_DB[Trade Value - USD],HS_DB[Reporter],HS_DB[[#This Row],[Reporter]])/SUM(HS_DB[Trade Value - USD])</f>
        <v>0.39900464236999494</v>
      </c>
      <c r="AB230" s="8" cm="1">
        <f t="array" ref="AB230">SUMPRODUCT(
(HS_DB[Reporter]=HS_DB[[#This Row],[Reporter]])*
(HS_DB[Trade Value - USD]&gt;HS_DB[[#This Row],[Trade Value - USD]])
)+1</f>
        <v>4</v>
      </c>
      <c r="AC230" s="8" t="str">
        <f>IFERROR(IF(INDEX(Heat_Map[Crisis Impact %],MATCH(HS_DB[[#This Row],[Reporter]],Heat_Map[Global],0),1)&gt;0,"Yes","No"),"No")</f>
        <v>Yes</v>
      </c>
      <c r="AD230" s="6">
        <f>IFERROR(INDEX(Heat_Map[Crisis Impact %],MATCH(HS_DB[[#This Row],[Reporter]],Heat_Map[Global],0),1),0)</f>
        <v>0.21</v>
      </c>
      <c r="AE230" s="8">
        <f>HS_DB[[#This Row],[Crisis Impact%]]*HS_DB[[#This Row],[Trade Value - USD]]</f>
        <v>78371.58</v>
      </c>
      <c r="AF230" s="8">
        <f>HS_DB[[#This Row],[Crisis Impact%]]*HS_DB[[#This Row],[Net Weight -KG]]</f>
        <v>66696</v>
      </c>
      <c r="AG230" s="6">
        <f>SUMIFS(HS_DB[Trade Value - USD],HS_DB[Products],HS_DB[[#This Row],[Products]])/SUM(HS_DB[Trade Value - USD])</f>
        <v>4.3846809447427443E-3</v>
      </c>
      <c r="AH230" s="8">
        <f>_xlfn.RANK.EQ(HS_DB[[#This Row],[Trade Value - USD]], HS_DB[Trade Value - USD], 0)
 + COUNTIFS(HS_DB[Trade Value - USD],HS_DB[[#This Row],[Trade Value - USD]],
            HS_DB[HS Code],"&lt;"&amp;HS_DB[[#This Row],[HS Code]])</f>
        <v>167</v>
      </c>
      <c r="AI230" s="9">
        <f>IFERROR(HS_DB[[#This Row],[Trade Value - USD]]/HS_DB[[#This Row],[Net Weight -KG]],0)</f>
        <v>1.1750566750629723</v>
      </c>
      <c r="AJ230" s="17" cm="1">
        <f t="array" ref="AJ230">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30" s="17" t="str">
        <f>IF(HS_DB[[#This Row],[HS Code Risk Score]]&gt;=40,"High",
 IF(HS_DB[[#This Row],[HS Code Risk Score]]&gt;=25,"Medium","Low"))</f>
        <v>Medium</v>
      </c>
      <c r="AL230" s="17" t="str">
        <f>IF(RANK(HS_DB[[#This Row],[HS Code Risk Score]],HS_DB[HS Code Risk Score])&lt;=10,"Yes","No")</f>
        <v>No</v>
      </c>
      <c r="AM230" s="8">
        <f>SUMIFS(HS_DB[Net Weight -KG],HS_DB[HS Code],HS_DB[[#This Row],[HS Code]])</f>
        <v>3811780.5999999996</v>
      </c>
      <c r="AN230" s="8">
        <f>SUMIFS(HS_DB[Trade Value - USD],HS_DB[HS Code],HS_DB[[#This Row],[HS Code]])</f>
        <v>8265160</v>
      </c>
      <c r="AO230" s="6">
        <f>_xlfn.MAXIFS(HS_DB[Origin Share%],HS_DB[HS Code],HS_DB[[#This Row],[HS Code]])</f>
        <v>0.39900464236999494</v>
      </c>
      <c r="AP230" s="8" cm="1">
        <f t="array" ref="AP230">_xlfn.LET(
_xlpm.hs,HS_DB[[#This Row],[HS Code]],
COUNTA(_xlfn.UNIQUE(_xlfn._xlws.FILTER(HS_DB[Reporter],HS_DB[HS Code]=_xlpm.hs)))
)</f>
        <v>17</v>
      </c>
      <c r="AQ230" s="17" t="str">
        <f>IF(HS_DB[[#This Row],[Origin Count]]=1,"Single Source","Multiple Sources")</f>
        <v>Multiple Sources</v>
      </c>
      <c r="AR230" s="8">
        <f>HS_DB[[#This Row],[Annual Spend - USD]]*(HS_DB[[#This Row],[HS Code Risk Score]]/100)</f>
        <v>2810154.4000000004</v>
      </c>
      <c r="AS230" s="8">
        <f>RANK(HS_DB[[#This Row],[Risk Exposure - USD]],HS_DB[Risk Exposure - USD],0)</f>
        <v>329</v>
      </c>
      <c r="AT230" s="8" t="str">
        <f>IF(HS_DB[[#This Row],[Risk Exposure Rank]]&lt;=10,"High",
 IF(HS_DB[[#This Row],[Risk Exposure Rank]]&lt;=30,"Medium",
 "Low"))</f>
        <v>Low</v>
      </c>
      <c r="AU230" s="8" t="str">
        <f>IF(HS_DB[[#This Row],[Risk Exposure Rank]]&lt;=5,"Immediate Action",
 IF(HS_DB[[#This Row],[Risk Exposure Rank]]&lt;=15,"Monitor Closely",
 "Routine Control"))</f>
        <v>Routine Control</v>
      </c>
      <c r="AV230" s="8">
        <f>SUMIFS(HS_DB[Trade Value - USD],HS_DB[HS Code],HS_DB[[#This Row],[HS Code]])</f>
        <v>8265160</v>
      </c>
      <c r="AW230" s="6">
        <f>HS_DB[[#This Row],[Annual Spend - USD]]/HS_DB[[#This Row],[Total Market Size - USD]]</f>
        <v>1</v>
      </c>
      <c r="AX230" s="6" cm="1">
        <f t="array" ref="AX230">COUNTA(_xlfn.UNIQUE(_xlfn._xlws.FILTER(HS_DB[Partner],HS_DB[HS Code]=HS_DB[[#This Row],[HS Code]])))</f>
        <v>1</v>
      </c>
      <c r="AY230" s="8" t="str">
        <f>IF(HS_DB[[#This Row],[Competition Intensity]]&lt;=2,"Highly Concentrated",
 IF(HS_DB[[#This Row],[Competition Intensity]]&lt;=5,"Moderate",
 "Highly Competitive"))</f>
        <v>Highly Concentrated</v>
      </c>
      <c r="AZ230" s="8">
        <f>HS_DB[[#This Row],[Total Market Size - USD]]
*
(1+IFERROR(#REF!,0))
/
HS_DB[[#This Row],[Competition Intensity]]</f>
        <v>8265160</v>
      </c>
      <c r="BA230" s="8" t="str">
        <f>IF(HS_DB[[#This Row],[Commercial Opportunity Score]]&gt;=PERCENTILE(HS_DB[Commercial Opportunity Score],0.9),"High Opportunity",
 IF(HS_DB[[#This Row],[Commercial Opportunity Score]]&gt;=PERCENTILE(HS_DB[Commercial Opportunity Score],0.6),"Medium Opportunity",
 "Routine Market"))</f>
        <v>Routine Market</v>
      </c>
      <c r="BB230" s="3" t="str">
        <f>IF(AND(HS_DB[[#This Row],[Product Rank]]&gt;0,HS_DB[[#This Row],[Product Rank]]&lt;=10),"Yes","No")</f>
        <v>No</v>
      </c>
      <c r="BC230" s="3" t="str">
        <f>IF(AND(HS_DB[[#This Row],[Origin Rank]]&gt;0,HS_DB[[#This Row],[Origin Rank]]&lt;=10),"Yes","No")</f>
        <v>Yes</v>
      </c>
    </row>
    <row r="231" spans="2:55" x14ac:dyDescent="0.3">
      <c r="B231" s="2">
        <f>HS_DB[[#This Row],[Commodity Code]]</f>
        <v>291570</v>
      </c>
      <c r="C231" s="2">
        <f>IFERROR(INDEX(HS_MD!C:C,MATCH(B231,HS_MD!B:B,0),1),"")</f>
        <v>17</v>
      </c>
      <c r="D231" s="17" t="str">
        <f>IFERROR(INDEX(HS_MD!D:D,MATCH(B231,HS_MD!B:B,0),1),"")</f>
        <v>Fatty acid derivatives</v>
      </c>
      <c r="E231" s="17" t="str">
        <f>IFERROR(INDEX(HS_MD!E:E,MATCH(B231,HS_MD!B:B,0),1),"")</f>
        <v>Mono &amp; Diglycerides</v>
      </c>
      <c r="F231" s="17" t="str">
        <f>IFERROR(INDEX(HS_MD!F:F,MATCH(B231,HS_MD!B:B,0),1),"")</f>
        <v>FUNCTIONAL INGREDIENTS</v>
      </c>
      <c r="G231" s="17" t="str">
        <f>IFERROR(INDEX(HS_MD!G:G,MATCH(B231,HS_MD!B:B,0),1),"")</f>
        <v>Emulsifiers</v>
      </c>
      <c r="H231" s="17" t="str">
        <f>IFERROR(INDEX(HS_MD!H:H,MATCH(B231,HS_MD!B:B,0),1),"")</f>
        <v>Mono &amp; Diglycerides</v>
      </c>
      <c r="I231" s="17" t="str">
        <f>IFERROR(INDEX(HS_MD!I:I,MATCH(B231,HS_MD!B:B,0),1),"")</f>
        <v>Bakery / Margarine / Sauces</v>
      </c>
      <c r="J231" s="17">
        <f>IFERROR(INDEX(Heat_Map[Index],MATCH(HS_DB[[#This Row],[Reporter]],Heat_Map[Global],0),1),"")</f>
        <v>81</v>
      </c>
      <c r="K231" s="17" t="str">
        <f>IF(AND(HS_DB[[#This Row],[Origin Rank]]&gt;1,HS_DB[[#This Row],[Origin Rank]]&lt;=10),"Yes","No")</f>
        <v>Yes</v>
      </c>
      <c r="L231" s="2">
        <v>2024</v>
      </c>
      <c r="M231" s="2" t="s">
        <v>57</v>
      </c>
      <c r="N231" s="2" t="s">
        <v>49</v>
      </c>
      <c r="O231" s="2" t="s">
        <v>22</v>
      </c>
      <c r="P231" s="2" t="s">
        <v>23</v>
      </c>
      <c r="Q231" s="2" t="s">
        <v>24</v>
      </c>
      <c r="R231" s="2" t="s">
        <v>25</v>
      </c>
      <c r="S231" s="2">
        <v>291570</v>
      </c>
      <c r="T231" s="3">
        <v>324161</v>
      </c>
      <c r="U231" s="3">
        <v>142620</v>
      </c>
      <c r="V231" s="3">
        <v>0</v>
      </c>
      <c r="W231" s="3">
        <v>142620</v>
      </c>
      <c r="X231" s="3" t="s">
        <v>58</v>
      </c>
      <c r="Y231" s="3">
        <v>142620</v>
      </c>
      <c r="Z231" s="3" t="s">
        <v>58</v>
      </c>
      <c r="AA231" s="6">
        <f>SUMIFS(HS_DB[Trade Value - USD],HS_DB[Reporter],HS_DB[[#This Row],[Reporter]])/SUM(HS_DB[Trade Value - USD])</f>
        <v>1.1178535358665947E-2</v>
      </c>
      <c r="AB231" s="8" cm="1">
        <f t="array" ref="AB231">SUMPRODUCT(
(HS_DB[Reporter]=HS_DB[[#This Row],[Reporter]])*
(HS_DB[Trade Value - USD]&gt;HS_DB[[#This Row],[Trade Value - USD]])
)+1</f>
        <v>8</v>
      </c>
      <c r="AC231" s="8" t="str">
        <f>IFERROR(IF(INDEX(Heat_Map[Crisis Impact %],MATCH(HS_DB[[#This Row],[Reporter]],Heat_Map[Global],0),1)&gt;0,"Yes","No"),"No")</f>
        <v>No</v>
      </c>
      <c r="AD231" s="6">
        <f>IFERROR(INDEX(Heat_Map[Crisis Impact %],MATCH(HS_DB[[#This Row],[Reporter]],Heat_Map[Global],0),1),0)</f>
        <v>0</v>
      </c>
      <c r="AE231" s="8">
        <f>HS_DB[[#This Row],[Crisis Impact%]]*HS_DB[[#This Row],[Trade Value - USD]]</f>
        <v>0</v>
      </c>
      <c r="AF231" s="8">
        <f>HS_DB[[#This Row],[Crisis Impact%]]*HS_DB[[#This Row],[Net Weight -KG]]</f>
        <v>0</v>
      </c>
      <c r="AG231" s="6">
        <f>SUMIFS(HS_DB[Trade Value - USD],HS_DB[Products],HS_DB[[#This Row],[Products]])/SUM(HS_DB[Trade Value - USD])</f>
        <v>4.3846809447427443E-3</v>
      </c>
      <c r="AH231" s="8">
        <f>_xlfn.RANK.EQ(HS_DB[[#This Row],[Trade Value - USD]], HS_DB[Trade Value - USD], 0)
 + COUNTIFS(HS_DB[Trade Value - USD],HS_DB[[#This Row],[Trade Value - USD]],
            HS_DB[HS Code],"&lt;"&amp;HS_DB[[#This Row],[HS Code]])</f>
        <v>181</v>
      </c>
      <c r="AI231" s="9">
        <f>IFERROR(HS_DB[[#This Row],[Trade Value - USD]]/HS_DB[[#This Row],[Net Weight -KG]],0)</f>
        <v>2.2729000140232785</v>
      </c>
      <c r="AJ231" s="17" cm="1">
        <f t="array" ref="AJ231">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31" s="17" t="str">
        <f>IF(HS_DB[[#This Row],[HS Code Risk Score]]&gt;=40,"High",
 IF(HS_DB[[#This Row],[HS Code Risk Score]]&gt;=25,"Medium","Low"))</f>
        <v>Medium</v>
      </c>
      <c r="AL231" s="17" t="str">
        <f>IF(RANK(HS_DB[[#This Row],[HS Code Risk Score]],HS_DB[HS Code Risk Score])&lt;=10,"Yes","No")</f>
        <v>No</v>
      </c>
      <c r="AM231" s="8">
        <f>SUMIFS(HS_DB[Net Weight -KG],HS_DB[HS Code],HS_DB[[#This Row],[HS Code]])</f>
        <v>3811780.5999999996</v>
      </c>
      <c r="AN231" s="8">
        <f>SUMIFS(HS_DB[Trade Value - USD],HS_DB[HS Code],HS_DB[[#This Row],[HS Code]])</f>
        <v>8265160</v>
      </c>
      <c r="AO231" s="6">
        <f>_xlfn.MAXIFS(HS_DB[Origin Share%],HS_DB[HS Code],HS_DB[[#This Row],[HS Code]])</f>
        <v>0.39900464236999494</v>
      </c>
      <c r="AP231" s="8" cm="1">
        <f t="array" ref="AP231">_xlfn.LET(
_xlpm.hs,HS_DB[[#This Row],[HS Code]],
COUNTA(_xlfn.UNIQUE(_xlfn._xlws.FILTER(HS_DB[Reporter],HS_DB[HS Code]=_xlpm.hs)))
)</f>
        <v>17</v>
      </c>
      <c r="AQ231" s="17" t="str">
        <f>IF(HS_DB[[#This Row],[Origin Count]]=1,"Single Source","Multiple Sources")</f>
        <v>Multiple Sources</v>
      </c>
      <c r="AR231" s="8">
        <f>HS_DB[[#This Row],[Annual Spend - USD]]*(HS_DB[[#This Row],[HS Code Risk Score]]/100)</f>
        <v>2810154.4000000004</v>
      </c>
      <c r="AS231" s="8">
        <f>RANK(HS_DB[[#This Row],[Risk Exposure - USD]],HS_DB[Risk Exposure - USD],0)</f>
        <v>329</v>
      </c>
      <c r="AT231" s="8" t="str">
        <f>IF(HS_DB[[#This Row],[Risk Exposure Rank]]&lt;=10,"High",
 IF(HS_DB[[#This Row],[Risk Exposure Rank]]&lt;=30,"Medium",
 "Low"))</f>
        <v>Low</v>
      </c>
      <c r="AU231" s="8" t="str">
        <f>IF(HS_DB[[#This Row],[Risk Exposure Rank]]&lt;=5,"Immediate Action",
 IF(HS_DB[[#This Row],[Risk Exposure Rank]]&lt;=15,"Monitor Closely",
 "Routine Control"))</f>
        <v>Routine Control</v>
      </c>
      <c r="AV231" s="8">
        <f>SUMIFS(HS_DB[Trade Value - USD],HS_DB[HS Code],HS_DB[[#This Row],[HS Code]])</f>
        <v>8265160</v>
      </c>
      <c r="AW231" s="6">
        <f>HS_DB[[#This Row],[Annual Spend - USD]]/HS_DB[[#This Row],[Total Market Size - USD]]</f>
        <v>1</v>
      </c>
      <c r="AX231" s="6" cm="1">
        <f t="array" ref="AX231">COUNTA(_xlfn.UNIQUE(_xlfn._xlws.FILTER(HS_DB[Partner],HS_DB[HS Code]=HS_DB[[#This Row],[HS Code]])))</f>
        <v>1</v>
      </c>
      <c r="AY231" s="8" t="str">
        <f>IF(HS_DB[[#This Row],[Competition Intensity]]&lt;=2,"Highly Concentrated",
 IF(HS_DB[[#This Row],[Competition Intensity]]&lt;=5,"Moderate",
 "Highly Competitive"))</f>
        <v>Highly Concentrated</v>
      </c>
      <c r="AZ231" s="8">
        <f>HS_DB[[#This Row],[Total Market Size - USD]]
*
(1+IFERROR(#REF!,0))
/
HS_DB[[#This Row],[Competition Intensity]]</f>
        <v>8265160</v>
      </c>
      <c r="BA231" s="8" t="str">
        <f>IF(HS_DB[[#This Row],[Commercial Opportunity Score]]&gt;=PERCENTILE(HS_DB[Commercial Opportunity Score],0.9),"High Opportunity",
 IF(HS_DB[[#This Row],[Commercial Opportunity Score]]&gt;=PERCENTILE(HS_DB[Commercial Opportunity Score],0.6),"Medium Opportunity",
 "Routine Market"))</f>
        <v>Routine Market</v>
      </c>
      <c r="BB231" s="3" t="str">
        <f>IF(AND(HS_DB[[#This Row],[Product Rank]]&gt;0,HS_DB[[#This Row],[Product Rank]]&lt;=10),"Yes","No")</f>
        <v>No</v>
      </c>
      <c r="BC231" s="3" t="str">
        <f>IF(AND(HS_DB[[#This Row],[Origin Rank]]&gt;0,HS_DB[[#This Row],[Origin Rank]]&lt;=10),"Yes","No")</f>
        <v>Yes</v>
      </c>
    </row>
    <row r="232" spans="2:55" x14ac:dyDescent="0.3">
      <c r="B232" s="2">
        <f>HS_DB[[#This Row],[Commodity Code]]</f>
        <v>291570</v>
      </c>
      <c r="C232" s="2">
        <f>IFERROR(INDEX(HS_MD!C:C,MATCH(B232,HS_MD!B:B,0),1),"")</f>
        <v>17</v>
      </c>
      <c r="D232" s="17" t="str">
        <f>IFERROR(INDEX(HS_MD!D:D,MATCH(B232,HS_MD!B:B,0),1),"")</f>
        <v>Fatty acid derivatives</v>
      </c>
      <c r="E232" s="17" t="str">
        <f>IFERROR(INDEX(HS_MD!E:E,MATCH(B232,HS_MD!B:B,0),1),"")</f>
        <v>Mono &amp; Diglycerides</v>
      </c>
      <c r="F232" s="17" t="str">
        <f>IFERROR(INDEX(HS_MD!F:F,MATCH(B232,HS_MD!B:B,0),1),"")</f>
        <v>FUNCTIONAL INGREDIENTS</v>
      </c>
      <c r="G232" s="17" t="str">
        <f>IFERROR(INDEX(HS_MD!G:G,MATCH(B232,HS_MD!B:B,0),1),"")</f>
        <v>Emulsifiers</v>
      </c>
      <c r="H232" s="17" t="str">
        <f>IFERROR(INDEX(HS_MD!H:H,MATCH(B232,HS_MD!B:B,0),1),"")</f>
        <v>Mono &amp; Diglycerides</v>
      </c>
      <c r="I232" s="17" t="str">
        <f>IFERROR(INDEX(HS_MD!I:I,MATCH(B232,HS_MD!B:B,0),1),"")</f>
        <v>Bakery / Margarine / Sauces</v>
      </c>
      <c r="J232" s="17">
        <f>IFERROR(INDEX(Heat_Map[Index],MATCH(HS_DB[[#This Row],[Reporter]],Heat_Map[Global],0),1),"")</f>
        <v>100</v>
      </c>
      <c r="K232" s="17" t="str">
        <f>IF(AND(HS_DB[[#This Row],[Origin Rank]]&gt;1,HS_DB[[#This Row],[Origin Rank]]&lt;=10),"Yes","No")</f>
        <v>Yes</v>
      </c>
      <c r="L232" s="2">
        <v>2024</v>
      </c>
      <c r="M232" s="2" t="s">
        <v>57</v>
      </c>
      <c r="N232" s="2" t="s">
        <v>51</v>
      </c>
      <c r="O232" s="2" t="s">
        <v>22</v>
      </c>
      <c r="P232" s="2" t="s">
        <v>23</v>
      </c>
      <c r="Q232" s="2" t="s">
        <v>24</v>
      </c>
      <c r="R232" s="2" t="s">
        <v>25</v>
      </c>
      <c r="S232" s="2">
        <v>291570</v>
      </c>
      <c r="T232" s="3">
        <v>1050278</v>
      </c>
      <c r="U232" s="3">
        <v>596520</v>
      </c>
      <c r="V232" s="3">
        <v>0</v>
      </c>
      <c r="W232" s="3">
        <v>596520</v>
      </c>
      <c r="X232" s="3" t="s">
        <v>58</v>
      </c>
      <c r="Y232" s="3">
        <v>596520</v>
      </c>
      <c r="Z232" s="3" t="s">
        <v>58</v>
      </c>
      <c r="AA232" s="6">
        <f>SUMIFS(HS_DB[Trade Value - USD],HS_DB[Reporter],HS_DB[[#This Row],[Reporter]])/SUM(HS_DB[Trade Value - USD])</f>
        <v>0.25769345655074266</v>
      </c>
      <c r="AB232" s="8" cm="1">
        <f t="array" ref="AB232">SUMPRODUCT(
(HS_DB[Reporter]=HS_DB[[#This Row],[Reporter]])*
(HS_DB[Trade Value - USD]&gt;HS_DB[[#This Row],[Trade Value - USD]])
)+1</f>
        <v>3</v>
      </c>
      <c r="AC232" s="8" t="str">
        <f>IFERROR(IF(INDEX(Heat_Map[Crisis Impact %],MATCH(HS_DB[[#This Row],[Reporter]],Heat_Map[Global],0),1)&gt;0,"Yes","No"),"No")</f>
        <v>No</v>
      </c>
      <c r="AD232" s="6">
        <f>IFERROR(INDEX(Heat_Map[Crisis Impact %],MATCH(HS_DB[[#This Row],[Reporter]],Heat_Map[Global],0),1),0)</f>
        <v>0</v>
      </c>
      <c r="AE232" s="8">
        <f>HS_DB[[#This Row],[Crisis Impact%]]*HS_DB[[#This Row],[Trade Value - USD]]</f>
        <v>0</v>
      </c>
      <c r="AF232" s="8">
        <f>HS_DB[[#This Row],[Crisis Impact%]]*HS_DB[[#This Row],[Net Weight -KG]]</f>
        <v>0</v>
      </c>
      <c r="AG232" s="6">
        <f>SUMIFS(HS_DB[Trade Value - USD],HS_DB[Products],HS_DB[[#This Row],[Products]])/SUM(HS_DB[Trade Value - USD])</f>
        <v>4.3846809447427443E-3</v>
      </c>
      <c r="AH232" s="8">
        <f>_xlfn.RANK.EQ(HS_DB[[#This Row],[Trade Value - USD]], HS_DB[Trade Value - USD], 0)
 + COUNTIFS(HS_DB[Trade Value - USD],HS_DB[[#This Row],[Trade Value - USD]],
            HS_DB[HS Code],"&lt;"&amp;HS_DB[[#This Row],[HS Code]])</f>
        <v>103</v>
      </c>
      <c r="AI232" s="9">
        <f>IFERROR(HS_DB[[#This Row],[Trade Value - USD]]/HS_DB[[#This Row],[Net Weight -KG]],0)</f>
        <v>1.7606752497820692</v>
      </c>
      <c r="AJ232" s="17" cm="1">
        <f t="array" ref="AJ232">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32" s="17" t="str">
        <f>IF(HS_DB[[#This Row],[HS Code Risk Score]]&gt;=40,"High",
 IF(HS_DB[[#This Row],[HS Code Risk Score]]&gt;=25,"Medium","Low"))</f>
        <v>Medium</v>
      </c>
      <c r="AL232" s="17" t="str">
        <f>IF(RANK(HS_DB[[#This Row],[HS Code Risk Score]],HS_DB[HS Code Risk Score])&lt;=10,"Yes","No")</f>
        <v>No</v>
      </c>
      <c r="AM232" s="8">
        <f>SUMIFS(HS_DB[Net Weight -KG],HS_DB[HS Code],HS_DB[[#This Row],[HS Code]])</f>
        <v>3811780.5999999996</v>
      </c>
      <c r="AN232" s="8">
        <f>SUMIFS(HS_DB[Trade Value - USD],HS_DB[HS Code],HS_DB[[#This Row],[HS Code]])</f>
        <v>8265160</v>
      </c>
      <c r="AO232" s="6">
        <f>_xlfn.MAXIFS(HS_DB[Origin Share%],HS_DB[HS Code],HS_DB[[#This Row],[HS Code]])</f>
        <v>0.39900464236999494</v>
      </c>
      <c r="AP232" s="8" cm="1">
        <f t="array" ref="AP232">_xlfn.LET(
_xlpm.hs,HS_DB[[#This Row],[HS Code]],
COUNTA(_xlfn.UNIQUE(_xlfn._xlws.FILTER(HS_DB[Reporter],HS_DB[HS Code]=_xlpm.hs)))
)</f>
        <v>17</v>
      </c>
      <c r="AQ232" s="17" t="str">
        <f>IF(HS_DB[[#This Row],[Origin Count]]=1,"Single Source","Multiple Sources")</f>
        <v>Multiple Sources</v>
      </c>
      <c r="AR232" s="8">
        <f>HS_DB[[#This Row],[Annual Spend - USD]]*(HS_DB[[#This Row],[HS Code Risk Score]]/100)</f>
        <v>2810154.4000000004</v>
      </c>
      <c r="AS232" s="8">
        <f>RANK(HS_DB[[#This Row],[Risk Exposure - USD]],HS_DB[Risk Exposure - USD],0)</f>
        <v>329</v>
      </c>
      <c r="AT232" s="8" t="str">
        <f>IF(HS_DB[[#This Row],[Risk Exposure Rank]]&lt;=10,"High",
 IF(HS_DB[[#This Row],[Risk Exposure Rank]]&lt;=30,"Medium",
 "Low"))</f>
        <v>Low</v>
      </c>
      <c r="AU232" s="8" t="str">
        <f>IF(HS_DB[[#This Row],[Risk Exposure Rank]]&lt;=5,"Immediate Action",
 IF(HS_DB[[#This Row],[Risk Exposure Rank]]&lt;=15,"Monitor Closely",
 "Routine Control"))</f>
        <v>Routine Control</v>
      </c>
      <c r="AV232" s="8">
        <f>SUMIFS(HS_DB[Trade Value - USD],HS_DB[HS Code],HS_DB[[#This Row],[HS Code]])</f>
        <v>8265160</v>
      </c>
      <c r="AW232" s="6">
        <f>HS_DB[[#This Row],[Annual Spend - USD]]/HS_DB[[#This Row],[Total Market Size - USD]]</f>
        <v>1</v>
      </c>
      <c r="AX232" s="6" cm="1">
        <f t="array" ref="AX232">COUNTA(_xlfn.UNIQUE(_xlfn._xlws.FILTER(HS_DB[Partner],HS_DB[HS Code]=HS_DB[[#This Row],[HS Code]])))</f>
        <v>1</v>
      </c>
      <c r="AY232" s="8" t="str">
        <f>IF(HS_DB[[#This Row],[Competition Intensity]]&lt;=2,"Highly Concentrated",
 IF(HS_DB[[#This Row],[Competition Intensity]]&lt;=5,"Moderate",
 "Highly Competitive"))</f>
        <v>Highly Concentrated</v>
      </c>
      <c r="AZ232" s="8">
        <f>HS_DB[[#This Row],[Total Market Size - USD]]
*
(1+IFERROR(#REF!,0))
/
HS_DB[[#This Row],[Competition Intensity]]</f>
        <v>8265160</v>
      </c>
      <c r="BA232" s="8" t="str">
        <f>IF(HS_DB[[#This Row],[Commercial Opportunity Score]]&gt;=PERCENTILE(HS_DB[Commercial Opportunity Score],0.9),"High Opportunity",
 IF(HS_DB[[#This Row],[Commercial Opportunity Score]]&gt;=PERCENTILE(HS_DB[Commercial Opportunity Score],0.6),"Medium Opportunity",
 "Routine Market"))</f>
        <v>Routine Market</v>
      </c>
      <c r="BB232" s="3" t="str">
        <f>IF(AND(HS_DB[[#This Row],[Product Rank]]&gt;0,HS_DB[[#This Row],[Product Rank]]&lt;=10),"Yes","No")</f>
        <v>No</v>
      </c>
      <c r="BC232" s="3" t="str">
        <f>IF(AND(HS_DB[[#This Row],[Origin Rank]]&gt;0,HS_DB[[#This Row],[Origin Rank]]&lt;=10),"Yes","No")</f>
        <v>Yes</v>
      </c>
    </row>
    <row r="233" spans="2:55" x14ac:dyDescent="0.3">
      <c r="B233" s="2">
        <f>HS_DB[[#This Row],[Commodity Code]]</f>
        <v>291570</v>
      </c>
      <c r="C233" s="2">
        <f>IFERROR(INDEX(HS_MD!C:C,MATCH(B233,HS_MD!B:B,0),1),"")</f>
        <v>17</v>
      </c>
      <c r="D233" s="17" t="str">
        <f>IFERROR(INDEX(HS_MD!D:D,MATCH(B233,HS_MD!B:B,0),1),"")</f>
        <v>Fatty acid derivatives</v>
      </c>
      <c r="E233" s="17" t="str">
        <f>IFERROR(INDEX(HS_MD!E:E,MATCH(B233,HS_MD!B:B,0),1),"")</f>
        <v>Mono &amp; Diglycerides</v>
      </c>
      <c r="F233" s="17" t="str">
        <f>IFERROR(INDEX(HS_MD!F:F,MATCH(B233,HS_MD!B:B,0),1),"")</f>
        <v>FUNCTIONAL INGREDIENTS</v>
      </c>
      <c r="G233" s="17" t="str">
        <f>IFERROR(INDEX(HS_MD!G:G,MATCH(B233,HS_MD!B:B,0),1),"")</f>
        <v>Emulsifiers</v>
      </c>
      <c r="H233" s="17" t="str">
        <f>IFERROR(INDEX(HS_MD!H:H,MATCH(B233,HS_MD!B:B,0),1),"")</f>
        <v>Mono &amp; Diglycerides</v>
      </c>
      <c r="I233" s="17" t="str">
        <f>IFERROR(INDEX(HS_MD!I:I,MATCH(B233,HS_MD!B:B,0),1),"")</f>
        <v>Bakery / Margarine / Sauces</v>
      </c>
      <c r="J233" s="17">
        <f>IFERROR(INDEX(Heat_Map[Index],MATCH(HS_DB[[#This Row],[Reporter]],Heat_Map[Global],0),1),"")</f>
        <v>118</v>
      </c>
      <c r="K233" s="17" t="str">
        <f>IF(AND(HS_DB[[#This Row],[Origin Rank]]&gt;1,HS_DB[[#This Row],[Origin Rank]]&lt;=10),"Yes","No")</f>
        <v>No</v>
      </c>
      <c r="L233" s="2">
        <v>2024</v>
      </c>
      <c r="M233" s="2" t="s">
        <v>57</v>
      </c>
      <c r="N233" s="2" t="s">
        <v>53</v>
      </c>
      <c r="O233" s="2" t="s">
        <v>22</v>
      </c>
      <c r="P233" s="2" t="s">
        <v>23</v>
      </c>
      <c r="Q233" s="2" t="s">
        <v>24</v>
      </c>
      <c r="R233" s="2" t="s">
        <v>25</v>
      </c>
      <c r="S233" s="2">
        <v>291570</v>
      </c>
      <c r="T233" s="3">
        <v>14542</v>
      </c>
      <c r="U233" s="3">
        <v>2606</v>
      </c>
      <c r="V233" s="3">
        <v>0</v>
      </c>
      <c r="W233" s="3">
        <v>2606</v>
      </c>
      <c r="X233" s="3" t="s">
        <v>58</v>
      </c>
      <c r="Y233" s="3">
        <v>2606</v>
      </c>
      <c r="Z233" s="3" t="s">
        <v>58</v>
      </c>
      <c r="AA233" s="6">
        <f>SUMIFS(HS_DB[Trade Value - USD],HS_DB[Reporter],HS_DB[[#This Row],[Reporter]])/SUM(HS_DB[Trade Value - USD])</f>
        <v>1.4561232389604124E-2</v>
      </c>
      <c r="AB233" s="8" cm="1">
        <f t="array" ref="AB233">SUMPRODUCT(
(HS_DB[Reporter]=HS_DB[[#This Row],[Reporter]])*
(HS_DB[Trade Value - USD]&gt;HS_DB[[#This Row],[Trade Value - USD]])
)+1</f>
        <v>26</v>
      </c>
      <c r="AC233" s="8" t="str">
        <f>IFERROR(IF(INDEX(Heat_Map[Crisis Impact %],MATCH(HS_DB[[#This Row],[Reporter]],Heat_Map[Global],0),1)&gt;0,"Yes","No"),"No")</f>
        <v>No</v>
      </c>
      <c r="AD233" s="6">
        <f>IFERROR(INDEX(Heat_Map[Crisis Impact %],MATCH(HS_DB[[#This Row],[Reporter]],Heat_Map[Global],0),1),0)</f>
        <v>0</v>
      </c>
      <c r="AE233" s="8">
        <f>HS_DB[[#This Row],[Crisis Impact%]]*HS_DB[[#This Row],[Trade Value - USD]]</f>
        <v>0</v>
      </c>
      <c r="AF233" s="8">
        <f>HS_DB[[#This Row],[Crisis Impact%]]*HS_DB[[#This Row],[Net Weight -KG]]</f>
        <v>0</v>
      </c>
      <c r="AG233" s="6">
        <f>SUMIFS(HS_DB[Trade Value - USD],HS_DB[Products],HS_DB[[#This Row],[Products]])/SUM(HS_DB[Trade Value - USD])</f>
        <v>4.3846809447427443E-3</v>
      </c>
      <c r="AH233" s="8">
        <f>_xlfn.RANK.EQ(HS_DB[[#This Row],[Trade Value - USD]], HS_DB[Trade Value - USD], 0)
 + COUNTIFS(HS_DB[Trade Value - USD],HS_DB[[#This Row],[Trade Value - USD]],
            HS_DB[HS Code],"&lt;"&amp;HS_DB[[#This Row],[HS Code]])</f>
        <v>394</v>
      </c>
      <c r="AI233" s="9">
        <f>IFERROR(HS_DB[[#This Row],[Trade Value - USD]]/HS_DB[[#This Row],[Net Weight -KG]],0)</f>
        <v>5.580199539524175</v>
      </c>
      <c r="AJ233" s="17" cm="1">
        <f t="array" ref="AJ233">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33" s="17" t="str">
        <f>IF(HS_DB[[#This Row],[HS Code Risk Score]]&gt;=40,"High",
 IF(HS_DB[[#This Row],[HS Code Risk Score]]&gt;=25,"Medium","Low"))</f>
        <v>Medium</v>
      </c>
      <c r="AL233" s="17" t="str">
        <f>IF(RANK(HS_DB[[#This Row],[HS Code Risk Score]],HS_DB[HS Code Risk Score])&lt;=10,"Yes","No")</f>
        <v>No</v>
      </c>
      <c r="AM233" s="8">
        <f>SUMIFS(HS_DB[Net Weight -KG],HS_DB[HS Code],HS_DB[[#This Row],[HS Code]])</f>
        <v>3811780.5999999996</v>
      </c>
      <c r="AN233" s="8">
        <f>SUMIFS(HS_DB[Trade Value - USD],HS_DB[HS Code],HS_DB[[#This Row],[HS Code]])</f>
        <v>8265160</v>
      </c>
      <c r="AO233" s="6">
        <f>_xlfn.MAXIFS(HS_DB[Origin Share%],HS_DB[HS Code],HS_DB[[#This Row],[HS Code]])</f>
        <v>0.39900464236999494</v>
      </c>
      <c r="AP233" s="8" cm="1">
        <f t="array" ref="AP233">_xlfn.LET(
_xlpm.hs,HS_DB[[#This Row],[HS Code]],
COUNTA(_xlfn.UNIQUE(_xlfn._xlws.FILTER(HS_DB[Reporter],HS_DB[HS Code]=_xlpm.hs)))
)</f>
        <v>17</v>
      </c>
      <c r="AQ233" s="17" t="str">
        <f>IF(HS_DB[[#This Row],[Origin Count]]=1,"Single Source","Multiple Sources")</f>
        <v>Multiple Sources</v>
      </c>
      <c r="AR233" s="8">
        <f>HS_DB[[#This Row],[Annual Spend - USD]]*(HS_DB[[#This Row],[HS Code Risk Score]]/100)</f>
        <v>2810154.4000000004</v>
      </c>
      <c r="AS233" s="8">
        <f>RANK(HS_DB[[#This Row],[Risk Exposure - USD]],HS_DB[Risk Exposure - USD],0)</f>
        <v>329</v>
      </c>
      <c r="AT233" s="8" t="str">
        <f>IF(HS_DB[[#This Row],[Risk Exposure Rank]]&lt;=10,"High",
 IF(HS_DB[[#This Row],[Risk Exposure Rank]]&lt;=30,"Medium",
 "Low"))</f>
        <v>Low</v>
      </c>
      <c r="AU233" s="8" t="str">
        <f>IF(HS_DB[[#This Row],[Risk Exposure Rank]]&lt;=5,"Immediate Action",
 IF(HS_DB[[#This Row],[Risk Exposure Rank]]&lt;=15,"Monitor Closely",
 "Routine Control"))</f>
        <v>Routine Control</v>
      </c>
      <c r="AV233" s="8">
        <f>SUMIFS(HS_DB[Trade Value - USD],HS_DB[HS Code],HS_DB[[#This Row],[HS Code]])</f>
        <v>8265160</v>
      </c>
      <c r="AW233" s="6">
        <f>HS_DB[[#This Row],[Annual Spend - USD]]/HS_DB[[#This Row],[Total Market Size - USD]]</f>
        <v>1</v>
      </c>
      <c r="AX233" s="6" cm="1">
        <f t="array" ref="AX233">COUNTA(_xlfn.UNIQUE(_xlfn._xlws.FILTER(HS_DB[Partner],HS_DB[HS Code]=HS_DB[[#This Row],[HS Code]])))</f>
        <v>1</v>
      </c>
      <c r="AY233" s="8" t="str">
        <f>IF(HS_DB[[#This Row],[Competition Intensity]]&lt;=2,"Highly Concentrated",
 IF(HS_DB[[#This Row],[Competition Intensity]]&lt;=5,"Moderate",
 "Highly Competitive"))</f>
        <v>Highly Concentrated</v>
      </c>
      <c r="AZ233" s="8">
        <f>HS_DB[[#This Row],[Total Market Size - USD]]
*
(1+IFERROR(#REF!,0))
/
HS_DB[[#This Row],[Competition Intensity]]</f>
        <v>8265160</v>
      </c>
      <c r="BA233" s="8" t="str">
        <f>IF(HS_DB[[#This Row],[Commercial Opportunity Score]]&gt;=PERCENTILE(HS_DB[Commercial Opportunity Score],0.9),"High Opportunity",
 IF(HS_DB[[#This Row],[Commercial Opportunity Score]]&gt;=PERCENTILE(HS_DB[Commercial Opportunity Score],0.6),"Medium Opportunity",
 "Routine Market"))</f>
        <v>Routine Market</v>
      </c>
      <c r="BB233" s="3" t="str">
        <f>IF(AND(HS_DB[[#This Row],[Product Rank]]&gt;0,HS_DB[[#This Row],[Product Rank]]&lt;=10),"Yes","No")</f>
        <v>No</v>
      </c>
      <c r="BC233" s="3" t="str">
        <f>IF(AND(HS_DB[[#This Row],[Origin Rank]]&gt;0,HS_DB[[#This Row],[Origin Rank]]&lt;=10),"Yes","No")</f>
        <v>No</v>
      </c>
    </row>
    <row r="234" spans="2:55" x14ac:dyDescent="0.3">
      <c r="B234" s="2">
        <f>HS_DB[[#This Row],[Commodity Code]]</f>
        <v>291570</v>
      </c>
      <c r="C234" s="2">
        <f>IFERROR(INDEX(HS_MD!C:C,MATCH(B234,HS_MD!B:B,0),1),"")</f>
        <v>17</v>
      </c>
      <c r="D234" s="17" t="str">
        <f>IFERROR(INDEX(HS_MD!D:D,MATCH(B234,HS_MD!B:B,0),1),"")</f>
        <v>Fatty acid derivatives</v>
      </c>
      <c r="E234" s="17" t="str">
        <f>IFERROR(INDEX(HS_MD!E:E,MATCH(B234,HS_MD!B:B,0),1),"")</f>
        <v>Mono &amp; Diglycerides</v>
      </c>
      <c r="F234" s="17" t="str">
        <f>IFERROR(INDEX(HS_MD!F:F,MATCH(B234,HS_MD!B:B,0),1),"")</f>
        <v>FUNCTIONAL INGREDIENTS</v>
      </c>
      <c r="G234" s="17" t="str">
        <f>IFERROR(INDEX(HS_MD!G:G,MATCH(B234,HS_MD!B:B,0),1),"")</f>
        <v>Emulsifiers</v>
      </c>
      <c r="H234" s="17" t="str">
        <f>IFERROR(INDEX(HS_MD!H:H,MATCH(B234,HS_MD!B:B,0),1),"")</f>
        <v>Mono &amp; Diglycerides</v>
      </c>
      <c r="I234" s="17" t="str">
        <f>IFERROR(INDEX(HS_MD!I:I,MATCH(B234,HS_MD!B:B,0),1),"")</f>
        <v>Bakery / Margarine / Sauces</v>
      </c>
      <c r="J234" s="17">
        <f>IFERROR(INDEX(Heat_Map[Index],MATCH(HS_DB[[#This Row],[Reporter]],Heat_Map[Global],0),1),"")</f>
        <v>146</v>
      </c>
      <c r="K234" s="17" t="str">
        <f>IF(AND(HS_DB[[#This Row],[Origin Rank]]&gt;1,HS_DB[[#This Row],[Origin Rank]]&lt;=10),"Yes","No")</f>
        <v>Yes</v>
      </c>
      <c r="L234" s="2">
        <v>2024</v>
      </c>
      <c r="M234" s="2" t="s">
        <v>57</v>
      </c>
      <c r="N234" s="2" t="s">
        <v>27</v>
      </c>
      <c r="O234" s="2" t="s">
        <v>22</v>
      </c>
      <c r="P234" s="2" t="s">
        <v>23</v>
      </c>
      <c r="Q234" s="2" t="s">
        <v>24</v>
      </c>
      <c r="R234" s="2" t="s">
        <v>25</v>
      </c>
      <c r="S234" s="2">
        <v>291570</v>
      </c>
      <c r="T234" s="3">
        <v>1005056</v>
      </c>
      <c r="U234" s="3">
        <v>497692.2</v>
      </c>
      <c r="V234" s="3">
        <v>0</v>
      </c>
      <c r="W234" s="3">
        <v>497692</v>
      </c>
      <c r="X234" s="3" t="s">
        <v>58</v>
      </c>
      <c r="Y234" s="3">
        <v>458746</v>
      </c>
      <c r="Z234" s="3" t="s">
        <v>58</v>
      </c>
      <c r="AA234" s="6">
        <f>SUMIFS(HS_DB[Trade Value - USD],HS_DB[Reporter],HS_DB[[#This Row],[Reporter]])/SUM(HS_DB[Trade Value - USD])</f>
        <v>9.709938116315122E-3</v>
      </c>
      <c r="AB234" s="8" cm="1">
        <f t="array" ref="AB234">SUMPRODUCT(
(HS_DB[Reporter]=HS_DB[[#This Row],[Reporter]])*
(HS_DB[Trade Value - USD]&gt;HS_DB[[#This Row],[Trade Value - USD]])
)+1</f>
        <v>3</v>
      </c>
      <c r="AC234" s="8" t="str">
        <f>IFERROR(IF(INDEX(Heat_Map[Crisis Impact %],MATCH(HS_DB[[#This Row],[Reporter]],Heat_Map[Global],0),1)&gt;0,"Yes","No"),"No")</f>
        <v>No</v>
      </c>
      <c r="AD234" s="6">
        <f>IFERROR(INDEX(Heat_Map[Crisis Impact %],MATCH(HS_DB[[#This Row],[Reporter]],Heat_Map[Global],0),1),0)</f>
        <v>0</v>
      </c>
      <c r="AE234" s="8">
        <f>HS_DB[[#This Row],[Crisis Impact%]]*HS_DB[[#This Row],[Trade Value - USD]]</f>
        <v>0</v>
      </c>
      <c r="AF234" s="8">
        <f>HS_DB[[#This Row],[Crisis Impact%]]*HS_DB[[#This Row],[Net Weight -KG]]</f>
        <v>0</v>
      </c>
      <c r="AG234" s="6">
        <f>SUMIFS(HS_DB[Trade Value - USD],HS_DB[Products],HS_DB[[#This Row],[Products]])/SUM(HS_DB[Trade Value - USD])</f>
        <v>4.3846809447427443E-3</v>
      </c>
      <c r="AH234" s="8">
        <f>_xlfn.RANK.EQ(HS_DB[[#This Row],[Trade Value - USD]], HS_DB[Trade Value - USD], 0)
 + COUNTIFS(HS_DB[Trade Value - USD],HS_DB[[#This Row],[Trade Value - USD]],
            HS_DB[HS Code],"&lt;"&amp;HS_DB[[#This Row],[HS Code]])</f>
        <v>107</v>
      </c>
      <c r="AI234" s="9">
        <f>IFERROR(HS_DB[[#This Row],[Trade Value - USD]]/HS_DB[[#This Row],[Net Weight -KG]],0)</f>
        <v>2.0194328944677049</v>
      </c>
      <c r="AJ234" s="17" cm="1">
        <f t="array" ref="AJ234">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34" s="17" t="str">
        <f>IF(HS_DB[[#This Row],[HS Code Risk Score]]&gt;=40,"High",
 IF(HS_DB[[#This Row],[HS Code Risk Score]]&gt;=25,"Medium","Low"))</f>
        <v>Medium</v>
      </c>
      <c r="AL234" s="17" t="str">
        <f>IF(RANK(HS_DB[[#This Row],[HS Code Risk Score]],HS_DB[HS Code Risk Score])&lt;=10,"Yes","No")</f>
        <v>No</v>
      </c>
      <c r="AM234" s="8">
        <f>SUMIFS(HS_DB[Net Weight -KG],HS_DB[HS Code],HS_DB[[#This Row],[HS Code]])</f>
        <v>3811780.5999999996</v>
      </c>
      <c r="AN234" s="8">
        <f>SUMIFS(HS_DB[Trade Value - USD],HS_DB[HS Code],HS_DB[[#This Row],[HS Code]])</f>
        <v>8265160</v>
      </c>
      <c r="AO234" s="6">
        <f>_xlfn.MAXIFS(HS_DB[Origin Share%],HS_DB[HS Code],HS_DB[[#This Row],[HS Code]])</f>
        <v>0.39900464236999494</v>
      </c>
      <c r="AP234" s="8" cm="1">
        <f t="array" ref="AP234">_xlfn.LET(
_xlpm.hs,HS_DB[[#This Row],[HS Code]],
COUNTA(_xlfn.UNIQUE(_xlfn._xlws.FILTER(HS_DB[Reporter],HS_DB[HS Code]=_xlpm.hs)))
)</f>
        <v>17</v>
      </c>
      <c r="AQ234" s="17" t="str">
        <f>IF(HS_DB[[#This Row],[Origin Count]]=1,"Single Source","Multiple Sources")</f>
        <v>Multiple Sources</v>
      </c>
      <c r="AR234" s="8">
        <f>HS_DB[[#This Row],[Annual Spend - USD]]*(HS_DB[[#This Row],[HS Code Risk Score]]/100)</f>
        <v>2810154.4000000004</v>
      </c>
      <c r="AS234" s="8">
        <f>RANK(HS_DB[[#This Row],[Risk Exposure - USD]],HS_DB[Risk Exposure - USD],0)</f>
        <v>329</v>
      </c>
      <c r="AT234" s="8" t="str">
        <f>IF(HS_DB[[#This Row],[Risk Exposure Rank]]&lt;=10,"High",
 IF(HS_DB[[#This Row],[Risk Exposure Rank]]&lt;=30,"Medium",
 "Low"))</f>
        <v>Low</v>
      </c>
      <c r="AU234" s="8" t="str">
        <f>IF(HS_DB[[#This Row],[Risk Exposure Rank]]&lt;=5,"Immediate Action",
 IF(HS_DB[[#This Row],[Risk Exposure Rank]]&lt;=15,"Monitor Closely",
 "Routine Control"))</f>
        <v>Routine Control</v>
      </c>
      <c r="AV234" s="8">
        <f>SUMIFS(HS_DB[Trade Value - USD],HS_DB[HS Code],HS_DB[[#This Row],[HS Code]])</f>
        <v>8265160</v>
      </c>
      <c r="AW234" s="6">
        <f>HS_DB[[#This Row],[Annual Spend - USD]]/HS_DB[[#This Row],[Total Market Size - USD]]</f>
        <v>1</v>
      </c>
      <c r="AX234" s="6" cm="1">
        <f t="array" ref="AX234">COUNTA(_xlfn.UNIQUE(_xlfn._xlws.FILTER(HS_DB[Partner],HS_DB[HS Code]=HS_DB[[#This Row],[HS Code]])))</f>
        <v>1</v>
      </c>
      <c r="AY234" s="8" t="str">
        <f>IF(HS_DB[[#This Row],[Competition Intensity]]&lt;=2,"Highly Concentrated",
 IF(HS_DB[[#This Row],[Competition Intensity]]&lt;=5,"Moderate",
 "Highly Competitive"))</f>
        <v>Highly Concentrated</v>
      </c>
      <c r="AZ234" s="8">
        <f>HS_DB[[#This Row],[Total Market Size - USD]]
*
(1+IFERROR(#REF!,0))
/
HS_DB[[#This Row],[Competition Intensity]]</f>
        <v>8265160</v>
      </c>
      <c r="BA234" s="8" t="str">
        <f>IF(HS_DB[[#This Row],[Commercial Opportunity Score]]&gt;=PERCENTILE(HS_DB[Commercial Opportunity Score],0.9),"High Opportunity",
 IF(HS_DB[[#This Row],[Commercial Opportunity Score]]&gt;=PERCENTILE(HS_DB[Commercial Opportunity Score],0.6),"Medium Opportunity",
 "Routine Market"))</f>
        <v>Routine Market</v>
      </c>
      <c r="BB234" s="3" t="str">
        <f>IF(AND(HS_DB[[#This Row],[Product Rank]]&gt;0,HS_DB[[#This Row],[Product Rank]]&lt;=10),"Yes","No")</f>
        <v>No</v>
      </c>
      <c r="BC234" s="3" t="str">
        <f>IF(AND(HS_DB[[#This Row],[Origin Rank]]&gt;0,HS_DB[[#This Row],[Origin Rank]]&lt;=10),"Yes","No")</f>
        <v>Yes</v>
      </c>
    </row>
    <row r="235" spans="2:55" x14ac:dyDescent="0.3">
      <c r="B235" s="2">
        <f>HS_DB[[#This Row],[Commodity Code]]</f>
        <v>291570</v>
      </c>
      <c r="C235" s="2">
        <f>IFERROR(INDEX(HS_MD!C:C,MATCH(B235,HS_MD!B:B,0),1),"")</f>
        <v>17</v>
      </c>
      <c r="D235" s="17" t="str">
        <f>IFERROR(INDEX(HS_MD!D:D,MATCH(B235,HS_MD!B:B,0),1),"")</f>
        <v>Fatty acid derivatives</v>
      </c>
      <c r="E235" s="17" t="str">
        <f>IFERROR(INDEX(HS_MD!E:E,MATCH(B235,HS_MD!B:B,0),1),"")</f>
        <v>Mono &amp; Diglycerides</v>
      </c>
      <c r="F235" s="17" t="str">
        <f>IFERROR(INDEX(HS_MD!F:F,MATCH(B235,HS_MD!B:B,0),1),"")</f>
        <v>FUNCTIONAL INGREDIENTS</v>
      </c>
      <c r="G235" s="17" t="str">
        <f>IFERROR(INDEX(HS_MD!G:G,MATCH(B235,HS_MD!B:B,0),1),"")</f>
        <v>Emulsifiers</v>
      </c>
      <c r="H235" s="17" t="str">
        <f>IFERROR(INDEX(HS_MD!H:H,MATCH(B235,HS_MD!B:B,0),1),"")</f>
        <v>Mono &amp; Diglycerides</v>
      </c>
      <c r="I235" s="17" t="str">
        <f>IFERROR(INDEX(HS_MD!I:I,MATCH(B235,HS_MD!B:B,0),1),"")</f>
        <v>Bakery / Margarine / Sauces</v>
      </c>
      <c r="J235" s="17">
        <f>IFERROR(INDEX(Heat_Map[Index],MATCH(HS_DB[[#This Row],[Reporter]],Heat_Map[Global],0),1),"")</f>
        <v>75</v>
      </c>
      <c r="K235" s="17" t="str">
        <f>IF(AND(HS_DB[[#This Row],[Origin Rank]]&gt;1,HS_DB[[#This Row],[Origin Rank]]&lt;=10),"Yes","No")</f>
        <v>Yes</v>
      </c>
      <c r="L235" s="2">
        <v>2024</v>
      </c>
      <c r="M235" s="2" t="s">
        <v>57</v>
      </c>
      <c r="N235" s="2" t="s">
        <v>8</v>
      </c>
      <c r="O235" s="2" t="s">
        <v>22</v>
      </c>
      <c r="P235" s="2" t="s">
        <v>23</v>
      </c>
      <c r="Q235" s="2" t="s">
        <v>24</v>
      </c>
      <c r="R235" s="2" t="s">
        <v>25</v>
      </c>
      <c r="S235" s="2">
        <v>291570</v>
      </c>
      <c r="T235" s="3">
        <v>2561752</v>
      </c>
      <c r="U235" s="3">
        <v>1102350</v>
      </c>
      <c r="V235" s="3">
        <v>0</v>
      </c>
      <c r="W235" s="3">
        <v>1102350</v>
      </c>
      <c r="X235" s="3" t="s">
        <v>58</v>
      </c>
      <c r="Y235" s="3">
        <v>1102350</v>
      </c>
      <c r="Z235" s="3" t="s">
        <v>58</v>
      </c>
      <c r="AA235" s="6">
        <f>SUMIFS(HS_DB[Trade Value - USD],HS_DB[Reporter],HS_DB[[#This Row],[Reporter]])/SUM(HS_DB[Trade Value - USD])</f>
        <v>2.2441761060335613E-2</v>
      </c>
      <c r="AB235" s="8" cm="1">
        <f t="array" ref="AB235">SUMPRODUCT(
(HS_DB[Reporter]=HS_DB[[#This Row],[Reporter]])*
(HS_DB[Trade Value - USD]&gt;HS_DB[[#This Row],[Trade Value - USD]])
)+1</f>
        <v>5</v>
      </c>
      <c r="AC235" s="8" t="str">
        <f>IFERROR(IF(INDEX(Heat_Map[Crisis Impact %],MATCH(HS_DB[[#This Row],[Reporter]],Heat_Map[Global],0),1)&gt;0,"Yes","No"),"No")</f>
        <v>No</v>
      </c>
      <c r="AD235" s="6">
        <f>IFERROR(INDEX(Heat_Map[Crisis Impact %],MATCH(HS_DB[[#This Row],[Reporter]],Heat_Map[Global],0),1),0)</f>
        <v>0</v>
      </c>
      <c r="AE235" s="8">
        <f>HS_DB[[#This Row],[Crisis Impact%]]*HS_DB[[#This Row],[Trade Value - USD]]</f>
        <v>0</v>
      </c>
      <c r="AF235" s="8">
        <f>HS_DB[[#This Row],[Crisis Impact%]]*HS_DB[[#This Row],[Net Weight -KG]]</f>
        <v>0</v>
      </c>
      <c r="AG235" s="6">
        <f>SUMIFS(HS_DB[Trade Value - USD],HS_DB[Products],HS_DB[[#This Row],[Products]])/SUM(HS_DB[Trade Value - USD])</f>
        <v>4.3846809447427443E-3</v>
      </c>
      <c r="AH235" s="8">
        <f>_xlfn.RANK.EQ(HS_DB[[#This Row],[Trade Value - USD]], HS_DB[Trade Value - USD], 0)
 + COUNTIFS(HS_DB[Trade Value - USD],HS_DB[[#This Row],[Trade Value - USD]],
            HS_DB[HS Code],"&lt;"&amp;HS_DB[[#This Row],[HS Code]])</f>
        <v>51</v>
      </c>
      <c r="AI235" s="9">
        <f>IFERROR(HS_DB[[#This Row],[Trade Value - USD]]/HS_DB[[#This Row],[Net Weight -KG]],0)</f>
        <v>2.3239007574726722</v>
      </c>
      <c r="AJ235" s="17" cm="1">
        <f t="array" ref="AJ235">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35" s="17" t="str">
        <f>IF(HS_DB[[#This Row],[HS Code Risk Score]]&gt;=40,"High",
 IF(HS_DB[[#This Row],[HS Code Risk Score]]&gt;=25,"Medium","Low"))</f>
        <v>Medium</v>
      </c>
      <c r="AL235" s="17" t="str">
        <f>IF(RANK(HS_DB[[#This Row],[HS Code Risk Score]],HS_DB[HS Code Risk Score])&lt;=10,"Yes","No")</f>
        <v>No</v>
      </c>
      <c r="AM235" s="8">
        <f>SUMIFS(HS_DB[Net Weight -KG],HS_DB[HS Code],HS_DB[[#This Row],[HS Code]])</f>
        <v>3811780.5999999996</v>
      </c>
      <c r="AN235" s="8">
        <f>SUMIFS(HS_DB[Trade Value - USD],HS_DB[HS Code],HS_DB[[#This Row],[HS Code]])</f>
        <v>8265160</v>
      </c>
      <c r="AO235" s="6">
        <f>_xlfn.MAXIFS(HS_DB[Origin Share%],HS_DB[HS Code],HS_DB[[#This Row],[HS Code]])</f>
        <v>0.39900464236999494</v>
      </c>
      <c r="AP235" s="8" cm="1">
        <f t="array" ref="AP235">_xlfn.LET(
_xlpm.hs,HS_DB[[#This Row],[HS Code]],
COUNTA(_xlfn.UNIQUE(_xlfn._xlws.FILTER(HS_DB[Reporter],HS_DB[HS Code]=_xlpm.hs)))
)</f>
        <v>17</v>
      </c>
      <c r="AQ235" s="17" t="str">
        <f>IF(HS_DB[[#This Row],[Origin Count]]=1,"Single Source","Multiple Sources")</f>
        <v>Multiple Sources</v>
      </c>
      <c r="AR235" s="8">
        <f>HS_DB[[#This Row],[Annual Spend - USD]]*(HS_DB[[#This Row],[HS Code Risk Score]]/100)</f>
        <v>2810154.4000000004</v>
      </c>
      <c r="AS235" s="8">
        <f>RANK(HS_DB[[#This Row],[Risk Exposure - USD]],HS_DB[Risk Exposure - USD],0)</f>
        <v>329</v>
      </c>
      <c r="AT235" s="8" t="str">
        <f>IF(HS_DB[[#This Row],[Risk Exposure Rank]]&lt;=10,"High",
 IF(HS_DB[[#This Row],[Risk Exposure Rank]]&lt;=30,"Medium",
 "Low"))</f>
        <v>Low</v>
      </c>
      <c r="AU235" s="8" t="str">
        <f>IF(HS_DB[[#This Row],[Risk Exposure Rank]]&lt;=5,"Immediate Action",
 IF(HS_DB[[#This Row],[Risk Exposure Rank]]&lt;=15,"Monitor Closely",
 "Routine Control"))</f>
        <v>Routine Control</v>
      </c>
      <c r="AV235" s="8">
        <f>SUMIFS(HS_DB[Trade Value - USD],HS_DB[HS Code],HS_DB[[#This Row],[HS Code]])</f>
        <v>8265160</v>
      </c>
      <c r="AW235" s="6">
        <f>HS_DB[[#This Row],[Annual Spend - USD]]/HS_DB[[#This Row],[Total Market Size - USD]]</f>
        <v>1</v>
      </c>
      <c r="AX235" s="6" cm="1">
        <f t="array" ref="AX235">COUNTA(_xlfn.UNIQUE(_xlfn._xlws.FILTER(HS_DB[Partner],HS_DB[HS Code]=HS_DB[[#This Row],[HS Code]])))</f>
        <v>1</v>
      </c>
      <c r="AY235" s="8" t="str">
        <f>IF(HS_DB[[#This Row],[Competition Intensity]]&lt;=2,"Highly Concentrated",
 IF(HS_DB[[#This Row],[Competition Intensity]]&lt;=5,"Moderate",
 "Highly Competitive"))</f>
        <v>Highly Concentrated</v>
      </c>
      <c r="AZ235" s="8">
        <f>HS_DB[[#This Row],[Total Market Size - USD]]
*
(1+IFERROR(#REF!,0))
/
HS_DB[[#This Row],[Competition Intensity]]</f>
        <v>8265160</v>
      </c>
      <c r="BA235" s="8" t="str">
        <f>IF(HS_DB[[#This Row],[Commercial Opportunity Score]]&gt;=PERCENTILE(HS_DB[Commercial Opportunity Score],0.9),"High Opportunity",
 IF(HS_DB[[#This Row],[Commercial Opportunity Score]]&gt;=PERCENTILE(HS_DB[Commercial Opportunity Score],0.6),"Medium Opportunity",
 "Routine Market"))</f>
        <v>Routine Market</v>
      </c>
      <c r="BB235" s="3" t="str">
        <f>IF(AND(HS_DB[[#This Row],[Product Rank]]&gt;0,HS_DB[[#This Row],[Product Rank]]&lt;=10),"Yes","No")</f>
        <v>No</v>
      </c>
      <c r="BC235" s="3" t="str">
        <f>IF(AND(HS_DB[[#This Row],[Origin Rank]]&gt;0,HS_DB[[#This Row],[Origin Rank]]&lt;=10),"Yes","No")</f>
        <v>Yes</v>
      </c>
    </row>
    <row r="236" spans="2:55" x14ac:dyDescent="0.3">
      <c r="B236" s="2">
        <f>HS_DB[[#This Row],[Commodity Code]]</f>
        <v>291570</v>
      </c>
      <c r="C236" s="2">
        <f>IFERROR(INDEX(HS_MD!C:C,MATCH(B236,HS_MD!B:B,0),1),"")</f>
        <v>17</v>
      </c>
      <c r="D236" s="17" t="str">
        <f>IFERROR(INDEX(HS_MD!D:D,MATCH(B236,HS_MD!B:B,0),1),"")</f>
        <v>Fatty acid derivatives</v>
      </c>
      <c r="E236" s="17" t="str">
        <f>IFERROR(INDEX(HS_MD!E:E,MATCH(B236,HS_MD!B:B,0),1),"")</f>
        <v>Mono &amp; Diglycerides</v>
      </c>
      <c r="F236" s="17" t="str">
        <f>IFERROR(INDEX(HS_MD!F:F,MATCH(B236,HS_MD!B:B,0),1),"")</f>
        <v>FUNCTIONAL INGREDIENTS</v>
      </c>
      <c r="G236" s="17" t="str">
        <f>IFERROR(INDEX(HS_MD!G:G,MATCH(B236,HS_MD!B:B,0),1),"")</f>
        <v>Emulsifiers</v>
      </c>
      <c r="H236" s="17" t="str">
        <f>IFERROR(INDEX(HS_MD!H:H,MATCH(B236,HS_MD!B:B,0),1),"")</f>
        <v>Mono &amp; Diglycerides</v>
      </c>
      <c r="I236" s="17" t="str">
        <f>IFERROR(INDEX(HS_MD!I:I,MATCH(B236,HS_MD!B:B,0),1),"")</f>
        <v>Bakery / Margarine / Sauces</v>
      </c>
      <c r="J236" s="17">
        <f>IFERROR(INDEX(Heat_Map[Index],MATCH(HS_DB[[#This Row],[Reporter]],Heat_Map[Global],0),1),"")</f>
        <v>151</v>
      </c>
      <c r="K236" s="17" t="str">
        <f>IF(AND(HS_DB[[#This Row],[Origin Rank]]&gt;1,HS_DB[[#This Row],[Origin Rank]]&lt;=10),"Yes","No")</f>
        <v>Yes</v>
      </c>
      <c r="L236" s="2">
        <v>2024</v>
      </c>
      <c r="M236" s="2" t="s">
        <v>57</v>
      </c>
      <c r="N236" s="2" t="s">
        <v>28</v>
      </c>
      <c r="O236" s="2" t="s">
        <v>22</v>
      </c>
      <c r="P236" s="2" t="s">
        <v>23</v>
      </c>
      <c r="Q236" s="2" t="s">
        <v>24</v>
      </c>
      <c r="R236" s="2" t="s">
        <v>25</v>
      </c>
      <c r="S236" s="2">
        <v>291570</v>
      </c>
      <c r="T236" s="3">
        <v>29483</v>
      </c>
      <c r="U236" s="3">
        <v>4293</v>
      </c>
      <c r="V236" s="3">
        <v>0</v>
      </c>
      <c r="W236" s="3">
        <v>4293</v>
      </c>
      <c r="X236" s="3" t="s">
        <v>58</v>
      </c>
      <c r="Y236" s="3">
        <v>4293</v>
      </c>
      <c r="Z236" s="3" t="s">
        <v>58</v>
      </c>
      <c r="AA236" s="6">
        <f>SUMIFS(HS_DB[Trade Value - USD],HS_DB[Reporter],HS_DB[[#This Row],[Reporter]])/SUM(HS_DB[Trade Value - USD])</f>
        <v>8.2796770445636432E-4</v>
      </c>
      <c r="AB236" s="8" cm="1">
        <f t="array" ref="AB236">SUMPRODUCT(
(HS_DB[Reporter]=HS_DB[[#This Row],[Reporter]])*
(HS_DB[Trade Value - USD]&gt;HS_DB[[#This Row],[Trade Value - USD]])
)+1</f>
        <v>5</v>
      </c>
      <c r="AC236" s="8" t="str">
        <f>IFERROR(IF(INDEX(Heat_Map[Crisis Impact %],MATCH(HS_DB[[#This Row],[Reporter]],Heat_Map[Global],0),1)&gt;0,"Yes","No"),"No")</f>
        <v>Yes</v>
      </c>
      <c r="AD236" s="6">
        <f>IFERROR(INDEX(Heat_Map[Crisis Impact %],MATCH(HS_DB[[#This Row],[Reporter]],Heat_Map[Global],0),1),0)</f>
        <v>0.06</v>
      </c>
      <c r="AE236" s="8">
        <f>HS_DB[[#This Row],[Crisis Impact%]]*HS_DB[[#This Row],[Trade Value - USD]]</f>
        <v>1768.98</v>
      </c>
      <c r="AF236" s="8">
        <f>HS_DB[[#This Row],[Crisis Impact%]]*HS_DB[[#This Row],[Net Weight -KG]]</f>
        <v>257.58</v>
      </c>
      <c r="AG236" s="6">
        <f>SUMIFS(HS_DB[Trade Value - USD],HS_DB[Products],HS_DB[[#This Row],[Products]])/SUM(HS_DB[Trade Value - USD])</f>
        <v>4.3846809447427443E-3</v>
      </c>
      <c r="AH236" s="8">
        <f>_xlfn.RANK.EQ(HS_DB[[#This Row],[Trade Value - USD]], HS_DB[Trade Value - USD], 0)
 + COUNTIFS(HS_DB[Trade Value - USD],HS_DB[[#This Row],[Trade Value - USD]],
            HS_DB[HS Code],"&lt;"&amp;HS_DB[[#This Row],[HS Code]])</f>
        <v>357</v>
      </c>
      <c r="AI236" s="9">
        <f>IFERROR(HS_DB[[#This Row],[Trade Value - USD]]/HS_DB[[#This Row],[Net Weight -KG]],0)</f>
        <v>6.8676915909620311</v>
      </c>
      <c r="AJ236" s="17" cm="1">
        <f t="array" ref="AJ236">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36" s="17" t="str">
        <f>IF(HS_DB[[#This Row],[HS Code Risk Score]]&gt;=40,"High",
 IF(HS_DB[[#This Row],[HS Code Risk Score]]&gt;=25,"Medium","Low"))</f>
        <v>Medium</v>
      </c>
      <c r="AL236" s="17" t="str">
        <f>IF(RANK(HS_DB[[#This Row],[HS Code Risk Score]],HS_DB[HS Code Risk Score])&lt;=10,"Yes","No")</f>
        <v>No</v>
      </c>
      <c r="AM236" s="8">
        <f>SUMIFS(HS_DB[Net Weight -KG],HS_DB[HS Code],HS_DB[[#This Row],[HS Code]])</f>
        <v>3811780.5999999996</v>
      </c>
      <c r="AN236" s="8">
        <f>SUMIFS(HS_DB[Trade Value - USD],HS_DB[HS Code],HS_DB[[#This Row],[HS Code]])</f>
        <v>8265160</v>
      </c>
      <c r="AO236" s="6">
        <f>_xlfn.MAXIFS(HS_DB[Origin Share%],HS_DB[HS Code],HS_DB[[#This Row],[HS Code]])</f>
        <v>0.39900464236999494</v>
      </c>
      <c r="AP236" s="8" cm="1">
        <f t="array" ref="AP236">_xlfn.LET(
_xlpm.hs,HS_DB[[#This Row],[HS Code]],
COUNTA(_xlfn.UNIQUE(_xlfn._xlws.FILTER(HS_DB[Reporter],HS_DB[HS Code]=_xlpm.hs)))
)</f>
        <v>17</v>
      </c>
      <c r="AQ236" s="17" t="str">
        <f>IF(HS_DB[[#This Row],[Origin Count]]=1,"Single Source","Multiple Sources")</f>
        <v>Multiple Sources</v>
      </c>
      <c r="AR236" s="8">
        <f>HS_DB[[#This Row],[Annual Spend - USD]]*(HS_DB[[#This Row],[HS Code Risk Score]]/100)</f>
        <v>2810154.4000000004</v>
      </c>
      <c r="AS236" s="8">
        <f>RANK(HS_DB[[#This Row],[Risk Exposure - USD]],HS_DB[Risk Exposure - USD],0)</f>
        <v>329</v>
      </c>
      <c r="AT236" s="8" t="str">
        <f>IF(HS_DB[[#This Row],[Risk Exposure Rank]]&lt;=10,"High",
 IF(HS_DB[[#This Row],[Risk Exposure Rank]]&lt;=30,"Medium",
 "Low"))</f>
        <v>Low</v>
      </c>
      <c r="AU236" s="8" t="str">
        <f>IF(HS_DB[[#This Row],[Risk Exposure Rank]]&lt;=5,"Immediate Action",
 IF(HS_DB[[#This Row],[Risk Exposure Rank]]&lt;=15,"Monitor Closely",
 "Routine Control"))</f>
        <v>Routine Control</v>
      </c>
      <c r="AV236" s="8">
        <f>SUMIFS(HS_DB[Trade Value - USD],HS_DB[HS Code],HS_DB[[#This Row],[HS Code]])</f>
        <v>8265160</v>
      </c>
      <c r="AW236" s="6">
        <f>HS_DB[[#This Row],[Annual Spend - USD]]/HS_DB[[#This Row],[Total Market Size - USD]]</f>
        <v>1</v>
      </c>
      <c r="AX236" s="6" cm="1">
        <f t="array" ref="AX236">COUNTA(_xlfn.UNIQUE(_xlfn._xlws.FILTER(HS_DB[Partner],HS_DB[HS Code]=HS_DB[[#This Row],[HS Code]])))</f>
        <v>1</v>
      </c>
      <c r="AY236" s="8" t="str">
        <f>IF(HS_DB[[#This Row],[Competition Intensity]]&lt;=2,"Highly Concentrated",
 IF(HS_DB[[#This Row],[Competition Intensity]]&lt;=5,"Moderate",
 "Highly Competitive"))</f>
        <v>Highly Concentrated</v>
      </c>
      <c r="AZ236" s="8">
        <f>HS_DB[[#This Row],[Total Market Size - USD]]
*
(1+IFERROR(#REF!,0))
/
HS_DB[[#This Row],[Competition Intensity]]</f>
        <v>8265160</v>
      </c>
      <c r="BA236" s="8" t="str">
        <f>IF(HS_DB[[#This Row],[Commercial Opportunity Score]]&gt;=PERCENTILE(HS_DB[Commercial Opportunity Score],0.9),"High Opportunity",
 IF(HS_DB[[#This Row],[Commercial Opportunity Score]]&gt;=PERCENTILE(HS_DB[Commercial Opportunity Score],0.6),"Medium Opportunity",
 "Routine Market"))</f>
        <v>Routine Market</v>
      </c>
      <c r="BB236" s="3" t="str">
        <f>IF(AND(HS_DB[[#This Row],[Product Rank]]&gt;0,HS_DB[[#This Row],[Product Rank]]&lt;=10),"Yes","No")</f>
        <v>No</v>
      </c>
      <c r="BC236" s="3" t="str">
        <f>IF(AND(HS_DB[[#This Row],[Origin Rank]]&gt;0,HS_DB[[#This Row],[Origin Rank]]&lt;=10),"Yes","No")</f>
        <v>Yes</v>
      </c>
    </row>
    <row r="237" spans="2:55" x14ac:dyDescent="0.3">
      <c r="B237" s="2">
        <f>HS_DB[[#This Row],[Commodity Code]]</f>
        <v>291570</v>
      </c>
      <c r="C237" s="2">
        <f>IFERROR(INDEX(HS_MD!C:C,MATCH(B237,HS_MD!B:B,0),1),"")</f>
        <v>17</v>
      </c>
      <c r="D237" s="17" t="str">
        <f>IFERROR(INDEX(HS_MD!D:D,MATCH(B237,HS_MD!B:B,0),1),"")</f>
        <v>Fatty acid derivatives</v>
      </c>
      <c r="E237" s="17" t="str">
        <f>IFERROR(INDEX(HS_MD!E:E,MATCH(B237,HS_MD!B:B,0),1),"")</f>
        <v>Mono &amp; Diglycerides</v>
      </c>
      <c r="F237" s="17" t="str">
        <f>IFERROR(INDEX(HS_MD!F:F,MATCH(B237,HS_MD!B:B,0),1),"")</f>
        <v>FUNCTIONAL INGREDIENTS</v>
      </c>
      <c r="G237" s="17" t="str">
        <f>IFERROR(INDEX(HS_MD!G:G,MATCH(B237,HS_MD!B:B,0),1),"")</f>
        <v>Emulsifiers</v>
      </c>
      <c r="H237" s="17" t="str">
        <f>IFERROR(INDEX(HS_MD!H:H,MATCH(B237,HS_MD!B:B,0),1),"")</f>
        <v>Mono &amp; Diglycerides</v>
      </c>
      <c r="I237" s="17" t="str">
        <f>IFERROR(INDEX(HS_MD!I:I,MATCH(B237,HS_MD!B:B,0),1),"")</f>
        <v>Bakery / Margarine / Sauces</v>
      </c>
      <c r="J237" s="17">
        <f>IFERROR(INDEX(Heat_Map[Index],MATCH(HS_DB[[#This Row],[Reporter]],Heat_Map[Global],0),1),"")</f>
        <v>159</v>
      </c>
      <c r="K237" s="17" t="str">
        <f>IF(AND(HS_DB[[#This Row],[Origin Rank]]&gt;1,HS_DB[[#This Row],[Origin Rank]]&lt;=10),"Yes","No")</f>
        <v>No</v>
      </c>
      <c r="L237" s="2">
        <v>2024</v>
      </c>
      <c r="M237" s="2" t="s">
        <v>57</v>
      </c>
      <c r="N237" s="2" t="s">
        <v>30</v>
      </c>
      <c r="O237" s="2" t="s">
        <v>22</v>
      </c>
      <c r="P237" s="2" t="s">
        <v>23</v>
      </c>
      <c r="Q237" s="2" t="s">
        <v>24</v>
      </c>
      <c r="R237" s="2" t="s">
        <v>25</v>
      </c>
      <c r="S237" s="2">
        <v>291570</v>
      </c>
      <c r="T237" s="3">
        <v>10243</v>
      </c>
      <c r="U237" s="3">
        <v>1380</v>
      </c>
      <c r="V237" s="3">
        <v>0</v>
      </c>
      <c r="W237" s="3">
        <v>1380</v>
      </c>
      <c r="X237" s="3" t="s">
        <v>58</v>
      </c>
      <c r="Y237" s="3">
        <v>1380</v>
      </c>
      <c r="Z237" s="3" t="s">
        <v>58</v>
      </c>
      <c r="AA237" s="6">
        <f>SUMIFS(HS_DB[Trade Value - USD],HS_DB[Reporter],HS_DB[[#This Row],[Reporter]])/SUM(HS_DB[Trade Value - USD])</f>
        <v>6.110186869383482E-3</v>
      </c>
      <c r="AB237" s="8" cm="1">
        <f t="array" ref="AB237">SUMPRODUCT(
(HS_DB[Reporter]=HS_DB[[#This Row],[Reporter]])*
(HS_DB[Trade Value - USD]&gt;HS_DB[[#This Row],[Trade Value - USD]])
)+1</f>
        <v>20</v>
      </c>
      <c r="AC237" s="8" t="str">
        <f>IFERROR(IF(INDEX(Heat_Map[Crisis Impact %],MATCH(HS_DB[[#This Row],[Reporter]],Heat_Map[Global],0),1)&gt;0,"Yes","No"),"No")</f>
        <v>No</v>
      </c>
      <c r="AD237" s="6">
        <f>IFERROR(INDEX(Heat_Map[Crisis Impact %],MATCH(HS_DB[[#This Row],[Reporter]],Heat_Map[Global],0),1),0)</f>
        <v>0</v>
      </c>
      <c r="AE237" s="8">
        <f>HS_DB[[#This Row],[Crisis Impact%]]*HS_DB[[#This Row],[Trade Value - USD]]</f>
        <v>0</v>
      </c>
      <c r="AF237" s="8">
        <f>HS_DB[[#This Row],[Crisis Impact%]]*HS_DB[[#This Row],[Net Weight -KG]]</f>
        <v>0</v>
      </c>
      <c r="AG237" s="6">
        <f>SUMIFS(HS_DB[Trade Value - USD],HS_DB[Products],HS_DB[[#This Row],[Products]])/SUM(HS_DB[Trade Value - USD])</f>
        <v>4.3846809447427443E-3</v>
      </c>
      <c r="AH237" s="8">
        <f>_xlfn.RANK.EQ(HS_DB[[#This Row],[Trade Value - USD]], HS_DB[Trade Value - USD], 0)
 + COUNTIFS(HS_DB[Trade Value - USD],HS_DB[[#This Row],[Trade Value - USD]],
            HS_DB[HS Code],"&lt;"&amp;HS_DB[[#This Row],[HS Code]])</f>
        <v>412</v>
      </c>
      <c r="AI237" s="9">
        <f>IFERROR(HS_DB[[#This Row],[Trade Value - USD]]/HS_DB[[#This Row],[Net Weight -KG]],0)</f>
        <v>7.422463768115942</v>
      </c>
      <c r="AJ237" s="17" cm="1">
        <f t="array" ref="AJ237">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37" s="17" t="str">
        <f>IF(HS_DB[[#This Row],[HS Code Risk Score]]&gt;=40,"High",
 IF(HS_DB[[#This Row],[HS Code Risk Score]]&gt;=25,"Medium","Low"))</f>
        <v>Medium</v>
      </c>
      <c r="AL237" s="17" t="str">
        <f>IF(RANK(HS_DB[[#This Row],[HS Code Risk Score]],HS_DB[HS Code Risk Score])&lt;=10,"Yes","No")</f>
        <v>No</v>
      </c>
      <c r="AM237" s="8">
        <f>SUMIFS(HS_DB[Net Weight -KG],HS_DB[HS Code],HS_DB[[#This Row],[HS Code]])</f>
        <v>3811780.5999999996</v>
      </c>
      <c r="AN237" s="8">
        <f>SUMIFS(HS_DB[Trade Value - USD],HS_DB[HS Code],HS_DB[[#This Row],[HS Code]])</f>
        <v>8265160</v>
      </c>
      <c r="AO237" s="6">
        <f>_xlfn.MAXIFS(HS_DB[Origin Share%],HS_DB[HS Code],HS_DB[[#This Row],[HS Code]])</f>
        <v>0.39900464236999494</v>
      </c>
      <c r="AP237" s="8" cm="1">
        <f t="array" ref="AP237">_xlfn.LET(
_xlpm.hs,HS_DB[[#This Row],[HS Code]],
COUNTA(_xlfn.UNIQUE(_xlfn._xlws.FILTER(HS_DB[Reporter],HS_DB[HS Code]=_xlpm.hs)))
)</f>
        <v>17</v>
      </c>
      <c r="AQ237" s="17" t="str">
        <f>IF(HS_DB[[#This Row],[Origin Count]]=1,"Single Source","Multiple Sources")</f>
        <v>Multiple Sources</v>
      </c>
      <c r="AR237" s="8">
        <f>HS_DB[[#This Row],[Annual Spend - USD]]*(HS_DB[[#This Row],[HS Code Risk Score]]/100)</f>
        <v>2810154.4000000004</v>
      </c>
      <c r="AS237" s="8">
        <f>RANK(HS_DB[[#This Row],[Risk Exposure - USD]],HS_DB[Risk Exposure - USD],0)</f>
        <v>329</v>
      </c>
      <c r="AT237" s="8" t="str">
        <f>IF(HS_DB[[#This Row],[Risk Exposure Rank]]&lt;=10,"High",
 IF(HS_DB[[#This Row],[Risk Exposure Rank]]&lt;=30,"Medium",
 "Low"))</f>
        <v>Low</v>
      </c>
      <c r="AU237" s="8" t="str">
        <f>IF(HS_DB[[#This Row],[Risk Exposure Rank]]&lt;=5,"Immediate Action",
 IF(HS_DB[[#This Row],[Risk Exposure Rank]]&lt;=15,"Monitor Closely",
 "Routine Control"))</f>
        <v>Routine Control</v>
      </c>
      <c r="AV237" s="8">
        <f>SUMIFS(HS_DB[Trade Value - USD],HS_DB[HS Code],HS_DB[[#This Row],[HS Code]])</f>
        <v>8265160</v>
      </c>
      <c r="AW237" s="6">
        <f>HS_DB[[#This Row],[Annual Spend - USD]]/HS_DB[[#This Row],[Total Market Size - USD]]</f>
        <v>1</v>
      </c>
      <c r="AX237" s="6" cm="1">
        <f t="array" ref="AX237">COUNTA(_xlfn.UNIQUE(_xlfn._xlws.FILTER(HS_DB[Partner],HS_DB[HS Code]=HS_DB[[#This Row],[HS Code]])))</f>
        <v>1</v>
      </c>
      <c r="AY237" s="8" t="str">
        <f>IF(HS_DB[[#This Row],[Competition Intensity]]&lt;=2,"Highly Concentrated",
 IF(HS_DB[[#This Row],[Competition Intensity]]&lt;=5,"Moderate",
 "Highly Competitive"))</f>
        <v>Highly Concentrated</v>
      </c>
      <c r="AZ237" s="8">
        <f>HS_DB[[#This Row],[Total Market Size - USD]]
*
(1+IFERROR(#REF!,0))
/
HS_DB[[#This Row],[Competition Intensity]]</f>
        <v>8265160</v>
      </c>
      <c r="BA237" s="8" t="str">
        <f>IF(HS_DB[[#This Row],[Commercial Opportunity Score]]&gt;=PERCENTILE(HS_DB[Commercial Opportunity Score],0.9),"High Opportunity",
 IF(HS_DB[[#This Row],[Commercial Opportunity Score]]&gt;=PERCENTILE(HS_DB[Commercial Opportunity Score],0.6),"Medium Opportunity",
 "Routine Market"))</f>
        <v>Routine Market</v>
      </c>
      <c r="BB237" s="3" t="str">
        <f>IF(AND(HS_DB[[#This Row],[Product Rank]]&gt;0,HS_DB[[#This Row],[Product Rank]]&lt;=10),"Yes","No")</f>
        <v>No</v>
      </c>
      <c r="BC237" s="3" t="str">
        <f>IF(AND(HS_DB[[#This Row],[Origin Rank]]&gt;0,HS_DB[[#This Row],[Origin Rank]]&lt;=10),"Yes","No")</f>
        <v>No</v>
      </c>
    </row>
    <row r="238" spans="2:55" x14ac:dyDescent="0.3">
      <c r="B238" s="2">
        <f>HS_DB[[#This Row],[Commodity Code]]</f>
        <v>291570</v>
      </c>
      <c r="C238" s="2">
        <f>IFERROR(INDEX(HS_MD!C:C,MATCH(B238,HS_MD!B:B,0),1),"")</f>
        <v>17</v>
      </c>
      <c r="D238" s="17" t="str">
        <f>IFERROR(INDEX(HS_MD!D:D,MATCH(B238,HS_MD!B:B,0),1),"")</f>
        <v>Fatty acid derivatives</v>
      </c>
      <c r="E238" s="17" t="str">
        <f>IFERROR(INDEX(HS_MD!E:E,MATCH(B238,HS_MD!B:B,0),1),"")</f>
        <v>Mono &amp; Diglycerides</v>
      </c>
      <c r="F238" s="17" t="str">
        <f>IFERROR(INDEX(HS_MD!F:F,MATCH(B238,HS_MD!B:B,0),1),"")</f>
        <v>FUNCTIONAL INGREDIENTS</v>
      </c>
      <c r="G238" s="17" t="str">
        <f>IFERROR(INDEX(HS_MD!G:G,MATCH(B238,HS_MD!B:B,0),1),"")</f>
        <v>Emulsifiers</v>
      </c>
      <c r="H238" s="17" t="str">
        <f>IFERROR(INDEX(HS_MD!H:H,MATCH(B238,HS_MD!B:B,0),1),"")</f>
        <v>Mono &amp; Diglycerides</v>
      </c>
      <c r="I238" s="17" t="str">
        <f>IFERROR(INDEX(HS_MD!I:I,MATCH(B238,HS_MD!B:B,0),1),"")</f>
        <v>Bakery / Margarine / Sauces</v>
      </c>
      <c r="J238" s="17">
        <f>IFERROR(INDEX(Heat_Map[Index],MATCH(HS_DB[[#This Row],[Reporter]],Heat_Map[Global],0),1),"")</f>
        <v>175</v>
      </c>
      <c r="K238" s="17" t="str">
        <f>IF(AND(HS_DB[[#This Row],[Origin Rank]]&gt;1,HS_DB[[#This Row],[Origin Rank]]&lt;=10),"Yes","No")</f>
        <v>Yes</v>
      </c>
      <c r="L238" s="2">
        <v>2024</v>
      </c>
      <c r="M238" s="2" t="s">
        <v>57</v>
      </c>
      <c r="N238" s="2" t="s">
        <v>34</v>
      </c>
      <c r="O238" s="2" t="s">
        <v>22</v>
      </c>
      <c r="P238" s="2" t="s">
        <v>23</v>
      </c>
      <c r="Q238" s="2" t="s">
        <v>24</v>
      </c>
      <c r="R238" s="2" t="s">
        <v>25</v>
      </c>
      <c r="S238" s="2">
        <v>291570</v>
      </c>
      <c r="T238" s="3">
        <v>1687790</v>
      </c>
      <c r="U238" s="3">
        <v>952486</v>
      </c>
      <c r="V238" s="3">
        <v>0</v>
      </c>
      <c r="W238" s="3">
        <v>952486</v>
      </c>
      <c r="X238" s="3" t="s">
        <v>58</v>
      </c>
      <c r="Y238" s="3">
        <v>952486</v>
      </c>
      <c r="Z238" s="3" t="s">
        <v>58</v>
      </c>
      <c r="AA238" s="6">
        <f>SUMIFS(HS_DB[Trade Value - USD],HS_DB[Reporter],HS_DB[[#This Row],[Reporter]])/SUM(HS_DB[Trade Value - USD])</f>
        <v>4.7522902002533667E-2</v>
      </c>
      <c r="AB238" s="8" cm="1">
        <f t="array" ref="AB238">SUMPRODUCT(
(HS_DB[Reporter]=HS_DB[[#This Row],[Reporter]])*
(HS_DB[Trade Value - USD]&gt;HS_DB[[#This Row],[Trade Value - USD]])
)+1</f>
        <v>10</v>
      </c>
      <c r="AC238" s="8" t="str">
        <f>IFERROR(IF(INDEX(Heat_Map[Crisis Impact %],MATCH(HS_DB[[#This Row],[Reporter]],Heat_Map[Global],0),1)&gt;0,"Yes","No"),"No")</f>
        <v>Yes</v>
      </c>
      <c r="AD238" s="6">
        <f>IFERROR(INDEX(Heat_Map[Crisis Impact %],MATCH(HS_DB[[#This Row],[Reporter]],Heat_Map[Global],0),1),0)</f>
        <v>0.1</v>
      </c>
      <c r="AE238" s="8">
        <f>HS_DB[[#This Row],[Crisis Impact%]]*HS_DB[[#This Row],[Trade Value - USD]]</f>
        <v>168779</v>
      </c>
      <c r="AF238" s="8">
        <f>HS_DB[[#This Row],[Crisis Impact%]]*HS_DB[[#This Row],[Net Weight -KG]]</f>
        <v>95248.6</v>
      </c>
      <c r="AG238" s="6">
        <f>SUMIFS(HS_DB[Trade Value - USD],HS_DB[Products],HS_DB[[#This Row],[Products]])/SUM(HS_DB[Trade Value - USD])</f>
        <v>4.3846809447427443E-3</v>
      </c>
      <c r="AH238" s="8">
        <f>_xlfn.RANK.EQ(HS_DB[[#This Row],[Trade Value - USD]], HS_DB[Trade Value - USD], 0)
 + COUNTIFS(HS_DB[Trade Value - USD],HS_DB[[#This Row],[Trade Value - USD]],
            HS_DB[HS Code],"&lt;"&amp;HS_DB[[#This Row],[HS Code]])</f>
        <v>69</v>
      </c>
      <c r="AI238" s="9">
        <f>IFERROR(HS_DB[[#This Row],[Trade Value - USD]]/HS_DB[[#This Row],[Net Weight -KG]],0)</f>
        <v>1.7719840501592674</v>
      </c>
      <c r="AJ238" s="17" cm="1">
        <f t="array" ref="AJ238">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38" s="17" t="str">
        <f>IF(HS_DB[[#This Row],[HS Code Risk Score]]&gt;=40,"High",
 IF(HS_DB[[#This Row],[HS Code Risk Score]]&gt;=25,"Medium","Low"))</f>
        <v>Medium</v>
      </c>
      <c r="AL238" s="17" t="str">
        <f>IF(RANK(HS_DB[[#This Row],[HS Code Risk Score]],HS_DB[HS Code Risk Score])&lt;=10,"Yes","No")</f>
        <v>No</v>
      </c>
      <c r="AM238" s="8">
        <f>SUMIFS(HS_DB[Net Weight -KG],HS_DB[HS Code],HS_DB[[#This Row],[HS Code]])</f>
        <v>3811780.5999999996</v>
      </c>
      <c r="AN238" s="8">
        <f>SUMIFS(HS_DB[Trade Value - USD],HS_DB[HS Code],HS_DB[[#This Row],[HS Code]])</f>
        <v>8265160</v>
      </c>
      <c r="AO238" s="6">
        <f>_xlfn.MAXIFS(HS_DB[Origin Share%],HS_DB[HS Code],HS_DB[[#This Row],[HS Code]])</f>
        <v>0.39900464236999494</v>
      </c>
      <c r="AP238" s="8" cm="1">
        <f t="array" ref="AP238">_xlfn.LET(
_xlpm.hs,HS_DB[[#This Row],[HS Code]],
COUNTA(_xlfn.UNIQUE(_xlfn._xlws.FILTER(HS_DB[Reporter],HS_DB[HS Code]=_xlpm.hs)))
)</f>
        <v>17</v>
      </c>
      <c r="AQ238" s="17" t="str">
        <f>IF(HS_DB[[#This Row],[Origin Count]]=1,"Single Source","Multiple Sources")</f>
        <v>Multiple Sources</v>
      </c>
      <c r="AR238" s="8">
        <f>HS_DB[[#This Row],[Annual Spend - USD]]*(HS_DB[[#This Row],[HS Code Risk Score]]/100)</f>
        <v>2810154.4000000004</v>
      </c>
      <c r="AS238" s="8">
        <f>RANK(HS_DB[[#This Row],[Risk Exposure - USD]],HS_DB[Risk Exposure - USD],0)</f>
        <v>329</v>
      </c>
      <c r="AT238" s="8" t="str">
        <f>IF(HS_DB[[#This Row],[Risk Exposure Rank]]&lt;=10,"High",
 IF(HS_DB[[#This Row],[Risk Exposure Rank]]&lt;=30,"Medium",
 "Low"))</f>
        <v>Low</v>
      </c>
      <c r="AU238" s="8" t="str">
        <f>IF(HS_DB[[#This Row],[Risk Exposure Rank]]&lt;=5,"Immediate Action",
 IF(HS_DB[[#This Row],[Risk Exposure Rank]]&lt;=15,"Monitor Closely",
 "Routine Control"))</f>
        <v>Routine Control</v>
      </c>
      <c r="AV238" s="8">
        <f>SUMIFS(HS_DB[Trade Value - USD],HS_DB[HS Code],HS_DB[[#This Row],[HS Code]])</f>
        <v>8265160</v>
      </c>
      <c r="AW238" s="6">
        <f>HS_DB[[#This Row],[Annual Spend - USD]]/HS_DB[[#This Row],[Total Market Size - USD]]</f>
        <v>1</v>
      </c>
      <c r="AX238" s="6" cm="1">
        <f t="array" ref="AX238">COUNTA(_xlfn.UNIQUE(_xlfn._xlws.FILTER(HS_DB[Partner],HS_DB[HS Code]=HS_DB[[#This Row],[HS Code]])))</f>
        <v>1</v>
      </c>
      <c r="AY238" s="8" t="str">
        <f>IF(HS_DB[[#This Row],[Competition Intensity]]&lt;=2,"Highly Concentrated",
 IF(HS_DB[[#This Row],[Competition Intensity]]&lt;=5,"Moderate",
 "Highly Competitive"))</f>
        <v>Highly Concentrated</v>
      </c>
      <c r="AZ238" s="8">
        <f>HS_DB[[#This Row],[Total Market Size - USD]]
*
(1+IFERROR(#REF!,0))
/
HS_DB[[#This Row],[Competition Intensity]]</f>
        <v>8265160</v>
      </c>
      <c r="BA238" s="8" t="str">
        <f>IF(HS_DB[[#This Row],[Commercial Opportunity Score]]&gt;=PERCENTILE(HS_DB[Commercial Opportunity Score],0.9),"High Opportunity",
 IF(HS_DB[[#This Row],[Commercial Opportunity Score]]&gt;=PERCENTILE(HS_DB[Commercial Opportunity Score],0.6),"Medium Opportunity",
 "Routine Market"))</f>
        <v>Routine Market</v>
      </c>
      <c r="BB238" s="3" t="str">
        <f>IF(AND(HS_DB[[#This Row],[Product Rank]]&gt;0,HS_DB[[#This Row],[Product Rank]]&lt;=10),"Yes","No")</f>
        <v>No</v>
      </c>
      <c r="BC238" s="3" t="str">
        <f>IF(AND(HS_DB[[#This Row],[Origin Rank]]&gt;0,HS_DB[[#This Row],[Origin Rank]]&lt;=10),"Yes","No")</f>
        <v>Yes</v>
      </c>
    </row>
    <row r="239" spans="2:55" x14ac:dyDescent="0.3">
      <c r="B239" s="2">
        <f>HS_DB[[#This Row],[Commodity Code]]</f>
        <v>291570</v>
      </c>
      <c r="C239" s="2">
        <f>IFERROR(INDEX(HS_MD!C:C,MATCH(B239,HS_MD!B:B,0),1),"")</f>
        <v>17</v>
      </c>
      <c r="D239" s="17" t="str">
        <f>IFERROR(INDEX(HS_MD!D:D,MATCH(B239,HS_MD!B:B,0),1),"")</f>
        <v>Fatty acid derivatives</v>
      </c>
      <c r="E239" s="17" t="str">
        <f>IFERROR(INDEX(HS_MD!E:E,MATCH(B239,HS_MD!B:B,0),1),"")</f>
        <v>Mono &amp; Diglycerides</v>
      </c>
      <c r="F239" s="17" t="str">
        <f>IFERROR(INDEX(HS_MD!F:F,MATCH(B239,HS_MD!B:B,0),1),"")</f>
        <v>FUNCTIONAL INGREDIENTS</v>
      </c>
      <c r="G239" s="17" t="str">
        <f>IFERROR(INDEX(HS_MD!G:G,MATCH(B239,HS_MD!B:B,0),1),"")</f>
        <v>Emulsifiers</v>
      </c>
      <c r="H239" s="17" t="str">
        <f>IFERROR(INDEX(HS_MD!H:H,MATCH(B239,HS_MD!B:B,0),1),"")</f>
        <v>Mono &amp; Diglycerides</v>
      </c>
      <c r="I239" s="17" t="str">
        <f>IFERROR(INDEX(HS_MD!I:I,MATCH(B239,HS_MD!B:B,0),1),"")</f>
        <v>Bakery / Margarine / Sauces</v>
      </c>
      <c r="J239" s="17">
        <f>IFERROR(INDEX(Heat_Map[Index],MATCH(HS_DB[[#This Row],[Reporter]],Heat_Map[Global],0),1),"")</f>
        <v>181</v>
      </c>
      <c r="K239" s="17" t="str">
        <f>IF(AND(HS_DB[[#This Row],[Origin Rank]]&gt;1,HS_DB[[#This Row],[Origin Rank]]&lt;=10),"Yes","No")</f>
        <v>Yes</v>
      </c>
      <c r="L239" s="2">
        <v>2024</v>
      </c>
      <c r="M239" s="2" t="s">
        <v>57</v>
      </c>
      <c r="N239" s="2" t="s">
        <v>36</v>
      </c>
      <c r="O239" s="2" t="s">
        <v>22</v>
      </c>
      <c r="P239" s="2" t="s">
        <v>23</v>
      </c>
      <c r="Q239" s="2" t="s">
        <v>24</v>
      </c>
      <c r="R239" s="2" t="s">
        <v>25</v>
      </c>
      <c r="S239" s="2">
        <v>291570</v>
      </c>
      <c r="T239" s="3">
        <v>473406</v>
      </c>
      <c r="U239" s="3">
        <v>9460</v>
      </c>
      <c r="V239" s="3">
        <v>0</v>
      </c>
      <c r="W239" s="3">
        <v>9460</v>
      </c>
      <c r="X239" s="3" t="s">
        <v>58</v>
      </c>
      <c r="Y239" s="3">
        <v>9460</v>
      </c>
      <c r="Z239" s="3" t="s">
        <v>58</v>
      </c>
      <c r="AA239" s="6">
        <f>SUMIFS(HS_DB[Trade Value - USD],HS_DB[Reporter],HS_DB[[#This Row],[Reporter]])/SUM(HS_DB[Trade Value - USD])</f>
        <v>1.3104801671892474E-3</v>
      </c>
      <c r="AB239" s="8" cm="1">
        <f t="array" ref="AB239">SUMPRODUCT(
(HS_DB[Reporter]=HS_DB[[#This Row],[Reporter]])*
(HS_DB[Trade Value - USD]&gt;HS_DB[[#This Row],[Trade Value - USD]])
)+1</f>
        <v>2</v>
      </c>
      <c r="AC239" s="8" t="str">
        <f>IFERROR(IF(INDEX(Heat_Map[Crisis Impact %],MATCH(HS_DB[[#This Row],[Reporter]],Heat_Map[Global],0),1)&gt;0,"Yes","No"),"No")</f>
        <v>No</v>
      </c>
      <c r="AD239" s="6">
        <f>IFERROR(INDEX(Heat_Map[Crisis Impact %],MATCH(HS_DB[[#This Row],[Reporter]],Heat_Map[Global],0),1),0)</f>
        <v>0</v>
      </c>
      <c r="AE239" s="8">
        <f>HS_DB[[#This Row],[Crisis Impact%]]*HS_DB[[#This Row],[Trade Value - USD]]</f>
        <v>0</v>
      </c>
      <c r="AF239" s="8">
        <f>HS_DB[[#This Row],[Crisis Impact%]]*HS_DB[[#This Row],[Net Weight -KG]]</f>
        <v>0</v>
      </c>
      <c r="AG239" s="6">
        <f>SUMIFS(HS_DB[Trade Value - USD],HS_DB[Products],HS_DB[[#This Row],[Products]])/SUM(HS_DB[Trade Value - USD])</f>
        <v>4.3846809447427443E-3</v>
      </c>
      <c r="AH239" s="8">
        <f>_xlfn.RANK.EQ(HS_DB[[#This Row],[Trade Value - USD]], HS_DB[Trade Value - USD], 0)
 + COUNTIFS(HS_DB[Trade Value - USD],HS_DB[[#This Row],[Trade Value - USD]],
            HS_DB[HS Code],"&lt;"&amp;HS_DB[[#This Row],[HS Code]])</f>
        <v>149</v>
      </c>
      <c r="AI239" s="9">
        <f>IFERROR(HS_DB[[#This Row],[Trade Value - USD]]/HS_DB[[#This Row],[Net Weight -KG]],0)</f>
        <v>50.042917547568713</v>
      </c>
      <c r="AJ239" s="17" cm="1">
        <f t="array" ref="AJ239">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39" s="17" t="str">
        <f>IF(HS_DB[[#This Row],[HS Code Risk Score]]&gt;=40,"High",
 IF(HS_DB[[#This Row],[HS Code Risk Score]]&gt;=25,"Medium","Low"))</f>
        <v>Medium</v>
      </c>
      <c r="AL239" s="17" t="str">
        <f>IF(RANK(HS_DB[[#This Row],[HS Code Risk Score]],HS_DB[HS Code Risk Score])&lt;=10,"Yes","No")</f>
        <v>No</v>
      </c>
      <c r="AM239" s="8">
        <f>SUMIFS(HS_DB[Net Weight -KG],HS_DB[HS Code],HS_DB[[#This Row],[HS Code]])</f>
        <v>3811780.5999999996</v>
      </c>
      <c r="AN239" s="8">
        <f>SUMIFS(HS_DB[Trade Value - USD],HS_DB[HS Code],HS_DB[[#This Row],[HS Code]])</f>
        <v>8265160</v>
      </c>
      <c r="AO239" s="6">
        <f>_xlfn.MAXIFS(HS_DB[Origin Share%],HS_DB[HS Code],HS_DB[[#This Row],[HS Code]])</f>
        <v>0.39900464236999494</v>
      </c>
      <c r="AP239" s="8" cm="1">
        <f t="array" ref="AP239">_xlfn.LET(
_xlpm.hs,HS_DB[[#This Row],[HS Code]],
COUNTA(_xlfn.UNIQUE(_xlfn._xlws.FILTER(HS_DB[Reporter],HS_DB[HS Code]=_xlpm.hs)))
)</f>
        <v>17</v>
      </c>
      <c r="AQ239" s="17" t="str">
        <f>IF(HS_DB[[#This Row],[Origin Count]]=1,"Single Source","Multiple Sources")</f>
        <v>Multiple Sources</v>
      </c>
      <c r="AR239" s="8">
        <f>HS_DB[[#This Row],[Annual Spend - USD]]*(HS_DB[[#This Row],[HS Code Risk Score]]/100)</f>
        <v>2810154.4000000004</v>
      </c>
      <c r="AS239" s="8">
        <f>RANK(HS_DB[[#This Row],[Risk Exposure - USD]],HS_DB[Risk Exposure - USD],0)</f>
        <v>329</v>
      </c>
      <c r="AT239" s="8" t="str">
        <f>IF(HS_DB[[#This Row],[Risk Exposure Rank]]&lt;=10,"High",
 IF(HS_DB[[#This Row],[Risk Exposure Rank]]&lt;=30,"Medium",
 "Low"))</f>
        <v>Low</v>
      </c>
      <c r="AU239" s="8" t="str">
        <f>IF(HS_DB[[#This Row],[Risk Exposure Rank]]&lt;=5,"Immediate Action",
 IF(HS_DB[[#This Row],[Risk Exposure Rank]]&lt;=15,"Monitor Closely",
 "Routine Control"))</f>
        <v>Routine Control</v>
      </c>
      <c r="AV239" s="8">
        <f>SUMIFS(HS_DB[Trade Value - USD],HS_DB[HS Code],HS_DB[[#This Row],[HS Code]])</f>
        <v>8265160</v>
      </c>
      <c r="AW239" s="6">
        <f>HS_DB[[#This Row],[Annual Spend - USD]]/HS_DB[[#This Row],[Total Market Size - USD]]</f>
        <v>1</v>
      </c>
      <c r="AX239" s="6" cm="1">
        <f t="array" ref="AX239">COUNTA(_xlfn.UNIQUE(_xlfn._xlws.FILTER(HS_DB[Partner],HS_DB[HS Code]=HS_DB[[#This Row],[HS Code]])))</f>
        <v>1</v>
      </c>
      <c r="AY239" s="8" t="str">
        <f>IF(HS_DB[[#This Row],[Competition Intensity]]&lt;=2,"Highly Concentrated",
 IF(HS_DB[[#This Row],[Competition Intensity]]&lt;=5,"Moderate",
 "Highly Competitive"))</f>
        <v>Highly Concentrated</v>
      </c>
      <c r="AZ239" s="8">
        <f>HS_DB[[#This Row],[Total Market Size - USD]]
*
(1+IFERROR(#REF!,0))
/
HS_DB[[#This Row],[Competition Intensity]]</f>
        <v>8265160</v>
      </c>
      <c r="BA239" s="8" t="str">
        <f>IF(HS_DB[[#This Row],[Commercial Opportunity Score]]&gt;=PERCENTILE(HS_DB[Commercial Opportunity Score],0.9),"High Opportunity",
 IF(HS_DB[[#This Row],[Commercial Opportunity Score]]&gt;=PERCENTILE(HS_DB[Commercial Opportunity Score],0.6),"Medium Opportunity",
 "Routine Market"))</f>
        <v>Routine Market</v>
      </c>
      <c r="BB239" s="3" t="str">
        <f>IF(AND(HS_DB[[#This Row],[Product Rank]]&gt;0,HS_DB[[#This Row],[Product Rank]]&lt;=10),"Yes","No")</f>
        <v>No</v>
      </c>
      <c r="BC239" s="3" t="str">
        <f>IF(AND(HS_DB[[#This Row],[Origin Rank]]&gt;0,HS_DB[[#This Row],[Origin Rank]]&lt;=10),"Yes","No")</f>
        <v>Yes</v>
      </c>
    </row>
    <row r="240" spans="2:55" x14ac:dyDescent="0.3">
      <c r="B240" s="2">
        <f>HS_DB[[#This Row],[Commodity Code]]</f>
        <v>291570</v>
      </c>
      <c r="C240" s="2">
        <f>IFERROR(INDEX(HS_MD!C:C,MATCH(B240,HS_MD!B:B,0),1),"")</f>
        <v>17</v>
      </c>
      <c r="D240" s="17" t="str">
        <f>IFERROR(INDEX(HS_MD!D:D,MATCH(B240,HS_MD!B:B,0),1),"")</f>
        <v>Fatty acid derivatives</v>
      </c>
      <c r="E240" s="17" t="str">
        <f>IFERROR(INDEX(HS_MD!E:E,MATCH(B240,HS_MD!B:B,0),1),"")</f>
        <v>Mono &amp; Diglycerides</v>
      </c>
      <c r="F240" s="17" t="str">
        <f>IFERROR(INDEX(HS_MD!F:F,MATCH(B240,HS_MD!B:B,0),1),"")</f>
        <v>FUNCTIONAL INGREDIENTS</v>
      </c>
      <c r="G240" s="17" t="str">
        <f>IFERROR(INDEX(HS_MD!G:G,MATCH(B240,HS_MD!B:B,0),1),"")</f>
        <v>Emulsifiers</v>
      </c>
      <c r="H240" s="17" t="str">
        <f>IFERROR(INDEX(HS_MD!H:H,MATCH(B240,HS_MD!B:B,0),1),"")</f>
        <v>Mono &amp; Diglycerides</v>
      </c>
      <c r="I240" s="17" t="str">
        <f>IFERROR(INDEX(HS_MD!I:I,MATCH(B240,HS_MD!B:B,0),1),"")</f>
        <v>Bakery / Margarine / Sauces</v>
      </c>
      <c r="J240" s="17">
        <f>IFERROR(INDEX(Heat_Map[Index],MATCH(HS_DB[[#This Row],[Reporter]],Heat_Map[Global],0),1),"")</f>
        <v>182</v>
      </c>
      <c r="K240" s="17" t="str">
        <f>IF(AND(HS_DB[[#This Row],[Origin Rank]]&gt;1,HS_DB[[#This Row],[Origin Rank]]&lt;=10),"Yes","No")</f>
        <v>No</v>
      </c>
      <c r="L240" s="2">
        <v>2024</v>
      </c>
      <c r="M240" s="2" t="s">
        <v>57</v>
      </c>
      <c r="N240" s="2" t="s">
        <v>56</v>
      </c>
      <c r="O240" s="2" t="s">
        <v>22</v>
      </c>
      <c r="P240" s="2" t="s">
        <v>23</v>
      </c>
      <c r="Q240" s="2" t="s">
        <v>24</v>
      </c>
      <c r="R240" s="2" t="s">
        <v>25</v>
      </c>
      <c r="S240" s="2">
        <v>291570</v>
      </c>
      <c r="T240" s="3">
        <v>117600</v>
      </c>
      <c r="U240" s="3">
        <v>800</v>
      </c>
      <c r="V240" s="3">
        <v>0</v>
      </c>
      <c r="W240" s="3">
        <v>800</v>
      </c>
      <c r="X240" s="3" t="s">
        <v>58</v>
      </c>
      <c r="Y240" s="3">
        <v>800</v>
      </c>
      <c r="Z240" s="3" t="s">
        <v>58</v>
      </c>
      <c r="AA240" s="6">
        <f>SUMIFS(HS_DB[Trade Value - USD],HS_DB[Reporter],HS_DB[[#This Row],[Reporter]])/SUM(HS_DB[Trade Value - USD])</f>
        <v>9.425427433633813E-3</v>
      </c>
      <c r="AB240" s="8" cm="1">
        <f t="array" ref="AB240">SUMPRODUCT(
(HS_DB[Reporter]=HS_DB[[#This Row],[Reporter]])*
(HS_DB[Trade Value - USD]&gt;HS_DB[[#This Row],[Trade Value - USD]])
)+1</f>
        <v>14</v>
      </c>
      <c r="AC240" s="8" t="str">
        <f>IFERROR(IF(INDEX(Heat_Map[Crisis Impact %],MATCH(HS_DB[[#This Row],[Reporter]],Heat_Map[Global],0),1)&gt;0,"Yes","No"),"No")</f>
        <v>Yes</v>
      </c>
      <c r="AD240" s="6">
        <f>IFERROR(INDEX(Heat_Map[Crisis Impact %],MATCH(HS_DB[[#This Row],[Reporter]],Heat_Map[Global],0),1),0)</f>
        <v>4.0000000000000008E-2</v>
      </c>
      <c r="AE240" s="8">
        <f>HS_DB[[#This Row],[Crisis Impact%]]*HS_DB[[#This Row],[Trade Value - USD]]</f>
        <v>4704.0000000000009</v>
      </c>
      <c r="AF240" s="8">
        <f>HS_DB[[#This Row],[Crisis Impact%]]*HS_DB[[#This Row],[Net Weight -KG]]</f>
        <v>32.000000000000007</v>
      </c>
      <c r="AG240" s="6">
        <f>SUMIFS(HS_DB[Trade Value - USD],HS_DB[Products],HS_DB[[#This Row],[Products]])/SUM(HS_DB[Trade Value - USD])</f>
        <v>4.3846809447427443E-3</v>
      </c>
      <c r="AH240" s="8">
        <f>_xlfn.RANK.EQ(HS_DB[[#This Row],[Trade Value - USD]], HS_DB[Trade Value - USD], 0)
 + COUNTIFS(HS_DB[Trade Value - USD],HS_DB[[#This Row],[Trade Value - USD]],
            HS_DB[HS Code],"&lt;"&amp;HS_DB[[#This Row],[HS Code]])</f>
        <v>264</v>
      </c>
      <c r="AI240" s="9">
        <f>IFERROR(HS_DB[[#This Row],[Trade Value - USD]]/HS_DB[[#This Row],[Net Weight -KG]],0)</f>
        <v>147</v>
      </c>
      <c r="AJ240" s="17" cm="1">
        <f t="array" ref="AJ240">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40" s="17" t="str">
        <f>IF(HS_DB[[#This Row],[HS Code Risk Score]]&gt;=40,"High",
 IF(HS_DB[[#This Row],[HS Code Risk Score]]&gt;=25,"Medium","Low"))</f>
        <v>Medium</v>
      </c>
      <c r="AL240" s="17" t="str">
        <f>IF(RANK(HS_DB[[#This Row],[HS Code Risk Score]],HS_DB[HS Code Risk Score])&lt;=10,"Yes","No")</f>
        <v>No</v>
      </c>
      <c r="AM240" s="8">
        <f>SUMIFS(HS_DB[Net Weight -KG],HS_DB[HS Code],HS_DB[[#This Row],[HS Code]])</f>
        <v>3811780.5999999996</v>
      </c>
      <c r="AN240" s="8">
        <f>SUMIFS(HS_DB[Trade Value - USD],HS_DB[HS Code],HS_DB[[#This Row],[HS Code]])</f>
        <v>8265160</v>
      </c>
      <c r="AO240" s="6">
        <f>_xlfn.MAXIFS(HS_DB[Origin Share%],HS_DB[HS Code],HS_DB[[#This Row],[HS Code]])</f>
        <v>0.39900464236999494</v>
      </c>
      <c r="AP240" s="8" cm="1">
        <f t="array" ref="AP240">_xlfn.LET(
_xlpm.hs,HS_DB[[#This Row],[HS Code]],
COUNTA(_xlfn.UNIQUE(_xlfn._xlws.FILTER(HS_DB[Reporter],HS_DB[HS Code]=_xlpm.hs)))
)</f>
        <v>17</v>
      </c>
      <c r="AQ240" s="17" t="str">
        <f>IF(HS_DB[[#This Row],[Origin Count]]=1,"Single Source","Multiple Sources")</f>
        <v>Multiple Sources</v>
      </c>
      <c r="AR240" s="8">
        <f>HS_DB[[#This Row],[Annual Spend - USD]]*(HS_DB[[#This Row],[HS Code Risk Score]]/100)</f>
        <v>2810154.4000000004</v>
      </c>
      <c r="AS240" s="8">
        <f>RANK(HS_DB[[#This Row],[Risk Exposure - USD]],HS_DB[Risk Exposure - USD],0)</f>
        <v>329</v>
      </c>
      <c r="AT240" s="8" t="str">
        <f>IF(HS_DB[[#This Row],[Risk Exposure Rank]]&lt;=10,"High",
 IF(HS_DB[[#This Row],[Risk Exposure Rank]]&lt;=30,"Medium",
 "Low"))</f>
        <v>Low</v>
      </c>
      <c r="AU240" s="8" t="str">
        <f>IF(HS_DB[[#This Row],[Risk Exposure Rank]]&lt;=5,"Immediate Action",
 IF(HS_DB[[#This Row],[Risk Exposure Rank]]&lt;=15,"Monitor Closely",
 "Routine Control"))</f>
        <v>Routine Control</v>
      </c>
      <c r="AV240" s="8">
        <f>SUMIFS(HS_DB[Trade Value - USD],HS_DB[HS Code],HS_DB[[#This Row],[HS Code]])</f>
        <v>8265160</v>
      </c>
      <c r="AW240" s="6">
        <f>HS_DB[[#This Row],[Annual Spend - USD]]/HS_DB[[#This Row],[Total Market Size - USD]]</f>
        <v>1</v>
      </c>
      <c r="AX240" s="6" cm="1">
        <f t="array" ref="AX240">COUNTA(_xlfn.UNIQUE(_xlfn._xlws.FILTER(HS_DB[Partner],HS_DB[HS Code]=HS_DB[[#This Row],[HS Code]])))</f>
        <v>1</v>
      </c>
      <c r="AY240" s="8" t="str">
        <f>IF(HS_DB[[#This Row],[Competition Intensity]]&lt;=2,"Highly Concentrated",
 IF(HS_DB[[#This Row],[Competition Intensity]]&lt;=5,"Moderate",
 "Highly Competitive"))</f>
        <v>Highly Concentrated</v>
      </c>
      <c r="AZ240" s="8">
        <f>HS_DB[[#This Row],[Total Market Size - USD]]
*
(1+IFERROR(#REF!,0))
/
HS_DB[[#This Row],[Competition Intensity]]</f>
        <v>8265160</v>
      </c>
      <c r="BA240" s="8" t="str">
        <f>IF(HS_DB[[#This Row],[Commercial Opportunity Score]]&gt;=PERCENTILE(HS_DB[Commercial Opportunity Score],0.9),"High Opportunity",
 IF(HS_DB[[#This Row],[Commercial Opportunity Score]]&gt;=PERCENTILE(HS_DB[Commercial Opportunity Score],0.6),"Medium Opportunity",
 "Routine Market"))</f>
        <v>Routine Market</v>
      </c>
      <c r="BB240" s="3" t="str">
        <f>IF(AND(HS_DB[[#This Row],[Product Rank]]&gt;0,HS_DB[[#This Row],[Product Rank]]&lt;=10),"Yes","No")</f>
        <v>No</v>
      </c>
      <c r="BC240" s="3" t="str">
        <f>IF(AND(HS_DB[[#This Row],[Origin Rank]]&gt;0,HS_DB[[#This Row],[Origin Rank]]&lt;=10),"Yes","No")</f>
        <v>No</v>
      </c>
    </row>
    <row r="241" spans="2:55" x14ac:dyDescent="0.3">
      <c r="B241" s="2">
        <f>HS_DB[[#This Row],[Commodity Code]]</f>
        <v>290544</v>
      </c>
      <c r="C241" s="2">
        <f>IFERROR(INDEX(HS_MD!C:C,MATCH(B241,HS_MD!B:B,0),1),"")</f>
        <v>18</v>
      </c>
      <c r="D241" s="17" t="str">
        <f>IFERROR(INDEX(HS_MD!D:D,MATCH(B241,HS_MD!B:B,0),1),"")</f>
        <v>Sugar alcohols</v>
      </c>
      <c r="E241" s="17" t="str">
        <f>IFERROR(INDEX(HS_MD!E:E,MATCH(B241,HS_MD!B:B,0),1),"")</f>
        <v>Sorbitol</v>
      </c>
      <c r="F241" s="17" t="str">
        <f>IFERROR(INDEX(HS_MD!F:F,MATCH(B241,HS_MD!B:B,0),1),"")</f>
        <v>SWEETENERS</v>
      </c>
      <c r="G241" s="17" t="str">
        <f>IFERROR(INDEX(HS_MD!G:G,MATCH(B241,HS_MD!B:B,0),1),"")</f>
        <v>Sugar Alcohols</v>
      </c>
      <c r="H241" s="17" t="str">
        <f>IFERROR(INDEX(HS_MD!H:H,MATCH(B241,HS_MD!B:B,0),1),"")</f>
        <v>Sorbitol</v>
      </c>
      <c r="I241" s="17" t="str">
        <f>IFERROR(INDEX(HS_MD!I:I,MATCH(B241,HS_MD!B:B,0),1),"")</f>
        <v>Sugar-free / Confectionery</v>
      </c>
      <c r="J241" s="17">
        <f>IFERROR(INDEX(Heat_Map[Index],MATCH(HS_DB[[#This Row],[Reporter]],Heat_Map[Global],0),1),"")</f>
        <v>36</v>
      </c>
      <c r="K241" s="17" t="str">
        <f>IF(AND(HS_DB[[#This Row],[Origin Rank]]&gt;1,HS_DB[[#This Row],[Origin Rank]]&lt;=10),"Yes","No")</f>
        <v>No</v>
      </c>
      <c r="L241" s="2">
        <v>2024</v>
      </c>
      <c r="M241" s="2" t="s">
        <v>57</v>
      </c>
      <c r="N241" s="2" t="s">
        <v>1</v>
      </c>
      <c r="O241" s="2" t="s">
        <v>22</v>
      </c>
      <c r="P241" s="2" t="s">
        <v>23</v>
      </c>
      <c r="Q241" s="2" t="s">
        <v>24</v>
      </c>
      <c r="R241" s="2" t="s">
        <v>25</v>
      </c>
      <c r="S241" s="2">
        <v>290544</v>
      </c>
      <c r="T241" s="3">
        <v>697074</v>
      </c>
      <c r="U241" s="3">
        <v>1142290</v>
      </c>
      <c r="V241" s="3">
        <v>0</v>
      </c>
      <c r="W241" s="3">
        <v>1142290</v>
      </c>
      <c r="X241" s="3" t="s">
        <v>58</v>
      </c>
      <c r="Y241" s="3">
        <v>1142290</v>
      </c>
      <c r="Z241" s="3" t="s">
        <v>58</v>
      </c>
      <c r="AA241" s="6">
        <f>SUMIFS(HS_DB[Trade Value - USD],HS_DB[Reporter],HS_DB[[#This Row],[Reporter]])/SUM(HS_DB[Trade Value - USD])</f>
        <v>6.321329281187793E-2</v>
      </c>
      <c r="AB241" s="8" cm="1">
        <f t="array" ref="AB241">SUMPRODUCT(
(HS_DB[Reporter]=HS_DB[[#This Row],[Reporter]])*
(HS_DB[Trade Value - USD]&gt;HS_DB[[#This Row],[Trade Value - USD]])
)+1</f>
        <v>22</v>
      </c>
      <c r="AC241" s="8" t="str">
        <f>IFERROR(IF(INDEX(Heat_Map[Crisis Impact %],MATCH(HS_DB[[#This Row],[Reporter]],Heat_Map[Global],0),1)&gt;0,"Yes","No"),"No")</f>
        <v>Yes</v>
      </c>
      <c r="AD241" s="6">
        <f>IFERROR(INDEX(Heat_Map[Crisis Impact %],MATCH(HS_DB[[#This Row],[Reporter]],Heat_Map[Global],0),1),0)</f>
        <v>0.14000000000000001</v>
      </c>
      <c r="AE241" s="8">
        <f>HS_DB[[#This Row],[Crisis Impact%]]*HS_DB[[#This Row],[Trade Value - USD]]</f>
        <v>97590.360000000015</v>
      </c>
      <c r="AF241" s="8">
        <f>HS_DB[[#This Row],[Crisis Impact%]]*HS_DB[[#This Row],[Net Weight -KG]]</f>
        <v>159920.6</v>
      </c>
      <c r="AG241" s="6">
        <f>SUMIFS(HS_DB[Trade Value - USD],HS_DB[Products],HS_DB[[#This Row],[Products]])/SUM(HS_DB[Trade Value - USD])</f>
        <v>2.5763600003999134E-3</v>
      </c>
      <c r="AH241" s="8">
        <f>_xlfn.RANK.EQ(HS_DB[[#This Row],[Trade Value - USD]], HS_DB[Trade Value - USD], 0)
 + COUNTIFS(HS_DB[Trade Value - USD],HS_DB[[#This Row],[Trade Value - USD]],
            HS_DB[HS Code],"&lt;"&amp;HS_DB[[#This Row],[HS Code]])</f>
        <v>127</v>
      </c>
      <c r="AI241" s="9">
        <f>IFERROR(HS_DB[[#This Row],[Trade Value - USD]]/HS_DB[[#This Row],[Net Weight -KG]],0)</f>
        <v>0.61024258288175504</v>
      </c>
      <c r="AJ241" s="17" cm="1">
        <f t="array" ref="AJ241">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41" s="17" t="str">
        <f>IF(HS_DB[[#This Row],[HS Code Risk Score]]&gt;=40,"High",
 IF(HS_DB[[#This Row],[HS Code Risk Score]]&gt;=25,"Medium","Low"))</f>
        <v>Medium</v>
      </c>
      <c r="AL241" s="17" t="str">
        <f>IF(RANK(HS_DB[[#This Row],[HS Code Risk Score]],HS_DB[HS Code Risk Score])&lt;=10,"Yes","No")</f>
        <v>No</v>
      </c>
      <c r="AM241" s="8">
        <f>SUMIFS(HS_DB[Net Weight -KG],HS_DB[HS Code],HS_DB[[#This Row],[HS Code]])</f>
        <v>6904613.2999999998</v>
      </c>
      <c r="AN241" s="8">
        <f>SUMIFS(HS_DB[Trade Value - USD],HS_DB[HS Code],HS_DB[[#This Row],[HS Code]])</f>
        <v>4856460</v>
      </c>
      <c r="AO241" s="6">
        <f>_xlfn.MAXIFS(HS_DB[Origin Share%],HS_DB[HS Code],HS_DB[[#This Row],[HS Code]])</f>
        <v>0.39900464236999494</v>
      </c>
      <c r="AP241" s="8" cm="1">
        <f t="array" ref="AP241">_xlfn.LET(
_xlpm.hs,HS_DB[[#This Row],[HS Code]],
COUNTA(_xlfn.UNIQUE(_xlfn._xlws.FILTER(HS_DB[Reporter],HS_DB[HS Code]=_xlpm.hs)))
)</f>
        <v>7</v>
      </c>
      <c r="AQ241" s="17" t="str">
        <f>IF(HS_DB[[#This Row],[Origin Count]]=1,"Single Source","Multiple Sources")</f>
        <v>Multiple Sources</v>
      </c>
      <c r="AR241" s="8">
        <f>HS_DB[[#This Row],[Annual Spend - USD]]*(HS_DB[[#This Row],[HS Code Risk Score]]/100)</f>
        <v>1651196.4000000001</v>
      </c>
      <c r="AS241" s="8">
        <f>RANK(HS_DB[[#This Row],[Risk Exposure - USD]],HS_DB[Risk Exposure - USD],0)</f>
        <v>421</v>
      </c>
      <c r="AT241" s="8" t="str">
        <f>IF(HS_DB[[#This Row],[Risk Exposure Rank]]&lt;=10,"High",
 IF(HS_DB[[#This Row],[Risk Exposure Rank]]&lt;=30,"Medium",
 "Low"))</f>
        <v>Low</v>
      </c>
      <c r="AU241" s="8" t="str">
        <f>IF(HS_DB[[#This Row],[Risk Exposure Rank]]&lt;=5,"Immediate Action",
 IF(HS_DB[[#This Row],[Risk Exposure Rank]]&lt;=15,"Monitor Closely",
 "Routine Control"))</f>
        <v>Routine Control</v>
      </c>
      <c r="AV241" s="8">
        <f>SUMIFS(HS_DB[Trade Value - USD],HS_DB[HS Code],HS_DB[[#This Row],[HS Code]])</f>
        <v>4856460</v>
      </c>
      <c r="AW241" s="6">
        <f>HS_DB[[#This Row],[Annual Spend - USD]]/HS_DB[[#This Row],[Total Market Size - USD]]</f>
        <v>1</v>
      </c>
      <c r="AX241" s="6" cm="1">
        <f t="array" ref="AX241">COUNTA(_xlfn.UNIQUE(_xlfn._xlws.FILTER(HS_DB[Partner],HS_DB[HS Code]=HS_DB[[#This Row],[HS Code]])))</f>
        <v>1</v>
      </c>
      <c r="AY241" s="8" t="str">
        <f>IF(HS_DB[[#This Row],[Competition Intensity]]&lt;=2,"Highly Concentrated",
 IF(HS_DB[[#This Row],[Competition Intensity]]&lt;=5,"Moderate",
 "Highly Competitive"))</f>
        <v>Highly Concentrated</v>
      </c>
      <c r="AZ241" s="8">
        <f>HS_DB[[#This Row],[Total Market Size - USD]]
*
(1+IFERROR(#REF!,0))
/
HS_DB[[#This Row],[Competition Intensity]]</f>
        <v>4856460</v>
      </c>
      <c r="BA241" s="8" t="str">
        <f>IF(HS_DB[[#This Row],[Commercial Opportunity Score]]&gt;=PERCENTILE(HS_DB[Commercial Opportunity Score],0.9),"High Opportunity",
 IF(HS_DB[[#This Row],[Commercial Opportunity Score]]&gt;=PERCENTILE(HS_DB[Commercial Opportunity Score],0.6),"Medium Opportunity",
 "Routine Market"))</f>
        <v>Routine Market</v>
      </c>
      <c r="BB241" s="3" t="str">
        <f>IF(AND(HS_DB[[#This Row],[Product Rank]]&gt;0,HS_DB[[#This Row],[Product Rank]]&lt;=10),"Yes","No")</f>
        <v>No</v>
      </c>
      <c r="BC241" s="3" t="str">
        <f>IF(AND(HS_DB[[#This Row],[Origin Rank]]&gt;0,HS_DB[[#This Row],[Origin Rank]]&lt;=10),"Yes","No")</f>
        <v>No</v>
      </c>
    </row>
    <row r="242" spans="2:55" x14ac:dyDescent="0.3">
      <c r="B242" s="2">
        <f>HS_DB[[#This Row],[Commodity Code]]</f>
        <v>290544</v>
      </c>
      <c r="C242" s="2">
        <f>IFERROR(INDEX(HS_MD!C:C,MATCH(B242,HS_MD!B:B,0),1),"")</f>
        <v>18</v>
      </c>
      <c r="D242" s="17" t="str">
        <f>IFERROR(INDEX(HS_MD!D:D,MATCH(B242,HS_MD!B:B,0),1),"")</f>
        <v>Sugar alcohols</v>
      </c>
      <c r="E242" s="17" t="str">
        <f>IFERROR(INDEX(HS_MD!E:E,MATCH(B242,HS_MD!B:B,0),1),"")</f>
        <v>Sorbitol</v>
      </c>
      <c r="F242" s="17" t="str">
        <f>IFERROR(INDEX(HS_MD!F:F,MATCH(B242,HS_MD!B:B,0),1),"")</f>
        <v>SWEETENERS</v>
      </c>
      <c r="G242" s="17" t="str">
        <f>IFERROR(INDEX(HS_MD!G:G,MATCH(B242,HS_MD!B:B,0),1),"")</f>
        <v>Sugar Alcohols</v>
      </c>
      <c r="H242" s="17" t="str">
        <f>IFERROR(INDEX(HS_MD!H:H,MATCH(B242,HS_MD!B:B,0),1),"")</f>
        <v>Sorbitol</v>
      </c>
      <c r="I242" s="17" t="str">
        <f>IFERROR(INDEX(HS_MD!I:I,MATCH(B242,HS_MD!B:B,0),1),"")</f>
        <v>Sugar-free / Confectionery</v>
      </c>
      <c r="J242" s="17">
        <f>IFERROR(INDEX(Heat_Map[Index],MATCH(HS_DB[[#This Row],[Reporter]],Heat_Map[Global],0),1),"")</f>
        <v>59</v>
      </c>
      <c r="K242" s="17" t="str">
        <f>IF(AND(HS_DB[[#This Row],[Origin Rank]]&gt;1,HS_DB[[#This Row],[Origin Rank]]&lt;=10),"Yes","No")</f>
        <v>Yes</v>
      </c>
      <c r="L242" s="2">
        <v>2024</v>
      </c>
      <c r="M242" s="2" t="s">
        <v>57</v>
      </c>
      <c r="N242" s="2" t="s">
        <v>44</v>
      </c>
      <c r="O242" s="2" t="s">
        <v>22</v>
      </c>
      <c r="P242" s="2" t="s">
        <v>23</v>
      </c>
      <c r="Q242" s="2" t="s">
        <v>24</v>
      </c>
      <c r="R242" s="2" t="s">
        <v>25</v>
      </c>
      <c r="S242" s="2">
        <v>290544</v>
      </c>
      <c r="T242" s="3">
        <v>1462878</v>
      </c>
      <c r="U242" s="3">
        <v>1030592.3</v>
      </c>
      <c r="V242" s="3">
        <v>0</v>
      </c>
      <c r="W242" s="3">
        <v>1030592</v>
      </c>
      <c r="X242" s="3" t="s">
        <v>58</v>
      </c>
      <c r="Y242" s="3">
        <v>0</v>
      </c>
      <c r="Z242" s="3" t="s">
        <v>26</v>
      </c>
      <c r="AA242" s="6">
        <f>SUMIFS(HS_DB[Trade Value - USD],HS_DB[Reporter],HS_DB[[#This Row],[Reporter]])/SUM(HS_DB[Trade Value - USD])</f>
        <v>1.6951290293147386E-2</v>
      </c>
      <c r="AB242" s="8" cm="1">
        <f t="array" ref="AB242">SUMPRODUCT(
(HS_DB[Reporter]=HS_DB[[#This Row],[Reporter]])*
(HS_DB[Trade Value - USD]&gt;HS_DB[[#This Row],[Trade Value - USD]])
)+1</f>
        <v>4</v>
      </c>
      <c r="AC242" s="8" t="str">
        <f>IFERROR(IF(INDEX(Heat_Map[Crisis Impact %],MATCH(HS_DB[[#This Row],[Reporter]],Heat_Map[Global],0),1)&gt;0,"Yes","No"),"No")</f>
        <v>No</v>
      </c>
      <c r="AD242" s="6">
        <f>IFERROR(INDEX(Heat_Map[Crisis Impact %],MATCH(HS_DB[[#This Row],[Reporter]],Heat_Map[Global],0),1),0)</f>
        <v>0</v>
      </c>
      <c r="AE242" s="8">
        <f>HS_DB[[#This Row],[Crisis Impact%]]*HS_DB[[#This Row],[Trade Value - USD]]</f>
        <v>0</v>
      </c>
      <c r="AF242" s="8">
        <f>HS_DB[[#This Row],[Crisis Impact%]]*HS_DB[[#This Row],[Net Weight -KG]]</f>
        <v>0</v>
      </c>
      <c r="AG242" s="6">
        <f>SUMIFS(HS_DB[Trade Value - USD],HS_DB[Products],HS_DB[[#This Row],[Products]])/SUM(HS_DB[Trade Value - USD])</f>
        <v>2.5763600003999134E-3</v>
      </c>
      <c r="AH242" s="8">
        <f>_xlfn.RANK.EQ(HS_DB[[#This Row],[Trade Value - USD]], HS_DB[Trade Value - USD], 0)
 + COUNTIFS(HS_DB[Trade Value - USD],HS_DB[[#This Row],[Trade Value - USD]],
            HS_DB[HS Code],"&lt;"&amp;HS_DB[[#This Row],[HS Code]])</f>
        <v>79</v>
      </c>
      <c r="AI242" s="9">
        <f>IFERROR(HS_DB[[#This Row],[Trade Value - USD]]/HS_DB[[#This Row],[Net Weight -KG]],0)</f>
        <v>1.4194536481594127</v>
      </c>
      <c r="AJ242" s="17" cm="1">
        <f t="array" ref="AJ242">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42" s="17" t="str">
        <f>IF(HS_DB[[#This Row],[HS Code Risk Score]]&gt;=40,"High",
 IF(HS_DB[[#This Row],[HS Code Risk Score]]&gt;=25,"Medium","Low"))</f>
        <v>Medium</v>
      </c>
      <c r="AL242" s="17" t="str">
        <f>IF(RANK(HS_DB[[#This Row],[HS Code Risk Score]],HS_DB[HS Code Risk Score])&lt;=10,"Yes","No")</f>
        <v>No</v>
      </c>
      <c r="AM242" s="8">
        <f>SUMIFS(HS_DB[Net Weight -KG],HS_DB[HS Code],HS_DB[[#This Row],[HS Code]])</f>
        <v>6904613.2999999998</v>
      </c>
      <c r="AN242" s="8">
        <f>SUMIFS(HS_DB[Trade Value - USD],HS_DB[HS Code],HS_DB[[#This Row],[HS Code]])</f>
        <v>4856460</v>
      </c>
      <c r="AO242" s="6">
        <f>_xlfn.MAXIFS(HS_DB[Origin Share%],HS_DB[HS Code],HS_DB[[#This Row],[HS Code]])</f>
        <v>0.39900464236999494</v>
      </c>
      <c r="AP242" s="8" cm="1">
        <f t="array" ref="AP242">_xlfn.LET(
_xlpm.hs,HS_DB[[#This Row],[HS Code]],
COUNTA(_xlfn.UNIQUE(_xlfn._xlws.FILTER(HS_DB[Reporter],HS_DB[HS Code]=_xlpm.hs)))
)</f>
        <v>7</v>
      </c>
      <c r="AQ242" s="17" t="str">
        <f>IF(HS_DB[[#This Row],[Origin Count]]=1,"Single Source","Multiple Sources")</f>
        <v>Multiple Sources</v>
      </c>
      <c r="AR242" s="8">
        <f>HS_DB[[#This Row],[Annual Spend - USD]]*(HS_DB[[#This Row],[HS Code Risk Score]]/100)</f>
        <v>1651196.4000000001</v>
      </c>
      <c r="AS242" s="8">
        <f>RANK(HS_DB[[#This Row],[Risk Exposure - USD]],HS_DB[Risk Exposure - USD],0)</f>
        <v>421</v>
      </c>
      <c r="AT242" s="8" t="str">
        <f>IF(HS_DB[[#This Row],[Risk Exposure Rank]]&lt;=10,"High",
 IF(HS_DB[[#This Row],[Risk Exposure Rank]]&lt;=30,"Medium",
 "Low"))</f>
        <v>Low</v>
      </c>
      <c r="AU242" s="8" t="str">
        <f>IF(HS_DB[[#This Row],[Risk Exposure Rank]]&lt;=5,"Immediate Action",
 IF(HS_DB[[#This Row],[Risk Exposure Rank]]&lt;=15,"Monitor Closely",
 "Routine Control"))</f>
        <v>Routine Control</v>
      </c>
      <c r="AV242" s="8">
        <f>SUMIFS(HS_DB[Trade Value - USD],HS_DB[HS Code],HS_DB[[#This Row],[HS Code]])</f>
        <v>4856460</v>
      </c>
      <c r="AW242" s="6">
        <f>HS_DB[[#This Row],[Annual Spend - USD]]/HS_DB[[#This Row],[Total Market Size - USD]]</f>
        <v>1</v>
      </c>
      <c r="AX242" s="6" cm="1">
        <f t="array" ref="AX242">COUNTA(_xlfn.UNIQUE(_xlfn._xlws.FILTER(HS_DB[Partner],HS_DB[HS Code]=HS_DB[[#This Row],[HS Code]])))</f>
        <v>1</v>
      </c>
      <c r="AY242" s="8" t="str">
        <f>IF(HS_DB[[#This Row],[Competition Intensity]]&lt;=2,"Highly Concentrated",
 IF(HS_DB[[#This Row],[Competition Intensity]]&lt;=5,"Moderate",
 "Highly Competitive"))</f>
        <v>Highly Concentrated</v>
      </c>
      <c r="AZ242" s="8">
        <f>HS_DB[[#This Row],[Total Market Size - USD]]
*
(1+IFERROR(#REF!,0))
/
HS_DB[[#This Row],[Competition Intensity]]</f>
        <v>4856460</v>
      </c>
      <c r="BA242" s="8" t="str">
        <f>IF(HS_DB[[#This Row],[Commercial Opportunity Score]]&gt;=PERCENTILE(HS_DB[Commercial Opportunity Score],0.9),"High Opportunity",
 IF(HS_DB[[#This Row],[Commercial Opportunity Score]]&gt;=PERCENTILE(HS_DB[Commercial Opportunity Score],0.6),"Medium Opportunity",
 "Routine Market"))</f>
        <v>Routine Market</v>
      </c>
      <c r="BB242" s="3" t="str">
        <f>IF(AND(HS_DB[[#This Row],[Product Rank]]&gt;0,HS_DB[[#This Row],[Product Rank]]&lt;=10),"Yes","No")</f>
        <v>No</v>
      </c>
      <c r="BC242" s="3" t="str">
        <f>IF(AND(HS_DB[[#This Row],[Origin Rank]]&gt;0,HS_DB[[#This Row],[Origin Rank]]&lt;=10),"Yes","No")</f>
        <v>Yes</v>
      </c>
    </row>
    <row r="243" spans="2:55" x14ac:dyDescent="0.3">
      <c r="B243" s="2">
        <f>HS_DB[[#This Row],[Commodity Code]]</f>
        <v>290544</v>
      </c>
      <c r="C243" s="2">
        <f>IFERROR(INDEX(HS_MD!C:C,MATCH(B243,HS_MD!B:B,0),1),"")</f>
        <v>18</v>
      </c>
      <c r="D243" s="17" t="str">
        <f>IFERROR(INDEX(HS_MD!D:D,MATCH(B243,HS_MD!B:B,0),1),"")</f>
        <v>Sugar alcohols</v>
      </c>
      <c r="E243" s="17" t="str">
        <f>IFERROR(INDEX(HS_MD!E:E,MATCH(B243,HS_MD!B:B,0),1),"")</f>
        <v>Sorbitol</v>
      </c>
      <c r="F243" s="17" t="str">
        <f>IFERROR(INDEX(HS_MD!F:F,MATCH(B243,HS_MD!B:B,0),1),"")</f>
        <v>SWEETENERS</v>
      </c>
      <c r="G243" s="17" t="str">
        <f>IFERROR(INDEX(HS_MD!G:G,MATCH(B243,HS_MD!B:B,0),1),"")</f>
        <v>Sugar Alcohols</v>
      </c>
      <c r="H243" s="17" t="str">
        <f>IFERROR(INDEX(HS_MD!H:H,MATCH(B243,HS_MD!B:B,0),1),"")</f>
        <v>Sorbitol</v>
      </c>
      <c r="I243" s="17" t="str">
        <f>IFERROR(INDEX(HS_MD!I:I,MATCH(B243,HS_MD!B:B,0),1),"")</f>
        <v>Sugar-free / Confectionery</v>
      </c>
      <c r="J243" s="17">
        <f>IFERROR(INDEX(Heat_Map[Index],MATCH(HS_DB[[#This Row],[Reporter]],Heat_Map[Global],0),1),"")</f>
        <v>76</v>
      </c>
      <c r="K243" s="17" t="str">
        <f>IF(AND(HS_DB[[#This Row],[Origin Rank]]&gt;1,HS_DB[[#This Row],[Origin Rank]]&lt;=10),"Yes","No")</f>
        <v>Yes</v>
      </c>
      <c r="L243" s="2">
        <v>2024</v>
      </c>
      <c r="M243" s="2" t="s">
        <v>57</v>
      </c>
      <c r="N243" s="2" t="s">
        <v>47</v>
      </c>
      <c r="O243" s="2" t="s">
        <v>22</v>
      </c>
      <c r="P243" s="2" t="s">
        <v>23</v>
      </c>
      <c r="Q243" s="2" t="s">
        <v>24</v>
      </c>
      <c r="R243" s="2" t="s">
        <v>25</v>
      </c>
      <c r="S243" s="2">
        <v>290544</v>
      </c>
      <c r="T243" s="3">
        <v>83093</v>
      </c>
      <c r="U243" s="3">
        <v>129600</v>
      </c>
      <c r="V243" s="3">
        <v>0</v>
      </c>
      <c r="W243" s="3">
        <v>129600</v>
      </c>
      <c r="X243" s="3" t="s">
        <v>58</v>
      </c>
      <c r="Y243" s="3">
        <v>129600</v>
      </c>
      <c r="Z243" s="3" t="s">
        <v>58</v>
      </c>
      <c r="AA243" s="6">
        <f>SUMIFS(HS_DB[Trade Value - USD],HS_DB[Reporter],HS_DB[[#This Row],[Reporter]])/SUM(HS_DB[Trade Value - USD])</f>
        <v>0.39900464236999494</v>
      </c>
      <c r="AB243" s="8" cm="1">
        <f t="array" ref="AB243">SUMPRODUCT(
(HS_DB[Reporter]=HS_DB[[#This Row],[Reporter]])*
(HS_DB[Trade Value - USD]&gt;HS_DB[[#This Row],[Trade Value - USD]])
)+1</f>
        <v>5</v>
      </c>
      <c r="AC243" s="8" t="str">
        <f>IFERROR(IF(INDEX(Heat_Map[Crisis Impact %],MATCH(HS_DB[[#This Row],[Reporter]],Heat_Map[Global],0),1)&gt;0,"Yes","No"),"No")</f>
        <v>Yes</v>
      </c>
      <c r="AD243" s="6">
        <f>IFERROR(INDEX(Heat_Map[Crisis Impact %],MATCH(HS_DB[[#This Row],[Reporter]],Heat_Map[Global],0),1),0)</f>
        <v>0.21</v>
      </c>
      <c r="AE243" s="8">
        <f>HS_DB[[#This Row],[Crisis Impact%]]*HS_DB[[#This Row],[Trade Value - USD]]</f>
        <v>17449.53</v>
      </c>
      <c r="AF243" s="8">
        <f>HS_DB[[#This Row],[Crisis Impact%]]*HS_DB[[#This Row],[Net Weight -KG]]</f>
        <v>27216</v>
      </c>
      <c r="AG243" s="6">
        <f>SUMIFS(HS_DB[Trade Value - USD],HS_DB[Products],HS_DB[[#This Row],[Products]])/SUM(HS_DB[Trade Value - USD])</f>
        <v>2.5763600003999134E-3</v>
      </c>
      <c r="AH243" s="8">
        <f>_xlfn.RANK.EQ(HS_DB[[#This Row],[Trade Value - USD]], HS_DB[Trade Value - USD], 0)
 + COUNTIFS(HS_DB[Trade Value - USD],HS_DB[[#This Row],[Trade Value - USD]],
            HS_DB[HS Code],"&lt;"&amp;HS_DB[[#This Row],[HS Code]])</f>
        <v>289</v>
      </c>
      <c r="AI243" s="9">
        <f>IFERROR(HS_DB[[#This Row],[Trade Value - USD]]/HS_DB[[#This Row],[Net Weight -KG]],0)</f>
        <v>0.64114969135802469</v>
      </c>
      <c r="AJ243" s="17" cm="1">
        <f t="array" ref="AJ243">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43" s="17" t="str">
        <f>IF(HS_DB[[#This Row],[HS Code Risk Score]]&gt;=40,"High",
 IF(HS_DB[[#This Row],[HS Code Risk Score]]&gt;=25,"Medium","Low"))</f>
        <v>Medium</v>
      </c>
      <c r="AL243" s="17" t="str">
        <f>IF(RANK(HS_DB[[#This Row],[HS Code Risk Score]],HS_DB[HS Code Risk Score])&lt;=10,"Yes","No")</f>
        <v>No</v>
      </c>
      <c r="AM243" s="8">
        <f>SUMIFS(HS_DB[Net Weight -KG],HS_DB[HS Code],HS_DB[[#This Row],[HS Code]])</f>
        <v>6904613.2999999998</v>
      </c>
      <c r="AN243" s="8">
        <f>SUMIFS(HS_DB[Trade Value - USD],HS_DB[HS Code],HS_DB[[#This Row],[HS Code]])</f>
        <v>4856460</v>
      </c>
      <c r="AO243" s="6">
        <f>_xlfn.MAXIFS(HS_DB[Origin Share%],HS_DB[HS Code],HS_DB[[#This Row],[HS Code]])</f>
        <v>0.39900464236999494</v>
      </c>
      <c r="AP243" s="8" cm="1">
        <f t="array" ref="AP243">_xlfn.LET(
_xlpm.hs,HS_DB[[#This Row],[HS Code]],
COUNTA(_xlfn.UNIQUE(_xlfn._xlws.FILTER(HS_DB[Reporter],HS_DB[HS Code]=_xlpm.hs)))
)</f>
        <v>7</v>
      </c>
      <c r="AQ243" s="17" t="str">
        <f>IF(HS_DB[[#This Row],[Origin Count]]=1,"Single Source","Multiple Sources")</f>
        <v>Multiple Sources</v>
      </c>
      <c r="AR243" s="8">
        <f>HS_DB[[#This Row],[Annual Spend - USD]]*(HS_DB[[#This Row],[HS Code Risk Score]]/100)</f>
        <v>1651196.4000000001</v>
      </c>
      <c r="AS243" s="8">
        <f>RANK(HS_DB[[#This Row],[Risk Exposure - USD]],HS_DB[Risk Exposure - USD],0)</f>
        <v>421</v>
      </c>
      <c r="AT243" s="8" t="str">
        <f>IF(HS_DB[[#This Row],[Risk Exposure Rank]]&lt;=10,"High",
 IF(HS_DB[[#This Row],[Risk Exposure Rank]]&lt;=30,"Medium",
 "Low"))</f>
        <v>Low</v>
      </c>
      <c r="AU243" s="8" t="str">
        <f>IF(HS_DB[[#This Row],[Risk Exposure Rank]]&lt;=5,"Immediate Action",
 IF(HS_DB[[#This Row],[Risk Exposure Rank]]&lt;=15,"Monitor Closely",
 "Routine Control"))</f>
        <v>Routine Control</v>
      </c>
      <c r="AV243" s="8">
        <f>SUMIFS(HS_DB[Trade Value - USD],HS_DB[HS Code],HS_DB[[#This Row],[HS Code]])</f>
        <v>4856460</v>
      </c>
      <c r="AW243" s="6">
        <f>HS_DB[[#This Row],[Annual Spend - USD]]/HS_DB[[#This Row],[Total Market Size - USD]]</f>
        <v>1</v>
      </c>
      <c r="AX243" s="6" cm="1">
        <f t="array" ref="AX243">COUNTA(_xlfn.UNIQUE(_xlfn._xlws.FILTER(HS_DB[Partner],HS_DB[HS Code]=HS_DB[[#This Row],[HS Code]])))</f>
        <v>1</v>
      </c>
      <c r="AY243" s="8" t="str">
        <f>IF(HS_DB[[#This Row],[Competition Intensity]]&lt;=2,"Highly Concentrated",
 IF(HS_DB[[#This Row],[Competition Intensity]]&lt;=5,"Moderate",
 "Highly Competitive"))</f>
        <v>Highly Concentrated</v>
      </c>
      <c r="AZ243" s="8">
        <f>HS_DB[[#This Row],[Total Market Size - USD]]
*
(1+IFERROR(#REF!,0))
/
HS_DB[[#This Row],[Competition Intensity]]</f>
        <v>4856460</v>
      </c>
      <c r="BA243" s="8" t="str">
        <f>IF(HS_DB[[#This Row],[Commercial Opportunity Score]]&gt;=PERCENTILE(HS_DB[Commercial Opportunity Score],0.9),"High Opportunity",
 IF(HS_DB[[#This Row],[Commercial Opportunity Score]]&gt;=PERCENTILE(HS_DB[Commercial Opportunity Score],0.6),"Medium Opportunity",
 "Routine Market"))</f>
        <v>Routine Market</v>
      </c>
      <c r="BB243" s="3" t="str">
        <f>IF(AND(HS_DB[[#This Row],[Product Rank]]&gt;0,HS_DB[[#This Row],[Product Rank]]&lt;=10),"Yes","No")</f>
        <v>No</v>
      </c>
      <c r="BC243" s="3" t="str">
        <f>IF(AND(HS_DB[[#This Row],[Origin Rank]]&gt;0,HS_DB[[#This Row],[Origin Rank]]&lt;=10),"Yes","No")</f>
        <v>Yes</v>
      </c>
    </row>
    <row r="244" spans="2:55" x14ac:dyDescent="0.3">
      <c r="B244" s="2">
        <f>HS_DB[[#This Row],[Commodity Code]]</f>
        <v>290544</v>
      </c>
      <c r="C244" s="2">
        <f>IFERROR(INDEX(HS_MD!C:C,MATCH(B244,HS_MD!B:B,0),1),"")</f>
        <v>18</v>
      </c>
      <c r="D244" s="17" t="str">
        <f>IFERROR(INDEX(HS_MD!D:D,MATCH(B244,HS_MD!B:B,0),1),"")</f>
        <v>Sugar alcohols</v>
      </c>
      <c r="E244" s="17" t="str">
        <f>IFERROR(INDEX(HS_MD!E:E,MATCH(B244,HS_MD!B:B,0),1),"")</f>
        <v>Sorbitol</v>
      </c>
      <c r="F244" s="17" t="str">
        <f>IFERROR(INDEX(HS_MD!F:F,MATCH(B244,HS_MD!B:B,0),1),"")</f>
        <v>SWEETENERS</v>
      </c>
      <c r="G244" s="17" t="str">
        <f>IFERROR(INDEX(HS_MD!G:G,MATCH(B244,HS_MD!B:B,0),1),"")</f>
        <v>Sugar Alcohols</v>
      </c>
      <c r="H244" s="17" t="str">
        <f>IFERROR(INDEX(HS_MD!H:H,MATCH(B244,HS_MD!B:B,0),1),"")</f>
        <v>Sorbitol</v>
      </c>
      <c r="I244" s="17" t="str">
        <f>IFERROR(INDEX(HS_MD!I:I,MATCH(B244,HS_MD!B:B,0),1),"")</f>
        <v>Sugar-free / Confectionery</v>
      </c>
      <c r="J244" s="17">
        <f>IFERROR(INDEX(Heat_Map[Index],MATCH(HS_DB[[#This Row],[Reporter]],Heat_Map[Global],0),1),"")</f>
        <v>118</v>
      </c>
      <c r="K244" s="17" t="str">
        <f>IF(AND(HS_DB[[#This Row],[Origin Rank]]&gt;1,HS_DB[[#This Row],[Origin Rank]]&lt;=10),"Yes","No")</f>
        <v>No</v>
      </c>
      <c r="L244" s="2">
        <v>2024</v>
      </c>
      <c r="M244" s="2" t="s">
        <v>57</v>
      </c>
      <c r="N244" s="2" t="s">
        <v>53</v>
      </c>
      <c r="O244" s="2" t="s">
        <v>22</v>
      </c>
      <c r="P244" s="2" t="s">
        <v>23</v>
      </c>
      <c r="Q244" s="2" t="s">
        <v>24</v>
      </c>
      <c r="R244" s="2" t="s">
        <v>25</v>
      </c>
      <c r="S244" s="2">
        <v>290544</v>
      </c>
      <c r="T244" s="3">
        <v>75383</v>
      </c>
      <c r="U244" s="3">
        <v>48051</v>
      </c>
      <c r="V244" s="3">
        <v>0</v>
      </c>
      <c r="W244" s="3">
        <v>48051</v>
      </c>
      <c r="X244" s="3" t="s">
        <v>58</v>
      </c>
      <c r="Y244" s="3">
        <v>48051</v>
      </c>
      <c r="Z244" s="3" t="s">
        <v>58</v>
      </c>
      <c r="AA244" s="6">
        <f>SUMIFS(HS_DB[Trade Value - USD],HS_DB[Reporter],HS_DB[[#This Row],[Reporter]])/SUM(HS_DB[Trade Value - USD])</f>
        <v>1.4561232389604124E-2</v>
      </c>
      <c r="AB244" s="8" cm="1">
        <f t="array" ref="AB244">SUMPRODUCT(
(HS_DB[Reporter]=HS_DB[[#This Row],[Reporter]])*
(HS_DB[Trade Value - USD]&gt;HS_DB[[#This Row],[Trade Value - USD]])
)+1</f>
        <v>18</v>
      </c>
      <c r="AC244" s="8" t="str">
        <f>IFERROR(IF(INDEX(Heat_Map[Crisis Impact %],MATCH(HS_DB[[#This Row],[Reporter]],Heat_Map[Global],0),1)&gt;0,"Yes","No"),"No")</f>
        <v>No</v>
      </c>
      <c r="AD244" s="6">
        <f>IFERROR(INDEX(Heat_Map[Crisis Impact %],MATCH(HS_DB[[#This Row],[Reporter]],Heat_Map[Global],0),1),0)</f>
        <v>0</v>
      </c>
      <c r="AE244" s="8">
        <f>HS_DB[[#This Row],[Crisis Impact%]]*HS_DB[[#This Row],[Trade Value - USD]]</f>
        <v>0</v>
      </c>
      <c r="AF244" s="8">
        <f>HS_DB[[#This Row],[Crisis Impact%]]*HS_DB[[#This Row],[Net Weight -KG]]</f>
        <v>0</v>
      </c>
      <c r="AG244" s="6">
        <f>SUMIFS(HS_DB[Trade Value - USD],HS_DB[Products],HS_DB[[#This Row],[Products]])/SUM(HS_DB[Trade Value - USD])</f>
        <v>2.5763600003999134E-3</v>
      </c>
      <c r="AH244" s="8">
        <f>_xlfn.RANK.EQ(HS_DB[[#This Row],[Trade Value - USD]], HS_DB[Trade Value - USD], 0)
 + COUNTIFS(HS_DB[Trade Value - USD],HS_DB[[#This Row],[Trade Value - USD]],
            HS_DB[HS Code],"&lt;"&amp;HS_DB[[#This Row],[HS Code]])</f>
        <v>298</v>
      </c>
      <c r="AI244" s="9">
        <f>IFERROR(HS_DB[[#This Row],[Trade Value - USD]]/HS_DB[[#This Row],[Net Weight -KG]],0)</f>
        <v>1.568812303594098</v>
      </c>
      <c r="AJ244" s="17" cm="1">
        <f t="array" ref="AJ244">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44" s="17" t="str">
        <f>IF(HS_DB[[#This Row],[HS Code Risk Score]]&gt;=40,"High",
 IF(HS_DB[[#This Row],[HS Code Risk Score]]&gt;=25,"Medium","Low"))</f>
        <v>Medium</v>
      </c>
      <c r="AL244" s="17" t="str">
        <f>IF(RANK(HS_DB[[#This Row],[HS Code Risk Score]],HS_DB[HS Code Risk Score])&lt;=10,"Yes","No")</f>
        <v>No</v>
      </c>
      <c r="AM244" s="8">
        <f>SUMIFS(HS_DB[Net Weight -KG],HS_DB[HS Code],HS_DB[[#This Row],[HS Code]])</f>
        <v>6904613.2999999998</v>
      </c>
      <c r="AN244" s="8">
        <f>SUMIFS(HS_DB[Trade Value - USD],HS_DB[HS Code],HS_DB[[#This Row],[HS Code]])</f>
        <v>4856460</v>
      </c>
      <c r="AO244" s="6">
        <f>_xlfn.MAXIFS(HS_DB[Origin Share%],HS_DB[HS Code],HS_DB[[#This Row],[HS Code]])</f>
        <v>0.39900464236999494</v>
      </c>
      <c r="AP244" s="8" cm="1">
        <f t="array" ref="AP244">_xlfn.LET(
_xlpm.hs,HS_DB[[#This Row],[HS Code]],
COUNTA(_xlfn.UNIQUE(_xlfn._xlws.FILTER(HS_DB[Reporter],HS_DB[HS Code]=_xlpm.hs)))
)</f>
        <v>7</v>
      </c>
      <c r="AQ244" s="17" t="str">
        <f>IF(HS_DB[[#This Row],[Origin Count]]=1,"Single Source","Multiple Sources")</f>
        <v>Multiple Sources</v>
      </c>
      <c r="AR244" s="8">
        <f>HS_DB[[#This Row],[Annual Spend - USD]]*(HS_DB[[#This Row],[HS Code Risk Score]]/100)</f>
        <v>1651196.4000000001</v>
      </c>
      <c r="AS244" s="8">
        <f>RANK(HS_DB[[#This Row],[Risk Exposure - USD]],HS_DB[Risk Exposure - USD],0)</f>
        <v>421</v>
      </c>
      <c r="AT244" s="8" t="str">
        <f>IF(HS_DB[[#This Row],[Risk Exposure Rank]]&lt;=10,"High",
 IF(HS_DB[[#This Row],[Risk Exposure Rank]]&lt;=30,"Medium",
 "Low"))</f>
        <v>Low</v>
      </c>
      <c r="AU244" s="8" t="str">
        <f>IF(HS_DB[[#This Row],[Risk Exposure Rank]]&lt;=5,"Immediate Action",
 IF(HS_DB[[#This Row],[Risk Exposure Rank]]&lt;=15,"Monitor Closely",
 "Routine Control"))</f>
        <v>Routine Control</v>
      </c>
      <c r="AV244" s="8">
        <f>SUMIFS(HS_DB[Trade Value - USD],HS_DB[HS Code],HS_DB[[#This Row],[HS Code]])</f>
        <v>4856460</v>
      </c>
      <c r="AW244" s="6">
        <f>HS_DB[[#This Row],[Annual Spend - USD]]/HS_DB[[#This Row],[Total Market Size - USD]]</f>
        <v>1</v>
      </c>
      <c r="AX244" s="6" cm="1">
        <f t="array" ref="AX244">COUNTA(_xlfn.UNIQUE(_xlfn._xlws.FILTER(HS_DB[Partner],HS_DB[HS Code]=HS_DB[[#This Row],[HS Code]])))</f>
        <v>1</v>
      </c>
      <c r="AY244" s="8" t="str">
        <f>IF(HS_DB[[#This Row],[Competition Intensity]]&lt;=2,"Highly Concentrated",
 IF(HS_DB[[#This Row],[Competition Intensity]]&lt;=5,"Moderate",
 "Highly Competitive"))</f>
        <v>Highly Concentrated</v>
      </c>
      <c r="AZ244" s="8">
        <f>HS_DB[[#This Row],[Total Market Size - USD]]
*
(1+IFERROR(#REF!,0))
/
HS_DB[[#This Row],[Competition Intensity]]</f>
        <v>4856460</v>
      </c>
      <c r="BA244" s="8" t="str">
        <f>IF(HS_DB[[#This Row],[Commercial Opportunity Score]]&gt;=PERCENTILE(HS_DB[Commercial Opportunity Score],0.9),"High Opportunity",
 IF(HS_DB[[#This Row],[Commercial Opportunity Score]]&gt;=PERCENTILE(HS_DB[Commercial Opportunity Score],0.6),"Medium Opportunity",
 "Routine Market"))</f>
        <v>Routine Market</v>
      </c>
      <c r="BB244" s="3" t="str">
        <f>IF(AND(HS_DB[[#This Row],[Product Rank]]&gt;0,HS_DB[[#This Row],[Product Rank]]&lt;=10),"Yes","No")</f>
        <v>No</v>
      </c>
      <c r="BC244" s="3" t="str">
        <f>IF(AND(HS_DB[[#This Row],[Origin Rank]]&gt;0,HS_DB[[#This Row],[Origin Rank]]&lt;=10),"Yes","No")</f>
        <v>No</v>
      </c>
    </row>
    <row r="245" spans="2:55" x14ac:dyDescent="0.3">
      <c r="B245" s="2">
        <f>HS_DB[[#This Row],[Commodity Code]]</f>
        <v>290544</v>
      </c>
      <c r="C245" s="2">
        <f>IFERROR(INDEX(HS_MD!C:C,MATCH(B245,HS_MD!B:B,0),1),"")</f>
        <v>18</v>
      </c>
      <c r="D245" s="17" t="str">
        <f>IFERROR(INDEX(HS_MD!D:D,MATCH(B245,HS_MD!B:B,0),1),"")</f>
        <v>Sugar alcohols</v>
      </c>
      <c r="E245" s="17" t="str">
        <f>IFERROR(INDEX(HS_MD!E:E,MATCH(B245,HS_MD!B:B,0),1),"")</f>
        <v>Sorbitol</v>
      </c>
      <c r="F245" s="17" t="str">
        <f>IFERROR(INDEX(HS_MD!F:F,MATCH(B245,HS_MD!B:B,0),1),"")</f>
        <v>SWEETENERS</v>
      </c>
      <c r="G245" s="17" t="str">
        <f>IFERROR(INDEX(HS_MD!G:G,MATCH(B245,HS_MD!B:B,0),1),"")</f>
        <v>Sugar Alcohols</v>
      </c>
      <c r="H245" s="17" t="str">
        <f>IFERROR(INDEX(HS_MD!H:H,MATCH(B245,HS_MD!B:B,0),1),"")</f>
        <v>Sorbitol</v>
      </c>
      <c r="I245" s="17" t="str">
        <f>IFERROR(INDEX(HS_MD!I:I,MATCH(B245,HS_MD!B:B,0),1),"")</f>
        <v>Sugar-free / Confectionery</v>
      </c>
      <c r="J245" s="17">
        <f>IFERROR(INDEX(Heat_Map[Index],MATCH(HS_DB[[#This Row],[Reporter]],Heat_Map[Global],0),1),"")</f>
        <v>146</v>
      </c>
      <c r="K245" s="17" t="str">
        <f>IF(AND(HS_DB[[#This Row],[Origin Rank]]&gt;1,HS_DB[[#This Row],[Origin Rank]]&lt;=10),"Yes","No")</f>
        <v>No</v>
      </c>
      <c r="L245" s="2">
        <v>2024</v>
      </c>
      <c r="M245" s="2" t="s">
        <v>57</v>
      </c>
      <c r="N245" s="2" t="s">
        <v>27</v>
      </c>
      <c r="O245" s="2" t="s">
        <v>22</v>
      </c>
      <c r="P245" s="2" t="s">
        <v>23</v>
      </c>
      <c r="Q245" s="2" t="s">
        <v>24</v>
      </c>
      <c r="R245" s="2" t="s">
        <v>25</v>
      </c>
      <c r="S245" s="2">
        <v>290544</v>
      </c>
      <c r="T245" s="3">
        <v>8523</v>
      </c>
      <c r="U245" s="3">
        <v>5500</v>
      </c>
      <c r="V245" s="3">
        <v>0</v>
      </c>
      <c r="W245" s="3">
        <v>5500</v>
      </c>
      <c r="X245" s="3" t="s">
        <v>58</v>
      </c>
      <c r="Y245" s="3">
        <v>5500</v>
      </c>
      <c r="Z245" s="3" t="s">
        <v>58</v>
      </c>
      <c r="AA245" s="6">
        <f>SUMIFS(HS_DB[Trade Value - USD],HS_DB[Reporter],HS_DB[[#This Row],[Reporter]])/SUM(HS_DB[Trade Value - USD])</f>
        <v>9.709938116315122E-3</v>
      </c>
      <c r="AB245" s="8" cm="1">
        <f t="array" ref="AB245">SUMPRODUCT(
(HS_DB[Reporter]=HS_DB[[#This Row],[Reporter]])*
(HS_DB[Trade Value - USD]&gt;HS_DB[[#This Row],[Trade Value - USD]])
)+1</f>
        <v>11</v>
      </c>
      <c r="AC245" s="8" t="str">
        <f>IFERROR(IF(INDEX(Heat_Map[Crisis Impact %],MATCH(HS_DB[[#This Row],[Reporter]],Heat_Map[Global],0),1)&gt;0,"Yes","No"),"No")</f>
        <v>No</v>
      </c>
      <c r="AD245" s="6">
        <f>IFERROR(INDEX(Heat_Map[Crisis Impact %],MATCH(HS_DB[[#This Row],[Reporter]],Heat_Map[Global],0),1),0)</f>
        <v>0</v>
      </c>
      <c r="AE245" s="8">
        <f>HS_DB[[#This Row],[Crisis Impact%]]*HS_DB[[#This Row],[Trade Value - USD]]</f>
        <v>0</v>
      </c>
      <c r="AF245" s="8">
        <f>HS_DB[[#This Row],[Crisis Impact%]]*HS_DB[[#This Row],[Net Weight -KG]]</f>
        <v>0</v>
      </c>
      <c r="AG245" s="6">
        <f>SUMIFS(HS_DB[Trade Value - USD],HS_DB[Products],HS_DB[[#This Row],[Products]])/SUM(HS_DB[Trade Value - USD])</f>
        <v>2.5763600003999134E-3</v>
      </c>
      <c r="AH245" s="8">
        <f>_xlfn.RANK.EQ(HS_DB[[#This Row],[Trade Value - USD]], HS_DB[Trade Value - USD], 0)
 + COUNTIFS(HS_DB[Trade Value - USD],HS_DB[[#This Row],[Trade Value - USD]],
            HS_DB[HS Code],"&lt;"&amp;HS_DB[[#This Row],[HS Code]])</f>
        <v>419</v>
      </c>
      <c r="AI245" s="9">
        <f>IFERROR(HS_DB[[#This Row],[Trade Value - USD]]/HS_DB[[#This Row],[Net Weight -KG]],0)</f>
        <v>1.5496363636363637</v>
      </c>
      <c r="AJ245" s="17" cm="1">
        <f t="array" ref="AJ245">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45" s="17" t="str">
        <f>IF(HS_DB[[#This Row],[HS Code Risk Score]]&gt;=40,"High",
 IF(HS_DB[[#This Row],[HS Code Risk Score]]&gt;=25,"Medium","Low"))</f>
        <v>Medium</v>
      </c>
      <c r="AL245" s="17" t="str">
        <f>IF(RANK(HS_DB[[#This Row],[HS Code Risk Score]],HS_DB[HS Code Risk Score])&lt;=10,"Yes","No")</f>
        <v>No</v>
      </c>
      <c r="AM245" s="8">
        <f>SUMIFS(HS_DB[Net Weight -KG],HS_DB[HS Code],HS_DB[[#This Row],[HS Code]])</f>
        <v>6904613.2999999998</v>
      </c>
      <c r="AN245" s="8">
        <f>SUMIFS(HS_DB[Trade Value - USD],HS_DB[HS Code],HS_DB[[#This Row],[HS Code]])</f>
        <v>4856460</v>
      </c>
      <c r="AO245" s="6">
        <f>_xlfn.MAXIFS(HS_DB[Origin Share%],HS_DB[HS Code],HS_DB[[#This Row],[HS Code]])</f>
        <v>0.39900464236999494</v>
      </c>
      <c r="AP245" s="8" cm="1">
        <f t="array" ref="AP245">_xlfn.LET(
_xlpm.hs,HS_DB[[#This Row],[HS Code]],
COUNTA(_xlfn.UNIQUE(_xlfn._xlws.FILTER(HS_DB[Reporter],HS_DB[HS Code]=_xlpm.hs)))
)</f>
        <v>7</v>
      </c>
      <c r="AQ245" s="17" t="str">
        <f>IF(HS_DB[[#This Row],[Origin Count]]=1,"Single Source","Multiple Sources")</f>
        <v>Multiple Sources</v>
      </c>
      <c r="AR245" s="8">
        <f>HS_DB[[#This Row],[Annual Spend - USD]]*(HS_DB[[#This Row],[HS Code Risk Score]]/100)</f>
        <v>1651196.4000000001</v>
      </c>
      <c r="AS245" s="8">
        <f>RANK(HS_DB[[#This Row],[Risk Exposure - USD]],HS_DB[Risk Exposure - USD],0)</f>
        <v>421</v>
      </c>
      <c r="AT245" s="8" t="str">
        <f>IF(HS_DB[[#This Row],[Risk Exposure Rank]]&lt;=10,"High",
 IF(HS_DB[[#This Row],[Risk Exposure Rank]]&lt;=30,"Medium",
 "Low"))</f>
        <v>Low</v>
      </c>
      <c r="AU245" s="8" t="str">
        <f>IF(HS_DB[[#This Row],[Risk Exposure Rank]]&lt;=5,"Immediate Action",
 IF(HS_DB[[#This Row],[Risk Exposure Rank]]&lt;=15,"Monitor Closely",
 "Routine Control"))</f>
        <v>Routine Control</v>
      </c>
      <c r="AV245" s="8">
        <f>SUMIFS(HS_DB[Trade Value - USD],HS_DB[HS Code],HS_DB[[#This Row],[HS Code]])</f>
        <v>4856460</v>
      </c>
      <c r="AW245" s="6">
        <f>HS_DB[[#This Row],[Annual Spend - USD]]/HS_DB[[#This Row],[Total Market Size - USD]]</f>
        <v>1</v>
      </c>
      <c r="AX245" s="6" cm="1">
        <f t="array" ref="AX245">COUNTA(_xlfn.UNIQUE(_xlfn._xlws.FILTER(HS_DB[Partner],HS_DB[HS Code]=HS_DB[[#This Row],[HS Code]])))</f>
        <v>1</v>
      </c>
      <c r="AY245" s="8" t="str">
        <f>IF(HS_DB[[#This Row],[Competition Intensity]]&lt;=2,"Highly Concentrated",
 IF(HS_DB[[#This Row],[Competition Intensity]]&lt;=5,"Moderate",
 "Highly Competitive"))</f>
        <v>Highly Concentrated</v>
      </c>
      <c r="AZ245" s="8">
        <f>HS_DB[[#This Row],[Total Market Size - USD]]
*
(1+IFERROR(#REF!,0))
/
HS_DB[[#This Row],[Competition Intensity]]</f>
        <v>4856460</v>
      </c>
      <c r="BA245" s="8" t="str">
        <f>IF(HS_DB[[#This Row],[Commercial Opportunity Score]]&gt;=PERCENTILE(HS_DB[Commercial Opportunity Score],0.9),"High Opportunity",
 IF(HS_DB[[#This Row],[Commercial Opportunity Score]]&gt;=PERCENTILE(HS_DB[Commercial Opportunity Score],0.6),"Medium Opportunity",
 "Routine Market"))</f>
        <v>Routine Market</v>
      </c>
      <c r="BB245" s="3" t="str">
        <f>IF(AND(HS_DB[[#This Row],[Product Rank]]&gt;0,HS_DB[[#This Row],[Product Rank]]&lt;=10),"Yes","No")</f>
        <v>No</v>
      </c>
      <c r="BC245" s="3" t="str">
        <f>IF(AND(HS_DB[[#This Row],[Origin Rank]]&gt;0,HS_DB[[#This Row],[Origin Rank]]&lt;=10),"Yes","No")</f>
        <v>No</v>
      </c>
    </row>
    <row r="246" spans="2:55" x14ac:dyDescent="0.3">
      <c r="B246" s="2">
        <f>HS_DB[[#This Row],[Commodity Code]]</f>
        <v>290544</v>
      </c>
      <c r="C246" s="2">
        <f>IFERROR(INDEX(HS_MD!C:C,MATCH(B246,HS_MD!B:B,0),1),"")</f>
        <v>18</v>
      </c>
      <c r="D246" s="17" t="str">
        <f>IFERROR(INDEX(HS_MD!D:D,MATCH(B246,HS_MD!B:B,0),1),"")</f>
        <v>Sugar alcohols</v>
      </c>
      <c r="E246" s="17" t="str">
        <f>IFERROR(INDEX(HS_MD!E:E,MATCH(B246,HS_MD!B:B,0),1),"")</f>
        <v>Sorbitol</v>
      </c>
      <c r="F246" s="17" t="str">
        <f>IFERROR(INDEX(HS_MD!F:F,MATCH(B246,HS_MD!B:B,0),1),"")</f>
        <v>SWEETENERS</v>
      </c>
      <c r="G246" s="17" t="str">
        <f>IFERROR(INDEX(HS_MD!G:G,MATCH(B246,HS_MD!B:B,0),1),"")</f>
        <v>Sugar Alcohols</v>
      </c>
      <c r="H246" s="17" t="str">
        <f>IFERROR(INDEX(HS_MD!H:H,MATCH(B246,HS_MD!B:B,0),1),"")</f>
        <v>Sorbitol</v>
      </c>
      <c r="I246" s="17" t="str">
        <f>IFERROR(INDEX(HS_MD!I:I,MATCH(B246,HS_MD!B:B,0),1),"")</f>
        <v>Sugar-free / Confectionery</v>
      </c>
      <c r="J246" s="17">
        <f>IFERROR(INDEX(Heat_Map[Index],MATCH(HS_DB[[#This Row],[Reporter]],Heat_Map[Global],0),1),"")</f>
        <v>75</v>
      </c>
      <c r="K246" s="17" t="str">
        <f>IF(AND(HS_DB[[#This Row],[Origin Rank]]&gt;1,HS_DB[[#This Row],[Origin Rank]]&lt;=10),"Yes","No")</f>
        <v>Yes</v>
      </c>
      <c r="L246" s="2">
        <v>2024</v>
      </c>
      <c r="M246" s="2" t="s">
        <v>57</v>
      </c>
      <c r="N246" s="2" t="s">
        <v>8</v>
      </c>
      <c r="O246" s="2" t="s">
        <v>22</v>
      </c>
      <c r="P246" s="2" t="s">
        <v>23</v>
      </c>
      <c r="Q246" s="2" t="s">
        <v>24</v>
      </c>
      <c r="R246" s="2" t="s">
        <v>25</v>
      </c>
      <c r="S246" s="2">
        <v>290544</v>
      </c>
      <c r="T246" s="3">
        <v>2163135</v>
      </c>
      <c r="U246" s="3">
        <v>3948580</v>
      </c>
      <c r="V246" s="3">
        <v>0</v>
      </c>
      <c r="W246" s="3">
        <v>3948580</v>
      </c>
      <c r="X246" s="3" t="s">
        <v>58</v>
      </c>
      <c r="Y246" s="3">
        <v>3948580</v>
      </c>
      <c r="Z246" s="3" t="s">
        <v>58</v>
      </c>
      <c r="AA246" s="6">
        <f>SUMIFS(HS_DB[Trade Value - USD],HS_DB[Reporter],HS_DB[[#This Row],[Reporter]])/SUM(HS_DB[Trade Value - USD])</f>
        <v>2.2441761060335613E-2</v>
      </c>
      <c r="AB246" s="8" cm="1">
        <f t="array" ref="AB246">SUMPRODUCT(
(HS_DB[Reporter]=HS_DB[[#This Row],[Reporter]])*
(HS_DB[Trade Value - USD]&gt;HS_DB[[#This Row],[Trade Value - USD]])
)+1</f>
        <v>7</v>
      </c>
      <c r="AC246" s="8" t="str">
        <f>IFERROR(IF(INDEX(Heat_Map[Crisis Impact %],MATCH(HS_DB[[#This Row],[Reporter]],Heat_Map[Global],0),1)&gt;0,"Yes","No"),"No")</f>
        <v>No</v>
      </c>
      <c r="AD246" s="6">
        <f>IFERROR(INDEX(Heat_Map[Crisis Impact %],MATCH(HS_DB[[#This Row],[Reporter]],Heat_Map[Global],0),1),0)</f>
        <v>0</v>
      </c>
      <c r="AE246" s="8">
        <f>HS_DB[[#This Row],[Crisis Impact%]]*HS_DB[[#This Row],[Trade Value - USD]]</f>
        <v>0</v>
      </c>
      <c r="AF246" s="8">
        <f>HS_DB[[#This Row],[Crisis Impact%]]*HS_DB[[#This Row],[Net Weight -KG]]</f>
        <v>0</v>
      </c>
      <c r="AG246" s="6">
        <f>SUMIFS(HS_DB[Trade Value - USD],HS_DB[Products],HS_DB[[#This Row],[Products]])/SUM(HS_DB[Trade Value - USD])</f>
        <v>2.5763600003999134E-3</v>
      </c>
      <c r="AH246" s="8">
        <f>_xlfn.RANK.EQ(HS_DB[[#This Row],[Trade Value - USD]], HS_DB[Trade Value - USD], 0)
 + COUNTIFS(HS_DB[Trade Value - USD],HS_DB[[#This Row],[Trade Value - USD]],
            HS_DB[HS Code],"&lt;"&amp;HS_DB[[#This Row],[HS Code]])</f>
        <v>62</v>
      </c>
      <c r="AI246" s="9">
        <f>IFERROR(HS_DB[[#This Row],[Trade Value - USD]]/HS_DB[[#This Row],[Net Weight -KG]],0)</f>
        <v>0.54782605392318251</v>
      </c>
      <c r="AJ246" s="17" cm="1">
        <f t="array" ref="AJ246">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46" s="17" t="str">
        <f>IF(HS_DB[[#This Row],[HS Code Risk Score]]&gt;=40,"High",
 IF(HS_DB[[#This Row],[HS Code Risk Score]]&gt;=25,"Medium","Low"))</f>
        <v>Medium</v>
      </c>
      <c r="AL246" s="17" t="str">
        <f>IF(RANK(HS_DB[[#This Row],[HS Code Risk Score]],HS_DB[HS Code Risk Score])&lt;=10,"Yes","No")</f>
        <v>No</v>
      </c>
      <c r="AM246" s="8">
        <f>SUMIFS(HS_DB[Net Weight -KG],HS_DB[HS Code],HS_DB[[#This Row],[HS Code]])</f>
        <v>6904613.2999999998</v>
      </c>
      <c r="AN246" s="8">
        <f>SUMIFS(HS_DB[Trade Value - USD],HS_DB[HS Code],HS_DB[[#This Row],[HS Code]])</f>
        <v>4856460</v>
      </c>
      <c r="AO246" s="6">
        <f>_xlfn.MAXIFS(HS_DB[Origin Share%],HS_DB[HS Code],HS_DB[[#This Row],[HS Code]])</f>
        <v>0.39900464236999494</v>
      </c>
      <c r="AP246" s="8" cm="1">
        <f t="array" ref="AP246">_xlfn.LET(
_xlpm.hs,HS_DB[[#This Row],[HS Code]],
COUNTA(_xlfn.UNIQUE(_xlfn._xlws.FILTER(HS_DB[Reporter],HS_DB[HS Code]=_xlpm.hs)))
)</f>
        <v>7</v>
      </c>
      <c r="AQ246" s="17" t="str">
        <f>IF(HS_DB[[#This Row],[Origin Count]]=1,"Single Source","Multiple Sources")</f>
        <v>Multiple Sources</v>
      </c>
      <c r="AR246" s="8">
        <f>HS_DB[[#This Row],[Annual Spend - USD]]*(HS_DB[[#This Row],[HS Code Risk Score]]/100)</f>
        <v>1651196.4000000001</v>
      </c>
      <c r="AS246" s="8">
        <f>RANK(HS_DB[[#This Row],[Risk Exposure - USD]],HS_DB[Risk Exposure - USD],0)</f>
        <v>421</v>
      </c>
      <c r="AT246" s="8" t="str">
        <f>IF(HS_DB[[#This Row],[Risk Exposure Rank]]&lt;=10,"High",
 IF(HS_DB[[#This Row],[Risk Exposure Rank]]&lt;=30,"Medium",
 "Low"))</f>
        <v>Low</v>
      </c>
      <c r="AU246" s="8" t="str">
        <f>IF(HS_DB[[#This Row],[Risk Exposure Rank]]&lt;=5,"Immediate Action",
 IF(HS_DB[[#This Row],[Risk Exposure Rank]]&lt;=15,"Monitor Closely",
 "Routine Control"))</f>
        <v>Routine Control</v>
      </c>
      <c r="AV246" s="8">
        <f>SUMIFS(HS_DB[Trade Value - USD],HS_DB[HS Code],HS_DB[[#This Row],[HS Code]])</f>
        <v>4856460</v>
      </c>
      <c r="AW246" s="6">
        <f>HS_DB[[#This Row],[Annual Spend - USD]]/HS_DB[[#This Row],[Total Market Size - USD]]</f>
        <v>1</v>
      </c>
      <c r="AX246" s="6" cm="1">
        <f t="array" ref="AX246">COUNTA(_xlfn.UNIQUE(_xlfn._xlws.FILTER(HS_DB[Partner],HS_DB[HS Code]=HS_DB[[#This Row],[HS Code]])))</f>
        <v>1</v>
      </c>
      <c r="AY246" s="8" t="str">
        <f>IF(HS_DB[[#This Row],[Competition Intensity]]&lt;=2,"Highly Concentrated",
 IF(HS_DB[[#This Row],[Competition Intensity]]&lt;=5,"Moderate",
 "Highly Competitive"))</f>
        <v>Highly Concentrated</v>
      </c>
      <c r="AZ246" s="8">
        <f>HS_DB[[#This Row],[Total Market Size - USD]]
*
(1+IFERROR(#REF!,0))
/
HS_DB[[#This Row],[Competition Intensity]]</f>
        <v>4856460</v>
      </c>
      <c r="BA246" s="8" t="str">
        <f>IF(HS_DB[[#This Row],[Commercial Opportunity Score]]&gt;=PERCENTILE(HS_DB[Commercial Opportunity Score],0.9),"High Opportunity",
 IF(HS_DB[[#This Row],[Commercial Opportunity Score]]&gt;=PERCENTILE(HS_DB[Commercial Opportunity Score],0.6),"Medium Opportunity",
 "Routine Market"))</f>
        <v>Routine Market</v>
      </c>
      <c r="BB246" s="3" t="str">
        <f>IF(AND(HS_DB[[#This Row],[Product Rank]]&gt;0,HS_DB[[#This Row],[Product Rank]]&lt;=10),"Yes","No")</f>
        <v>No</v>
      </c>
      <c r="BC246" s="3" t="str">
        <f>IF(AND(HS_DB[[#This Row],[Origin Rank]]&gt;0,HS_DB[[#This Row],[Origin Rank]]&lt;=10),"Yes","No")</f>
        <v>Yes</v>
      </c>
    </row>
    <row r="247" spans="2:55" x14ac:dyDescent="0.3">
      <c r="B247" s="2">
        <f>HS_DB[[#This Row],[Commodity Code]]</f>
        <v>290544</v>
      </c>
      <c r="C247" s="2">
        <f>IFERROR(INDEX(HS_MD!C:C,MATCH(B247,HS_MD!B:B,0),1),"")</f>
        <v>18</v>
      </c>
      <c r="D247" s="17" t="str">
        <f>IFERROR(INDEX(HS_MD!D:D,MATCH(B247,HS_MD!B:B,0),1),"")</f>
        <v>Sugar alcohols</v>
      </c>
      <c r="E247" s="17" t="str">
        <f>IFERROR(INDEX(HS_MD!E:E,MATCH(B247,HS_MD!B:B,0),1),"")</f>
        <v>Sorbitol</v>
      </c>
      <c r="F247" s="17" t="str">
        <f>IFERROR(INDEX(HS_MD!F:F,MATCH(B247,HS_MD!B:B,0),1),"")</f>
        <v>SWEETENERS</v>
      </c>
      <c r="G247" s="17" t="str">
        <f>IFERROR(INDEX(HS_MD!G:G,MATCH(B247,HS_MD!B:B,0),1),"")</f>
        <v>Sugar Alcohols</v>
      </c>
      <c r="H247" s="17" t="str">
        <f>IFERROR(INDEX(HS_MD!H:H,MATCH(B247,HS_MD!B:B,0),1),"")</f>
        <v>Sorbitol</v>
      </c>
      <c r="I247" s="17" t="str">
        <f>IFERROR(INDEX(HS_MD!I:I,MATCH(B247,HS_MD!B:B,0),1),"")</f>
        <v>Sugar-free / Confectionery</v>
      </c>
      <c r="J247" s="17">
        <f>IFERROR(INDEX(Heat_Map[Index],MATCH(HS_DB[[#This Row],[Reporter]],Heat_Map[Global],0),1),"")</f>
        <v>175</v>
      </c>
      <c r="K247" s="17" t="str">
        <f>IF(AND(HS_DB[[#This Row],[Origin Rank]]&gt;1,HS_DB[[#This Row],[Origin Rank]]&lt;=10),"Yes","No")</f>
        <v>No</v>
      </c>
      <c r="L247" s="2">
        <v>2024</v>
      </c>
      <c r="M247" s="2" t="s">
        <v>57</v>
      </c>
      <c r="N247" s="2" t="s">
        <v>34</v>
      </c>
      <c r="O247" s="2" t="s">
        <v>22</v>
      </c>
      <c r="P247" s="2" t="s">
        <v>23</v>
      </c>
      <c r="Q247" s="2" t="s">
        <v>24</v>
      </c>
      <c r="R247" s="2" t="s">
        <v>25</v>
      </c>
      <c r="S247" s="2">
        <v>290544</v>
      </c>
      <c r="T247" s="3">
        <v>366374</v>
      </c>
      <c r="U247" s="3">
        <v>600000</v>
      </c>
      <c r="V247" s="3">
        <v>0</v>
      </c>
      <c r="W247" s="3">
        <v>600000</v>
      </c>
      <c r="X247" s="3" t="s">
        <v>58</v>
      </c>
      <c r="Y247" s="3">
        <v>600000</v>
      </c>
      <c r="Z247" s="3" t="s">
        <v>58</v>
      </c>
      <c r="AA247" s="6">
        <f>SUMIFS(HS_DB[Trade Value - USD],HS_DB[Reporter],HS_DB[[#This Row],[Reporter]])/SUM(HS_DB[Trade Value - USD])</f>
        <v>4.7522902002533667E-2</v>
      </c>
      <c r="AB247" s="8" cm="1">
        <f t="array" ref="AB247">SUMPRODUCT(
(HS_DB[Reporter]=HS_DB[[#This Row],[Reporter]])*
(HS_DB[Trade Value - USD]&gt;HS_DB[[#This Row],[Trade Value - USD]])
)+1</f>
        <v>18</v>
      </c>
      <c r="AC247" s="8" t="str">
        <f>IFERROR(IF(INDEX(Heat_Map[Crisis Impact %],MATCH(HS_DB[[#This Row],[Reporter]],Heat_Map[Global],0),1)&gt;0,"Yes","No"),"No")</f>
        <v>Yes</v>
      </c>
      <c r="AD247" s="6">
        <f>IFERROR(INDEX(Heat_Map[Crisis Impact %],MATCH(HS_DB[[#This Row],[Reporter]],Heat_Map[Global],0),1),0)</f>
        <v>0.1</v>
      </c>
      <c r="AE247" s="8">
        <f>HS_DB[[#This Row],[Crisis Impact%]]*HS_DB[[#This Row],[Trade Value - USD]]</f>
        <v>36637.4</v>
      </c>
      <c r="AF247" s="8">
        <f>HS_DB[[#This Row],[Crisis Impact%]]*HS_DB[[#This Row],[Net Weight -KG]]</f>
        <v>60000</v>
      </c>
      <c r="AG247" s="6">
        <f>SUMIFS(HS_DB[Trade Value - USD],HS_DB[Products],HS_DB[[#This Row],[Products]])/SUM(HS_DB[Trade Value - USD])</f>
        <v>2.5763600003999134E-3</v>
      </c>
      <c r="AH247" s="8">
        <f>_xlfn.RANK.EQ(HS_DB[[#This Row],[Trade Value - USD]], HS_DB[Trade Value - USD], 0)
 + COUNTIFS(HS_DB[Trade Value - USD],HS_DB[[#This Row],[Trade Value - USD]],
            HS_DB[HS Code],"&lt;"&amp;HS_DB[[#This Row],[HS Code]])</f>
        <v>171</v>
      </c>
      <c r="AI247" s="9">
        <f>IFERROR(HS_DB[[#This Row],[Trade Value - USD]]/HS_DB[[#This Row],[Net Weight -KG]],0)</f>
        <v>0.6106233333333333</v>
      </c>
      <c r="AJ247" s="17" cm="1">
        <f t="array" ref="AJ247">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47" s="17" t="str">
        <f>IF(HS_DB[[#This Row],[HS Code Risk Score]]&gt;=40,"High",
 IF(HS_DB[[#This Row],[HS Code Risk Score]]&gt;=25,"Medium","Low"))</f>
        <v>Medium</v>
      </c>
      <c r="AL247" s="17" t="str">
        <f>IF(RANK(HS_DB[[#This Row],[HS Code Risk Score]],HS_DB[HS Code Risk Score])&lt;=10,"Yes","No")</f>
        <v>No</v>
      </c>
      <c r="AM247" s="8">
        <f>SUMIFS(HS_DB[Net Weight -KG],HS_DB[HS Code],HS_DB[[#This Row],[HS Code]])</f>
        <v>6904613.2999999998</v>
      </c>
      <c r="AN247" s="8">
        <f>SUMIFS(HS_DB[Trade Value - USD],HS_DB[HS Code],HS_DB[[#This Row],[HS Code]])</f>
        <v>4856460</v>
      </c>
      <c r="AO247" s="6">
        <f>_xlfn.MAXIFS(HS_DB[Origin Share%],HS_DB[HS Code],HS_DB[[#This Row],[HS Code]])</f>
        <v>0.39900464236999494</v>
      </c>
      <c r="AP247" s="8" cm="1">
        <f t="array" ref="AP247">_xlfn.LET(
_xlpm.hs,HS_DB[[#This Row],[HS Code]],
COUNTA(_xlfn.UNIQUE(_xlfn._xlws.FILTER(HS_DB[Reporter],HS_DB[HS Code]=_xlpm.hs)))
)</f>
        <v>7</v>
      </c>
      <c r="AQ247" s="17" t="str">
        <f>IF(HS_DB[[#This Row],[Origin Count]]=1,"Single Source","Multiple Sources")</f>
        <v>Multiple Sources</v>
      </c>
      <c r="AR247" s="8">
        <f>HS_DB[[#This Row],[Annual Spend - USD]]*(HS_DB[[#This Row],[HS Code Risk Score]]/100)</f>
        <v>1651196.4000000001</v>
      </c>
      <c r="AS247" s="8">
        <f>RANK(HS_DB[[#This Row],[Risk Exposure - USD]],HS_DB[Risk Exposure - USD],0)</f>
        <v>421</v>
      </c>
      <c r="AT247" s="8" t="str">
        <f>IF(HS_DB[[#This Row],[Risk Exposure Rank]]&lt;=10,"High",
 IF(HS_DB[[#This Row],[Risk Exposure Rank]]&lt;=30,"Medium",
 "Low"))</f>
        <v>Low</v>
      </c>
      <c r="AU247" s="8" t="str">
        <f>IF(HS_DB[[#This Row],[Risk Exposure Rank]]&lt;=5,"Immediate Action",
 IF(HS_DB[[#This Row],[Risk Exposure Rank]]&lt;=15,"Monitor Closely",
 "Routine Control"))</f>
        <v>Routine Control</v>
      </c>
      <c r="AV247" s="8">
        <f>SUMIFS(HS_DB[Trade Value - USD],HS_DB[HS Code],HS_DB[[#This Row],[HS Code]])</f>
        <v>4856460</v>
      </c>
      <c r="AW247" s="6">
        <f>HS_DB[[#This Row],[Annual Spend - USD]]/HS_DB[[#This Row],[Total Market Size - USD]]</f>
        <v>1</v>
      </c>
      <c r="AX247" s="6" cm="1">
        <f t="array" ref="AX247">COUNTA(_xlfn.UNIQUE(_xlfn._xlws.FILTER(HS_DB[Partner],HS_DB[HS Code]=HS_DB[[#This Row],[HS Code]])))</f>
        <v>1</v>
      </c>
      <c r="AY247" s="8" t="str">
        <f>IF(HS_DB[[#This Row],[Competition Intensity]]&lt;=2,"Highly Concentrated",
 IF(HS_DB[[#This Row],[Competition Intensity]]&lt;=5,"Moderate",
 "Highly Competitive"))</f>
        <v>Highly Concentrated</v>
      </c>
      <c r="AZ247" s="8">
        <f>HS_DB[[#This Row],[Total Market Size - USD]]
*
(1+IFERROR(#REF!,0))
/
HS_DB[[#This Row],[Competition Intensity]]</f>
        <v>4856460</v>
      </c>
      <c r="BA247" s="8" t="str">
        <f>IF(HS_DB[[#This Row],[Commercial Opportunity Score]]&gt;=PERCENTILE(HS_DB[Commercial Opportunity Score],0.9),"High Opportunity",
 IF(HS_DB[[#This Row],[Commercial Opportunity Score]]&gt;=PERCENTILE(HS_DB[Commercial Opportunity Score],0.6),"Medium Opportunity",
 "Routine Market"))</f>
        <v>Routine Market</v>
      </c>
      <c r="BB247" s="3" t="str">
        <f>IF(AND(HS_DB[[#This Row],[Product Rank]]&gt;0,HS_DB[[#This Row],[Product Rank]]&lt;=10),"Yes","No")</f>
        <v>No</v>
      </c>
      <c r="BC247" s="3" t="str">
        <f>IF(AND(HS_DB[[#This Row],[Origin Rank]]&gt;0,HS_DB[[#This Row],[Origin Rank]]&lt;=10),"Yes","No")</f>
        <v>No</v>
      </c>
    </row>
    <row r="248" spans="2:55" x14ac:dyDescent="0.3">
      <c r="B248" s="2">
        <f>HS_DB[[#This Row],[Commodity Code]]</f>
        <v>170230</v>
      </c>
      <c r="C248" s="2">
        <f>IFERROR(INDEX(HS_MD!C:C,MATCH(B248,HS_MD!B:B,0),1),"")</f>
        <v>19</v>
      </c>
      <c r="D248" s="17" t="str">
        <f>IFERROR(INDEX(HS_MD!D:D,MATCH(B248,HS_MD!B:B,0),1),"")</f>
        <v>Glucose and syrup</v>
      </c>
      <c r="E248" s="17" t="str">
        <f>IFERROR(INDEX(HS_MD!E:E,MATCH(B248,HS_MD!B:B,0),1),"")</f>
        <v>Glucose Syrup</v>
      </c>
      <c r="F248" s="17" t="str">
        <f>IFERROR(INDEX(HS_MD!F:F,MATCH(B248,HS_MD!B:B,0),1),"")</f>
        <v>SWEETENERS</v>
      </c>
      <c r="G248" s="17" t="str">
        <f>IFERROR(INDEX(HS_MD!G:G,MATCH(B248,HS_MD!B:B,0),1),"")</f>
        <v>Bulk Sweeteners</v>
      </c>
      <c r="H248" s="17" t="str">
        <f>IFERROR(INDEX(HS_MD!H:H,MATCH(B248,HS_MD!B:B,0),1),"")</f>
        <v>Glucose Syrup</v>
      </c>
      <c r="I248" s="17" t="str">
        <f>IFERROR(INDEX(HS_MD!I:I,MATCH(B248,HS_MD!B:B,0),1),"")</f>
        <v>Bakery / Confectionery</v>
      </c>
      <c r="J248" s="17">
        <f>IFERROR(INDEX(Heat_Map[Index],MATCH(HS_DB[[#This Row],[Reporter]],Heat_Map[Global],0),1),"")</f>
        <v>26</v>
      </c>
      <c r="K248" s="17" t="str">
        <f>IF(AND(HS_DB[[#This Row],[Origin Rank]]&gt;1,HS_DB[[#This Row],[Origin Rank]]&lt;=10),"Yes","No")</f>
        <v>Yes</v>
      </c>
      <c r="L248" s="2">
        <v>2024</v>
      </c>
      <c r="M248" s="2" t="s">
        <v>57</v>
      </c>
      <c r="N248" s="2" t="s">
        <v>141</v>
      </c>
      <c r="O248" s="2" t="s">
        <v>22</v>
      </c>
      <c r="P248" s="2" t="s">
        <v>23</v>
      </c>
      <c r="Q248" s="2" t="s">
        <v>24</v>
      </c>
      <c r="R248" s="2" t="s">
        <v>25</v>
      </c>
      <c r="S248" s="2">
        <v>170230</v>
      </c>
      <c r="T248" s="3">
        <v>268436</v>
      </c>
      <c r="U248" s="3">
        <v>325000</v>
      </c>
      <c r="V248" s="3">
        <v>0</v>
      </c>
      <c r="W248" s="3">
        <v>325000</v>
      </c>
      <c r="X248" s="3" t="s">
        <v>58</v>
      </c>
      <c r="Y248" s="3">
        <v>325000</v>
      </c>
      <c r="Z248" s="3" t="s">
        <v>58</v>
      </c>
      <c r="AA248" s="6">
        <f>SUMIFS(HS_DB[Trade Value - USD],HS_DB[Reporter],HS_DB[[#This Row],[Reporter]])/SUM(HS_DB[Trade Value - USD])</f>
        <v>5.4237925464080154E-3</v>
      </c>
      <c r="AB248" s="8" cm="1">
        <f t="array" ref="AB248">SUMPRODUCT(
(HS_DB[Reporter]=HS_DB[[#This Row],[Reporter]])*
(HS_DB[Trade Value - USD]&gt;HS_DB[[#This Row],[Trade Value - USD]])
)+1</f>
        <v>3</v>
      </c>
      <c r="AC248" s="8" t="str">
        <f>IFERROR(IF(INDEX(Heat_Map[Crisis Impact %],MATCH(HS_DB[[#This Row],[Reporter]],Heat_Map[Global],0),1)&gt;0,"Yes","No"),"No")</f>
        <v>No</v>
      </c>
      <c r="AD248" s="6">
        <f>IFERROR(INDEX(Heat_Map[Crisis Impact %],MATCH(HS_DB[[#This Row],[Reporter]],Heat_Map[Global],0),1),0)</f>
        <v>0</v>
      </c>
      <c r="AE248" s="8">
        <f>HS_DB[[#This Row],[Crisis Impact%]]*HS_DB[[#This Row],[Trade Value - USD]]</f>
        <v>0</v>
      </c>
      <c r="AF248" s="8">
        <f>HS_DB[[#This Row],[Crisis Impact%]]*HS_DB[[#This Row],[Net Weight -KG]]</f>
        <v>0</v>
      </c>
      <c r="AG248" s="6">
        <f>SUMIFS(HS_DB[Trade Value - USD],HS_DB[Products],HS_DB[[#This Row],[Products]])/SUM(HS_DB[Trade Value - USD])</f>
        <v>4.2079963121393268E-3</v>
      </c>
      <c r="AH248" s="8">
        <f>_xlfn.RANK.EQ(HS_DB[[#This Row],[Trade Value - USD]], HS_DB[Trade Value - USD], 0)
 + COUNTIFS(HS_DB[Trade Value - USD],HS_DB[[#This Row],[Trade Value - USD]],
            HS_DB[HS Code],"&lt;"&amp;HS_DB[[#This Row],[HS Code]])</f>
        <v>200</v>
      </c>
      <c r="AI248" s="9">
        <f>IFERROR(HS_DB[[#This Row],[Trade Value - USD]]/HS_DB[[#This Row],[Net Weight -KG]],0)</f>
        <v>0.82595692307692303</v>
      </c>
      <c r="AJ248" s="17" cm="1">
        <f t="array" ref="AJ248">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48" s="17" t="str">
        <f>IF(HS_DB[[#This Row],[HS Code Risk Score]]&gt;=40,"High",
 IF(HS_DB[[#This Row],[HS Code Risk Score]]&gt;=25,"Medium","Low"))</f>
        <v>Medium</v>
      </c>
      <c r="AL248" s="17" t="str">
        <f>IF(RANK(HS_DB[[#This Row],[HS Code Risk Score]],HS_DB[HS Code Risk Score])&lt;=10,"Yes","No")</f>
        <v>No</v>
      </c>
      <c r="AM248" s="8">
        <f>SUMIFS(HS_DB[Net Weight -KG],HS_DB[HS Code],HS_DB[[#This Row],[HS Code]])</f>
        <v>12795612.5</v>
      </c>
      <c r="AN248" s="8">
        <f>SUMIFS(HS_DB[Trade Value - USD],HS_DB[HS Code],HS_DB[[#This Row],[HS Code]])</f>
        <v>7932108</v>
      </c>
      <c r="AO248" s="6">
        <f>_xlfn.MAXIFS(HS_DB[Origin Share%],HS_DB[HS Code],HS_DB[[#This Row],[HS Code]])</f>
        <v>7.6648679233989533E-2</v>
      </c>
      <c r="AP248" s="8" cm="1">
        <f t="array" ref="AP248">_xlfn.LET(
_xlpm.hs,HS_DB[[#This Row],[HS Code]],
COUNTA(_xlfn.UNIQUE(_xlfn._xlws.FILTER(HS_DB[Reporter],HS_DB[HS Code]=_xlpm.hs)))
)</f>
        <v>9</v>
      </c>
      <c r="AQ248" s="17" t="str">
        <f>IF(HS_DB[[#This Row],[Origin Count]]=1,"Single Source","Multiple Sources")</f>
        <v>Multiple Sources</v>
      </c>
      <c r="AR248" s="8">
        <f>HS_DB[[#This Row],[Annual Spend - USD]]*(HS_DB[[#This Row],[HS Code Risk Score]]/100)</f>
        <v>2696916.72</v>
      </c>
      <c r="AS248" s="8">
        <f>RANK(HS_DB[[#This Row],[Risk Exposure - USD]],HS_DB[Risk Exposure - USD],0)</f>
        <v>346</v>
      </c>
      <c r="AT248" s="8" t="str">
        <f>IF(HS_DB[[#This Row],[Risk Exposure Rank]]&lt;=10,"High",
 IF(HS_DB[[#This Row],[Risk Exposure Rank]]&lt;=30,"Medium",
 "Low"))</f>
        <v>Low</v>
      </c>
      <c r="AU248" s="8" t="str">
        <f>IF(HS_DB[[#This Row],[Risk Exposure Rank]]&lt;=5,"Immediate Action",
 IF(HS_DB[[#This Row],[Risk Exposure Rank]]&lt;=15,"Monitor Closely",
 "Routine Control"))</f>
        <v>Routine Control</v>
      </c>
      <c r="AV248" s="8">
        <f>SUMIFS(HS_DB[Trade Value - USD],HS_DB[HS Code],HS_DB[[#This Row],[HS Code]])</f>
        <v>7932108</v>
      </c>
      <c r="AW248" s="6">
        <f>HS_DB[[#This Row],[Annual Spend - USD]]/HS_DB[[#This Row],[Total Market Size - USD]]</f>
        <v>1</v>
      </c>
      <c r="AX248" s="6" cm="1">
        <f t="array" ref="AX248">COUNTA(_xlfn.UNIQUE(_xlfn._xlws.FILTER(HS_DB[Partner],HS_DB[HS Code]=HS_DB[[#This Row],[HS Code]])))</f>
        <v>1</v>
      </c>
      <c r="AY248" s="8" t="str">
        <f>IF(HS_DB[[#This Row],[Competition Intensity]]&lt;=2,"Highly Concentrated",
 IF(HS_DB[[#This Row],[Competition Intensity]]&lt;=5,"Moderate",
 "Highly Competitive"))</f>
        <v>Highly Concentrated</v>
      </c>
      <c r="AZ248" s="8">
        <f>HS_DB[[#This Row],[Total Market Size - USD]]
*
(1+IFERROR(#REF!,0))
/
HS_DB[[#This Row],[Competition Intensity]]</f>
        <v>7932108</v>
      </c>
      <c r="BA248" s="8" t="str">
        <f>IF(HS_DB[[#This Row],[Commercial Opportunity Score]]&gt;=PERCENTILE(HS_DB[Commercial Opportunity Score],0.9),"High Opportunity",
 IF(HS_DB[[#This Row],[Commercial Opportunity Score]]&gt;=PERCENTILE(HS_DB[Commercial Opportunity Score],0.6),"Medium Opportunity",
 "Routine Market"))</f>
        <v>Routine Market</v>
      </c>
      <c r="BB248" s="3" t="str">
        <f>IF(AND(HS_DB[[#This Row],[Product Rank]]&gt;0,HS_DB[[#This Row],[Product Rank]]&lt;=10),"Yes","No")</f>
        <v>No</v>
      </c>
      <c r="BC248" s="3" t="str">
        <f>IF(AND(HS_DB[[#This Row],[Origin Rank]]&gt;0,HS_DB[[#This Row],[Origin Rank]]&lt;=10),"Yes","No")</f>
        <v>Yes</v>
      </c>
    </row>
    <row r="249" spans="2:55" x14ac:dyDescent="0.3">
      <c r="B249" s="2">
        <f>HS_DB[[#This Row],[Commodity Code]]</f>
        <v>170230</v>
      </c>
      <c r="C249" s="2">
        <f>IFERROR(INDEX(HS_MD!C:C,MATCH(B249,HS_MD!B:B,0),1),"")</f>
        <v>19</v>
      </c>
      <c r="D249" s="17" t="str">
        <f>IFERROR(INDEX(HS_MD!D:D,MATCH(B249,HS_MD!B:B,0),1),"")</f>
        <v>Glucose and syrup</v>
      </c>
      <c r="E249" s="17" t="str">
        <f>IFERROR(INDEX(HS_MD!E:E,MATCH(B249,HS_MD!B:B,0),1),"")</f>
        <v>Glucose Syrup</v>
      </c>
      <c r="F249" s="17" t="str">
        <f>IFERROR(INDEX(HS_MD!F:F,MATCH(B249,HS_MD!B:B,0),1),"")</f>
        <v>SWEETENERS</v>
      </c>
      <c r="G249" s="17" t="str">
        <f>IFERROR(INDEX(HS_MD!G:G,MATCH(B249,HS_MD!B:B,0),1),"")</f>
        <v>Bulk Sweeteners</v>
      </c>
      <c r="H249" s="17" t="str">
        <f>IFERROR(INDEX(HS_MD!H:H,MATCH(B249,HS_MD!B:B,0),1),"")</f>
        <v>Glucose Syrup</v>
      </c>
      <c r="I249" s="17" t="str">
        <f>IFERROR(INDEX(HS_MD!I:I,MATCH(B249,HS_MD!B:B,0),1),"")</f>
        <v>Bakery / Confectionery</v>
      </c>
      <c r="J249" s="17">
        <f>IFERROR(INDEX(Heat_Map[Index],MATCH(HS_DB[[#This Row],[Reporter]],Heat_Map[Global],0),1),"")</f>
        <v>36</v>
      </c>
      <c r="K249" s="17" t="str">
        <f>IF(AND(HS_DB[[#This Row],[Origin Rank]]&gt;1,HS_DB[[#This Row],[Origin Rank]]&lt;=10),"Yes","No")</f>
        <v>Yes</v>
      </c>
      <c r="L249" s="2">
        <v>2024</v>
      </c>
      <c r="M249" s="2" t="s">
        <v>57</v>
      </c>
      <c r="N249" s="2" t="s">
        <v>1</v>
      </c>
      <c r="O249" s="2" t="s">
        <v>22</v>
      </c>
      <c r="P249" s="2" t="s">
        <v>23</v>
      </c>
      <c r="Q249" s="2" t="s">
        <v>24</v>
      </c>
      <c r="R249" s="2" t="s">
        <v>25</v>
      </c>
      <c r="S249" s="2">
        <v>170230</v>
      </c>
      <c r="T249" s="3">
        <v>5854935</v>
      </c>
      <c r="U249" s="3">
        <v>9772806</v>
      </c>
      <c r="V249" s="3">
        <v>0</v>
      </c>
      <c r="W249" s="3">
        <v>9772806</v>
      </c>
      <c r="X249" s="3" t="s">
        <v>58</v>
      </c>
      <c r="Y249" s="3">
        <v>9772806</v>
      </c>
      <c r="Z249" s="3" t="s">
        <v>58</v>
      </c>
      <c r="AA249" s="6">
        <f>SUMIFS(HS_DB[Trade Value - USD],HS_DB[Reporter],HS_DB[[#This Row],[Reporter]])/SUM(HS_DB[Trade Value - USD])</f>
        <v>6.321329281187793E-2</v>
      </c>
      <c r="AB249" s="8" cm="1">
        <f t="array" ref="AB249">SUMPRODUCT(
(HS_DB[Reporter]=HS_DB[[#This Row],[Reporter]])*
(HS_DB[Trade Value - USD]&gt;HS_DB[[#This Row],[Trade Value - USD]])
)+1</f>
        <v>8</v>
      </c>
      <c r="AC249" s="8" t="str">
        <f>IFERROR(IF(INDEX(Heat_Map[Crisis Impact %],MATCH(HS_DB[[#This Row],[Reporter]],Heat_Map[Global],0),1)&gt;0,"Yes","No"),"No")</f>
        <v>Yes</v>
      </c>
      <c r="AD249" s="6">
        <f>IFERROR(INDEX(Heat_Map[Crisis Impact %],MATCH(HS_DB[[#This Row],[Reporter]],Heat_Map[Global],0),1),0)</f>
        <v>0.14000000000000001</v>
      </c>
      <c r="AE249" s="8">
        <f>HS_DB[[#This Row],[Crisis Impact%]]*HS_DB[[#This Row],[Trade Value - USD]]</f>
        <v>819690.9</v>
      </c>
      <c r="AF249" s="8">
        <f>HS_DB[[#This Row],[Crisis Impact%]]*HS_DB[[#This Row],[Net Weight -KG]]</f>
        <v>1368192.84</v>
      </c>
      <c r="AG249" s="6">
        <f>SUMIFS(HS_DB[Trade Value - USD],HS_DB[Products],HS_DB[[#This Row],[Products]])/SUM(HS_DB[Trade Value - USD])</f>
        <v>4.2079963121393268E-3</v>
      </c>
      <c r="AH249" s="8">
        <f>_xlfn.RANK.EQ(HS_DB[[#This Row],[Trade Value - USD]], HS_DB[Trade Value - USD], 0)
 + COUNTIFS(HS_DB[Trade Value - USD],HS_DB[[#This Row],[Trade Value - USD]],
            HS_DB[HS Code],"&lt;"&amp;HS_DB[[#This Row],[HS Code]])</f>
        <v>28</v>
      </c>
      <c r="AI249" s="9">
        <f>IFERROR(HS_DB[[#This Row],[Trade Value - USD]]/HS_DB[[#This Row],[Net Weight -KG]],0)</f>
        <v>0.59910480163015623</v>
      </c>
      <c r="AJ249" s="17" cm="1">
        <f t="array" ref="AJ249">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49" s="17" t="str">
        <f>IF(HS_DB[[#This Row],[HS Code Risk Score]]&gt;=40,"High",
 IF(HS_DB[[#This Row],[HS Code Risk Score]]&gt;=25,"Medium","Low"))</f>
        <v>Medium</v>
      </c>
      <c r="AL249" s="17" t="str">
        <f>IF(RANK(HS_DB[[#This Row],[HS Code Risk Score]],HS_DB[HS Code Risk Score])&lt;=10,"Yes","No")</f>
        <v>No</v>
      </c>
      <c r="AM249" s="8">
        <f>SUMIFS(HS_DB[Net Weight -KG],HS_DB[HS Code],HS_DB[[#This Row],[HS Code]])</f>
        <v>12795612.5</v>
      </c>
      <c r="AN249" s="8">
        <f>SUMIFS(HS_DB[Trade Value - USD],HS_DB[HS Code],HS_DB[[#This Row],[HS Code]])</f>
        <v>7932108</v>
      </c>
      <c r="AO249" s="6">
        <f>_xlfn.MAXIFS(HS_DB[Origin Share%],HS_DB[HS Code],HS_DB[[#This Row],[HS Code]])</f>
        <v>7.6648679233989533E-2</v>
      </c>
      <c r="AP249" s="8" cm="1">
        <f t="array" ref="AP249">_xlfn.LET(
_xlpm.hs,HS_DB[[#This Row],[HS Code]],
COUNTA(_xlfn.UNIQUE(_xlfn._xlws.FILTER(HS_DB[Reporter],HS_DB[HS Code]=_xlpm.hs)))
)</f>
        <v>9</v>
      </c>
      <c r="AQ249" s="17" t="str">
        <f>IF(HS_DB[[#This Row],[Origin Count]]=1,"Single Source","Multiple Sources")</f>
        <v>Multiple Sources</v>
      </c>
      <c r="AR249" s="8">
        <f>HS_DB[[#This Row],[Annual Spend - USD]]*(HS_DB[[#This Row],[HS Code Risk Score]]/100)</f>
        <v>2696916.72</v>
      </c>
      <c r="AS249" s="8">
        <f>RANK(HS_DB[[#This Row],[Risk Exposure - USD]],HS_DB[Risk Exposure - USD],0)</f>
        <v>346</v>
      </c>
      <c r="AT249" s="8" t="str">
        <f>IF(HS_DB[[#This Row],[Risk Exposure Rank]]&lt;=10,"High",
 IF(HS_DB[[#This Row],[Risk Exposure Rank]]&lt;=30,"Medium",
 "Low"))</f>
        <v>Low</v>
      </c>
      <c r="AU249" s="8" t="str">
        <f>IF(HS_DB[[#This Row],[Risk Exposure Rank]]&lt;=5,"Immediate Action",
 IF(HS_DB[[#This Row],[Risk Exposure Rank]]&lt;=15,"Monitor Closely",
 "Routine Control"))</f>
        <v>Routine Control</v>
      </c>
      <c r="AV249" s="8">
        <f>SUMIFS(HS_DB[Trade Value - USD],HS_DB[HS Code],HS_DB[[#This Row],[HS Code]])</f>
        <v>7932108</v>
      </c>
      <c r="AW249" s="6">
        <f>HS_DB[[#This Row],[Annual Spend - USD]]/HS_DB[[#This Row],[Total Market Size - USD]]</f>
        <v>1</v>
      </c>
      <c r="AX249" s="6" cm="1">
        <f t="array" ref="AX249">COUNTA(_xlfn.UNIQUE(_xlfn._xlws.FILTER(HS_DB[Partner],HS_DB[HS Code]=HS_DB[[#This Row],[HS Code]])))</f>
        <v>1</v>
      </c>
      <c r="AY249" s="8" t="str">
        <f>IF(HS_DB[[#This Row],[Competition Intensity]]&lt;=2,"Highly Concentrated",
 IF(HS_DB[[#This Row],[Competition Intensity]]&lt;=5,"Moderate",
 "Highly Competitive"))</f>
        <v>Highly Concentrated</v>
      </c>
      <c r="AZ249" s="8">
        <f>HS_DB[[#This Row],[Total Market Size - USD]]
*
(1+IFERROR(#REF!,0))
/
HS_DB[[#This Row],[Competition Intensity]]</f>
        <v>7932108</v>
      </c>
      <c r="BA249" s="8" t="str">
        <f>IF(HS_DB[[#This Row],[Commercial Opportunity Score]]&gt;=PERCENTILE(HS_DB[Commercial Opportunity Score],0.9),"High Opportunity",
 IF(HS_DB[[#This Row],[Commercial Opportunity Score]]&gt;=PERCENTILE(HS_DB[Commercial Opportunity Score],0.6),"Medium Opportunity",
 "Routine Market"))</f>
        <v>Routine Market</v>
      </c>
      <c r="BB249" s="3" t="str">
        <f>IF(AND(HS_DB[[#This Row],[Product Rank]]&gt;0,HS_DB[[#This Row],[Product Rank]]&lt;=10),"Yes","No")</f>
        <v>No</v>
      </c>
      <c r="BC249" s="3" t="str">
        <f>IF(AND(HS_DB[[#This Row],[Origin Rank]]&gt;0,HS_DB[[#This Row],[Origin Rank]]&lt;=10),"Yes","No")</f>
        <v>Yes</v>
      </c>
    </row>
    <row r="250" spans="2:55" x14ac:dyDescent="0.3">
      <c r="B250" s="2">
        <f>HS_DB[[#This Row],[Commodity Code]]</f>
        <v>170230</v>
      </c>
      <c r="C250" s="2">
        <f>IFERROR(INDEX(HS_MD!C:C,MATCH(B250,HS_MD!B:B,0),1),"")</f>
        <v>19</v>
      </c>
      <c r="D250" s="17" t="str">
        <f>IFERROR(INDEX(HS_MD!D:D,MATCH(B250,HS_MD!B:B,0),1),"")</f>
        <v>Glucose and syrup</v>
      </c>
      <c r="E250" s="17" t="str">
        <f>IFERROR(INDEX(HS_MD!E:E,MATCH(B250,HS_MD!B:B,0),1),"")</f>
        <v>Glucose Syrup</v>
      </c>
      <c r="F250" s="17" t="str">
        <f>IFERROR(INDEX(HS_MD!F:F,MATCH(B250,HS_MD!B:B,0),1),"")</f>
        <v>SWEETENERS</v>
      </c>
      <c r="G250" s="17" t="str">
        <f>IFERROR(INDEX(HS_MD!G:G,MATCH(B250,HS_MD!B:B,0),1),"")</f>
        <v>Bulk Sweeteners</v>
      </c>
      <c r="H250" s="17" t="str">
        <f>IFERROR(INDEX(HS_MD!H:H,MATCH(B250,HS_MD!B:B,0),1),"")</f>
        <v>Glucose Syrup</v>
      </c>
      <c r="I250" s="17" t="str">
        <f>IFERROR(INDEX(HS_MD!I:I,MATCH(B250,HS_MD!B:B,0),1),"")</f>
        <v>Bakery / Confectionery</v>
      </c>
      <c r="J250" s="17">
        <f>IFERROR(INDEX(Heat_Map[Index],MATCH(HS_DB[[#This Row],[Reporter]],Heat_Map[Global],0),1),"")</f>
        <v>63</v>
      </c>
      <c r="K250" s="17" t="str">
        <f>IF(AND(HS_DB[[#This Row],[Origin Rank]]&gt;1,HS_DB[[#This Row],[Origin Rank]]&lt;=10),"Yes","No")</f>
        <v>No</v>
      </c>
      <c r="L250" s="2">
        <v>2024</v>
      </c>
      <c r="M250" s="2" t="s">
        <v>57</v>
      </c>
      <c r="N250" s="2" t="s">
        <v>2</v>
      </c>
      <c r="O250" s="2" t="s">
        <v>22</v>
      </c>
      <c r="P250" s="2" t="s">
        <v>23</v>
      </c>
      <c r="Q250" s="2" t="s">
        <v>24</v>
      </c>
      <c r="R250" s="2" t="s">
        <v>25</v>
      </c>
      <c r="S250" s="2">
        <v>170230</v>
      </c>
      <c r="T250" s="3">
        <v>174215</v>
      </c>
      <c r="U250" s="3">
        <v>35404</v>
      </c>
      <c r="V250" s="3">
        <v>0</v>
      </c>
      <c r="W250" s="3">
        <v>35404</v>
      </c>
      <c r="X250" s="3" t="s">
        <v>58</v>
      </c>
      <c r="Y250" s="3">
        <v>35404</v>
      </c>
      <c r="Z250" s="3" t="s">
        <v>58</v>
      </c>
      <c r="AA250" s="6">
        <f>SUMIFS(HS_DB[Trade Value - USD],HS_DB[Reporter],HS_DB[[#This Row],[Reporter]])/SUM(HS_DB[Trade Value - USD])</f>
        <v>1.1674623358397021E-2</v>
      </c>
      <c r="AB250" s="8" cm="1">
        <f t="array" ref="AB250">SUMPRODUCT(
(HS_DB[Reporter]=HS_DB[[#This Row],[Reporter]])*
(HS_DB[Trade Value - USD]&gt;HS_DB[[#This Row],[Trade Value - USD]])
)+1</f>
        <v>17</v>
      </c>
      <c r="AC250" s="8" t="str">
        <f>IFERROR(IF(INDEX(Heat_Map[Crisis Impact %],MATCH(HS_DB[[#This Row],[Reporter]],Heat_Map[Global],0),1)&gt;0,"Yes","No"),"No")</f>
        <v>No</v>
      </c>
      <c r="AD250" s="6">
        <f>IFERROR(INDEX(Heat_Map[Crisis Impact %],MATCH(HS_DB[[#This Row],[Reporter]],Heat_Map[Global],0),1),0)</f>
        <v>0</v>
      </c>
      <c r="AE250" s="8">
        <f>HS_DB[[#This Row],[Crisis Impact%]]*HS_DB[[#This Row],[Trade Value - USD]]</f>
        <v>0</v>
      </c>
      <c r="AF250" s="8">
        <f>HS_DB[[#This Row],[Crisis Impact%]]*HS_DB[[#This Row],[Net Weight -KG]]</f>
        <v>0</v>
      </c>
      <c r="AG250" s="6">
        <f>SUMIFS(HS_DB[Trade Value - USD],HS_DB[Products],HS_DB[[#This Row],[Products]])/SUM(HS_DB[Trade Value - USD])</f>
        <v>4.2079963121393268E-3</v>
      </c>
      <c r="AH250" s="8">
        <f>_xlfn.RANK.EQ(HS_DB[[#This Row],[Trade Value - USD]], HS_DB[Trade Value - USD], 0)
 + COUNTIFS(HS_DB[Trade Value - USD],HS_DB[[#This Row],[Trade Value - USD]],
            HS_DB[HS Code],"&lt;"&amp;HS_DB[[#This Row],[HS Code]])</f>
        <v>230</v>
      </c>
      <c r="AI250" s="9">
        <f>IFERROR(HS_DB[[#This Row],[Trade Value - USD]]/HS_DB[[#This Row],[Net Weight -KG]],0)</f>
        <v>4.9207716642187327</v>
      </c>
      <c r="AJ250" s="17" cm="1">
        <f t="array" ref="AJ250">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50" s="17" t="str">
        <f>IF(HS_DB[[#This Row],[HS Code Risk Score]]&gt;=40,"High",
 IF(HS_DB[[#This Row],[HS Code Risk Score]]&gt;=25,"Medium","Low"))</f>
        <v>Medium</v>
      </c>
      <c r="AL250" s="17" t="str">
        <f>IF(RANK(HS_DB[[#This Row],[HS Code Risk Score]],HS_DB[HS Code Risk Score])&lt;=10,"Yes","No")</f>
        <v>No</v>
      </c>
      <c r="AM250" s="8">
        <f>SUMIFS(HS_DB[Net Weight -KG],HS_DB[HS Code],HS_DB[[#This Row],[HS Code]])</f>
        <v>12795612.5</v>
      </c>
      <c r="AN250" s="8">
        <f>SUMIFS(HS_DB[Trade Value - USD],HS_DB[HS Code],HS_DB[[#This Row],[HS Code]])</f>
        <v>7932108</v>
      </c>
      <c r="AO250" s="6">
        <f>_xlfn.MAXIFS(HS_DB[Origin Share%],HS_DB[HS Code],HS_DB[[#This Row],[HS Code]])</f>
        <v>7.6648679233989533E-2</v>
      </c>
      <c r="AP250" s="8" cm="1">
        <f t="array" ref="AP250">_xlfn.LET(
_xlpm.hs,HS_DB[[#This Row],[HS Code]],
COUNTA(_xlfn.UNIQUE(_xlfn._xlws.FILTER(HS_DB[Reporter],HS_DB[HS Code]=_xlpm.hs)))
)</f>
        <v>9</v>
      </c>
      <c r="AQ250" s="17" t="str">
        <f>IF(HS_DB[[#This Row],[Origin Count]]=1,"Single Source","Multiple Sources")</f>
        <v>Multiple Sources</v>
      </c>
      <c r="AR250" s="8">
        <f>HS_DB[[#This Row],[Annual Spend - USD]]*(HS_DB[[#This Row],[HS Code Risk Score]]/100)</f>
        <v>2696916.72</v>
      </c>
      <c r="AS250" s="8">
        <f>RANK(HS_DB[[#This Row],[Risk Exposure - USD]],HS_DB[Risk Exposure - USD],0)</f>
        <v>346</v>
      </c>
      <c r="AT250" s="8" t="str">
        <f>IF(HS_DB[[#This Row],[Risk Exposure Rank]]&lt;=10,"High",
 IF(HS_DB[[#This Row],[Risk Exposure Rank]]&lt;=30,"Medium",
 "Low"))</f>
        <v>Low</v>
      </c>
      <c r="AU250" s="8" t="str">
        <f>IF(HS_DB[[#This Row],[Risk Exposure Rank]]&lt;=5,"Immediate Action",
 IF(HS_DB[[#This Row],[Risk Exposure Rank]]&lt;=15,"Monitor Closely",
 "Routine Control"))</f>
        <v>Routine Control</v>
      </c>
      <c r="AV250" s="8">
        <f>SUMIFS(HS_DB[Trade Value - USD],HS_DB[HS Code],HS_DB[[#This Row],[HS Code]])</f>
        <v>7932108</v>
      </c>
      <c r="AW250" s="6">
        <f>HS_DB[[#This Row],[Annual Spend - USD]]/HS_DB[[#This Row],[Total Market Size - USD]]</f>
        <v>1</v>
      </c>
      <c r="AX250" s="6" cm="1">
        <f t="array" ref="AX250">COUNTA(_xlfn.UNIQUE(_xlfn._xlws.FILTER(HS_DB[Partner],HS_DB[HS Code]=HS_DB[[#This Row],[HS Code]])))</f>
        <v>1</v>
      </c>
      <c r="AY250" s="8" t="str">
        <f>IF(HS_DB[[#This Row],[Competition Intensity]]&lt;=2,"Highly Concentrated",
 IF(HS_DB[[#This Row],[Competition Intensity]]&lt;=5,"Moderate",
 "Highly Competitive"))</f>
        <v>Highly Concentrated</v>
      </c>
      <c r="AZ250" s="8">
        <f>HS_DB[[#This Row],[Total Market Size - USD]]
*
(1+IFERROR(#REF!,0))
/
HS_DB[[#This Row],[Competition Intensity]]</f>
        <v>7932108</v>
      </c>
      <c r="BA250" s="8" t="str">
        <f>IF(HS_DB[[#This Row],[Commercial Opportunity Score]]&gt;=PERCENTILE(HS_DB[Commercial Opportunity Score],0.9),"High Opportunity",
 IF(HS_DB[[#This Row],[Commercial Opportunity Score]]&gt;=PERCENTILE(HS_DB[Commercial Opportunity Score],0.6),"Medium Opportunity",
 "Routine Market"))</f>
        <v>Routine Market</v>
      </c>
      <c r="BB250" s="3" t="str">
        <f>IF(AND(HS_DB[[#This Row],[Product Rank]]&gt;0,HS_DB[[#This Row],[Product Rank]]&lt;=10),"Yes","No")</f>
        <v>No</v>
      </c>
      <c r="BC250" s="3" t="str">
        <f>IF(AND(HS_DB[[#This Row],[Origin Rank]]&gt;0,HS_DB[[#This Row],[Origin Rank]]&lt;=10),"Yes","No")</f>
        <v>No</v>
      </c>
    </row>
    <row r="251" spans="2:55" x14ac:dyDescent="0.3">
      <c r="B251" s="2">
        <f>HS_DB[[#This Row],[Commodity Code]]</f>
        <v>170230</v>
      </c>
      <c r="C251" s="2">
        <f>IFERROR(INDEX(HS_MD!C:C,MATCH(B251,HS_MD!B:B,0),1),"")</f>
        <v>19</v>
      </c>
      <c r="D251" s="17" t="str">
        <f>IFERROR(INDEX(HS_MD!D:D,MATCH(B251,HS_MD!B:B,0),1),"")</f>
        <v>Glucose and syrup</v>
      </c>
      <c r="E251" s="17" t="str">
        <f>IFERROR(INDEX(HS_MD!E:E,MATCH(B251,HS_MD!B:B,0),1),"")</f>
        <v>Glucose Syrup</v>
      </c>
      <c r="F251" s="17" t="str">
        <f>IFERROR(INDEX(HS_MD!F:F,MATCH(B251,HS_MD!B:B,0),1),"")</f>
        <v>SWEETENERS</v>
      </c>
      <c r="G251" s="17" t="str">
        <f>IFERROR(INDEX(HS_MD!G:G,MATCH(B251,HS_MD!B:B,0),1),"")</f>
        <v>Bulk Sweeteners</v>
      </c>
      <c r="H251" s="17" t="str">
        <f>IFERROR(INDEX(HS_MD!H:H,MATCH(B251,HS_MD!B:B,0),1),"")</f>
        <v>Glucose Syrup</v>
      </c>
      <c r="I251" s="17" t="str">
        <f>IFERROR(INDEX(HS_MD!I:I,MATCH(B251,HS_MD!B:B,0),1),"")</f>
        <v>Bakery / Confectionery</v>
      </c>
      <c r="J251" s="17">
        <f>IFERROR(INDEX(Heat_Map[Index],MATCH(HS_DB[[#This Row],[Reporter]],Heat_Map[Global],0),1),"")</f>
        <v>118</v>
      </c>
      <c r="K251" s="17" t="str">
        <f>IF(AND(HS_DB[[#This Row],[Origin Rank]]&gt;1,HS_DB[[#This Row],[Origin Rank]]&lt;=10),"Yes","No")</f>
        <v>No</v>
      </c>
      <c r="L251" s="2">
        <v>2024</v>
      </c>
      <c r="M251" s="2" t="s">
        <v>57</v>
      </c>
      <c r="N251" s="2" t="s">
        <v>53</v>
      </c>
      <c r="O251" s="2" t="s">
        <v>22</v>
      </c>
      <c r="P251" s="2" t="s">
        <v>23</v>
      </c>
      <c r="Q251" s="2" t="s">
        <v>24</v>
      </c>
      <c r="R251" s="2" t="s">
        <v>25</v>
      </c>
      <c r="S251" s="2">
        <v>170230</v>
      </c>
      <c r="T251" s="3">
        <v>214001</v>
      </c>
      <c r="U251" s="3">
        <v>179250</v>
      </c>
      <c r="V251" s="3">
        <v>0</v>
      </c>
      <c r="W251" s="3">
        <v>179250</v>
      </c>
      <c r="X251" s="3" t="s">
        <v>58</v>
      </c>
      <c r="Y251" s="3">
        <v>179250</v>
      </c>
      <c r="Z251" s="3" t="s">
        <v>58</v>
      </c>
      <c r="AA251" s="6">
        <f>SUMIFS(HS_DB[Trade Value - USD],HS_DB[Reporter],HS_DB[[#This Row],[Reporter]])/SUM(HS_DB[Trade Value - USD])</f>
        <v>1.4561232389604124E-2</v>
      </c>
      <c r="AB251" s="8" cm="1">
        <f t="array" ref="AB251">SUMPRODUCT(
(HS_DB[Reporter]=HS_DB[[#This Row],[Reporter]])*
(HS_DB[Trade Value - USD]&gt;HS_DB[[#This Row],[Trade Value - USD]])
)+1</f>
        <v>11</v>
      </c>
      <c r="AC251" s="8" t="str">
        <f>IFERROR(IF(INDEX(Heat_Map[Crisis Impact %],MATCH(HS_DB[[#This Row],[Reporter]],Heat_Map[Global],0),1)&gt;0,"Yes","No"),"No")</f>
        <v>No</v>
      </c>
      <c r="AD251" s="6">
        <f>IFERROR(INDEX(Heat_Map[Crisis Impact %],MATCH(HS_DB[[#This Row],[Reporter]],Heat_Map[Global],0),1),0)</f>
        <v>0</v>
      </c>
      <c r="AE251" s="8">
        <f>HS_DB[[#This Row],[Crisis Impact%]]*HS_DB[[#This Row],[Trade Value - USD]]</f>
        <v>0</v>
      </c>
      <c r="AF251" s="8">
        <f>HS_DB[[#This Row],[Crisis Impact%]]*HS_DB[[#This Row],[Net Weight -KG]]</f>
        <v>0</v>
      </c>
      <c r="AG251" s="6">
        <f>SUMIFS(HS_DB[Trade Value - USD],HS_DB[Products],HS_DB[[#This Row],[Products]])/SUM(HS_DB[Trade Value - USD])</f>
        <v>4.2079963121393268E-3</v>
      </c>
      <c r="AH251" s="8">
        <f>_xlfn.RANK.EQ(HS_DB[[#This Row],[Trade Value - USD]], HS_DB[Trade Value - USD], 0)
 + COUNTIFS(HS_DB[Trade Value - USD],HS_DB[[#This Row],[Trade Value - USD]],
            HS_DB[HS Code],"&lt;"&amp;HS_DB[[#This Row],[HS Code]])</f>
        <v>214</v>
      </c>
      <c r="AI251" s="9">
        <f>IFERROR(HS_DB[[#This Row],[Trade Value - USD]]/HS_DB[[#This Row],[Net Weight -KG]],0)</f>
        <v>1.1938688981868899</v>
      </c>
      <c r="AJ251" s="17" cm="1">
        <f t="array" ref="AJ251">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51" s="17" t="str">
        <f>IF(HS_DB[[#This Row],[HS Code Risk Score]]&gt;=40,"High",
 IF(HS_DB[[#This Row],[HS Code Risk Score]]&gt;=25,"Medium","Low"))</f>
        <v>Medium</v>
      </c>
      <c r="AL251" s="17" t="str">
        <f>IF(RANK(HS_DB[[#This Row],[HS Code Risk Score]],HS_DB[HS Code Risk Score])&lt;=10,"Yes","No")</f>
        <v>No</v>
      </c>
      <c r="AM251" s="8">
        <f>SUMIFS(HS_DB[Net Weight -KG],HS_DB[HS Code],HS_DB[[#This Row],[HS Code]])</f>
        <v>12795612.5</v>
      </c>
      <c r="AN251" s="8">
        <f>SUMIFS(HS_DB[Trade Value - USD],HS_DB[HS Code],HS_DB[[#This Row],[HS Code]])</f>
        <v>7932108</v>
      </c>
      <c r="AO251" s="6">
        <f>_xlfn.MAXIFS(HS_DB[Origin Share%],HS_DB[HS Code],HS_DB[[#This Row],[HS Code]])</f>
        <v>7.6648679233989533E-2</v>
      </c>
      <c r="AP251" s="8" cm="1">
        <f t="array" ref="AP251">_xlfn.LET(
_xlpm.hs,HS_DB[[#This Row],[HS Code]],
COUNTA(_xlfn.UNIQUE(_xlfn._xlws.FILTER(HS_DB[Reporter],HS_DB[HS Code]=_xlpm.hs)))
)</f>
        <v>9</v>
      </c>
      <c r="AQ251" s="17" t="str">
        <f>IF(HS_DB[[#This Row],[Origin Count]]=1,"Single Source","Multiple Sources")</f>
        <v>Multiple Sources</v>
      </c>
      <c r="AR251" s="8">
        <f>HS_DB[[#This Row],[Annual Spend - USD]]*(HS_DB[[#This Row],[HS Code Risk Score]]/100)</f>
        <v>2696916.72</v>
      </c>
      <c r="AS251" s="8">
        <f>RANK(HS_DB[[#This Row],[Risk Exposure - USD]],HS_DB[Risk Exposure - USD],0)</f>
        <v>346</v>
      </c>
      <c r="AT251" s="8" t="str">
        <f>IF(HS_DB[[#This Row],[Risk Exposure Rank]]&lt;=10,"High",
 IF(HS_DB[[#This Row],[Risk Exposure Rank]]&lt;=30,"Medium",
 "Low"))</f>
        <v>Low</v>
      </c>
      <c r="AU251" s="8" t="str">
        <f>IF(HS_DB[[#This Row],[Risk Exposure Rank]]&lt;=5,"Immediate Action",
 IF(HS_DB[[#This Row],[Risk Exposure Rank]]&lt;=15,"Monitor Closely",
 "Routine Control"))</f>
        <v>Routine Control</v>
      </c>
      <c r="AV251" s="8">
        <f>SUMIFS(HS_DB[Trade Value - USD],HS_DB[HS Code],HS_DB[[#This Row],[HS Code]])</f>
        <v>7932108</v>
      </c>
      <c r="AW251" s="6">
        <f>HS_DB[[#This Row],[Annual Spend - USD]]/HS_DB[[#This Row],[Total Market Size - USD]]</f>
        <v>1</v>
      </c>
      <c r="AX251" s="6" cm="1">
        <f t="array" ref="AX251">COUNTA(_xlfn.UNIQUE(_xlfn._xlws.FILTER(HS_DB[Partner],HS_DB[HS Code]=HS_DB[[#This Row],[HS Code]])))</f>
        <v>1</v>
      </c>
      <c r="AY251" s="8" t="str">
        <f>IF(HS_DB[[#This Row],[Competition Intensity]]&lt;=2,"Highly Concentrated",
 IF(HS_DB[[#This Row],[Competition Intensity]]&lt;=5,"Moderate",
 "Highly Competitive"))</f>
        <v>Highly Concentrated</v>
      </c>
      <c r="AZ251" s="8">
        <f>HS_DB[[#This Row],[Total Market Size - USD]]
*
(1+IFERROR(#REF!,0))
/
HS_DB[[#This Row],[Competition Intensity]]</f>
        <v>7932108</v>
      </c>
      <c r="BA251" s="8" t="str">
        <f>IF(HS_DB[[#This Row],[Commercial Opportunity Score]]&gt;=PERCENTILE(HS_DB[Commercial Opportunity Score],0.9),"High Opportunity",
 IF(HS_DB[[#This Row],[Commercial Opportunity Score]]&gt;=PERCENTILE(HS_DB[Commercial Opportunity Score],0.6),"Medium Opportunity",
 "Routine Market"))</f>
        <v>Routine Market</v>
      </c>
      <c r="BB251" s="3" t="str">
        <f>IF(AND(HS_DB[[#This Row],[Product Rank]]&gt;0,HS_DB[[#This Row],[Product Rank]]&lt;=10),"Yes","No")</f>
        <v>No</v>
      </c>
      <c r="BC251" s="3" t="str">
        <f>IF(AND(HS_DB[[#This Row],[Origin Rank]]&gt;0,HS_DB[[#This Row],[Origin Rank]]&lt;=10),"Yes","No")</f>
        <v>No</v>
      </c>
    </row>
    <row r="252" spans="2:55" x14ac:dyDescent="0.3">
      <c r="B252" s="2">
        <f>HS_DB[[#This Row],[Commodity Code]]</f>
        <v>170230</v>
      </c>
      <c r="C252" s="2">
        <f>IFERROR(INDEX(HS_MD!C:C,MATCH(B252,HS_MD!B:B,0),1),"")</f>
        <v>19</v>
      </c>
      <c r="D252" s="17" t="str">
        <f>IFERROR(INDEX(HS_MD!D:D,MATCH(B252,HS_MD!B:B,0),1),"")</f>
        <v>Glucose and syrup</v>
      </c>
      <c r="E252" s="17" t="str">
        <f>IFERROR(INDEX(HS_MD!E:E,MATCH(B252,HS_MD!B:B,0),1),"")</f>
        <v>Glucose Syrup</v>
      </c>
      <c r="F252" s="17" t="str">
        <f>IFERROR(INDEX(HS_MD!F:F,MATCH(B252,HS_MD!B:B,0),1),"")</f>
        <v>SWEETENERS</v>
      </c>
      <c r="G252" s="17" t="str">
        <f>IFERROR(INDEX(HS_MD!G:G,MATCH(B252,HS_MD!B:B,0),1),"")</f>
        <v>Bulk Sweeteners</v>
      </c>
      <c r="H252" s="17" t="str">
        <f>IFERROR(INDEX(HS_MD!H:H,MATCH(B252,HS_MD!B:B,0),1),"")</f>
        <v>Glucose Syrup</v>
      </c>
      <c r="I252" s="17" t="str">
        <f>IFERROR(INDEX(HS_MD!I:I,MATCH(B252,HS_MD!B:B,0),1),"")</f>
        <v>Bakery / Confectionery</v>
      </c>
      <c r="J252" s="17">
        <f>IFERROR(INDEX(Heat_Map[Index],MATCH(HS_DB[[#This Row],[Reporter]],Heat_Map[Global],0),1),"")</f>
        <v>75</v>
      </c>
      <c r="K252" s="17" t="str">
        <f>IF(AND(HS_DB[[#This Row],[Origin Rank]]&gt;1,HS_DB[[#This Row],[Origin Rank]]&lt;=10),"Yes","No")</f>
        <v>No</v>
      </c>
      <c r="L252" s="2">
        <v>2024</v>
      </c>
      <c r="M252" s="2" t="s">
        <v>57</v>
      </c>
      <c r="N252" s="2" t="s">
        <v>8</v>
      </c>
      <c r="O252" s="2" t="s">
        <v>22</v>
      </c>
      <c r="P252" s="2" t="s">
        <v>23</v>
      </c>
      <c r="Q252" s="2" t="s">
        <v>24</v>
      </c>
      <c r="R252" s="2" t="s">
        <v>25</v>
      </c>
      <c r="S252" s="2">
        <v>170230</v>
      </c>
      <c r="T252" s="3">
        <v>643148</v>
      </c>
      <c r="U252" s="3">
        <v>1040450</v>
      </c>
      <c r="V252" s="3">
        <v>0</v>
      </c>
      <c r="W252" s="3">
        <v>1040450</v>
      </c>
      <c r="X252" s="3" t="s">
        <v>58</v>
      </c>
      <c r="Y252" s="3">
        <v>1040450</v>
      </c>
      <c r="Z252" s="3" t="s">
        <v>58</v>
      </c>
      <c r="AA252" s="6">
        <f>SUMIFS(HS_DB[Trade Value - USD],HS_DB[Reporter],HS_DB[[#This Row],[Reporter]])/SUM(HS_DB[Trade Value - USD])</f>
        <v>2.2441761060335613E-2</v>
      </c>
      <c r="AB252" s="8" cm="1">
        <f t="array" ref="AB252">SUMPRODUCT(
(HS_DB[Reporter]=HS_DB[[#This Row],[Reporter]])*
(HS_DB[Trade Value - USD]&gt;HS_DB[[#This Row],[Trade Value - USD]])
)+1</f>
        <v>14</v>
      </c>
      <c r="AC252" s="8" t="str">
        <f>IFERROR(IF(INDEX(Heat_Map[Crisis Impact %],MATCH(HS_DB[[#This Row],[Reporter]],Heat_Map[Global],0),1)&gt;0,"Yes","No"),"No")</f>
        <v>No</v>
      </c>
      <c r="AD252" s="6">
        <f>IFERROR(INDEX(Heat_Map[Crisis Impact %],MATCH(HS_DB[[#This Row],[Reporter]],Heat_Map[Global],0),1),0)</f>
        <v>0</v>
      </c>
      <c r="AE252" s="8">
        <f>HS_DB[[#This Row],[Crisis Impact%]]*HS_DB[[#This Row],[Trade Value - USD]]</f>
        <v>0</v>
      </c>
      <c r="AF252" s="8">
        <f>HS_DB[[#This Row],[Crisis Impact%]]*HS_DB[[#This Row],[Net Weight -KG]]</f>
        <v>0</v>
      </c>
      <c r="AG252" s="6">
        <f>SUMIFS(HS_DB[Trade Value - USD],HS_DB[Products],HS_DB[[#This Row],[Products]])/SUM(HS_DB[Trade Value - USD])</f>
        <v>4.2079963121393268E-3</v>
      </c>
      <c r="AH252" s="8">
        <f>_xlfn.RANK.EQ(HS_DB[[#This Row],[Trade Value - USD]], HS_DB[Trade Value - USD], 0)
 + COUNTIFS(HS_DB[Trade Value - USD],HS_DB[[#This Row],[Trade Value - USD]],
            HS_DB[HS Code],"&lt;"&amp;HS_DB[[#This Row],[HS Code]])</f>
        <v>131</v>
      </c>
      <c r="AI252" s="9">
        <f>IFERROR(HS_DB[[#This Row],[Trade Value - USD]]/HS_DB[[#This Row],[Net Weight -KG]],0)</f>
        <v>0.61814407227641888</v>
      </c>
      <c r="AJ252" s="17" cm="1">
        <f t="array" ref="AJ252">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52" s="17" t="str">
        <f>IF(HS_DB[[#This Row],[HS Code Risk Score]]&gt;=40,"High",
 IF(HS_DB[[#This Row],[HS Code Risk Score]]&gt;=25,"Medium","Low"))</f>
        <v>Medium</v>
      </c>
      <c r="AL252" s="17" t="str">
        <f>IF(RANK(HS_DB[[#This Row],[HS Code Risk Score]],HS_DB[HS Code Risk Score])&lt;=10,"Yes","No")</f>
        <v>No</v>
      </c>
      <c r="AM252" s="8">
        <f>SUMIFS(HS_DB[Net Weight -KG],HS_DB[HS Code],HS_DB[[#This Row],[HS Code]])</f>
        <v>12795612.5</v>
      </c>
      <c r="AN252" s="8">
        <f>SUMIFS(HS_DB[Trade Value - USD],HS_DB[HS Code],HS_DB[[#This Row],[HS Code]])</f>
        <v>7932108</v>
      </c>
      <c r="AO252" s="6">
        <f>_xlfn.MAXIFS(HS_DB[Origin Share%],HS_DB[HS Code],HS_DB[[#This Row],[HS Code]])</f>
        <v>7.6648679233989533E-2</v>
      </c>
      <c r="AP252" s="8" cm="1">
        <f t="array" ref="AP252">_xlfn.LET(
_xlpm.hs,HS_DB[[#This Row],[HS Code]],
COUNTA(_xlfn.UNIQUE(_xlfn._xlws.FILTER(HS_DB[Reporter],HS_DB[HS Code]=_xlpm.hs)))
)</f>
        <v>9</v>
      </c>
      <c r="AQ252" s="17" t="str">
        <f>IF(HS_DB[[#This Row],[Origin Count]]=1,"Single Source","Multiple Sources")</f>
        <v>Multiple Sources</v>
      </c>
      <c r="AR252" s="8">
        <f>HS_DB[[#This Row],[Annual Spend - USD]]*(HS_DB[[#This Row],[HS Code Risk Score]]/100)</f>
        <v>2696916.72</v>
      </c>
      <c r="AS252" s="8">
        <f>RANK(HS_DB[[#This Row],[Risk Exposure - USD]],HS_DB[Risk Exposure - USD],0)</f>
        <v>346</v>
      </c>
      <c r="AT252" s="8" t="str">
        <f>IF(HS_DB[[#This Row],[Risk Exposure Rank]]&lt;=10,"High",
 IF(HS_DB[[#This Row],[Risk Exposure Rank]]&lt;=30,"Medium",
 "Low"))</f>
        <v>Low</v>
      </c>
      <c r="AU252" s="8" t="str">
        <f>IF(HS_DB[[#This Row],[Risk Exposure Rank]]&lt;=5,"Immediate Action",
 IF(HS_DB[[#This Row],[Risk Exposure Rank]]&lt;=15,"Monitor Closely",
 "Routine Control"))</f>
        <v>Routine Control</v>
      </c>
      <c r="AV252" s="8">
        <f>SUMIFS(HS_DB[Trade Value - USD],HS_DB[HS Code],HS_DB[[#This Row],[HS Code]])</f>
        <v>7932108</v>
      </c>
      <c r="AW252" s="6">
        <f>HS_DB[[#This Row],[Annual Spend - USD]]/HS_DB[[#This Row],[Total Market Size - USD]]</f>
        <v>1</v>
      </c>
      <c r="AX252" s="6" cm="1">
        <f t="array" ref="AX252">COUNTA(_xlfn.UNIQUE(_xlfn._xlws.FILTER(HS_DB[Partner],HS_DB[HS Code]=HS_DB[[#This Row],[HS Code]])))</f>
        <v>1</v>
      </c>
      <c r="AY252" s="8" t="str">
        <f>IF(HS_DB[[#This Row],[Competition Intensity]]&lt;=2,"Highly Concentrated",
 IF(HS_DB[[#This Row],[Competition Intensity]]&lt;=5,"Moderate",
 "Highly Competitive"))</f>
        <v>Highly Concentrated</v>
      </c>
      <c r="AZ252" s="8">
        <f>HS_DB[[#This Row],[Total Market Size - USD]]
*
(1+IFERROR(#REF!,0))
/
HS_DB[[#This Row],[Competition Intensity]]</f>
        <v>7932108</v>
      </c>
      <c r="BA252" s="8" t="str">
        <f>IF(HS_DB[[#This Row],[Commercial Opportunity Score]]&gt;=PERCENTILE(HS_DB[Commercial Opportunity Score],0.9),"High Opportunity",
 IF(HS_DB[[#This Row],[Commercial Opportunity Score]]&gt;=PERCENTILE(HS_DB[Commercial Opportunity Score],0.6),"Medium Opportunity",
 "Routine Market"))</f>
        <v>Routine Market</v>
      </c>
      <c r="BB252" s="3" t="str">
        <f>IF(AND(HS_DB[[#This Row],[Product Rank]]&gt;0,HS_DB[[#This Row],[Product Rank]]&lt;=10),"Yes","No")</f>
        <v>No</v>
      </c>
      <c r="BC252" s="3" t="str">
        <f>IF(AND(HS_DB[[#This Row],[Origin Rank]]&gt;0,HS_DB[[#This Row],[Origin Rank]]&lt;=10),"Yes","No")</f>
        <v>No</v>
      </c>
    </row>
    <row r="253" spans="2:55" x14ac:dyDescent="0.3">
      <c r="B253" s="2">
        <f>HS_DB[[#This Row],[Commodity Code]]</f>
        <v>170230</v>
      </c>
      <c r="C253" s="2">
        <f>IFERROR(INDEX(HS_MD!C:C,MATCH(B253,HS_MD!B:B,0),1),"")</f>
        <v>19</v>
      </c>
      <c r="D253" s="17" t="str">
        <f>IFERROR(INDEX(HS_MD!D:D,MATCH(B253,HS_MD!B:B,0),1),"")</f>
        <v>Glucose and syrup</v>
      </c>
      <c r="E253" s="17" t="str">
        <f>IFERROR(INDEX(HS_MD!E:E,MATCH(B253,HS_MD!B:B,0),1),"")</f>
        <v>Glucose Syrup</v>
      </c>
      <c r="F253" s="17" t="str">
        <f>IFERROR(INDEX(HS_MD!F:F,MATCH(B253,HS_MD!B:B,0),1),"")</f>
        <v>SWEETENERS</v>
      </c>
      <c r="G253" s="17" t="str">
        <f>IFERROR(INDEX(HS_MD!G:G,MATCH(B253,HS_MD!B:B,0),1),"")</f>
        <v>Bulk Sweeteners</v>
      </c>
      <c r="H253" s="17" t="str">
        <f>IFERROR(INDEX(HS_MD!H:H,MATCH(B253,HS_MD!B:B,0),1),"")</f>
        <v>Glucose Syrup</v>
      </c>
      <c r="I253" s="17" t="str">
        <f>IFERROR(INDEX(HS_MD!I:I,MATCH(B253,HS_MD!B:B,0),1),"")</f>
        <v>Bakery / Confectionery</v>
      </c>
      <c r="J253" s="17">
        <f>IFERROR(INDEX(Heat_Map[Index],MATCH(HS_DB[[#This Row],[Reporter]],Heat_Map[Global],0),1),"")</f>
        <v>159</v>
      </c>
      <c r="K253" s="17" t="str">
        <f>IF(AND(HS_DB[[#This Row],[Origin Rank]]&gt;1,HS_DB[[#This Row],[Origin Rank]]&lt;=10),"Yes","No")</f>
        <v>No</v>
      </c>
      <c r="L253" s="2">
        <v>2024</v>
      </c>
      <c r="M253" s="2" t="s">
        <v>57</v>
      </c>
      <c r="N253" s="2" t="s">
        <v>30</v>
      </c>
      <c r="O253" s="2" t="s">
        <v>22</v>
      </c>
      <c r="P253" s="2" t="s">
        <v>23</v>
      </c>
      <c r="Q253" s="2" t="s">
        <v>24</v>
      </c>
      <c r="R253" s="2" t="s">
        <v>25</v>
      </c>
      <c r="S253" s="2">
        <v>170230</v>
      </c>
      <c r="T253" s="3">
        <v>89</v>
      </c>
      <c r="U253" s="3">
        <v>2.5</v>
      </c>
      <c r="V253" s="3">
        <v>0</v>
      </c>
      <c r="W253" s="3">
        <v>3</v>
      </c>
      <c r="X253" s="3" t="s">
        <v>58</v>
      </c>
      <c r="Y253" s="3">
        <v>3</v>
      </c>
      <c r="Z253" s="3" t="s">
        <v>58</v>
      </c>
      <c r="AA253" s="6">
        <f>SUMIFS(HS_DB[Trade Value - USD],HS_DB[Reporter],HS_DB[[#This Row],[Reporter]])/SUM(HS_DB[Trade Value - USD])</f>
        <v>6.110186869383482E-3</v>
      </c>
      <c r="AB253" s="8" cm="1">
        <f t="array" ref="AB253">SUMPRODUCT(
(HS_DB[Reporter]=HS_DB[[#This Row],[Reporter]])*
(HS_DB[Trade Value - USD]&gt;HS_DB[[#This Row],[Trade Value - USD]])
)+1</f>
        <v>29</v>
      </c>
      <c r="AC253" s="8" t="str">
        <f>IFERROR(IF(INDEX(Heat_Map[Crisis Impact %],MATCH(HS_DB[[#This Row],[Reporter]],Heat_Map[Global],0),1)&gt;0,"Yes","No"),"No")</f>
        <v>No</v>
      </c>
      <c r="AD253" s="6">
        <f>IFERROR(INDEX(Heat_Map[Crisis Impact %],MATCH(HS_DB[[#This Row],[Reporter]],Heat_Map[Global],0),1),0)</f>
        <v>0</v>
      </c>
      <c r="AE253" s="8">
        <f>HS_DB[[#This Row],[Crisis Impact%]]*HS_DB[[#This Row],[Trade Value - USD]]</f>
        <v>0</v>
      </c>
      <c r="AF253" s="8">
        <f>HS_DB[[#This Row],[Crisis Impact%]]*HS_DB[[#This Row],[Net Weight -KG]]</f>
        <v>0</v>
      </c>
      <c r="AG253" s="6">
        <f>SUMIFS(HS_DB[Trade Value - USD],HS_DB[Products],HS_DB[[#This Row],[Products]])/SUM(HS_DB[Trade Value - USD])</f>
        <v>4.2079963121393268E-3</v>
      </c>
      <c r="AH253" s="8">
        <f>_xlfn.RANK.EQ(HS_DB[[#This Row],[Trade Value - USD]], HS_DB[Trade Value - USD], 0)
 + COUNTIFS(HS_DB[Trade Value - USD],HS_DB[[#This Row],[Trade Value - USD]],
            HS_DB[HS Code],"&lt;"&amp;HS_DB[[#This Row],[HS Code]])</f>
        <v>520</v>
      </c>
      <c r="AI253" s="9">
        <f>IFERROR(HS_DB[[#This Row],[Trade Value - USD]]/HS_DB[[#This Row],[Net Weight -KG]],0)</f>
        <v>35.6</v>
      </c>
      <c r="AJ253" s="17" cm="1">
        <f t="array" ref="AJ253">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53" s="17" t="str">
        <f>IF(HS_DB[[#This Row],[HS Code Risk Score]]&gt;=40,"High",
 IF(HS_DB[[#This Row],[HS Code Risk Score]]&gt;=25,"Medium","Low"))</f>
        <v>Medium</v>
      </c>
      <c r="AL253" s="17" t="str">
        <f>IF(RANK(HS_DB[[#This Row],[HS Code Risk Score]],HS_DB[HS Code Risk Score])&lt;=10,"Yes","No")</f>
        <v>No</v>
      </c>
      <c r="AM253" s="8">
        <f>SUMIFS(HS_DB[Net Weight -KG],HS_DB[HS Code],HS_DB[[#This Row],[HS Code]])</f>
        <v>12795612.5</v>
      </c>
      <c r="AN253" s="8">
        <f>SUMIFS(HS_DB[Trade Value - USD],HS_DB[HS Code],HS_DB[[#This Row],[HS Code]])</f>
        <v>7932108</v>
      </c>
      <c r="AO253" s="6">
        <f>_xlfn.MAXIFS(HS_DB[Origin Share%],HS_DB[HS Code],HS_DB[[#This Row],[HS Code]])</f>
        <v>7.6648679233989533E-2</v>
      </c>
      <c r="AP253" s="8" cm="1">
        <f t="array" ref="AP253">_xlfn.LET(
_xlpm.hs,HS_DB[[#This Row],[HS Code]],
COUNTA(_xlfn.UNIQUE(_xlfn._xlws.FILTER(HS_DB[Reporter],HS_DB[HS Code]=_xlpm.hs)))
)</f>
        <v>9</v>
      </c>
      <c r="AQ253" s="17" t="str">
        <f>IF(HS_DB[[#This Row],[Origin Count]]=1,"Single Source","Multiple Sources")</f>
        <v>Multiple Sources</v>
      </c>
      <c r="AR253" s="8">
        <f>HS_DB[[#This Row],[Annual Spend - USD]]*(HS_DB[[#This Row],[HS Code Risk Score]]/100)</f>
        <v>2696916.72</v>
      </c>
      <c r="AS253" s="8">
        <f>RANK(HS_DB[[#This Row],[Risk Exposure - USD]],HS_DB[Risk Exposure - USD],0)</f>
        <v>346</v>
      </c>
      <c r="AT253" s="8" t="str">
        <f>IF(HS_DB[[#This Row],[Risk Exposure Rank]]&lt;=10,"High",
 IF(HS_DB[[#This Row],[Risk Exposure Rank]]&lt;=30,"Medium",
 "Low"))</f>
        <v>Low</v>
      </c>
      <c r="AU253" s="8" t="str">
        <f>IF(HS_DB[[#This Row],[Risk Exposure Rank]]&lt;=5,"Immediate Action",
 IF(HS_DB[[#This Row],[Risk Exposure Rank]]&lt;=15,"Monitor Closely",
 "Routine Control"))</f>
        <v>Routine Control</v>
      </c>
      <c r="AV253" s="8">
        <f>SUMIFS(HS_DB[Trade Value - USD],HS_DB[HS Code],HS_DB[[#This Row],[HS Code]])</f>
        <v>7932108</v>
      </c>
      <c r="AW253" s="6">
        <f>HS_DB[[#This Row],[Annual Spend - USD]]/HS_DB[[#This Row],[Total Market Size - USD]]</f>
        <v>1</v>
      </c>
      <c r="AX253" s="6" cm="1">
        <f t="array" ref="AX253">COUNTA(_xlfn.UNIQUE(_xlfn._xlws.FILTER(HS_DB[Partner],HS_DB[HS Code]=HS_DB[[#This Row],[HS Code]])))</f>
        <v>1</v>
      </c>
      <c r="AY253" s="8" t="str">
        <f>IF(HS_DB[[#This Row],[Competition Intensity]]&lt;=2,"Highly Concentrated",
 IF(HS_DB[[#This Row],[Competition Intensity]]&lt;=5,"Moderate",
 "Highly Competitive"))</f>
        <v>Highly Concentrated</v>
      </c>
      <c r="AZ253" s="8">
        <f>HS_DB[[#This Row],[Total Market Size - USD]]
*
(1+IFERROR(#REF!,0))
/
HS_DB[[#This Row],[Competition Intensity]]</f>
        <v>7932108</v>
      </c>
      <c r="BA253" s="8" t="str">
        <f>IF(HS_DB[[#This Row],[Commercial Opportunity Score]]&gt;=PERCENTILE(HS_DB[Commercial Opportunity Score],0.9),"High Opportunity",
 IF(HS_DB[[#This Row],[Commercial Opportunity Score]]&gt;=PERCENTILE(HS_DB[Commercial Opportunity Score],0.6),"Medium Opportunity",
 "Routine Market"))</f>
        <v>Routine Market</v>
      </c>
      <c r="BB253" s="3" t="str">
        <f>IF(AND(HS_DB[[#This Row],[Product Rank]]&gt;0,HS_DB[[#This Row],[Product Rank]]&lt;=10),"Yes","No")</f>
        <v>No</v>
      </c>
      <c r="BC253" s="3" t="str">
        <f>IF(AND(HS_DB[[#This Row],[Origin Rank]]&gt;0,HS_DB[[#This Row],[Origin Rank]]&lt;=10),"Yes","No")</f>
        <v>No</v>
      </c>
    </row>
    <row r="254" spans="2:55" x14ac:dyDescent="0.3">
      <c r="B254" s="2">
        <f>HS_DB[[#This Row],[Commodity Code]]</f>
        <v>170230</v>
      </c>
      <c r="C254" s="2">
        <f>IFERROR(INDEX(HS_MD!C:C,MATCH(B254,HS_MD!B:B,0),1),"")</f>
        <v>19</v>
      </c>
      <c r="D254" s="17" t="str">
        <f>IFERROR(INDEX(HS_MD!D:D,MATCH(B254,HS_MD!B:B,0),1),"")</f>
        <v>Glucose and syrup</v>
      </c>
      <c r="E254" s="17" t="str">
        <f>IFERROR(INDEX(HS_MD!E:E,MATCH(B254,HS_MD!B:B,0),1),"")</f>
        <v>Glucose Syrup</v>
      </c>
      <c r="F254" s="17" t="str">
        <f>IFERROR(INDEX(HS_MD!F:F,MATCH(B254,HS_MD!B:B,0),1),"")</f>
        <v>SWEETENERS</v>
      </c>
      <c r="G254" s="17" t="str">
        <f>IFERROR(INDEX(HS_MD!G:G,MATCH(B254,HS_MD!B:B,0),1),"")</f>
        <v>Bulk Sweeteners</v>
      </c>
      <c r="H254" s="17" t="str">
        <f>IFERROR(INDEX(HS_MD!H:H,MATCH(B254,HS_MD!B:B,0),1),"")</f>
        <v>Glucose Syrup</v>
      </c>
      <c r="I254" s="17" t="str">
        <f>IFERROR(INDEX(HS_MD!I:I,MATCH(B254,HS_MD!B:B,0),1),"")</f>
        <v>Bakery / Confectionery</v>
      </c>
      <c r="J254" s="17">
        <f>IFERROR(INDEX(Heat_Map[Index],MATCH(HS_DB[[#This Row],[Reporter]],Heat_Map[Global],0),1),"")</f>
        <v>169</v>
      </c>
      <c r="K254" s="17" t="str">
        <f>IF(AND(HS_DB[[#This Row],[Origin Rank]]&gt;1,HS_DB[[#This Row],[Origin Rank]]&lt;=10),"Yes","No")</f>
        <v>Yes</v>
      </c>
      <c r="L254" s="2">
        <v>2024</v>
      </c>
      <c r="M254" s="2" t="s">
        <v>57</v>
      </c>
      <c r="N254" s="2" t="s">
        <v>33</v>
      </c>
      <c r="O254" s="2" t="s">
        <v>22</v>
      </c>
      <c r="P254" s="2" t="s">
        <v>23</v>
      </c>
      <c r="Q254" s="2" t="s">
        <v>24</v>
      </c>
      <c r="R254" s="2" t="s">
        <v>25</v>
      </c>
      <c r="S254" s="2">
        <v>170230</v>
      </c>
      <c r="T254" s="3">
        <v>11347</v>
      </c>
      <c r="U254" s="3">
        <v>75650</v>
      </c>
      <c r="V254" s="3">
        <v>0</v>
      </c>
      <c r="W254" s="3">
        <v>75650</v>
      </c>
      <c r="X254" s="3" t="s">
        <v>58</v>
      </c>
      <c r="Y254" s="3">
        <v>75650</v>
      </c>
      <c r="Z254" s="3" t="s">
        <v>58</v>
      </c>
      <c r="AA254" s="6">
        <f>SUMIFS(HS_DB[Trade Value - USD],HS_DB[Reporter],HS_DB[[#This Row],[Reporter]])/SUM(HS_DB[Trade Value - USD])</f>
        <v>8.0337630087875059E-4</v>
      </c>
      <c r="AB254" s="8" cm="1">
        <f t="array" ref="AB254">SUMPRODUCT(
(HS_DB[Reporter]=HS_DB[[#This Row],[Reporter]])*
(HS_DB[Trade Value - USD]&gt;HS_DB[[#This Row],[Trade Value - USD]])
)+1</f>
        <v>5</v>
      </c>
      <c r="AC254" s="8" t="str">
        <f>IFERROR(IF(INDEX(Heat_Map[Crisis Impact %],MATCH(HS_DB[[#This Row],[Reporter]],Heat_Map[Global],0),1)&gt;0,"Yes","No"),"No")</f>
        <v>No</v>
      </c>
      <c r="AD254" s="6">
        <f>IFERROR(INDEX(Heat_Map[Crisis Impact %],MATCH(HS_DB[[#This Row],[Reporter]],Heat_Map[Global],0),1),0)</f>
        <v>0</v>
      </c>
      <c r="AE254" s="8">
        <f>HS_DB[[#This Row],[Crisis Impact%]]*HS_DB[[#This Row],[Trade Value - USD]]</f>
        <v>0</v>
      </c>
      <c r="AF254" s="8">
        <f>HS_DB[[#This Row],[Crisis Impact%]]*HS_DB[[#This Row],[Net Weight -KG]]</f>
        <v>0</v>
      </c>
      <c r="AG254" s="6">
        <f>SUMIFS(HS_DB[Trade Value - USD],HS_DB[Products],HS_DB[[#This Row],[Products]])/SUM(HS_DB[Trade Value - USD])</f>
        <v>4.2079963121393268E-3</v>
      </c>
      <c r="AH254" s="8">
        <f>_xlfn.RANK.EQ(HS_DB[[#This Row],[Trade Value - USD]], HS_DB[Trade Value - USD], 0)
 + COUNTIFS(HS_DB[Trade Value - USD],HS_DB[[#This Row],[Trade Value - USD]],
            HS_DB[HS Code],"&lt;"&amp;HS_DB[[#This Row],[HS Code]])</f>
        <v>408</v>
      </c>
      <c r="AI254" s="9">
        <f>IFERROR(HS_DB[[#This Row],[Trade Value - USD]]/HS_DB[[#This Row],[Net Weight -KG]],0)</f>
        <v>0.14999339061467284</v>
      </c>
      <c r="AJ254" s="17" cm="1">
        <f t="array" ref="AJ254">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54" s="17" t="str">
        <f>IF(HS_DB[[#This Row],[HS Code Risk Score]]&gt;=40,"High",
 IF(HS_DB[[#This Row],[HS Code Risk Score]]&gt;=25,"Medium","Low"))</f>
        <v>Medium</v>
      </c>
      <c r="AL254" s="17" t="str">
        <f>IF(RANK(HS_DB[[#This Row],[HS Code Risk Score]],HS_DB[HS Code Risk Score])&lt;=10,"Yes","No")</f>
        <v>No</v>
      </c>
      <c r="AM254" s="8">
        <f>SUMIFS(HS_DB[Net Weight -KG],HS_DB[HS Code],HS_DB[[#This Row],[HS Code]])</f>
        <v>12795612.5</v>
      </c>
      <c r="AN254" s="8">
        <f>SUMIFS(HS_DB[Trade Value - USD],HS_DB[HS Code],HS_DB[[#This Row],[HS Code]])</f>
        <v>7932108</v>
      </c>
      <c r="AO254" s="6">
        <f>_xlfn.MAXIFS(HS_DB[Origin Share%],HS_DB[HS Code],HS_DB[[#This Row],[HS Code]])</f>
        <v>7.6648679233989533E-2</v>
      </c>
      <c r="AP254" s="8" cm="1">
        <f t="array" ref="AP254">_xlfn.LET(
_xlpm.hs,HS_DB[[#This Row],[HS Code]],
COUNTA(_xlfn.UNIQUE(_xlfn._xlws.FILTER(HS_DB[Reporter],HS_DB[HS Code]=_xlpm.hs)))
)</f>
        <v>9</v>
      </c>
      <c r="AQ254" s="17" t="str">
        <f>IF(HS_DB[[#This Row],[Origin Count]]=1,"Single Source","Multiple Sources")</f>
        <v>Multiple Sources</v>
      </c>
      <c r="AR254" s="8">
        <f>HS_DB[[#This Row],[Annual Spend - USD]]*(HS_DB[[#This Row],[HS Code Risk Score]]/100)</f>
        <v>2696916.72</v>
      </c>
      <c r="AS254" s="8">
        <f>RANK(HS_DB[[#This Row],[Risk Exposure - USD]],HS_DB[Risk Exposure - USD],0)</f>
        <v>346</v>
      </c>
      <c r="AT254" s="8" t="str">
        <f>IF(HS_DB[[#This Row],[Risk Exposure Rank]]&lt;=10,"High",
 IF(HS_DB[[#This Row],[Risk Exposure Rank]]&lt;=30,"Medium",
 "Low"))</f>
        <v>Low</v>
      </c>
      <c r="AU254" s="8" t="str">
        <f>IF(HS_DB[[#This Row],[Risk Exposure Rank]]&lt;=5,"Immediate Action",
 IF(HS_DB[[#This Row],[Risk Exposure Rank]]&lt;=15,"Monitor Closely",
 "Routine Control"))</f>
        <v>Routine Control</v>
      </c>
      <c r="AV254" s="8">
        <f>SUMIFS(HS_DB[Trade Value - USD],HS_DB[HS Code],HS_DB[[#This Row],[HS Code]])</f>
        <v>7932108</v>
      </c>
      <c r="AW254" s="6">
        <f>HS_DB[[#This Row],[Annual Spend - USD]]/HS_DB[[#This Row],[Total Market Size - USD]]</f>
        <v>1</v>
      </c>
      <c r="AX254" s="6" cm="1">
        <f t="array" ref="AX254">COUNTA(_xlfn.UNIQUE(_xlfn._xlws.FILTER(HS_DB[Partner],HS_DB[HS Code]=HS_DB[[#This Row],[HS Code]])))</f>
        <v>1</v>
      </c>
      <c r="AY254" s="8" t="str">
        <f>IF(HS_DB[[#This Row],[Competition Intensity]]&lt;=2,"Highly Concentrated",
 IF(HS_DB[[#This Row],[Competition Intensity]]&lt;=5,"Moderate",
 "Highly Competitive"))</f>
        <v>Highly Concentrated</v>
      </c>
      <c r="AZ254" s="8">
        <f>HS_DB[[#This Row],[Total Market Size - USD]]
*
(1+IFERROR(#REF!,0))
/
HS_DB[[#This Row],[Competition Intensity]]</f>
        <v>7932108</v>
      </c>
      <c r="BA254" s="8" t="str">
        <f>IF(HS_DB[[#This Row],[Commercial Opportunity Score]]&gt;=PERCENTILE(HS_DB[Commercial Opportunity Score],0.9),"High Opportunity",
 IF(HS_DB[[#This Row],[Commercial Opportunity Score]]&gt;=PERCENTILE(HS_DB[Commercial Opportunity Score],0.6),"Medium Opportunity",
 "Routine Market"))</f>
        <v>Routine Market</v>
      </c>
      <c r="BB254" s="3" t="str">
        <f>IF(AND(HS_DB[[#This Row],[Product Rank]]&gt;0,HS_DB[[#This Row],[Product Rank]]&lt;=10),"Yes","No")</f>
        <v>No</v>
      </c>
      <c r="BC254" s="3" t="str">
        <f>IF(AND(HS_DB[[#This Row],[Origin Rank]]&gt;0,HS_DB[[#This Row],[Origin Rank]]&lt;=10),"Yes","No")</f>
        <v>Yes</v>
      </c>
    </row>
    <row r="255" spans="2:55" x14ac:dyDescent="0.3">
      <c r="B255" s="2">
        <f>HS_DB[[#This Row],[Commodity Code]]</f>
        <v>170230</v>
      </c>
      <c r="C255" s="2">
        <f>IFERROR(INDEX(HS_MD!C:C,MATCH(B255,HS_MD!B:B,0),1),"")</f>
        <v>19</v>
      </c>
      <c r="D255" s="17" t="str">
        <f>IFERROR(INDEX(HS_MD!D:D,MATCH(B255,HS_MD!B:B,0),1),"")</f>
        <v>Glucose and syrup</v>
      </c>
      <c r="E255" s="17" t="str">
        <f>IFERROR(INDEX(HS_MD!E:E,MATCH(B255,HS_MD!B:B,0),1),"")</f>
        <v>Glucose Syrup</v>
      </c>
      <c r="F255" s="17" t="str">
        <f>IFERROR(INDEX(HS_MD!F:F,MATCH(B255,HS_MD!B:B,0),1),"")</f>
        <v>SWEETENERS</v>
      </c>
      <c r="G255" s="17" t="str">
        <f>IFERROR(INDEX(HS_MD!G:G,MATCH(B255,HS_MD!B:B,0),1),"")</f>
        <v>Bulk Sweeteners</v>
      </c>
      <c r="H255" s="17" t="str">
        <f>IFERROR(INDEX(HS_MD!H:H,MATCH(B255,HS_MD!B:B,0),1),"")</f>
        <v>Glucose Syrup</v>
      </c>
      <c r="I255" s="17" t="str">
        <f>IFERROR(INDEX(HS_MD!I:I,MATCH(B255,HS_MD!B:B,0),1),"")</f>
        <v>Bakery / Confectionery</v>
      </c>
      <c r="J255" s="17">
        <f>IFERROR(INDEX(Heat_Map[Index],MATCH(HS_DB[[#This Row],[Reporter]],Heat_Map[Global],0),1),"")</f>
        <v>175</v>
      </c>
      <c r="K255" s="17" t="str">
        <f>IF(AND(HS_DB[[#This Row],[Origin Rank]]&gt;1,HS_DB[[#This Row],[Origin Rank]]&lt;=10),"Yes","No")</f>
        <v>No</v>
      </c>
      <c r="L255" s="2">
        <v>2024</v>
      </c>
      <c r="M255" s="2" t="s">
        <v>57</v>
      </c>
      <c r="N255" s="2" t="s">
        <v>34</v>
      </c>
      <c r="O255" s="2" t="s">
        <v>22</v>
      </c>
      <c r="P255" s="2" t="s">
        <v>23</v>
      </c>
      <c r="Q255" s="2" t="s">
        <v>24</v>
      </c>
      <c r="R255" s="2" t="s">
        <v>25</v>
      </c>
      <c r="S255" s="2">
        <v>170230</v>
      </c>
      <c r="T255" s="3">
        <v>586322</v>
      </c>
      <c r="U255" s="3">
        <v>1127050</v>
      </c>
      <c r="V255" s="3">
        <v>0</v>
      </c>
      <c r="W255" s="3">
        <v>1127050</v>
      </c>
      <c r="X255" s="3" t="s">
        <v>58</v>
      </c>
      <c r="Y255" s="3">
        <v>1127050</v>
      </c>
      <c r="Z255" s="3" t="s">
        <v>58</v>
      </c>
      <c r="AA255" s="6">
        <f>SUMIFS(HS_DB[Trade Value - USD],HS_DB[Reporter],HS_DB[[#This Row],[Reporter]])/SUM(HS_DB[Trade Value - USD])</f>
        <v>4.7522902002533667E-2</v>
      </c>
      <c r="AB255" s="8" cm="1">
        <f t="array" ref="AB255">SUMPRODUCT(
(HS_DB[Reporter]=HS_DB[[#This Row],[Reporter]])*
(HS_DB[Trade Value - USD]&gt;HS_DB[[#This Row],[Trade Value - USD]])
)+1</f>
        <v>14</v>
      </c>
      <c r="AC255" s="8" t="str">
        <f>IFERROR(IF(INDEX(Heat_Map[Crisis Impact %],MATCH(HS_DB[[#This Row],[Reporter]],Heat_Map[Global],0),1)&gt;0,"Yes","No"),"No")</f>
        <v>Yes</v>
      </c>
      <c r="AD255" s="6">
        <f>IFERROR(INDEX(Heat_Map[Crisis Impact %],MATCH(HS_DB[[#This Row],[Reporter]],Heat_Map[Global],0),1),0)</f>
        <v>0.1</v>
      </c>
      <c r="AE255" s="8">
        <f>HS_DB[[#This Row],[Crisis Impact%]]*HS_DB[[#This Row],[Trade Value - USD]]</f>
        <v>58632.200000000004</v>
      </c>
      <c r="AF255" s="8">
        <f>HS_DB[[#This Row],[Crisis Impact%]]*HS_DB[[#This Row],[Net Weight -KG]]</f>
        <v>112705</v>
      </c>
      <c r="AG255" s="6">
        <f>SUMIFS(HS_DB[Trade Value - USD],HS_DB[Products],HS_DB[[#This Row],[Products]])/SUM(HS_DB[Trade Value - USD])</f>
        <v>4.2079963121393268E-3</v>
      </c>
      <c r="AH255" s="8">
        <f>_xlfn.RANK.EQ(HS_DB[[#This Row],[Trade Value - USD]], HS_DB[Trade Value - USD], 0)
 + COUNTIFS(HS_DB[Trade Value - USD],HS_DB[[#This Row],[Trade Value - USD]],
            HS_DB[HS Code],"&lt;"&amp;HS_DB[[#This Row],[HS Code]])</f>
        <v>135</v>
      </c>
      <c r="AI255" s="9">
        <f>IFERROR(HS_DB[[#This Row],[Trade Value - USD]]/HS_DB[[#This Row],[Net Weight -KG]],0)</f>
        <v>0.52022714165298789</v>
      </c>
      <c r="AJ255" s="17" cm="1">
        <f t="array" ref="AJ255">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55" s="17" t="str">
        <f>IF(HS_DB[[#This Row],[HS Code Risk Score]]&gt;=40,"High",
 IF(HS_DB[[#This Row],[HS Code Risk Score]]&gt;=25,"Medium","Low"))</f>
        <v>Medium</v>
      </c>
      <c r="AL255" s="17" t="str">
        <f>IF(RANK(HS_DB[[#This Row],[HS Code Risk Score]],HS_DB[HS Code Risk Score])&lt;=10,"Yes","No")</f>
        <v>No</v>
      </c>
      <c r="AM255" s="8">
        <f>SUMIFS(HS_DB[Net Weight -KG],HS_DB[HS Code],HS_DB[[#This Row],[HS Code]])</f>
        <v>12795612.5</v>
      </c>
      <c r="AN255" s="8">
        <f>SUMIFS(HS_DB[Trade Value - USD],HS_DB[HS Code],HS_DB[[#This Row],[HS Code]])</f>
        <v>7932108</v>
      </c>
      <c r="AO255" s="6">
        <f>_xlfn.MAXIFS(HS_DB[Origin Share%],HS_DB[HS Code],HS_DB[[#This Row],[HS Code]])</f>
        <v>7.6648679233989533E-2</v>
      </c>
      <c r="AP255" s="8" cm="1">
        <f t="array" ref="AP255">_xlfn.LET(
_xlpm.hs,HS_DB[[#This Row],[HS Code]],
COUNTA(_xlfn.UNIQUE(_xlfn._xlws.FILTER(HS_DB[Reporter],HS_DB[HS Code]=_xlpm.hs)))
)</f>
        <v>9</v>
      </c>
      <c r="AQ255" s="17" t="str">
        <f>IF(HS_DB[[#This Row],[Origin Count]]=1,"Single Source","Multiple Sources")</f>
        <v>Multiple Sources</v>
      </c>
      <c r="AR255" s="8">
        <f>HS_DB[[#This Row],[Annual Spend - USD]]*(HS_DB[[#This Row],[HS Code Risk Score]]/100)</f>
        <v>2696916.72</v>
      </c>
      <c r="AS255" s="8">
        <f>RANK(HS_DB[[#This Row],[Risk Exposure - USD]],HS_DB[Risk Exposure - USD],0)</f>
        <v>346</v>
      </c>
      <c r="AT255" s="8" t="str">
        <f>IF(HS_DB[[#This Row],[Risk Exposure Rank]]&lt;=10,"High",
 IF(HS_DB[[#This Row],[Risk Exposure Rank]]&lt;=30,"Medium",
 "Low"))</f>
        <v>Low</v>
      </c>
      <c r="AU255" s="8" t="str">
        <f>IF(HS_DB[[#This Row],[Risk Exposure Rank]]&lt;=5,"Immediate Action",
 IF(HS_DB[[#This Row],[Risk Exposure Rank]]&lt;=15,"Monitor Closely",
 "Routine Control"))</f>
        <v>Routine Control</v>
      </c>
      <c r="AV255" s="8">
        <f>SUMIFS(HS_DB[Trade Value - USD],HS_DB[HS Code],HS_DB[[#This Row],[HS Code]])</f>
        <v>7932108</v>
      </c>
      <c r="AW255" s="6">
        <f>HS_DB[[#This Row],[Annual Spend - USD]]/HS_DB[[#This Row],[Total Market Size - USD]]</f>
        <v>1</v>
      </c>
      <c r="AX255" s="6" cm="1">
        <f t="array" ref="AX255">COUNTA(_xlfn.UNIQUE(_xlfn._xlws.FILTER(HS_DB[Partner],HS_DB[HS Code]=HS_DB[[#This Row],[HS Code]])))</f>
        <v>1</v>
      </c>
      <c r="AY255" s="8" t="str">
        <f>IF(HS_DB[[#This Row],[Competition Intensity]]&lt;=2,"Highly Concentrated",
 IF(HS_DB[[#This Row],[Competition Intensity]]&lt;=5,"Moderate",
 "Highly Competitive"))</f>
        <v>Highly Concentrated</v>
      </c>
      <c r="AZ255" s="8">
        <f>HS_DB[[#This Row],[Total Market Size - USD]]
*
(1+IFERROR(#REF!,0))
/
HS_DB[[#This Row],[Competition Intensity]]</f>
        <v>7932108</v>
      </c>
      <c r="BA255" s="8" t="str">
        <f>IF(HS_DB[[#This Row],[Commercial Opportunity Score]]&gt;=PERCENTILE(HS_DB[Commercial Opportunity Score],0.9),"High Opportunity",
 IF(HS_DB[[#This Row],[Commercial Opportunity Score]]&gt;=PERCENTILE(HS_DB[Commercial Opportunity Score],0.6),"Medium Opportunity",
 "Routine Market"))</f>
        <v>Routine Market</v>
      </c>
      <c r="BB255" s="3" t="str">
        <f>IF(AND(HS_DB[[#This Row],[Product Rank]]&gt;0,HS_DB[[#This Row],[Product Rank]]&lt;=10),"Yes","No")</f>
        <v>No</v>
      </c>
      <c r="BC255" s="3" t="str">
        <f>IF(AND(HS_DB[[#This Row],[Origin Rank]]&gt;0,HS_DB[[#This Row],[Origin Rank]]&lt;=10),"Yes","No")</f>
        <v>No</v>
      </c>
    </row>
    <row r="256" spans="2:55" x14ac:dyDescent="0.3">
      <c r="B256" s="2">
        <f>HS_DB[[#This Row],[Commodity Code]]</f>
        <v>170230</v>
      </c>
      <c r="C256" s="2">
        <f>IFERROR(INDEX(HS_MD!C:C,MATCH(B256,HS_MD!B:B,0),1),"")</f>
        <v>19</v>
      </c>
      <c r="D256" s="17" t="str">
        <f>IFERROR(INDEX(HS_MD!D:D,MATCH(B256,HS_MD!B:B,0),1),"")</f>
        <v>Glucose and syrup</v>
      </c>
      <c r="E256" s="17" t="str">
        <f>IFERROR(INDEX(HS_MD!E:E,MATCH(B256,HS_MD!B:B,0),1),"")</f>
        <v>Glucose Syrup</v>
      </c>
      <c r="F256" s="17" t="str">
        <f>IFERROR(INDEX(HS_MD!F:F,MATCH(B256,HS_MD!B:B,0),1),"")</f>
        <v>SWEETENERS</v>
      </c>
      <c r="G256" s="17" t="str">
        <f>IFERROR(INDEX(HS_MD!G:G,MATCH(B256,HS_MD!B:B,0),1),"")</f>
        <v>Bulk Sweeteners</v>
      </c>
      <c r="H256" s="17" t="str">
        <f>IFERROR(INDEX(HS_MD!H:H,MATCH(B256,HS_MD!B:B,0),1),"")</f>
        <v>Glucose Syrup</v>
      </c>
      <c r="I256" s="17" t="str">
        <f>IFERROR(INDEX(HS_MD!I:I,MATCH(B256,HS_MD!B:B,0),1),"")</f>
        <v>Bakery / Confectionery</v>
      </c>
      <c r="J256" s="17">
        <f>IFERROR(INDEX(Heat_Map[Index],MATCH(HS_DB[[#This Row],[Reporter]],Heat_Map[Global],0),1),"")</f>
        <v>179</v>
      </c>
      <c r="K256" s="17" t="str">
        <f>IF(AND(HS_DB[[#This Row],[Origin Rank]]&gt;1,HS_DB[[#This Row],[Origin Rank]]&lt;=10),"Yes","No")</f>
        <v>Yes</v>
      </c>
      <c r="L256" s="2">
        <v>2024</v>
      </c>
      <c r="M256" s="2" t="s">
        <v>57</v>
      </c>
      <c r="N256" s="2" t="s">
        <v>35</v>
      </c>
      <c r="O256" s="2" t="s">
        <v>22</v>
      </c>
      <c r="P256" s="2" t="s">
        <v>23</v>
      </c>
      <c r="Q256" s="2" t="s">
        <v>24</v>
      </c>
      <c r="R256" s="2" t="s">
        <v>25</v>
      </c>
      <c r="S256" s="2">
        <v>170230</v>
      </c>
      <c r="T256" s="3">
        <v>179615</v>
      </c>
      <c r="U256" s="3">
        <v>240000</v>
      </c>
      <c r="V256" s="3">
        <v>0</v>
      </c>
      <c r="W256" s="3">
        <v>240000</v>
      </c>
      <c r="X256" s="3" t="s">
        <v>58</v>
      </c>
      <c r="Y256" s="3">
        <v>240000</v>
      </c>
      <c r="Z256" s="3" t="s">
        <v>58</v>
      </c>
      <c r="AA256" s="6">
        <f>SUMIFS(HS_DB[Trade Value - USD],HS_DB[Reporter],HS_DB[[#This Row],[Reporter]])/SUM(HS_DB[Trade Value - USD])</f>
        <v>7.6648679233989533E-2</v>
      </c>
      <c r="AB256" s="8" cm="1">
        <f t="array" ref="AB256">SUMPRODUCT(
(HS_DB[Reporter]=HS_DB[[#This Row],[Reporter]])*
(HS_DB[Trade Value - USD]&gt;HS_DB[[#This Row],[Trade Value - USD]])
)+1</f>
        <v>5</v>
      </c>
      <c r="AC256" s="8" t="str">
        <f>IFERROR(IF(INDEX(Heat_Map[Crisis Impact %],MATCH(HS_DB[[#This Row],[Reporter]],Heat_Map[Global],0),1)&gt;0,"Yes","No"),"No")</f>
        <v>Yes</v>
      </c>
      <c r="AD256" s="6">
        <f>IFERROR(INDEX(Heat_Map[Crisis Impact %],MATCH(HS_DB[[#This Row],[Reporter]],Heat_Map[Global],0),1),0)</f>
        <v>0.44999999999999996</v>
      </c>
      <c r="AE256" s="8">
        <f>HS_DB[[#This Row],[Crisis Impact%]]*HS_DB[[#This Row],[Trade Value - USD]]</f>
        <v>80826.749999999985</v>
      </c>
      <c r="AF256" s="8">
        <f>HS_DB[[#This Row],[Crisis Impact%]]*HS_DB[[#This Row],[Net Weight -KG]]</f>
        <v>107999.99999999999</v>
      </c>
      <c r="AG256" s="6">
        <f>SUMIFS(HS_DB[Trade Value - USD],HS_DB[Products],HS_DB[[#This Row],[Products]])/SUM(HS_DB[Trade Value - USD])</f>
        <v>4.2079963121393268E-3</v>
      </c>
      <c r="AH256" s="8">
        <f>_xlfn.RANK.EQ(HS_DB[[#This Row],[Trade Value - USD]], HS_DB[Trade Value - USD], 0)
 + COUNTIFS(HS_DB[Trade Value - USD],HS_DB[[#This Row],[Trade Value - USD]],
            HS_DB[HS Code],"&lt;"&amp;HS_DB[[#This Row],[HS Code]])</f>
        <v>227</v>
      </c>
      <c r="AI256" s="9">
        <f>IFERROR(HS_DB[[#This Row],[Trade Value - USD]]/HS_DB[[#This Row],[Net Weight -KG]],0)</f>
        <v>0.74839583333333337</v>
      </c>
      <c r="AJ256" s="17" cm="1">
        <f t="array" ref="AJ256">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56" s="17" t="str">
        <f>IF(HS_DB[[#This Row],[HS Code Risk Score]]&gt;=40,"High",
 IF(HS_DB[[#This Row],[HS Code Risk Score]]&gt;=25,"Medium","Low"))</f>
        <v>Medium</v>
      </c>
      <c r="AL256" s="17" t="str">
        <f>IF(RANK(HS_DB[[#This Row],[HS Code Risk Score]],HS_DB[HS Code Risk Score])&lt;=10,"Yes","No")</f>
        <v>No</v>
      </c>
      <c r="AM256" s="8">
        <f>SUMIFS(HS_DB[Net Weight -KG],HS_DB[HS Code],HS_DB[[#This Row],[HS Code]])</f>
        <v>12795612.5</v>
      </c>
      <c r="AN256" s="8">
        <f>SUMIFS(HS_DB[Trade Value - USD],HS_DB[HS Code],HS_DB[[#This Row],[HS Code]])</f>
        <v>7932108</v>
      </c>
      <c r="AO256" s="6">
        <f>_xlfn.MAXIFS(HS_DB[Origin Share%],HS_DB[HS Code],HS_DB[[#This Row],[HS Code]])</f>
        <v>7.6648679233989533E-2</v>
      </c>
      <c r="AP256" s="8" cm="1">
        <f t="array" ref="AP256">_xlfn.LET(
_xlpm.hs,HS_DB[[#This Row],[HS Code]],
COUNTA(_xlfn.UNIQUE(_xlfn._xlws.FILTER(HS_DB[Reporter],HS_DB[HS Code]=_xlpm.hs)))
)</f>
        <v>9</v>
      </c>
      <c r="AQ256" s="17" t="str">
        <f>IF(HS_DB[[#This Row],[Origin Count]]=1,"Single Source","Multiple Sources")</f>
        <v>Multiple Sources</v>
      </c>
      <c r="AR256" s="8">
        <f>HS_DB[[#This Row],[Annual Spend - USD]]*(HS_DB[[#This Row],[HS Code Risk Score]]/100)</f>
        <v>2696916.72</v>
      </c>
      <c r="AS256" s="8">
        <f>RANK(HS_DB[[#This Row],[Risk Exposure - USD]],HS_DB[Risk Exposure - USD],0)</f>
        <v>346</v>
      </c>
      <c r="AT256" s="8" t="str">
        <f>IF(HS_DB[[#This Row],[Risk Exposure Rank]]&lt;=10,"High",
 IF(HS_DB[[#This Row],[Risk Exposure Rank]]&lt;=30,"Medium",
 "Low"))</f>
        <v>Low</v>
      </c>
      <c r="AU256" s="8" t="str">
        <f>IF(HS_DB[[#This Row],[Risk Exposure Rank]]&lt;=5,"Immediate Action",
 IF(HS_DB[[#This Row],[Risk Exposure Rank]]&lt;=15,"Monitor Closely",
 "Routine Control"))</f>
        <v>Routine Control</v>
      </c>
      <c r="AV256" s="8">
        <f>SUMIFS(HS_DB[Trade Value - USD],HS_DB[HS Code],HS_DB[[#This Row],[HS Code]])</f>
        <v>7932108</v>
      </c>
      <c r="AW256" s="6">
        <f>HS_DB[[#This Row],[Annual Spend - USD]]/HS_DB[[#This Row],[Total Market Size - USD]]</f>
        <v>1</v>
      </c>
      <c r="AX256" s="6" cm="1">
        <f t="array" ref="AX256">COUNTA(_xlfn.UNIQUE(_xlfn._xlws.FILTER(HS_DB[Partner],HS_DB[HS Code]=HS_DB[[#This Row],[HS Code]])))</f>
        <v>1</v>
      </c>
      <c r="AY256" s="8" t="str">
        <f>IF(HS_DB[[#This Row],[Competition Intensity]]&lt;=2,"Highly Concentrated",
 IF(HS_DB[[#This Row],[Competition Intensity]]&lt;=5,"Moderate",
 "Highly Competitive"))</f>
        <v>Highly Concentrated</v>
      </c>
      <c r="AZ256" s="8">
        <f>HS_DB[[#This Row],[Total Market Size - USD]]
*
(1+IFERROR(#REF!,0))
/
HS_DB[[#This Row],[Competition Intensity]]</f>
        <v>7932108</v>
      </c>
      <c r="BA256" s="8" t="str">
        <f>IF(HS_DB[[#This Row],[Commercial Opportunity Score]]&gt;=PERCENTILE(HS_DB[Commercial Opportunity Score],0.9),"High Opportunity",
 IF(HS_DB[[#This Row],[Commercial Opportunity Score]]&gt;=PERCENTILE(HS_DB[Commercial Opportunity Score],0.6),"Medium Opportunity",
 "Routine Market"))</f>
        <v>Routine Market</v>
      </c>
      <c r="BB256" s="3" t="str">
        <f>IF(AND(HS_DB[[#This Row],[Product Rank]]&gt;0,HS_DB[[#This Row],[Product Rank]]&lt;=10),"Yes","No")</f>
        <v>No</v>
      </c>
      <c r="BC256" s="3" t="str">
        <f>IF(AND(HS_DB[[#This Row],[Origin Rank]]&gt;0,HS_DB[[#This Row],[Origin Rank]]&lt;=10),"Yes","No")</f>
        <v>Yes</v>
      </c>
    </row>
    <row r="257" spans="2:55" x14ac:dyDescent="0.3">
      <c r="B257" s="2">
        <f>HS_DB[[#This Row],[Commodity Code]]</f>
        <v>170260</v>
      </c>
      <c r="C257" s="2">
        <f>IFERROR(INDEX(HS_MD!C:C,MATCH(B257,HS_MD!B:B,0),1),"")</f>
        <v>20</v>
      </c>
      <c r="D257" s="17" t="str">
        <f>IFERROR(INDEX(HS_MD!D:D,MATCH(B257,HS_MD!B:B,0),1),"")</f>
        <v>Fructose syrups</v>
      </c>
      <c r="E257" s="17" t="str">
        <f>IFERROR(INDEX(HS_MD!E:E,MATCH(B257,HS_MD!B:B,0),1),"")</f>
        <v>Fructose</v>
      </c>
      <c r="F257" s="17" t="str">
        <f>IFERROR(INDEX(HS_MD!F:F,MATCH(B257,HS_MD!B:B,0),1),"")</f>
        <v>SWEETENERS</v>
      </c>
      <c r="G257" s="17" t="str">
        <f>IFERROR(INDEX(HS_MD!G:G,MATCH(B257,HS_MD!B:B,0),1),"")</f>
        <v>Bulk Sweeteners</v>
      </c>
      <c r="H257" s="17" t="str">
        <f>IFERROR(INDEX(HS_MD!H:H,MATCH(B257,HS_MD!B:B,0),1),"")</f>
        <v>Fructose Syrup</v>
      </c>
      <c r="I257" s="17" t="str">
        <f>IFERROR(INDEX(HS_MD!I:I,MATCH(B257,HS_MD!B:B,0),1),"")</f>
        <v>Beverages</v>
      </c>
      <c r="J257" s="17">
        <f>IFERROR(INDEX(Heat_Map[Index],MATCH(HS_DB[[#This Row],[Reporter]],Heat_Map[Global],0),1),"")</f>
        <v>59</v>
      </c>
      <c r="K257" s="17" t="str">
        <f>IF(AND(HS_DB[[#This Row],[Origin Rank]]&gt;1,HS_DB[[#This Row],[Origin Rank]]&lt;=10),"Yes","No")</f>
        <v>No</v>
      </c>
      <c r="L257" s="2">
        <v>2024</v>
      </c>
      <c r="M257" s="2" t="s">
        <v>57</v>
      </c>
      <c r="N257" s="2" t="s">
        <v>44</v>
      </c>
      <c r="O257" s="2" t="s">
        <v>22</v>
      </c>
      <c r="P257" s="2" t="s">
        <v>23</v>
      </c>
      <c r="Q257" s="2" t="s">
        <v>24</v>
      </c>
      <c r="R257" s="2" t="s">
        <v>25</v>
      </c>
      <c r="S257" s="2">
        <v>170260</v>
      </c>
      <c r="T257" s="3">
        <v>4338</v>
      </c>
      <c r="U257" s="3">
        <v>665</v>
      </c>
      <c r="V257" s="3">
        <v>0</v>
      </c>
      <c r="W257" s="3">
        <v>665</v>
      </c>
      <c r="X257" s="3" t="s">
        <v>58</v>
      </c>
      <c r="Y257" s="3">
        <v>665</v>
      </c>
      <c r="Z257" s="3" t="s">
        <v>58</v>
      </c>
      <c r="AA257" s="6">
        <f>SUMIFS(HS_DB[Trade Value - USD],HS_DB[Reporter],HS_DB[[#This Row],[Reporter]])/SUM(HS_DB[Trade Value - USD])</f>
        <v>1.6951290293147386E-2</v>
      </c>
      <c r="AB257" s="8" cm="1">
        <f t="array" ref="AB257">SUMPRODUCT(
(HS_DB[Reporter]=HS_DB[[#This Row],[Reporter]])*
(HS_DB[Trade Value - USD]&gt;HS_DB[[#This Row],[Trade Value - USD]])
)+1</f>
        <v>30</v>
      </c>
      <c r="AC257" s="8" t="str">
        <f>IFERROR(IF(INDEX(Heat_Map[Crisis Impact %],MATCH(HS_DB[[#This Row],[Reporter]],Heat_Map[Global],0),1)&gt;0,"Yes","No"),"No")</f>
        <v>No</v>
      </c>
      <c r="AD257" s="6">
        <f>IFERROR(INDEX(Heat_Map[Crisis Impact %],MATCH(HS_DB[[#This Row],[Reporter]],Heat_Map[Global],0),1),0)</f>
        <v>0</v>
      </c>
      <c r="AE257" s="8">
        <f>HS_DB[[#This Row],[Crisis Impact%]]*HS_DB[[#This Row],[Trade Value - USD]]</f>
        <v>0</v>
      </c>
      <c r="AF257" s="8">
        <f>HS_DB[[#This Row],[Crisis Impact%]]*HS_DB[[#This Row],[Net Weight -KG]]</f>
        <v>0</v>
      </c>
      <c r="AG257" s="6">
        <f>SUMIFS(HS_DB[Trade Value - USD],HS_DB[Products],HS_DB[[#This Row],[Products]])/SUM(HS_DB[Trade Value - USD])</f>
        <v>1.9223787971998464E-5</v>
      </c>
      <c r="AH257" s="8">
        <f>_xlfn.RANK.EQ(HS_DB[[#This Row],[Trade Value - USD]], HS_DB[Trade Value - USD], 0)
 + COUNTIFS(HS_DB[Trade Value - USD],HS_DB[[#This Row],[Trade Value - USD]],
            HS_DB[HS Code],"&lt;"&amp;HS_DB[[#This Row],[HS Code]])</f>
        <v>445</v>
      </c>
      <c r="AI257" s="9">
        <f>IFERROR(HS_DB[[#This Row],[Trade Value - USD]]/HS_DB[[#This Row],[Net Weight -KG]],0)</f>
        <v>6.5233082706766918</v>
      </c>
      <c r="AJ257" s="17" cm="1">
        <f t="array" ref="AJ257">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47</v>
      </c>
      <c r="AK257" s="17" t="str">
        <f>IF(HS_DB[[#This Row],[HS Code Risk Score]]&gt;=40,"High",
 IF(HS_DB[[#This Row],[HS Code Risk Score]]&gt;=25,"Medium","Low"))</f>
        <v>High</v>
      </c>
      <c r="AL257" s="17" t="str">
        <f>IF(RANK(HS_DB[[#This Row],[HS Code Risk Score]],HS_DB[HS Code Risk Score])&lt;=10,"Yes","No")</f>
        <v>Yes</v>
      </c>
      <c r="AM257" s="8">
        <f>SUMIFS(HS_DB[Net Weight -KG],HS_DB[HS Code],HS_DB[[#This Row],[HS Code]])</f>
        <v>70275</v>
      </c>
      <c r="AN257" s="8">
        <f>SUMIFS(HS_DB[Trade Value - USD],HS_DB[HS Code],HS_DB[[#This Row],[HS Code]])</f>
        <v>36237</v>
      </c>
      <c r="AO257" s="6">
        <f>_xlfn.MAXIFS(HS_DB[Origin Share%],HS_DB[HS Code],HS_DB[[#This Row],[HS Code]])</f>
        <v>4.7522902002533667E-2</v>
      </c>
      <c r="AP257" s="8" cm="1">
        <f t="array" ref="AP257">_xlfn.LET(
_xlpm.hs,HS_DB[[#This Row],[HS Code]],
COUNTA(_xlfn.UNIQUE(_xlfn._xlws.FILTER(HS_DB[Reporter],HS_DB[HS Code]=_xlpm.hs)))
)</f>
        <v>2</v>
      </c>
      <c r="AQ257" s="17" t="str">
        <f>IF(HS_DB[[#This Row],[Origin Count]]=1,"Single Source","Multiple Sources")</f>
        <v>Multiple Sources</v>
      </c>
      <c r="AR257" s="8">
        <f>HS_DB[[#This Row],[Annual Spend - USD]]*(HS_DB[[#This Row],[HS Code Risk Score]]/100)</f>
        <v>17031.39</v>
      </c>
      <c r="AS257" s="8">
        <f>RANK(HS_DB[[#This Row],[Risk Exposure - USD]],HS_DB[Risk Exposure - USD],0)</f>
        <v>537</v>
      </c>
      <c r="AT257" s="8" t="str">
        <f>IF(HS_DB[[#This Row],[Risk Exposure Rank]]&lt;=10,"High",
 IF(HS_DB[[#This Row],[Risk Exposure Rank]]&lt;=30,"Medium",
 "Low"))</f>
        <v>Low</v>
      </c>
      <c r="AU257" s="8" t="str">
        <f>IF(HS_DB[[#This Row],[Risk Exposure Rank]]&lt;=5,"Immediate Action",
 IF(HS_DB[[#This Row],[Risk Exposure Rank]]&lt;=15,"Monitor Closely",
 "Routine Control"))</f>
        <v>Routine Control</v>
      </c>
      <c r="AV257" s="8">
        <f>SUMIFS(HS_DB[Trade Value - USD],HS_DB[HS Code],HS_DB[[#This Row],[HS Code]])</f>
        <v>36237</v>
      </c>
      <c r="AW257" s="6">
        <f>HS_DB[[#This Row],[Annual Spend - USD]]/HS_DB[[#This Row],[Total Market Size - USD]]</f>
        <v>1</v>
      </c>
      <c r="AX257" s="6" cm="1">
        <f t="array" ref="AX257">COUNTA(_xlfn.UNIQUE(_xlfn._xlws.FILTER(HS_DB[Partner],HS_DB[HS Code]=HS_DB[[#This Row],[HS Code]])))</f>
        <v>1</v>
      </c>
      <c r="AY257" s="8" t="str">
        <f>IF(HS_DB[[#This Row],[Competition Intensity]]&lt;=2,"Highly Concentrated",
 IF(HS_DB[[#This Row],[Competition Intensity]]&lt;=5,"Moderate",
 "Highly Competitive"))</f>
        <v>Highly Concentrated</v>
      </c>
      <c r="AZ257" s="8">
        <f>HS_DB[[#This Row],[Total Market Size - USD]]
*
(1+IFERROR(#REF!,0))
/
HS_DB[[#This Row],[Competition Intensity]]</f>
        <v>36237</v>
      </c>
      <c r="BA257" s="8" t="str">
        <f>IF(HS_DB[[#This Row],[Commercial Opportunity Score]]&gt;=PERCENTILE(HS_DB[Commercial Opportunity Score],0.9),"High Opportunity",
 IF(HS_DB[[#This Row],[Commercial Opportunity Score]]&gt;=PERCENTILE(HS_DB[Commercial Opportunity Score],0.6),"Medium Opportunity",
 "Routine Market"))</f>
        <v>Routine Market</v>
      </c>
      <c r="BB257" s="3" t="str">
        <f>IF(AND(HS_DB[[#This Row],[Product Rank]]&gt;0,HS_DB[[#This Row],[Product Rank]]&lt;=10),"Yes","No")</f>
        <v>No</v>
      </c>
      <c r="BC257" s="3" t="str">
        <f>IF(AND(HS_DB[[#This Row],[Origin Rank]]&gt;0,HS_DB[[#This Row],[Origin Rank]]&lt;=10),"Yes","No")</f>
        <v>No</v>
      </c>
    </row>
    <row r="258" spans="2:55" x14ac:dyDescent="0.3">
      <c r="B258" s="2">
        <f>HS_DB[[#This Row],[Commodity Code]]</f>
        <v>170260</v>
      </c>
      <c r="C258" s="2">
        <f>IFERROR(INDEX(HS_MD!C:C,MATCH(B258,HS_MD!B:B,0),1),"")</f>
        <v>20</v>
      </c>
      <c r="D258" s="17" t="str">
        <f>IFERROR(INDEX(HS_MD!D:D,MATCH(B258,HS_MD!B:B,0),1),"")</f>
        <v>Fructose syrups</v>
      </c>
      <c r="E258" s="17" t="str">
        <f>IFERROR(INDEX(HS_MD!E:E,MATCH(B258,HS_MD!B:B,0),1),"")</f>
        <v>Fructose</v>
      </c>
      <c r="F258" s="17" t="str">
        <f>IFERROR(INDEX(HS_MD!F:F,MATCH(B258,HS_MD!B:B,0),1),"")</f>
        <v>SWEETENERS</v>
      </c>
      <c r="G258" s="17" t="str">
        <f>IFERROR(INDEX(HS_MD!G:G,MATCH(B258,HS_MD!B:B,0),1),"")</f>
        <v>Bulk Sweeteners</v>
      </c>
      <c r="H258" s="17" t="str">
        <f>IFERROR(INDEX(HS_MD!H:H,MATCH(B258,HS_MD!B:B,0),1),"")</f>
        <v>Fructose Syrup</v>
      </c>
      <c r="I258" s="17" t="str">
        <f>IFERROR(INDEX(HS_MD!I:I,MATCH(B258,HS_MD!B:B,0),1),"")</f>
        <v>Beverages</v>
      </c>
      <c r="J258" s="17">
        <f>IFERROR(INDEX(Heat_Map[Index],MATCH(HS_DB[[#This Row],[Reporter]],Heat_Map[Global],0),1),"")</f>
        <v>175</v>
      </c>
      <c r="K258" s="17" t="str">
        <f>IF(AND(HS_DB[[#This Row],[Origin Rank]]&gt;1,HS_DB[[#This Row],[Origin Rank]]&lt;=10),"Yes","No")</f>
        <v>No</v>
      </c>
      <c r="L258" s="2">
        <v>2024</v>
      </c>
      <c r="M258" s="2" t="s">
        <v>57</v>
      </c>
      <c r="N258" s="2" t="s">
        <v>34</v>
      </c>
      <c r="O258" s="2" t="s">
        <v>22</v>
      </c>
      <c r="P258" s="2" t="s">
        <v>23</v>
      </c>
      <c r="Q258" s="2" t="s">
        <v>24</v>
      </c>
      <c r="R258" s="2" t="s">
        <v>25</v>
      </c>
      <c r="S258" s="2">
        <v>170260</v>
      </c>
      <c r="T258" s="3">
        <v>31899</v>
      </c>
      <c r="U258" s="3">
        <v>69610</v>
      </c>
      <c r="V258" s="3">
        <v>0</v>
      </c>
      <c r="W258" s="3">
        <v>69610</v>
      </c>
      <c r="X258" s="3" t="s">
        <v>58</v>
      </c>
      <c r="Y258" s="3">
        <v>69610</v>
      </c>
      <c r="Z258" s="3" t="s">
        <v>58</v>
      </c>
      <c r="AA258" s="6">
        <f>SUMIFS(HS_DB[Trade Value - USD],HS_DB[Reporter],HS_DB[[#This Row],[Reporter]])/SUM(HS_DB[Trade Value - USD])</f>
        <v>4.7522902002533667E-2</v>
      </c>
      <c r="AB258" s="8" cm="1">
        <f t="array" ref="AB258">SUMPRODUCT(
(HS_DB[Reporter]=HS_DB[[#This Row],[Reporter]])*
(HS_DB[Trade Value - USD]&gt;HS_DB[[#This Row],[Trade Value - USD]])
)+1</f>
        <v>28</v>
      </c>
      <c r="AC258" s="8" t="str">
        <f>IFERROR(IF(INDEX(Heat_Map[Crisis Impact %],MATCH(HS_DB[[#This Row],[Reporter]],Heat_Map[Global],0),1)&gt;0,"Yes","No"),"No")</f>
        <v>Yes</v>
      </c>
      <c r="AD258" s="6">
        <f>IFERROR(INDEX(Heat_Map[Crisis Impact %],MATCH(HS_DB[[#This Row],[Reporter]],Heat_Map[Global],0),1),0)</f>
        <v>0.1</v>
      </c>
      <c r="AE258" s="8">
        <f>HS_DB[[#This Row],[Crisis Impact%]]*HS_DB[[#This Row],[Trade Value - USD]]</f>
        <v>3189.9</v>
      </c>
      <c r="AF258" s="8">
        <f>HS_DB[[#This Row],[Crisis Impact%]]*HS_DB[[#This Row],[Net Weight -KG]]</f>
        <v>6961</v>
      </c>
      <c r="AG258" s="6">
        <f>SUMIFS(HS_DB[Trade Value - USD],HS_DB[Products],HS_DB[[#This Row],[Products]])/SUM(HS_DB[Trade Value - USD])</f>
        <v>1.9223787971998464E-5</v>
      </c>
      <c r="AH258" s="8">
        <f>_xlfn.RANK.EQ(HS_DB[[#This Row],[Trade Value - USD]], HS_DB[Trade Value - USD], 0)
 + COUNTIFS(HS_DB[Trade Value - USD],HS_DB[[#This Row],[Trade Value - USD]],
            HS_DB[HS Code],"&lt;"&amp;HS_DB[[#This Row],[HS Code]])</f>
        <v>352</v>
      </c>
      <c r="AI258" s="9">
        <f>IFERROR(HS_DB[[#This Row],[Trade Value - USD]]/HS_DB[[#This Row],[Net Weight -KG]],0)</f>
        <v>0.45825312455107026</v>
      </c>
      <c r="AJ258" s="17" cm="1">
        <f t="array" ref="AJ258">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47</v>
      </c>
      <c r="AK258" s="17" t="str">
        <f>IF(HS_DB[[#This Row],[HS Code Risk Score]]&gt;=40,"High",
 IF(HS_DB[[#This Row],[HS Code Risk Score]]&gt;=25,"Medium","Low"))</f>
        <v>High</v>
      </c>
      <c r="AL258" s="17" t="str">
        <f>IF(RANK(HS_DB[[#This Row],[HS Code Risk Score]],HS_DB[HS Code Risk Score])&lt;=10,"Yes","No")</f>
        <v>Yes</v>
      </c>
      <c r="AM258" s="8">
        <f>SUMIFS(HS_DB[Net Weight -KG],HS_DB[HS Code],HS_DB[[#This Row],[HS Code]])</f>
        <v>70275</v>
      </c>
      <c r="AN258" s="8">
        <f>SUMIFS(HS_DB[Trade Value - USD],HS_DB[HS Code],HS_DB[[#This Row],[HS Code]])</f>
        <v>36237</v>
      </c>
      <c r="AO258" s="6">
        <f>_xlfn.MAXIFS(HS_DB[Origin Share%],HS_DB[HS Code],HS_DB[[#This Row],[HS Code]])</f>
        <v>4.7522902002533667E-2</v>
      </c>
      <c r="AP258" s="8" cm="1">
        <f t="array" ref="AP258">_xlfn.LET(
_xlpm.hs,HS_DB[[#This Row],[HS Code]],
COUNTA(_xlfn.UNIQUE(_xlfn._xlws.FILTER(HS_DB[Reporter],HS_DB[HS Code]=_xlpm.hs)))
)</f>
        <v>2</v>
      </c>
      <c r="AQ258" s="17" t="str">
        <f>IF(HS_DB[[#This Row],[Origin Count]]=1,"Single Source","Multiple Sources")</f>
        <v>Multiple Sources</v>
      </c>
      <c r="AR258" s="8">
        <f>HS_DB[[#This Row],[Annual Spend - USD]]*(HS_DB[[#This Row],[HS Code Risk Score]]/100)</f>
        <v>17031.39</v>
      </c>
      <c r="AS258" s="8">
        <f>RANK(HS_DB[[#This Row],[Risk Exposure - USD]],HS_DB[Risk Exposure - USD],0)</f>
        <v>537</v>
      </c>
      <c r="AT258" s="8" t="str">
        <f>IF(HS_DB[[#This Row],[Risk Exposure Rank]]&lt;=10,"High",
 IF(HS_DB[[#This Row],[Risk Exposure Rank]]&lt;=30,"Medium",
 "Low"))</f>
        <v>Low</v>
      </c>
      <c r="AU258" s="8" t="str">
        <f>IF(HS_DB[[#This Row],[Risk Exposure Rank]]&lt;=5,"Immediate Action",
 IF(HS_DB[[#This Row],[Risk Exposure Rank]]&lt;=15,"Monitor Closely",
 "Routine Control"))</f>
        <v>Routine Control</v>
      </c>
      <c r="AV258" s="8">
        <f>SUMIFS(HS_DB[Trade Value - USD],HS_DB[HS Code],HS_DB[[#This Row],[HS Code]])</f>
        <v>36237</v>
      </c>
      <c r="AW258" s="6">
        <f>HS_DB[[#This Row],[Annual Spend - USD]]/HS_DB[[#This Row],[Total Market Size - USD]]</f>
        <v>1</v>
      </c>
      <c r="AX258" s="6" cm="1">
        <f t="array" ref="AX258">COUNTA(_xlfn.UNIQUE(_xlfn._xlws.FILTER(HS_DB[Partner],HS_DB[HS Code]=HS_DB[[#This Row],[HS Code]])))</f>
        <v>1</v>
      </c>
      <c r="AY258" s="8" t="str">
        <f>IF(HS_DB[[#This Row],[Competition Intensity]]&lt;=2,"Highly Concentrated",
 IF(HS_DB[[#This Row],[Competition Intensity]]&lt;=5,"Moderate",
 "Highly Competitive"))</f>
        <v>Highly Concentrated</v>
      </c>
      <c r="AZ258" s="8">
        <f>HS_DB[[#This Row],[Total Market Size - USD]]
*
(1+IFERROR(#REF!,0))
/
HS_DB[[#This Row],[Competition Intensity]]</f>
        <v>36237</v>
      </c>
      <c r="BA258" s="8" t="str">
        <f>IF(HS_DB[[#This Row],[Commercial Opportunity Score]]&gt;=PERCENTILE(HS_DB[Commercial Opportunity Score],0.9),"High Opportunity",
 IF(HS_DB[[#This Row],[Commercial Opportunity Score]]&gt;=PERCENTILE(HS_DB[Commercial Opportunity Score],0.6),"Medium Opportunity",
 "Routine Market"))</f>
        <v>Routine Market</v>
      </c>
      <c r="BB258" s="3" t="str">
        <f>IF(AND(HS_DB[[#This Row],[Product Rank]]&gt;0,HS_DB[[#This Row],[Product Rank]]&lt;=10),"Yes","No")</f>
        <v>No</v>
      </c>
      <c r="BC258" s="3" t="str">
        <f>IF(AND(HS_DB[[#This Row],[Origin Rank]]&gt;0,HS_DB[[#This Row],[Origin Rank]]&lt;=10),"Yes","No")</f>
        <v>No</v>
      </c>
    </row>
    <row r="259" spans="2:55" x14ac:dyDescent="0.3">
      <c r="B259" s="2">
        <f>HS_DB[[#This Row],[Commodity Code]]</f>
        <v>292429</v>
      </c>
      <c r="C259" s="2">
        <f>IFERROR(INDEX(HS_MD!C:C,MATCH(B259,HS_MD!B:B,0),1),"")</f>
        <v>21</v>
      </c>
      <c r="D259" s="17" t="str">
        <f>IFERROR(INDEX(HS_MD!D:D,MATCH(B259,HS_MD!B:B,0),1),"")</f>
        <v>Amino compounds</v>
      </c>
      <c r="E259" s="17" t="str">
        <f>IFERROR(INDEX(HS_MD!E:E,MATCH(B259,HS_MD!B:B,0),1),"")</f>
        <v>Aspartame</v>
      </c>
      <c r="F259" s="17" t="str">
        <f>IFERROR(INDEX(HS_MD!F:F,MATCH(B259,HS_MD!B:B,0),1),"")</f>
        <v>SWEETENERS</v>
      </c>
      <c r="G259" s="17" t="str">
        <f>IFERROR(INDEX(HS_MD!G:G,MATCH(B259,HS_MD!B:B,0),1),"")</f>
        <v>High Intensity Sweeteners</v>
      </c>
      <c r="H259" s="17" t="str">
        <f>IFERROR(INDEX(HS_MD!H:H,MATCH(B259,HS_MD!B:B,0),1),"")</f>
        <v>Aspartame</v>
      </c>
      <c r="I259" s="17" t="str">
        <f>IFERROR(INDEX(HS_MD!I:I,MATCH(B259,HS_MD!B:B,0),1),"")</f>
        <v>Diet Beverages</v>
      </c>
      <c r="J259" s="17">
        <f>IFERROR(INDEX(Heat_Map[Index],MATCH(HS_DB[[#This Row],[Reporter]],Heat_Map[Global],0),1),"")</f>
        <v>17</v>
      </c>
      <c r="K259" s="17" t="str">
        <f>IF(AND(HS_DB[[#This Row],[Origin Rank]]&gt;1,HS_DB[[#This Row],[Origin Rank]]&lt;=10),"Yes","No")</f>
        <v>Yes</v>
      </c>
      <c r="L259" s="2">
        <v>2024</v>
      </c>
      <c r="M259" s="2" t="s">
        <v>57</v>
      </c>
      <c r="N259" s="2" t="s">
        <v>5</v>
      </c>
      <c r="O259" s="2" t="s">
        <v>22</v>
      </c>
      <c r="P259" s="2" t="s">
        <v>23</v>
      </c>
      <c r="Q259" s="2" t="s">
        <v>24</v>
      </c>
      <c r="R259" s="2" t="s">
        <v>25</v>
      </c>
      <c r="S259" s="2">
        <v>292429</v>
      </c>
      <c r="T259" s="3">
        <v>81880</v>
      </c>
      <c r="U259" s="3">
        <v>8113.5</v>
      </c>
      <c r="V259" s="3">
        <v>0</v>
      </c>
      <c r="W259" s="3">
        <v>8113</v>
      </c>
      <c r="X259" s="3" t="s">
        <v>58</v>
      </c>
      <c r="Y259" s="3">
        <v>8113</v>
      </c>
      <c r="Z259" s="3" t="s">
        <v>58</v>
      </c>
      <c r="AA259" s="6">
        <f>SUMIFS(HS_DB[Trade Value - USD],HS_DB[Reporter],HS_DB[[#This Row],[Reporter]])/SUM(HS_DB[Trade Value - USD])</f>
        <v>5.3992075088500962E-3</v>
      </c>
      <c r="AB259" s="8" cm="1">
        <f t="array" ref="AB259">SUMPRODUCT(
(HS_DB[Reporter]=HS_DB[[#This Row],[Reporter]])*
(HS_DB[Trade Value - USD]&gt;HS_DB[[#This Row],[Trade Value - USD]])
)+1</f>
        <v>10</v>
      </c>
      <c r="AC259" s="8" t="str">
        <f>IFERROR(IF(INDEX(Heat_Map[Crisis Impact %],MATCH(HS_DB[[#This Row],[Reporter]],Heat_Map[Global],0),1)&gt;0,"Yes","No"),"No")</f>
        <v>No</v>
      </c>
      <c r="AD259" s="6">
        <f>IFERROR(INDEX(Heat_Map[Crisis Impact %],MATCH(HS_DB[[#This Row],[Reporter]],Heat_Map[Global],0),1),0)</f>
        <v>0</v>
      </c>
      <c r="AE259" s="8">
        <f>HS_DB[[#This Row],[Crisis Impact%]]*HS_DB[[#This Row],[Trade Value - USD]]</f>
        <v>0</v>
      </c>
      <c r="AF259" s="8">
        <f>HS_DB[[#This Row],[Crisis Impact%]]*HS_DB[[#This Row],[Net Weight -KG]]</f>
        <v>0</v>
      </c>
      <c r="AG259" s="6">
        <f>SUMIFS(HS_DB[Trade Value - USD],HS_DB[Products],HS_DB[[#This Row],[Products]])/SUM(HS_DB[Trade Value - USD])</f>
        <v>7.709373456734254E-3</v>
      </c>
      <c r="AH259" s="8">
        <f>_xlfn.RANK.EQ(HS_DB[[#This Row],[Trade Value - USD]], HS_DB[Trade Value - USD], 0)
 + COUNTIFS(HS_DB[Trade Value - USD],HS_DB[[#This Row],[Trade Value - USD]],
            HS_DB[HS Code],"&lt;"&amp;HS_DB[[#This Row],[HS Code]])</f>
        <v>291</v>
      </c>
      <c r="AI259" s="9">
        <f>IFERROR(HS_DB[[#This Row],[Trade Value - USD]]/HS_DB[[#This Row],[Net Weight -KG]],0)</f>
        <v>10.091822271522771</v>
      </c>
      <c r="AJ259" s="17" cm="1">
        <f t="array" ref="AJ259">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59" s="17" t="str">
        <f>IF(HS_DB[[#This Row],[HS Code Risk Score]]&gt;=40,"High",
 IF(HS_DB[[#This Row],[HS Code Risk Score]]&gt;=25,"Medium","Low"))</f>
        <v>Medium</v>
      </c>
      <c r="AL259" s="17" t="str">
        <f>IF(RANK(HS_DB[[#This Row],[HS Code Risk Score]],HS_DB[HS Code Risk Score])&lt;=10,"Yes","No")</f>
        <v>No</v>
      </c>
      <c r="AM259" s="8">
        <f>SUMIFS(HS_DB[Net Weight -KG],HS_DB[HS Code],HS_DB[[#This Row],[HS Code]])</f>
        <v>1740222.6</v>
      </c>
      <c r="AN259" s="8">
        <f>SUMIFS(HS_DB[Trade Value - USD],HS_DB[HS Code],HS_DB[[#This Row],[HS Code]])</f>
        <v>14532233</v>
      </c>
      <c r="AO259" s="6">
        <f>_xlfn.MAXIFS(HS_DB[Origin Share%],HS_DB[HS Code],HS_DB[[#This Row],[HS Code]])</f>
        <v>6.321329281187793E-2</v>
      </c>
      <c r="AP259" s="8" cm="1">
        <f t="array" ref="AP259">_xlfn.LET(
_xlpm.hs,HS_DB[[#This Row],[HS Code]],
COUNTA(_xlfn.UNIQUE(_xlfn._xlws.FILTER(HS_DB[Reporter],HS_DB[HS Code]=_xlpm.hs)))
)</f>
        <v>16</v>
      </c>
      <c r="AQ259" s="17" t="str">
        <f>IF(HS_DB[[#This Row],[Origin Count]]=1,"Single Source","Multiple Sources")</f>
        <v>Multiple Sources</v>
      </c>
      <c r="AR259" s="8">
        <f>HS_DB[[#This Row],[Annual Spend - USD]]*(HS_DB[[#This Row],[HS Code Risk Score]]/100)</f>
        <v>4940959.2200000007</v>
      </c>
      <c r="AS259" s="8">
        <f>RANK(HS_DB[[#This Row],[Risk Exposure - USD]],HS_DB[Risk Exposure - USD],0)</f>
        <v>181</v>
      </c>
      <c r="AT259" s="8" t="str">
        <f>IF(HS_DB[[#This Row],[Risk Exposure Rank]]&lt;=10,"High",
 IF(HS_DB[[#This Row],[Risk Exposure Rank]]&lt;=30,"Medium",
 "Low"))</f>
        <v>Low</v>
      </c>
      <c r="AU259" s="8" t="str">
        <f>IF(HS_DB[[#This Row],[Risk Exposure Rank]]&lt;=5,"Immediate Action",
 IF(HS_DB[[#This Row],[Risk Exposure Rank]]&lt;=15,"Monitor Closely",
 "Routine Control"))</f>
        <v>Routine Control</v>
      </c>
      <c r="AV259" s="8">
        <f>SUMIFS(HS_DB[Trade Value - USD],HS_DB[HS Code],HS_DB[[#This Row],[HS Code]])</f>
        <v>14532233</v>
      </c>
      <c r="AW259" s="6">
        <f>HS_DB[[#This Row],[Annual Spend - USD]]/HS_DB[[#This Row],[Total Market Size - USD]]</f>
        <v>1</v>
      </c>
      <c r="AX259" s="6" cm="1">
        <f t="array" ref="AX259">COUNTA(_xlfn.UNIQUE(_xlfn._xlws.FILTER(HS_DB[Partner],HS_DB[HS Code]=HS_DB[[#This Row],[HS Code]])))</f>
        <v>1</v>
      </c>
      <c r="AY259" s="8" t="str">
        <f>IF(HS_DB[[#This Row],[Competition Intensity]]&lt;=2,"Highly Concentrated",
 IF(HS_DB[[#This Row],[Competition Intensity]]&lt;=5,"Moderate",
 "Highly Competitive"))</f>
        <v>Highly Concentrated</v>
      </c>
      <c r="AZ259" s="8">
        <f>HS_DB[[#This Row],[Total Market Size - USD]]
*
(1+IFERROR(#REF!,0))
/
HS_DB[[#This Row],[Competition Intensity]]</f>
        <v>14532233</v>
      </c>
      <c r="BA259" s="8" t="str">
        <f>IF(HS_DB[[#This Row],[Commercial Opportunity Score]]&gt;=PERCENTILE(HS_DB[Commercial Opportunity Score],0.9),"High Opportunity",
 IF(HS_DB[[#This Row],[Commercial Opportunity Score]]&gt;=PERCENTILE(HS_DB[Commercial Opportunity Score],0.6),"Medium Opportunity",
 "Routine Market"))</f>
        <v>Medium Opportunity</v>
      </c>
      <c r="BB259" s="3" t="str">
        <f>IF(AND(HS_DB[[#This Row],[Product Rank]]&gt;0,HS_DB[[#This Row],[Product Rank]]&lt;=10),"Yes","No")</f>
        <v>No</v>
      </c>
      <c r="BC259" s="3" t="str">
        <f>IF(AND(HS_DB[[#This Row],[Origin Rank]]&gt;0,HS_DB[[#This Row],[Origin Rank]]&lt;=10),"Yes","No")</f>
        <v>Yes</v>
      </c>
    </row>
    <row r="260" spans="2:55" x14ac:dyDescent="0.3">
      <c r="B260" s="2">
        <f>HS_DB[[#This Row],[Commodity Code]]</f>
        <v>292429</v>
      </c>
      <c r="C260" s="2">
        <f>IFERROR(INDEX(HS_MD!C:C,MATCH(B260,HS_MD!B:B,0),1),"")</f>
        <v>21</v>
      </c>
      <c r="D260" s="17" t="str">
        <f>IFERROR(INDEX(HS_MD!D:D,MATCH(B260,HS_MD!B:B,0),1),"")</f>
        <v>Amino compounds</v>
      </c>
      <c r="E260" s="17" t="str">
        <f>IFERROR(INDEX(HS_MD!E:E,MATCH(B260,HS_MD!B:B,0),1),"")</f>
        <v>Aspartame</v>
      </c>
      <c r="F260" s="17" t="str">
        <f>IFERROR(INDEX(HS_MD!F:F,MATCH(B260,HS_MD!B:B,0),1),"")</f>
        <v>SWEETENERS</v>
      </c>
      <c r="G260" s="17" t="str">
        <f>IFERROR(INDEX(HS_MD!G:G,MATCH(B260,HS_MD!B:B,0),1),"")</f>
        <v>High Intensity Sweeteners</v>
      </c>
      <c r="H260" s="17" t="str">
        <f>IFERROR(INDEX(HS_MD!H:H,MATCH(B260,HS_MD!B:B,0),1),"")</f>
        <v>Aspartame</v>
      </c>
      <c r="I260" s="17" t="str">
        <f>IFERROR(INDEX(HS_MD!I:I,MATCH(B260,HS_MD!B:B,0),1),"")</f>
        <v>Diet Beverages</v>
      </c>
      <c r="J260" s="17">
        <f>IFERROR(INDEX(Heat_Map[Index],MATCH(HS_DB[[#This Row],[Reporter]],Heat_Map[Global],0),1),"")</f>
        <v>36</v>
      </c>
      <c r="K260" s="17" t="str">
        <f>IF(AND(HS_DB[[#This Row],[Origin Rank]]&gt;1,HS_DB[[#This Row],[Origin Rank]]&lt;=10),"Yes","No")</f>
        <v>Yes</v>
      </c>
      <c r="L260" s="2">
        <v>2024</v>
      </c>
      <c r="M260" s="2" t="s">
        <v>57</v>
      </c>
      <c r="N260" s="2" t="s">
        <v>1</v>
      </c>
      <c r="O260" s="2" t="s">
        <v>22</v>
      </c>
      <c r="P260" s="2" t="s">
        <v>23</v>
      </c>
      <c r="Q260" s="2" t="s">
        <v>24</v>
      </c>
      <c r="R260" s="2" t="s">
        <v>25</v>
      </c>
      <c r="S260" s="2">
        <v>292429</v>
      </c>
      <c r="T260" s="3">
        <v>9111258</v>
      </c>
      <c r="U260" s="3">
        <v>1600111</v>
      </c>
      <c r="V260" s="3">
        <v>0</v>
      </c>
      <c r="W260" s="3">
        <v>1600111</v>
      </c>
      <c r="X260" s="3" t="s">
        <v>58</v>
      </c>
      <c r="Y260" s="3">
        <v>1600111</v>
      </c>
      <c r="Z260" s="3" t="s">
        <v>58</v>
      </c>
      <c r="AA260" s="6">
        <f>SUMIFS(HS_DB[Trade Value - USD],HS_DB[Reporter],HS_DB[[#This Row],[Reporter]])/SUM(HS_DB[Trade Value - USD])</f>
        <v>6.321329281187793E-2</v>
      </c>
      <c r="AB260" s="8" cm="1">
        <f t="array" ref="AB260">SUMPRODUCT(
(HS_DB[Reporter]=HS_DB[[#This Row],[Reporter]])*
(HS_DB[Trade Value - USD]&gt;HS_DB[[#This Row],[Trade Value - USD]])
)+1</f>
        <v>5</v>
      </c>
      <c r="AC260" s="8" t="str">
        <f>IFERROR(IF(INDEX(Heat_Map[Crisis Impact %],MATCH(HS_DB[[#This Row],[Reporter]],Heat_Map[Global],0),1)&gt;0,"Yes","No"),"No")</f>
        <v>Yes</v>
      </c>
      <c r="AD260" s="6">
        <f>IFERROR(INDEX(Heat_Map[Crisis Impact %],MATCH(HS_DB[[#This Row],[Reporter]],Heat_Map[Global],0),1),0)</f>
        <v>0.14000000000000001</v>
      </c>
      <c r="AE260" s="8">
        <f>HS_DB[[#This Row],[Crisis Impact%]]*HS_DB[[#This Row],[Trade Value - USD]]</f>
        <v>1275576.1200000001</v>
      </c>
      <c r="AF260" s="8">
        <f>HS_DB[[#This Row],[Crisis Impact%]]*HS_DB[[#This Row],[Net Weight -KG]]</f>
        <v>224015.54</v>
      </c>
      <c r="AG260" s="6">
        <f>SUMIFS(HS_DB[Trade Value - USD],HS_DB[Products],HS_DB[[#This Row],[Products]])/SUM(HS_DB[Trade Value - USD])</f>
        <v>7.709373456734254E-3</v>
      </c>
      <c r="AH260" s="8">
        <f>_xlfn.RANK.EQ(HS_DB[[#This Row],[Trade Value - USD]], HS_DB[Trade Value - USD], 0)
 + COUNTIFS(HS_DB[Trade Value - USD],HS_DB[[#This Row],[Trade Value - USD]],
            HS_DB[HS Code],"&lt;"&amp;HS_DB[[#This Row],[HS Code]])</f>
        <v>20</v>
      </c>
      <c r="AI260" s="9">
        <f>IFERROR(HS_DB[[#This Row],[Trade Value - USD]]/HS_DB[[#This Row],[Net Weight -KG]],0)</f>
        <v>5.694141218952935</v>
      </c>
      <c r="AJ260" s="17" cm="1">
        <f t="array" ref="AJ260">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60" s="17" t="str">
        <f>IF(HS_DB[[#This Row],[HS Code Risk Score]]&gt;=40,"High",
 IF(HS_DB[[#This Row],[HS Code Risk Score]]&gt;=25,"Medium","Low"))</f>
        <v>Medium</v>
      </c>
      <c r="AL260" s="17" t="str">
        <f>IF(RANK(HS_DB[[#This Row],[HS Code Risk Score]],HS_DB[HS Code Risk Score])&lt;=10,"Yes","No")</f>
        <v>No</v>
      </c>
      <c r="AM260" s="8">
        <f>SUMIFS(HS_DB[Net Weight -KG],HS_DB[HS Code],HS_DB[[#This Row],[HS Code]])</f>
        <v>1740222.6</v>
      </c>
      <c r="AN260" s="8">
        <f>SUMIFS(HS_DB[Trade Value - USD],HS_DB[HS Code],HS_DB[[#This Row],[HS Code]])</f>
        <v>14532233</v>
      </c>
      <c r="AO260" s="6">
        <f>_xlfn.MAXIFS(HS_DB[Origin Share%],HS_DB[HS Code],HS_DB[[#This Row],[HS Code]])</f>
        <v>6.321329281187793E-2</v>
      </c>
      <c r="AP260" s="8" cm="1">
        <f t="array" ref="AP260">_xlfn.LET(
_xlpm.hs,HS_DB[[#This Row],[HS Code]],
COUNTA(_xlfn.UNIQUE(_xlfn._xlws.FILTER(HS_DB[Reporter],HS_DB[HS Code]=_xlpm.hs)))
)</f>
        <v>16</v>
      </c>
      <c r="AQ260" s="17" t="str">
        <f>IF(HS_DB[[#This Row],[Origin Count]]=1,"Single Source","Multiple Sources")</f>
        <v>Multiple Sources</v>
      </c>
      <c r="AR260" s="8">
        <f>HS_DB[[#This Row],[Annual Spend - USD]]*(HS_DB[[#This Row],[HS Code Risk Score]]/100)</f>
        <v>4940959.2200000007</v>
      </c>
      <c r="AS260" s="8">
        <f>RANK(HS_DB[[#This Row],[Risk Exposure - USD]],HS_DB[Risk Exposure - USD],0)</f>
        <v>181</v>
      </c>
      <c r="AT260" s="8" t="str">
        <f>IF(HS_DB[[#This Row],[Risk Exposure Rank]]&lt;=10,"High",
 IF(HS_DB[[#This Row],[Risk Exposure Rank]]&lt;=30,"Medium",
 "Low"))</f>
        <v>Low</v>
      </c>
      <c r="AU260" s="8" t="str">
        <f>IF(HS_DB[[#This Row],[Risk Exposure Rank]]&lt;=5,"Immediate Action",
 IF(HS_DB[[#This Row],[Risk Exposure Rank]]&lt;=15,"Monitor Closely",
 "Routine Control"))</f>
        <v>Routine Control</v>
      </c>
      <c r="AV260" s="8">
        <f>SUMIFS(HS_DB[Trade Value - USD],HS_DB[HS Code],HS_DB[[#This Row],[HS Code]])</f>
        <v>14532233</v>
      </c>
      <c r="AW260" s="6">
        <f>HS_DB[[#This Row],[Annual Spend - USD]]/HS_DB[[#This Row],[Total Market Size - USD]]</f>
        <v>1</v>
      </c>
      <c r="AX260" s="6" cm="1">
        <f t="array" ref="AX260">COUNTA(_xlfn.UNIQUE(_xlfn._xlws.FILTER(HS_DB[Partner],HS_DB[HS Code]=HS_DB[[#This Row],[HS Code]])))</f>
        <v>1</v>
      </c>
      <c r="AY260" s="8" t="str">
        <f>IF(HS_DB[[#This Row],[Competition Intensity]]&lt;=2,"Highly Concentrated",
 IF(HS_DB[[#This Row],[Competition Intensity]]&lt;=5,"Moderate",
 "Highly Competitive"))</f>
        <v>Highly Concentrated</v>
      </c>
      <c r="AZ260" s="8">
        <f>HS_DB[[#This Row],[Total Market Size - USD]]
*
(1+IFERROR(#REF!,0))
/
HS_DB[[#This Row],[Competition Intensity]]</f>
        <v>14532233</v>
      </c>
      <c r="BA260" s="8" t="str">
        <f>IF(HS_DB[[#This Row],[Commercial Opportunity Score]]&gt;=PERCENTILE(HS_DB[Commercial Opportunity Score],0.9),"High Opportunity",
 IF(HS_DB[[#This Row],[Commercial Opportunity Score]]&gt;=PERCENTILE(HS_DB[Commercial Opportunity Score],0.6),"Medium Opportunity",
 "Routine Market"))</f>
        <v>Medium Opportunity</v>
      </c>
      <c r="BB260" s="3" t="str">
        <f>IF(AND(HS_DB[[#This Row],[Product Rank]]&gt;0,HS_DB[[#This Row],[Product Rank]]&lt;=10),"Yes","No")</f>
        <v>No</v>
      </c>
      <c r="BC260" s="3" t="str">
        <f>IF(AND(HS_DB[[#This Row],[Origin Rank]]&gt;0,HS_DB[[#This Row],[Origin Rank]]&lt;=10),"Yes","No")</f>
        <v>Yes</v>
      </c>
    </row>
    <row r="261" spans="2:55" x14ac:dyDescent="0.3">
      <c r="B261" s="2">
        <f>HS_DB[[#This Row],[Commodity Code]]</f>
        <v>292429</v>
      </c>
      <c r="C261" s="2">
        <f>IFERROR(INDEX(HS_MD!C:C,MATCH(B261,HS_MD!B:B,0),1),"")</f>
        <v>21</v>
      </c>
      <c r="D261" s="17" t="str">
        <f>IFERROR(INDEX(HS_MD!D:D,MATCH(B261,HS_MD!B:B,0),1),"")</f>
        <v>Amino compounds</v>
      </c>
      <c r="E261" s="17" t="str">
        <f>IFERROR(INDEX(HS_MD!E:E,MATCH(B261,HS_MD!B:B,0),1),"")</f>
        <v>Aspartame</v>
      </c>
      <c r="F261" s="17" t="str">
        <f>IFERROR(INDEX(HS_MD!F:F,MATCH(B261,HS_MD!B:B,0),1),"")</f>
        <v>SWEETENERS</v>
      </c>
      <c r="G261" s="17" t="str">
        <f>IFERROR(INDEX(HS_MD!G:G,MATCH(B261,HS_MD!B:B,0),1),"")</f>
        <v>High Intensity Sweeteners</v>
      </c>
      <c r="H261" s="17" t="str">
        <f>IFERROR(INDEX(HS_MD!H:H,MATCH(B261,HS_MD!B:B,0),1),"")</f>
        <v>Aspartame</v>
      </c>
      <c r="I261" s="17" t="str">
        <f>IFERROR(INDEX(HS_MD!I:I,MATCH(B261,HS_MD!B:B,0),1),"")</f>
        <v>Diet Beverages</v>
      </c>
      <c r="J261" s="17">
        <f>IFERROR(INDEX(Heat_Map[Index],MATCH(HS_DB[[#This Row],[Reporter]],Heat_Map[Global],0),1),"")</f>
        <v>59</v>
      </c>
      <c r="K261" s="17" t="str">
        <f>IF(AND(HS_DB[[#This Row],[Origin Rank]]&gt;1,HS_DB[[#This Row],[Origin Rank]]&lt;=10),"Yes","No")</f>
        <v>No</v>
      </c>
      <c r="L261" s="2">
        <v>2024</v>
      </c>
      <c r="M261" s="2" t="s">
        <v>57</v>
      </c>
      <c r="N261" s="2" t="s">
        <v>44</v>
      </c>
      <c r="O261" s="2" t="s">
        <v>22</v>
      </c>
      <c r="P261" s="2" t="s">
        <v>23</v>
      </c>
      <c r="Q261" s="2" t="s">
        <v>24</v>
      </c>
      <c r="R261" s="2" t="s">
        <v>25</v>
      </c>
      <c r="S261" s="2">
        <v>292429</v>
      </c>
      <c r="T261" s="3">
        <v>325527</v>
      </c>
      <c r="U261" s="3">
        <v>907.1</v>
      </c>
      <c r="V261" s="3">
        <v>0</v>
      </c>
      <c r="W261" s="3">
        <v>907</v>
      </c>
      <c r="X261" s="3" t="s">
        <v>58</v>
      </c>
      <c r="Y261" s="3">
        <v>0</v>
      </c>
      <c r="Z261" s="3" t="s">
        <v>26</v>
      </c>
      <c r="AA261" s="6">
        <f>SUMIFS(HS_DB[Trade Value - USD],HS_DB[Reporter],HS_DB[[#This Row],[Reporter]])/SUM(HS_DB[Trade Value - USD])</f>
        <v>1.6951290293147386E-2</v>
      </c>
      <c r="AB261" s="8" cm="1">
        <f t="array" ref="AB261">SUMPRODUCT(
(HS_DB[Reporter]=HS_DB[[#This Row],[Reporter]])*
(HS_DB[Trade Value - USD]&gt;HS_DB[[#This Row],[Trade Value - USD]])
)+1</f>
        <v>13</v>
      </c>
      <c r="AC261" s="8" t="str">
        <f>IFERROR(IF(INDEX(Heat_Map[Crisis Impact %],MATCH(HS_DB[[#This Row],[Reporter]],Heat_Map[Global],0),1)&gt;0,"Yes","No"),"No")</f>
        <v>No</v>
      </c>
      <c r="AD261" s="6">
        <f>IFERROR(INDEX(Heat_Map[Crisis Impact %],MATCH(HS_DB[[#This Row],[Reporter]],Heat_Map[Global],0),1),0)</f>
        <v>0</v>
      </c>
      <c r="AE261" s="8">
        <f>HS_DB[[#This Row],[Crisis Impact%]]*HS_DB[[#This Row],[Trade Value - USD]]</f>
        <v>0</v>
      </c>
      <c r="AF261" s="8">
        <f>HS_DB[[#This Row],[Crisis Impact%]]*HS_DB[[#This Row],[Net Weight -KG]]</f>
        <v>0</v>
      </c>
      <c r="AG261" s="6">
        <f>SUMIFS(HS_DB[Trade Value - USD],HS_DB[Products],HS_DB[[#This Row],[Products]])/SUM(HS_DB[Trade Value - USD])</f>
        <v>7.709373456734254E-3</v>
      </c>
      <c r="AH261" s="8">
        <f>_xlfn.RANK.EQ(HS_DB[[#This Row],[Trade Value - USD]], HS_DB[Trade Value - USD], 0)
 + COUNTIFS(HS_DB[Trade Value - USD],HS_DB[[#This Row],[Trade Value - USD]],
            HS_DB[HS Code],"&lt;"&amp;HS_DB[[#This Row],[HS Code]])</f>
        <v>180</v>
      </c>
      <c r="AI261" s="9">
        <f>IFERROR(HS_DB[[#This Row],[Trade Value - USD]]/HS_DB[[#This Row],[Net Weight -KG]],0)</f>
        <v>358.86561569837943</v>
      </c>
      <c r="AJ261" s="17" cm="1">
        <f t="array" ref="AJ261">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61" s="17" t="str">
        <f>IF(HS_DB[[#This Row],[HS Code Risk Score]]&gt;=40,"High",
 IF(HS_DB[[#This Row],[HS Code Risk Score]]&gt;=25,"Medium","Low"))</f>
        <v>Medium</v>
      </c>
      <c r="AL261" s="17" t="str">
        <f>IF(RANK(HS_DB[[#This Row],[HS Code Risk Score]],HS_DB[HS Code Risk Score])&lt;=10,"Yes","No")</f>
        <v>No</v>
      </c>
      <c r="AM261" s="8">
        <f>SUMIFS(HS_DB[Net Weight -KG],HS_DB[HS Code],HS_DB[[#This Row],[HS Code]])</f>
        <v>1740222.6</v>
      </c>
      <c r="AN261" s="8">
        <f>SUMIFS(HS_DB[Trade Value - USD],HS_DB[HS Code],HS_DB[[#This Row],[HS Code]])</f>
        <v>14532233</v>
      </c>
      <c r="AO261" s="6">
        <f>_xlfn.MAXIFS(HS_DB[Origin Share%],HS_DB[HS Code],HS_DB[[#This Row],[HS Code]])</f>
        <v>6.321329281187793E-2</v>
      </c>
      <c r="AP261" s="8" cm="1">
        <f t="array" ref="AP261">_xlfn.LET(
_xlpm.hs,HS_DB[[#This Row],[HS Code]],
COUNTA(_xlfn.UNIQUE(_xlfn._xlws.FILTER(HS_DB[Reporter],HS_DB[HS Code]=_xlpm.hs)))
)</f>
        <v>16</v>
      </c>
      <c r="AQ261" s="17" t="str">
        <f>IF(HS_DB[[#This Row],[Origin Count]]=1,"Single Source","Multiple Sources")</f>
        <v>Multiple Sources</v>
      </c>
      <c r="AR261" s="8">
        <f>HS_DB[[#This Row],[Annual Spend - USD]]*(HS_DB[[#This Row],[HS Code Risk Score]]/100)</f>
        <v>4940959.2200000007</v>
      </c>
      <c r="AS261" s="8">
        <f>RANK(HS_DB[[#This Row],[Risk Exposure - USD]],HS_DB[Risk Exposure - USD],0)</f>
        <v>181</v>
      </c>
      <c r="AT261" s="8" t="str">
        <f>IF(HS_DB[[#This Row],[Risk Exposure Rank]]&lt;=10,"High",
 IF(HS_DB[[#This Row],[Risk Exposure Rank]]&lt;=30,"Medium",
 "Low"))</f>
        <v>Low</v>
      </c>
      <c r="AU261" s="8" t="str">
        <f>IF(HS_DB[[#This Row],[Risk Exposure Rank]]&lt;=5,"Immediate Action",
 IF(HS_DB[[#This Row],[Risk Exposure Rank]]&lt;=15,"Monitor Closely",
 "Routine Control"))</f>
        <v>Routine Control</v>
      </c>
      <c r="AV261" s="8">
        <f>SUMIFS(HS_DB[Trade Value - USD],HS_DB[HS Code],HS_DB[[#This Row],[HS Code]])</f>
        <v>14532233</v>
      </c>
      <c r="AW261" s="6">
        <f>HS_DB[[#This Row],[Annual Spend - USD]]/HS_DB[[#This Row],[Total Market Size - USD]]</f>
        <v>1</v>
      </c>
      <c r="AX261" s="6" cm="1">
        <f t="array" ref="AX261">COUNTA(_xlfn.UNIQUE(_xlfn._xlws.FILTER(HS_DB[Partner],HS_DB[HS Code]=HS_DB[[#This Row],[HS Code]])))</f>
        <v>1</v>
      </c>
      <c r="AY261" s="8" t="str">
        <f>IF(HS_DB[[#This Row],[Competition Intensity]]&lt;=2,"Highly Concentrated",
 IF(HS_DB[[#This Row],[Competition Intensity]]&lt;=5,"Moderate",
 "Highly Competitive"))</f>
        <v>Highly Concentrated</v>
      </c>
      <c r="AZ261" s="8">
        <f>HS_DB[[#This Row],[Total Market Size - USD]]
*
(1+IFERROR(#REF!,0))
/
HS_DB[[#This Row],[Competition Intensity]]</f>
        <v>14532233</v>
      </c>
      <c r="BA261" s="8" t="str">
        <f>IF(HS_DB[[#This Row],[Commercial Opportunity Score]]&gt;=PERCENTILE(HS_DB[Commercial Opportunity Score],0.9),"High Opportunity",
 IF(HS_DB[[#This Row],[Commercial Opportunity Score]]&gt;=PERCENTILE(HS_DB[Commercial Opportunity Score],0.6),"Medium Opportunity",
 "Routine Market"))</f>
        <v>Medium Opportunity</v>
      </c>
      <c r="BB261" s="3" t="str">
        <f>IF(AND(HS_DB[[#This Row],[Product Rank]]&gt;0,HS_DB[[#This Row],[Product Rank]]&lt;=10),"Yes","No")</f>
        <v>No</v>
      </c>
      <c r="BC261" s="3" t="str">
        <f>IF(AND(HS_DB[[#This Row],[Origin Rank]]&gt;0,HS_DB[[#This Row],[Origin Rank]]&lt;=10),"Yes","No")</f>
        <v>No</v>
      </c>
    </row>
    <row r="262" spans="2:55" x14ac:dyDescent="0.3">
      <c r="B262" s="2">
        <f>HS_DB[[#This Row],[Commodity Code]]</f>
        <v>292429</v>
      </c>
      <c r="C262" s="2">
        <f>IFERROR(INDEX(HS_MD!C:C,MATCH(B262,HS_MD!B:B,0),1),"")</f>
        <v>21</v>
      </c>
      <c r="D262" s="17" t="str">
        <f>IFERROR(INDEX(HS_MD!D:D,MATCH(B262,HS_MD!B:B,0),1),"")</f>
        <v>Amino compounds</v>
      </c>
      <c r="E262" s="17" t="str">
        <f>IFERROR(INDEX(HS_MD!E:E,MATCH(B262,HS_MD!B:B,0),1),"")</f>
        <v>Aspartame</v>
      </c>
      <c r="F262" s="17" t="str">
        <f>IFERROR(INDEX(HS_MD!F:F,MATCH(B262,HS_MD!B:B,0),1),"")</f>
        <v>SWEETENERS</v>
      </c>
      <c r="G262" s="17" t="str">
        <f>IFERROR(INDEX(HS_MD!G:G,MATCH(B262,HS_MD!B:B,0),1),"")</f>
        <v>High Intensity Sweeteners</v>
      </c>
      <c r="H262" s="17" t="str">
        <f>IFERROR(INDEX(HS_MD!H:H,MATCH(B262,HS_MD!B:B,0),1),"")</f>
        <v>Aspartame</v>
      </c>
      <c r="I262" s="17" t="str">
        <f>IFERROR(INDEX(HS_MD!I:I,MATCH(B262,HS_MD!B:B,0),1),"")</f>
        <v>Diet Beverages</v>
      </c>
      <c r="J262" s="17">
        <f>IFERROR(INDEX(Heat_Map[Index],MATCH(HS_DB[[#This Row],[Reporter]],Heat_Map[Global],0),1),"")</f>
        <v>63</v>
      </c>
      <c r="K262" s="17" t="str">
        <f>IF(AND(HS_DB[[#This Row],[Origin Rank]]&gt;1,HS_DB[[#This Row],[Origin Rank]]&lt;=10),"Yes","No")</f>
        <v>No</v>
      </c>
      <c r="L262" s="2">
        <v>2024</v>
      </c>
      <c r="M262" s="2" t="s">
        <v>57</v>
      </c>
      <c r="N262" s="2" t="s">
        <v>2</v>
      </c>
      <c r="O262" s="2" t="s">
        <v>22</v>
      </c>
      <c r="P262" s="2" t="s">
        <v>23</v>
      </c>
      <c r="Q262" s="2" t="s">
        <v>24</v>
      </c>
      <c r="R262" s="2" t="s">
        <v>25</v>
      </c>
      <c r="S262" s="2">
        <v>292429</v>
      </c>
      <c r="T262" s="3">
        <v>272863</v>
      </c>
      <c r="U262" s="3">
        <v>2367.1999999999998</v>
      </c>
      <c r="V262" s="3">
        <v>0</v>
      </c>
      <c r="W262" s="3">
        <v>2367</v>
      </c>
      <c r="X262" s="3" t="s">
        <v>58</v>
      </c>
      <c r="Y262" s="3">
        <v>0</v>
      </c>
      <c r="Z262" s="3" t="s">
        <v>26</v>
      </c>
      <c r="AA262" s="6">
        <f>SUMIFS(HS_DB[Trade Value - USD],HS_DB[Reporter],HS_DB[[#This Row],[Reporter]])/SUM(HS_DB[Trade Value - USD])</f>
        <v>1.1674623358397021E-2</v>
      </c>
      <c r="AB262" s="8" cm="1">
        <f t="array" ref="AB262">SUMPRODUCT(
(HS_DB[Reporter]=HS_DB[[#This Row],[Reporter]])*
(HS_DB[Trade Value - USD]&gt;HS_DB[[#This Row],[Trade Value - USD]])
)+1</f>
        <v>14</v>
      </c>
      <c r="AC262" s="8" t="str">
        <f>IFERROR(IF(INDEX(Heat_Map[Crisis Impact %],MATCH(HS_DB[[#This Row],[Reporter]],Heat_Map[Global],0),1)&gt;0,"Yes","No"),"No")</f>
        <v>No</v>
      </c>
      <c r="AD262" s="6">
        <f>IFERROR(INDEX(Heat_Map[Crisis Impact %],MATCH(HS_DB[[#This Row],[Reporter]],Heat_Map[Global],0),1),0)</f>
        <v>0</v>
      </c>
      <c r="AE262" s="8">
        <f>HS_DB[[#This Row],[Crisis Impact%]]*HS_DB[[#This Row],[Trade Value - USD]]</f>
        <v>0</v>
      </c>
      <c r="AF262" s="8">
        <f>HS_DB[[#This Row],[Crisis Impact%]]*HS_DB[[#This Row],[Net Weight -KG]]</f>
        <v>0</v>
      </c>
      <c r="AG262" s="6">
        <f>SUMIFS(HS_DB[Trade Value - USD],HS_DB[Products],HS_DB[[#This Row],[Products]])/SUM(HS_DB[Trade Value - USD])</f>
        <v>7.709373456734254E-3</v>
      </c>
      <c r="AH262" s="8">
        <f>_xlfn.RANK.EQ(HS_DB[[#This Row],[Trade Value - USD]], HS_DB[Trade Value - USD], 0)
 + COUNTIFS(HS_DB[Trade Value - USD],HS_DB[[#This Row],[Trade Value - USD]],
            HS_DB[HS Code],"&lt;"&amp;HS_DB[[#This Row],[HS Code]])</f>
        <v>197</v>
      </c>
      <c r="AI262" s="9">
        <f>IFERROR(HS_DB[[#This Row],[Trade Value - USD]]/HS_DB[[#This Row],[Net Weight -KG]],0)</f>
        <v>115.26824940858398</v>
      </c>
      <c r="AJ262" s="17" cm="1">
        <f t="array" ref="AJ262">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62" s="17" t="str">
        <f>IF(HS_DB[[#This Row],[HS Code Risk Score]]&gt;=40,"High",
 IF(HS_DB[[#This Row],[HS Code Risk Score]]&gt;=25,"Medium","Low"))</f>
        <v>Medium</v>
      </c>
      <c r="AL262" s="17" t="str">
        <f>IF(RANK(HS_DB[[#This Row],[HS Code Risk Score]],HS_DB[HS Code Risk Score])&lt;=10,"Yes","No")</f>
        <v>No</v>
      </c>
      <c r="AM262" s="8">
        <f>SUMIFS(HS_DB[Net Weight -KG],HS_DB[HS Code],HS_DB[[#This Row],[HS Code]])</f>
        <v>1740222.6</v>
      </c>
      <c r="AN262" s="8">
        <f>SUMIFS(HS_DB[Trade Value - USD],HS_DB[HS Code],HS_DB[[#This Row],[HS Code]])</f>
        <v>14532233</v>
      </c>
      <c r="AO262" s="6">
        <f>_xlfn.MAXIFS(HS_DB[Origin Share%],HS_DB[HS Code],HS_DB[[#This Row],[HS Code]])</f>
        <v>6.321329281187793E-2</v>
      </c>
      <c r="AP262" s="8" cm="1">
        <f t="array" ref="AP262">_xlfn.LET(
_xlpm.hs,HS_DB[[#This Row],[HS Code]],
COUNTA(_xlfn.UNIQUE(_xlfn._xlws.FILTER(HS_DB[Reporter],HS_DB[HS Code]=_xlpm.hs)))
)</f>
        <v>16</v>
      </c>
      <c r="AQ262" s="17" t="str">
        <f>IF(HS_DB[[#This Row],[Origin Count]]=1,"Single Source","Multiple Sources")</f>
        <v>Multiple Sources</v>
      </c>
      <c r="AR262" s="8">
        <f>HS_DB[[#This Row],[Annual Spend - USD]]*(HS_DB[[#This Row],[HS Code Risk Score]]/100)</f>
        <v>4940959.2200000007</v>
      </c>
      <c r="AS262" s="8">
        <f>RANK(HS_DB[[#This Row],[Risk Exposure - USD]],HS_DB[Risk Exposure - USD],0)</f>
        <v>181</v>
      </c>
      <c r="AT262" s="8" t="str">
        <f>IF(HS_DB[[#This Row],[Risk Exposure Rank]]&lt;=10,"High",
 IF(HS_DB[[#This Row],[Risk Exposure Rank]]&lt;=30,"Medium",
 "Low"))</f>
        <v>Low</v>
      </c>
      <c r="AU262" s="8" t="str">
        <f>IF(HS_DB[[#This Row],[Risk Exposure Rank]]&lt;=5,"Immediate Action",
 IF(HS_DB[[#This Row],[Risk Exposure Rank]]&lt;=15,"Monitor Closely",
 "Routine Control"))</f>
        <v>Routine Control</v>
      </c>
      <c r="AV262" s="8">
        <f>SUMIFS(HS_DB[Trade Value - USD],HS_DB[HS Code],HS_DB[[#This Row],[HS Code]])</f>
        <v>14532233</v>
      </c>
      <c r="AW262" s="6">
        <f>HS_DB[[#This Row],[Annual Spend - USD]]/HS_DB[[#This Row],[Total Market Size - USD]]</f>
        <v>1</v>
      </c>
      <c r="AX262" s="6" cm="1">
        <f t="array" ref="AX262">COUNTA(_xlfn.UNIQUE(_xlfn._xlws.FILTER(HS_DB[Partner],HS_DB[HS Code]=HS_DB[[#This Row],[HS Code]])))</f>
        <v>1</v>
      </c>
      <c r="AY262" s="8" t="str">
        <f>IF(HS_DB[[#This Row],[Competition Intensity]]&lt;=2,"Highly Concentrated",
 IF(HS_DB[[#This Row],[Competition Intensity]]&lt;=5,"Moderate",
 "Highly Competitive"))</f>
        <v>Highly Concentrated</v>
      </c>
      <c r="AZ262" s="8">
        <f>HS_DB[[#This Row],[Total Market Size - USD]]
*
(1+IFERROR(#REF!,0))
/
HS_DB[[#This Row],[Competition Intensity]]</f>
        <v>14532233</v>
      </c>
      <c r="BA262" s="8" t="str">
        <f>IF(HS_DB[[#This Row],[Commercial Opportunity Score]]&gt;=PERCENTILE(HS_DB[Commercial Opportunity Score],0.9),"High Opportunity",
 IF(HS_DB[[#This Row],[Commercial Opportunity Score]]&gt;=PERCENTILE(HS_DB[Commercial Opportunity Score],0.6),"Medium Opportunity",
 "Routine Market"))</f>
        <v>Medium Opportunity</v>
      </c>
      <c r="BB262" s="3" t="str">
        <f>IF(AND(HS_DB[[#This Row],[Product Rank]]&gt;0,HS_DB[[#This Row],[Product Rank]]&lt;=10),"Yes","No")</f>
        <v>No</v>
      </c>
      <c r="BC262" s="3" t="str">
        <f>IF(AND(HS_DB[[#This Row],[Origin Rank]]&gt;0,HS_DB[[#This Row],[Origin Rank]]&lt;=10),"Yes","No")</f>
        <v>No</v>
      </c>
    </row>
    <row r="263" spans="2:55" x14ac:dyDescent="0.3">
      <c r="B263" s="2">
        <f>HS_DB[[#This Row],[Commodity Code]]</f>
        <v>292429</v>
      </c>
      <c r="C263" s="2">
        <f>IFERROR(INDEX(HS_MD!C:C,MATCH(B263,HS_MD!B:B,0),1),"")</f>
        <v>21</v>
      </c>
      <c r="D263" s="17" t="str">
        <f>IFERROR(INDEX(HS_MD!D:D,MATCH(B263,HS_MD!B:B,0),1),"")</f>
        <v>Amino compounds</v>
      </c>
      <c r="E263" s="17" t="str">
        <f>IFERROR(INDEX(HS_MD!E:E,MATCH(B263,HS_MD!B:B,0),1),"")</f>
        <v>Aspartame</v>
      </c>
      <c r="F263" s="17" t="str">
        <f>IFERROR(INDEX(HS_MD!F:F,MATCH(B263,HS_MD!B:B,0),1),"")</f>
        <v>SWEETENERS</v>
      </c>
      <c r="G263" s="17" t="str">
        <f>IFERROR(INDEX(HS_MD!G:G,MATCH(B263,HS_MD!B:B,0),1),"")</f>
        <v>High Intensity Sweeteners</v>
      </c>
      <c r="H263" s="17" t="str">
        <f>IFERROR(INDEX(HS_MD!H:H,MATCH(B263,HS_MD!B:B,0),1),"")</f>
        <v>Aspartame</v>
      </c>
      <c r="I263" s="17" t="str">
        <f>IFERROR(INDEX(HS_MD!I:I,MATCH(B263,HS_MD!B:B,0),1),"")</f>
        <v>Diet Beverages</v>
      </c>
      <c r="J263" s="17">
        <f>IFERROR(INDEX(Heat_Map[Index],MATCH(HS_DB[[#This Row],[Reporter]],Heat_Map[Global],0),1),"")</f>
        <v>79</v>
      </c>
      <c r="K263" s="17" t="str">
        <f>IF(AND(HS_DB[[#This Row],[Origin Rank]]&gt;1,HS_DB[[#This Row],[Origin Rank]]&lt;=10),"Yes","No")</f>
        <v>Yes</v>
      </c>
      <c r="L263" s="2">
        <v>2024</v>
      </c>
      <c r="M263" s="2" t="s">
        <v>57</v>
      </c>
      <c r="N263" s="2" t="s">
        <v>48</v>
      </c>
      <c r="O263" s="2" t="s">
        <v>22</v>
      </c>
      <c r="P263" s="2" t="s">
        <v>23</v>
      </c>
      <c r="Q263" s="2" t="s">
        <v>24</v>
      </c>
      <c r="R263" s="2" t="s">
        <v>25</v>
      </c>
      <c r="S263" s="2">
        <v>292429</v>
      </c>
      <c r="T263" s="3">
        <v>1059391</v>
      </c>
      <c r="U263" s="3">
        <v>53612</v>
      </c>
      <c r="V263" s="3">
        <v>0</v>
      </c>
      <c r="W263" s="3">
        <v>53612</v>
      </c>
      <c r="X263" s="3" t="s">
        <v>58</v>
      </c>
      <c r="Y263" s="3">
        <v>53612</v>
      </c>
      <c r="Z263" s="3" t="s">
        <v>58</v>
      </c>
      <c r="AA263" s="6">
        <f>SUMIFS(HS_DB[Trade Value - USD],HS_DB[Reporter],HS_DB[[#This Row],[Reporter]])/SUM(HS_DB[Trade Value - USD])</f>
        <v>4.9588465845200368E-3</v>
      </c>
      <c r="AB263" s="8" cm="1">
        <f t="array" ref="AB263">SUMPRODUCT(
(HS_DB[Reporter]=HS_DB[[#This Row],[Reporter]])*
(HS_DB[Trade Value - USD]&gt;HS_DB[[#This Row],[Trade Value - USD]])
)+1</f>
        <v>3</v>
      </c>
      <c r="AC263" s="8" t="str">
        <f>IFERROR(IF(INDEX(Heat_Map[Crisis Impact %],MATCH(HS_DB[[#This Row],[Reporter]],Heat_Map[Global],0),1)&gt;0,"Yes","No"),"No")</f>
        <v>No</v>
      </c>
      <c r="AD263" s="6">
        <f>IFERROR(INDEX(Heat_Map[Crisis Impact %],MATCH(HS_DB[[#This Row],[Reporter]],Heat_Map[Global],0),1),0)</f>
        <v>0</v>
      </c>
      <c r="AE263" s="8">
        <f>HS_DB[[#This Row],[Crisis Impact%]]*HS_DB[[#This Row],[Trade Value - USD]]</f>
        <v>0</v>
      </c>
      <c r="AF263" s="8">
        <f>HS_DB[[#This Row],[Crisis Impact%]]*HS_DB[[#This Row],[Net Weight -KG]]</f>
        <v>0</v>
      </c>
      <c r="AG263" s="6">
        <f>SUMIFS(HS_DB[Trade Value - USD],HS_DB[Products],HS_DB[[#This Row],[Products]])/SUM(HS_DB[Trade Value - USD])</f>
        <v>7.709373456734254E-3</v>
      </c>
      <c r="AH263" s="8">
        <f>_xlfn.RANK.EQ(HS_DB[[#This Row],[Trade Value - USD]], HS_DB[Trade Value - USD], 0)
 + COUNTIFS(HS_DB[Trade Value - USD],HS_DB[[#This Row],[Trade Value - USD]],
            HS_DB[HS Code],"&lt;"&amp;HS_DB[[#This Row],[HS Code]])</f>
        <v>102</v>
      </c>
      <c r="AI263" s="9">
        <f>IFERROR(HS_DB[[#This Row],[Trade Value - USD]]/HS_DB[[#This Row],[Net Weight -KG]],0)</f>
        <v>19.760333507423709</v>
      </c>
      <c r="AJ263" s="17" cm="1">
        <f t="array" ref="AJ263">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63" s="17" t="str">
        <f>IF(HS_DB[[#This Row],[HS Code Risk Score]]&gt;=40,"High",
 IF(HS_DB[[#This Row],[HS Code Risk Score]]&gt;=25,"Medium","Low"))</f>
        <v>Medium</v>
      </c>
      <c r="AL263" s="17" t="str">
        <f>IF(RANK(HS_DB[[#This Row],[HS Code Risk Score]],HS_DB[HS Code Risk Score])&lt;=10,"Yes","No")</f>
        <v>No</v>
      </c>
      <c r="AM263" s="8">
        <f>SUMIFS(HS_DB[Net Weight -KG],HS_DB[HS Code],HS_DB[[#This Row],[HS Code]])</f>
        <v>1740222.6</v>
      </c>
      <c r="AN263" s="8">
        <f>SUMIFS(HS_DB[Trade Value - USD],HS_DB[HS Code],HS_DB[[#This Row],[HS Code]])</f>
        <v>14532233</v>
      </c>
      <c r="AO263" s="6">
        <f>_xlfn.MAXIFS(HS_DB[Origin Share%],HS_DB[HS Code],HS_DB[[#This Row],[HS Code]])</f>
        <v>6.321329281187793E-2</v>
      </c>
      <c r="AP263" s="8" cm="1">
        <f t="array" ref="AP263">_xlfn.LET(
_xlpm.hs,HS_DB[[#This Row],[HS Code]],
COUNTA(_xlfn.UNIQUE(_xlfn._xlws.FILTER(HS_DB[Reporter],HS_DB[HS Code]=_xlpm.hs)))
)</f>
        <v>16</v>
      </c>
      <c r="AQ263" s="17" t="str">
        <f>IF(HS_DB[[#This Row],[Origin Count]]=1,"Single Source","Multiple Sources")</f>
        <v>Multiple Sources</v>
      </c>
      <c r="AR263" s="8">
        <f>HS_DB[[#This Row],[Annual Spend - USD]]*(HS_DB[[#This Row],[HS Code Risk Score]]/100)</f>
        <v>4940959.2200000007</v>
      </c>
      <c r="AS263" s="8">
        <f>RANK(HS_DB[[#This Row],[Risk Exposure - USD]],HS_DB[Risk Exposure - USD],0)</f>
        <v>181</v>
      </c>
      <c r="AT263" s="8" t="str">
        <f>IF(HS_DB[[#This Row],[Risk Exposure Rank]]&lt;=10,"High",
 IF(HS_DB[[#This Row],[Risk Exposure Rank]]&lt;=30,"Medium",
 "Low"))</f>
        <v>Low</v>
      </c>
      <c r="AU263" s="8" t="str">
        <f>IF(HS_DB[[#This Row],[Risk Exposure Rank]]&lt;=5,"Immediate Action",
 IF(HS_DB[[#This Row],[Risk Exposure Rank]]&lt;=15,"Monitor Closely",
 "Routine Control"))</f>
        <v>Routine Control</v>
      </c>
      <c r="AV263" s="8">
        <f>SUMIFS(HS_DB[Trade Value - USD],HS_DB[HS Code],HS_DB[[#This Row],[HS Code]])</f>
        <v>14532233</v>
      </c>
      <c r="AW263" s="6">
        <f>HS_DB[[#This Row],[Annual Spend - USD]]/HS_DB[[#This Row],[Total Market Size - USD]]</f>
        <v>1</v>
      </c>
      <c r="AX263" s="6" cm="1">
        <f t="array" ref="AX263">COUNTA(_xlfn.UNIQUE(_xlfn._xlws.FILTER(HS_DB[Partner],HS_DB[HS Code]=HS_DB[[#This Row],[HS Code]])))</f>
        <v>1</v>
      </c>
      <c r="AY263" s="8" t="str">
        <f>IF(HS_DB[[#This Row],[Competition Intensity]]&lt;=2,"Highly Concentrated",
 IF(HS_DB[[#This Row],[Competition Intensity]]&lt;=5,"Moderate",
 "Highly Competitive"))</f>
        <v>Highly Concentrated</v>
      </c>
      <c r="AZ263" s="8">
        <f>HS_DB[[#This Row],[Total Market Size - USD]]
*
(1+IFERROR(#REF!,0))
/
HS_DB[[#This Row],[Competition Intensity]]</f>
        <v>14532233</v>
      </c>
      <c r="BA263" s="8" t="str">
        <f>IF(HS_DB[[#This Row],[Commercial Opportunity Score]]&gt;=PERCENTILE(HS_DB[Commercial Opportunity Score],0.9),"High Opportunity",
 IF(HS_DB[[#This Row],[Commercial Opportunity Score]]&gt;=PERCENTILE(HS_DB[Commercial Opportunity Score],0.6),"Medium Opportunity",
 "Routine Market"))</f>
        <v>Medium Opportunity</v>
      </c>
      <c r="BB263" s="3" t="str">
        <f>IF(AND(HS_DB[[#This Row],[Product Rank]]&gt;0,HS_DB[[#This Row],[Product Rank]]&lt;=10),"Yes","No")</f>
        <v>No</v>
      </c>
      <c r="BC263" s="3" t="str">
        <f>IF(AND(HS_DB[[#This Row],[Origin Rank]]&gt;0,HS_DB[[#This Row],[Origin Rank]]&lt;=10),"Yes","No")</f>
        <v>Yes</v>
      </c>
    </row>
    <row r="264" spans="2:55" x14ac:dyDescent="0.3">
      <c r="B264" s="2">
        <f>HS_DB[[#This Row],[Commodity Code]]</f>
        <v>292429</v>
      </c>
      <c r="C264" s="2">
        <f>IFERROR(INDEX(HS_MD!C:C,MATCH(B264,HS_MD!B:B,0),1),"")</f>
        <v>21</v>
      </c>
      <c r="D264" s="17" t="str">
        <f>IFERROR(INDEX(HS_MD!D:D,MATCH(B264,HS_MD!B:B,0),1),"")</f>
        <v>Amino compounds</v>
      </c>
      <c r="E264" s="17" t="str">
        <f>IFERROR(INDEX(HS_MD!E:E,MATCH(B264,HS_MD!B:B,0),1),"")</f>
        <v>Aspartame</v>
      </c>
      <c r="F264" s="17" t="str">
        <f>IFERROR(INDEX(HS_MD!F:F,MATCH(B264,HS_MD!B:B,0),1),"")</f>
        <v>SWEETENERS</v>
      </c>
      <c r="G264" s="17" t="str">
        <f>IFERROR(INDEX(HS_MD!G:G,MATCH(B264,HS_MD!B:B,0),1),"")</f>
        <v>High Intensity Sweeteners</v>
      </c>
      <c r="H264" s="17" t="str">
        <f>IFERROR(INDEX(HS_MD!H:H,MATCH(B264,HS_MD!B:B,0),1),"")</f>
        <v>Aspartame</v>
      </c>
      <c r="I264" s="17" t="str">
        <f>IFERROR(INDEX(HS_MD!I:I,MATCH(B264,HS_MD!B:B,0),1),"")</f>
        <v>Diet Beverages</v>
      </c>
      <c r="J264" s="17">
        <f>IFERROR(INDEX(Heat_Map[Index],MATCH(HS_DB[[#This Row],[Reporter]],Heat_Map[Global],0),1),"")</f>
        <v>81</v>
      </c>
      <c r="K264" s="17" t="str">
        <f>IF(AND(HS_DB[[#This Row],[Origin Rank]]&gt;1,HS_DB[[#This Row],[Origin Rank]]&lt;=10),"Yes","No")</f>
        <v>No</v>
      </c>
      <c r="L264" s="2">
        <v>2024</v>
      </c>
      <c r="M264" s="2" t="s">
        <v>57</v>
      </c>
      <c r="N264" s="2" t="s">
        <v>49</v>
      </c>
      <c r="O264" s="2" t="s">
        <v>22</v>
      </c>
      <c r="P264" s="2" t="s">
        <v>23</v>
      </c>
      <c r="Q264" s="2" t="s">
        <v>24</v>
      </c>
      <c r="R264" s="2" t="s">
        <v>25</v>
      </c>
      <c r="S264" s="2">
        <v>292429</v>
      </c>
      <c r="T264" s="3">
        <v>100596</v>
      </c>
      <c r="U264" s="3">
        <v>525</v>
      </c>
      <c r="V264" s="3">
        <v>0</v>
      </c>
      <c r="W264" s="3">
        <v>525</v>
      </c>
      <c r="X264" s="3" t="s">
        <v>58</v>
      </c>
      <c r="Y264" s="3">
        <v>525</v>
      </c>
      <c r="Z264" s="3" t="s">
        <v>58</v>
      </c>
      <c r="AA264" s="6">
        <f>SUMIFS(HS_DB[Trade Value - USD],HS_DB[Reporter],HS_DB[[#This Row],[Reporter]])/SUM(HS_DB[Trade Value - USD])</f>
        <v>1.1178535358665947E-2</v>
      </c>
      <c r="AB264" s="8" cm="1">
        <f t="array" ref="AB264">SUMPRODUCT(
(HS_DB[Reporter]=HS_DB[[#This Row],[Reporter]])*
(HS_DB[Trade Value - USD]&gt;HS_DB[[#This Row],[Trade Value - USD]])
)+1</f>
        <v>13</v>
      </c>
      <c r="AC264" s="8" t="str">
        <f>IFERROR(IF(INDEX(Heat_Map[Crisis Impact %],MATCH(HS_DB[[#This Row],[Reporter]],Heat_Map[Global],0),1)&gt;0,"Yes","No"),"No")</f>
        <v>No</v>
      </c>
      <c r="AD264" s="6">
        <f>IFERROR(INDEX(Heat_Map[Crisis Impact %],MATCH(HS_DB[[#This Row],[Reporter]],Heat_Map[Global],0),1),0)</f>
        <v>0</v>
      </c>
      <c r="AE264" s="8">
        <f>HS_DB[[#This Row],[Crisis Impact%]]*HS_DB[[#This Row],[Trade Value - USD]]</f>
        <v>0</v>
      </c>
      <c r="AF264" s="8">
        <f>HS_DB[[#This Row],[Crisis Impact%]]*HS_DB[[#This Row],[Net Weight -KG]]</f>
        <v>0</v>
      </c>
      <c r="AG264" s="6">
        <f>SUMIFS(HS_DB[Trade Value - USD],HS_DB[Products],HS_DB[[#This Row],[Products]])/SUM(HS_DB[Trade Value - USD])</f>
        <v>7.709373456734254E-3</v>
      </c>
      <c r="AH264" s="8">
        <f>_xlfn.RANK.EQ(HS_DB[[#This Row],[Trade Value - USD]], HS_DB[Trade Value - USD], 0)
 + COUNTIFS(HS_DB[Trade Value - USD],HS_DB[[#This Row],[Trade Value - USD]],
            HS_DB[HS Code],"&lt;"&amp;HS_DB[[#This Row],[HS Code]])</f>
        <v>275</v>
      </c>
      <c r="AI264" s="9">
        <f>IFERROR(HS_DB[[#This Row],[Trade Value - USD]]/HS_DB[[#This Row],[Net Weight -KG]],0)</f>
        <v>191.61142857142858</v>
      </c>
      <c r="AJ264" s="17" cm="1">
        <f t="array" ref="AJ264">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64" s="17" t="str">
        <f>IF(HS_DB[[#This Row],[HS Code Risk Score]]&gt;=40,"High",
 IF(HS_DB[[#This Row],[HS Code Risk Score]]&gt;=25,"Medium","Low"))</f>
        <v>Medium</v>
      </c>
      <c r="AL264" s="17" t="str">
        <f>IF(RANK(HS_DB[[#This Row],[HS Code Risk Score]],HS_DB[HS Code Risk Score])&lt;=10,"Yes","No")</f>
        <v>No</v>
      </c>
      <c r="AM264" s="8">
        <f>SUMIFS(HS_DB[Net Weight -KG],HS_DB[HS Code],HS_DB[[#This Row],[HS Code]])</f>
        <v>1740222.6</v>
      </c>
      <c r="AN264" s="8">
        <f>SUMIFS(HS_DB[Trade Value - USD],HS_DB[HS Code],HS_DB[[#This Row],[HS Code]])</f>
        <v>14532233</v>
      </c>
      <c r="AO264" s="6">
        <f>_xlfn.MAXIFS(HS_DB[Origin Share%],HS_DB[HS Code],HS_DB[[#This Row],[HS Code]])</f>
        <v>6.321329281187793E-2</v>
      </c>
      <c r="AP264" s="8" cm="1">
        <f t="array" ref="AP264">_xlfn.LET(
_xlpm.hs,HS_DB[[#This Row],[HS Code]],
COUNTA(_xlfn.UNIQUE(_xlfn._xlws.FILTER(HS_DB[Reporter],HS_DB[HS Code]=_xlpm.hs)))
)</f>
        <v>16</v>
      </c>
      <c r="AQ264" s="17" t="str">
        <f>IF(HS_DB[[#This Row],[Origin Count]]=1,"Single Source","Multiple Sources")</f>
        <v>Multiple Sources</v>
      </c>
      <c r="AR264" s="8">
        <f>HS_DB[[#This Row],[Annual Spend - USD]]*(HS_DB[[#This Row],[HS Code Risk Score]]/100)</f>
        <v>4940959.2200000007</v>
      </c>
      <c r="AS264" s="8">
        <f>RANK(HS_DB[[#This Row],[Risk Exposure - USD]],HS_DB[Risk Exposure - USD],0)</f>
        <v>181</v>
      </c>
      <c r="AT264" s="8" t="str">
        <f>IF(HS_DB[[#This Row],[Risk Exposure Rank]]&lt;=10,"High",
 IF(HS_DB[[#This Row],[Risk Exposure Rank]]&lt;=30,"Medium",
 "Low"))</f>
        <v>Low</v>
      </c>
      <c r="AU264" s="8" t="str">
        <f>IF(HS_DB[[#This Row],[Risk Exposure Rank]]&lt;=5,"Immediate Action",
 IF(HS_DB[[#This Row],[Risk Exposure Rank]]&lt;=15,"Monitor Closely",
 "Routine Control"))</f>
        <v>Routine Control</v>
      </c>
      <c r="AV264" s="8">
        <f>SUMIFS(HS_DB[Trade Value - USD],HS_DB[HS Code],HS_DB[[#This Row],[HS Code]])</f>
        <v>14532233</v>
      </c>
      <c r="AW264" s="6">
        <f>HS_DB[[#This Row],[Annual Spend - USD]]/HS_DB[[#This Row],[Total Market Size - USD]]</f>
        <v>1</v>
      </c>
      <c r="AX264" s="6" cm="1">
        <f t="array" ref="AX264">COUNTA(_xlfn.UNIQUE(_xlfn._xlws.FILTER(HS_DB[Partner],HS_DB[HS Code]=HS_DB[[#This Row],[HS Code]])))</f>
        <v>1</v>
      </c>
      <c r="AY264" s="8" t="str">
        <f>IF(HS_DB[[#This Row],[Competition Intensity]]&lt;=2,"Highly Concentrated",
 IF(HS_DB[[#This Row],[Competition Intensity]]&lt;=5,"Moderate",
 "Highly Competitive"))</f>
        <v>Highly Concentrated</v>
      </c>
      <c r="AZ264" s="8">
        <f>HS_DB[[#This Row],[Total Market Size - USD]]
*
(1+IFERROR(#REF!,0))
/
HS_DB[[#This Row],[Competition Intensity]]</f>
        <v>14532233</v>
      </c>
      <c r="BA264" s="8" t="str">
        <f>IF(HS_DB[[#This Row],[Commercial Opportunity Score]]&gt;=PERCENTILE(HS_DB[Commercial Opportunity Score],0.9),"High Opportunity",
 IF(HS_DB[[#This Row],[Commercial Opportunity Score]]&gt;=PERCENTILE(HS_DB[Commercial Opportunity Score],0.6),"Medium Opportunity",
 "Routine Market"))</f>
        <v>Medium Opportunity</v>
      </c>
      <c r="BB264" s="3" t="str">
        <f>IF(AND(HS_DB[[#This Row],[Product Rank]]&gt;0,HS_DB[[#This Row],[Product Rank]]&lt;=10),"Yes","No")</f>
        <v>No</v>
      </c>
      <c r="BC264" s="3" t="str">
        <f>IF(AND(HS_DB[[#This Row],[Origin Rank]]&gt;0,HS_DB[[#This Row],[Origin Rank]]&lt;=10),"Yes","No")</f>
        <v>No</v>
      </c>
    </row>
    <row r="265" spans="2:55" x14ac:dyDescent="0.3">
      <c r="B265" s="2">
        <f>HS_DB[[#This Row],[Commodity Code]]</f>
        <v>292429</v>
      </c>
      <c r="C265" s="2">
        <f>IFERROR(INDEX(HS_MD!C:C,MATCH(B265,HS_MD!B:B,0),1),"")</f>
        <v>21</v>
      </c>
      <c r="D265" s="17" t="str">
        <f>IFERROR(INDEX(HS_MD!D:D,MATCH(B265,HS_MD!B:B,0),1),"")</f>
        <v>Amino compounds</v>
      </c>
      <c r="E265" s="17" t="str">
        <f>IFERROR(INDEX(HS_MD!E:E,MATCH(B265,HS_MD!B:B,0),1),"")</f>
        <v>Aspartame</v>
      </c>
      <c r="F265" s="17" t="str">
        <f>IFERROR(INDEX(HS_MD!F:F,MATCH(B265,HS_MD!B:B,0),1),"")</f>
        <v>SWEETENERS</v>
      </c>
      <c r="G265" s="17" t="str">
        <f>IFERROR(INDEX(HS_MD!G:G,MATCH(B265,HS_MD!B:B,0),1),"")</f>
        <v>High Intensity Sweeteners</v>
      </c>
      <c r="H265" s="17" t="str">
        <f>IFERROR(INDEX(HS_MD!H:H,MATCH(B265,HS_MD!B:B,0),1),"")</f>
        <v>Aspartame</v>
      </c>
      <c r="I265" s="17" t="str">
        <f>IFERROR(INDEX(HS_MD!I:I,MATCH(B265,HS_MD!B:B,0),1),"")</f>
        <v>Diet Beverages</v>
      </c>
      <c r="J265" s="17">
        <f>IFERROR(INDEX(Heat_Map[Index],MATCH(HS_DB[[#This Row],[Reporter]],Heat_Map[Global],0),1),"")</f>
        <v>75</v>
      </c>
      <c r="K265" s="17" t="str">
        <f>IF(AND(HS_DB[[#This Row],[Origin Rank]]&gt;1,HS_DB[[#This Row],[Origin Rank]]&lt;=10),"Yes","No")</f>
        <v>Yes</v>
      </c>
      <c r="L265" s="2">
        <v>2024</v>
      </c>
      <c r="M265" s="2" t="s">
        <v>57</v>
      </c>
      <c r="N265" s="2" t="s">
        <v>8</v>
      </c>
      <c r="O265" s="2" t="s">
        <v>22</v>
      </c>
      <c r="P265" s="2" t="s">
        <v>23</v>
      </c>
      <c r="Q265" s="2" t="s">
        <v>24</v>
      </c>
      <c r="R265" s="2" t="s">
        <v>25</v>
      </c>
      <c r="S265" s="2">
        <v>292429</v>
      </c>
      <c r="T265" s="3">
        <v>2440923</v>
      </c>
      <c r="U265" s="3">
        <v>21237</v>
      </c>
      <c r="V265" s="3">
        <v>0</v>
      </c>
      <c r="W265" s="3">
        <v>21237</v>
      </c>
      <c r="X265" s="3" t="s">
        <v>58</v>
      </c>
      <c r="Y265" s="3">
        <v>21237</v>
      </c>
      <c r="Z265" s="3" t="s">
        <v>58</v>
      </c>
      <c r="AA265" s="6">
        <f>SUMIFS(HS_DB[Trade Value - USD],HS_DB[Reporter],HS_DB[[#This Row],[Reporter]])/SUM(HS_DB[Trade Value - USD])</f>
        <v>2.2441761060335613E-2</v>
      </c>
      <c r="AB265" s="8" cm="1">
        <f t="array" ref="AB265">SUMPRODUCT(
(HS_DB[Reporter]=HS_DB[[#This Row],[Reporter]])*
(HS_DB[Trade Value - USD]&gt;HS_DB[[#This Row],[Trade Value - USD]])
)+1</f>
        <v>6</v>
      </c>
      <c r="AC265" s="8" t="str">
        <f>IFERROR(IF(INDEX(Heat_Map[Crisis Impact %],MATCH(HS_DB[[#This Row],[Reporter]],Heat_Map[Global],0),1)&gt;0,"Yes","No"),"No")</f>
        <v>No</v>
      </c>
      <c r="AD265" s="6">
        <f>IFERROR(INDEX(Heat_Map[Crisis Impact %],MATCH(HS_DB[[#This Row],[Reporter]],Heat_Map[Global],0),1),0)</f>
        <v>0</v>
      </c>
      <c r="AE265" s="8">
        <f>HS_DB[[#This Row],[Crisis Impact%]]*HS_DB[[#This Row],[Trade Value - USD]]</f>
        <v>0</v>
      </c>
      <c r="AF265" s="8">
        <f>HS_DB[[#This Row],[Crisis Impact%]]*HS_DB[[#This Row],[Net Weight -KG]]</f>
        <v>0</v>
      </c>
      <c r="AG265" s="6">
        <f>SUMIFS(HS_DB[Trade Value - USD],HS_DB[Products],HS_DB[[#This Row],[Products]])/SUM(HS_DB[Trade Value - USD])</f>
        <v>7.709373456734254E-3</v>
      </c>
      <c r="AH265" s="8">
        <f>_xlfn.RANK.EQ(HS_DB[[#This Row],[Trade Value - USD]], HS_DB[Trade Value - USD], 0)
 + COUNTIFS(HS_DB[Trade Value - USD],HS_DB[[#This Row],[Trade Value - USD]],
            HS_DB[HS Code],"&lt;"&amp;HS_DB[[#This Row],[HS Code]])</f>
        <v>56</v>
      </c>
      <c r="AI265" s="9">
        <f>IFERROR(HS_DB[[#This Row],[Trade Value - USD]]/HS_DB[[#This Row],[Net Weight -KG]],0)</f>
        <v>114.937279276734</v>
      </c>
      <c r="AJ265" s="17" cm="1">
        <f t="array" ref="AJ265">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65" s="17" t="str">
        <f>IF(HS_DB[[#This Row],[HS Code Risk Score]]&gt;=40,"High",
 IF(HS_DB[[#This Row],[HS Code Risk Score]]&gt;=25,"Medium","Low"))</f>
        <v>Medium</v>
      </c>
      <c r="AL265" s="17" t="str">
        <f>IF(RANK(HS_DB[[#This Row],[HS Code Risk Score]],HS_DB[HS Code Risk Score])&lt;=10,"Yes","No")</f>
        <v>No</v>
      </c>
      <c r="AM265" s="8">
        <f>SUMIFS(HS_DB[Net Weight -KG],HS_DB[HS Code],HS_DB[[#This Row],[HS Code]])</f>
        <v>1740222.6</v>
      </c>
      <c r="AN265" s="8">
        <f>SUMIFS(HS_DB[Trade Value - USD],HS_DB[HS Code],HS_DB[[#This Row],[HS Code]])</f>
        <v>14532233</v>
      </c>
      <c r="AO265" s="6">
        <f>_xlfn.MAXIFS(HS_DB[Origin Share%],HS_DB[HS Code],HS_DB[[#This Row],[HS Code]])</f>
        <v>6.321329281187793E-2</v>
      </c>
      <c r="AP265" s="8" cm="1">
        <f t="array" ref="AP265">_xlfn.LET(
_xlpm.hs,HS_DB[[#This Row],[HS Code]],
COUNTA(_xlfn.UNIQUE(_xlfn._xlws.FILTER(HS_DB[Reporter],HS_DB[HS Code]=_xlpm.hs)))
)</f>
        <v>16</v>
      </c>
      <c r="AQ265" s="17" t="str">
        <f>IF(HS_DB[[#This Row],[Origin Count]]=1,"Single Source","Multiple Sources")</f>
        <v>Multiple Sources</v>
      </c>
      <c r="AR265" s="8">
        <f>HS_DB[[#This Row],[Annual Spend - USD]]*(HS_DB[[#This Row],[HS Code Risk Score]]/100)</f>
        <v>4940959.2200000007</v>
      </c>
      <c r="AS265" s="8">
        <f>RANK(HS_DB[[#This Row],[Risk Exposure - USD]],HS_DB[Risk Exposure - USD],0)</f>
        <v>181</v>
      </c>
      <c r="AT265" s="8" t="str">
        <f>IF(HS_DB[[#This Row],[Risk Exposure Rank]]&lt;=10,"High",
 IF(HS_DB[[#This Row],[Risk Exposure Rank]]&lt;=30,"Medium",
 "Low"))</f>
        <v>Low</v>
      </c>
      <c r="AU265" s="8" t="str">
        <f>IF(HS_DB[[#This Row],[Risk Exposure Rank]]&lt;=5,"Immediate Action",
 IF(HS_DB[[#This Row],[Risk Exposure Rank]]&lt;=15,"Monitor Closely",
 "Routine Control"))</f>
        <v>Routine Control</v>
      </c>
      <c r="AV265" s="8">
        <f>SUMIFS(HS_DB[Trade Value - USD],HS_DB[HS Code],HS_DB[[#This Row],[HS Code]])</f>
        <v>14532233</v>
      </c>
      <c r="AW265" s="6">
        <f>HS_DB[[#This Row],[Annual Spend - USD]]/HS_DB[[#This Row],[Total Market Size - USD]]</f>
        <v>1</v>
      </c>
      <c r="AX265" s="6" cm="1">
        <f t="array" ref="AX265">COUNTA(_xlfn.UNIQUE(_xlfn._xlws.FILTER(HS_DB[Partner],HS_DB[HS Code]=HS_DB[[#This Row],[HS Code]])))</f>
        <v>1</v>
      </c>
      <c r="AY265" s="8" t="str">
        <f>IF(HS_DB[[#This Row],[Competition Intensity]]&lt;=2,"Highly Concentrated",
 IF(HS_DB[[#This Row],[Competition Intensity]]&lt;=5,"Moderate",
 "Highly Competitive"))</f>
        <v>Highly Concentrated</v>
      </c>
      <c r="AZ265" s="8">
        <f>HS_DB[[#This Row],[Total Market Size - USD]]
*
(1+IFERROR(#REF!,0))
/
HS_DB[[#This Row],[Competition Intensity]]</f>
        <v>14532233</v>
      </c>
      <c r="BA265" s="8" t="str">
        <f>IF(HS_DB[[#This Row],[Commercial Opportunity Score]]&gt;=PERCENTILE(HS_DB[Commercial Opportunity Score],0.9),"High Opportunity",
 IF(HS_DB[[#This Row],[Commercial Opportunity Score]]&gt;=PERCENTILE(HS_DB[Commercial Opportunity Score],0.6),"Medium Opportunity",
 "Routine Market"))</f>
        <v>Medium Opportunity</v>
      </c>
      <c r="BB265" s="3" t="str">
        <f>IF(AND(HS_DB[[#This Row],[Product Rank]]&gt;0,HS_DB[[#This Row],[Product Rank]]&lt;=10),"Yes","No")</f>
        <v>No</v>
      </c>
      <c r="BC265" s="3" t="str">
        <f>IF(AND(HS_DB[[#This Row],[Origin Rank]]&gt;0,HS_DB[[#This Row],[Origin Rank]]&lt;=10),"Yes","No")</f>
        <v>Yes</v>
      </c>
    </row>
    <row r="266" spans="2:55" x14ac:dyDescent="0.3">
      <c r="B266" s="2">
        <f>HS_DB[[#This Row],[Commodity Code]]</f>
        <v>292429</v>
      </c>
      <c r="C266" s="2">
        <f>IFERROR(INDEX(HS_MD!C:C,MATCH(B266,HS_MD!B:B,0),1),"")</f>
        <v>21</v>
      </c>
      <c r="D266" s="17" t="str">
        <f>IFERROR(INDEX(HS_MD!D:D,MATCH(B266,HS_MD!B:B,0),1),"")</f>
        <v>Amino compounds</v>
      </c>
      <c r="E266" s="17" t="str">
        <f>IFERROR(INDEX(HS_MD!E:E,MATCH(B266,HS_MD!B:B,0),1),"")</f>
        <v>Aspartame</v>
      </c>
      <c r="F266" s="17" t="str">
        <f>IFERROR(INDEX(HS_MD!F:F,MATCH(B266,HS_MD!B:B,0),1),"")</f>
        <v>SWEETENERS</v>
      </c>
      <c r="G266" s="17" t="str">
        <f>IFERROR(INDEX(HS_MD!G:G,MATCH(B266,HS_MD!B:B,0),1),"")</f>
        <v>High Intensity Sweeteners</v>
      </c>
      <c r="H266" s="17" t="str">
        <f>IFERROR(INDEX(HS_MD!H:H,MATCH(B266,HS_MD!B:B,0),1),"")</f>
        <v>Aspartame</v>
      </c>
      <c r="I266" s="17" t="str">
        <f>IFERROR(INDEX(HS_MD!I:I,MATCH(B266,HS_MD!B:B,0),1),"")</f>
        <v>Diet Beverages</v>
      </c>
      <c r="J266" s="17">
        <f>IFERROR(INDEX(Heat_Map[Index],MATCH(HS_DB[[#This Row],[Reporter]],Heat_Map[Global],0),1),"")</f>
        <v>153</v>
      </c>
      <c r="K266" s="17" t="str">
        <f>IF(AND(HS_DB[[#This Row],[Origin Rank]]&gt;1,HS_DB[[#This Row],[Origin Rank]]&lt;=10),"Yes","No")</f>
        <v>Yes</v>
      </c>
      <c r="L266" s="2">
        <v>2024</v>
      </c>
      <c r="M266" s="2" t="s">
        <v>57</v>
      </c>
      <c r="N266" s="2" t="s">
        <v>151</v>
      </c>
      <c r="O266" s="2" t="s">
        <v>22</v>
      </c>
      <c r="P266" s="2" t="s">
        <v>23</v>
      </c>
      <c r="Q266" s="2" t="s">
        <v>24</v>
      </c>
      <c r="R266" s="2" t="s">
        <v>25</v>
      </c>
      <c r="S266" s="2">
        <v>292429</v>
      </c>
      <c r="T266" s="3">
        <v>1766</v>
      </c>
      <c r="U266" s="3">
        <v>0</v>
      </c>
      <c r="V266" s="3">
        <v>0</v>
      </c>
      <c r="W266" s="3">
        <v>0</v>
      </c>
      <c r="X266" s="3" t="s">
        <v>58</v>
      </c>
      <c r="Y266" s="3">
        <v>0</v>
      </c>
      <c r="Z266" s="3" t="s">
        <v>58</v>
      </c>
      <c r="AA266" s="6">
        <f>SUMIFS(HS_DB[Trade Value - USD],HS_DB[Reporter],HS_DB[[#This Row],[Reporter]])/SUM(HS_DB[Trade Value - USD])</f>
        <v>5.6395507468920406E-5</v>
      </c>
      <c r="AB266" s="8" cm="1">
        <f t="array" ref="AB266">SUMPRODUCT(
(HS_DB[Reporter]=HS_DB[[#This Row],[Reporter]])*
(HS_DB[Trade Value - USD]&gt;HS_DB[[#This Row],[Trade Value - USD]])
)+1</f>
        <v>4</v>
      </c>
      <c r="AC266" s="8" t="str">
        <f>IFERROR(IF(INDEX(Heat_Map[Crisis Impact %],MATCH(HS_DB[[#This Row],[Reporter]],Heat_Map[Global],0),1)&gt;0,"Yes","No"),"No")</f>
        <v>No</v>
      </c>
      <c r="AD266" s="6">
        <f>IFERROR(INDEX(Heat_Map[Crisis Impact %],MATCH(HS_DB[[#This Row],[Reporter]],Heat_Map[Global],0),1),0)</f>
        <v>0</v>
      </c>
      <c r="AE266" s="8">
        <f>HS_DB[[#This Row],[Crisis Impact%]]*HS_DB[[#This Row],[Trade Value - USD]]</f>
        <v>0</v>
      </c>
      <c r="AF266" s="8">
        <f>HS_DB[[#This Row],[Crisis Impact%]]*HS_DB[[#This Row],[Net Weight -KG]]</f>
        <v>0</v>
      </c>
      <c r="AG266" s="6">
        <f>SUMIFS(HS_DB[Trade Value - USD],HS_DB[Products],HS_DB[[#This Row],[Products]])/SUM(HS_DB[Trade Value - USD])</f>
        <v>7.709373456734254E-3</v>
      </c>
      <c r="AH266" s="8">
        <f>_xlfn.RANK.EQ(HS_DB[[#This Row],[Trade Value - USD]], HS_DB[Trade Value - USD], 0)
 + COUNTIFS(HS_DB[Trade Value - USD],HS_DB[[#This Row],[Trade Value - USD]],
            HS_DB[HS Code],"&lt;"&amp;HS_DB[[#This Row],[HS Code]])</f>
        <v>472</v>
      </c>
      <c r="AI266" s="9">
        <f>IFERROR(HS_DB[[#This Row],[Trade Value - USD]]/HS_DB[[#This Row],[Net Weight -KG]],0)</f>
        <v>0</v>
      </c>
      <c r="AJ266" s="17" cm="1">
        <f t="array" ref="AJ266">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66" s="17" t="str">
        <f>IF(HS_DB[[#This Row],[HS Code Risk Score]]&gt;=40,"High",
 IF(HS_DB[[#This Row],[HS Code Risk Score]]&gt;=25,"Medium","Low"))</f>
        <v>Medium</v>
      </c>
      <c r="AL266" s="17" t="str">
        <f>IF(RANK(HS_DB[[#This Row],[HS Code Risk Score]],HS_DB[HS Code Risk Score])&lt;=10,"Yes","No")</f>
        <v>No</v>
      </c>
      <c r="AM266" s="8">
        <f>SUMIFS(HS_DB[Net Weight -KG],HS_DB[HS Code],HS_DB[[#This Row],[HS Code]])</f>
        <v>1740222.6</v>
      </c>
      <c r="AN266" s="8">
        <f>SUMIFS(HS_DB[Trade Value - USD],HS_DB[HS Code],HS_DB[[#This Row],[HS Code]])</f>
        <v>14532233</v>
      </c>
      <c r="AO266" s="6">
        <f>_xlfn.MAXIFS(HS_DB[Origin Share%],HS_DB[HS Code],HS_DB[[#This Row],[HS Code]])</f>
        <v>6.321329281187793E-2</v>
      </c>
      <c r="AP266" s="8" cm="1">
        <f t="array" ref="AP266">_xlfn.LET(
_xlpm.hs,HS_DB[[#This Row],[HS Code]],
COUNTA(_xlfn.UNIQUE(_xlfn._xlws.FILTER(HS_DB[Reporter],HS_DB[HS Code]=_xlpm.hs)))
)</f>
        <v>16</v>
      </c>
      <c r="AQ266" s="17" t="str">
        <f>IF(HS_DB[[#This Row],[Origin Count]]=1,"Single Source","Multiple Sources")</f>
        <v>Multiple Sources</v>
      </c>
      <c r="AR266" s="8">
        <f>HS_DB[[#This Row],[Annual Spend - USD]]*(HS_DB[[#This Row],[HS Code Risk Score]]/100)</f>
        <v>4940959.2200000007</v>
      </c>
      <c r="AS266" s="8">
        <f>RANK(HS_DB[[#This Row],[Risk Exposure - USD]],HS_DB[Risk Exposure - USD],0)</f>
        <v>181</v>
      </c>
      <c r="AT266" s="8" t="str">
        <f>IF(HS_DB[[#This Row],[Risk Exposure Rank]]&lt;=10,"High",
 IF(HS_DB[[#This Row],[Risk Exposure Rank]]&lt;=30,"Medium",
 "Low"))</f>
        <v>Low</v>
      </c>
      <c r="AU266" s="8" t="str">
        <f>IF(HS_DB[[#This Row],[Risk Exposure Rank]]&lt;=5,"Immediate Action",
 IF(HS_DB[[#This Row],[Risk Exposure Rank]]&lt;=15,"Monitor Closely",
 "Routine Control"))</f>
        <v>Routine Control</v>
      </c>
      <c r="AV266" s="8">
        <f>SUMIFS(HS_DB[Trade Value - USD],HS_DB[HS Code],HS_DB[[#This Row],[HS Code]])</f>
        <v>14532233</v>
      </c>
      <c r="AW266" s="6">
        <f>HS_DB[[#This Row],[Annual Spend - USD]]/HS_DB[[#This Row],[Total Market Size - USD]]</f>
        <v>1</v>
      </c>
      <c r="AX266" s="6" cm="1">
        <f t="array" ref="AX266">COUNTA(_xlfn.UNIQUE(_xlfn._xlws.FILTER(HS_DB[Partner],HS_DB[HS Code]=HS_DB[[#This Row],[HS Code]])))</f>
        <v>1</v>
      </c>
      <c r="AY266" s="8" t="str">
        <f>IF(HS_DB[[#This Row],[Competition Intensity]]&lt;=2,"Highly Concentrated",
 IF(HS_DB[[#This Row],[Competition Intensity]]&lt;=5,"Moderate",
 "Highly Competitive"))</f>
        <v>Highly Concentrated</v>
      </c>
      <c r="AZ266" s="8">
        <f>HS_DB[[#This Row],[Total Market Size - USD]]
*
(1+IFERROR(#REF!,0))
/
HS_DB[[#This Row],[Competition Intensity]]</f>
        <v>14532233</v>
      </c>
      <c r="BA266" s="8" t="str">
        <f>IF(HS_DB[[#This Row],[Commercial Opportunity Score]]&gt;=PERCENTILE(HS_DB[Commercial Opportunity Score],0.9),"High Opportunity",
 IF(HS_DB[[#This Row],[Commercial Opportunity Score]]&gt;=PERCENTILE(HS_DB[Commercial Opportunity Score],0.6),"Medium Opportunity",
 "Routine Market"))</f>
        <v>Medium Opportunity</v>
      </c>
      <c r="BB266" s="3" t="str">
        <f>IF(AND(HS_DB[[#This Row],[Product Rank]]&gt;0,HS_DB[[#This Row],[Product Rank]]&lt;=10),"Yes","No")</f>
        <v>No</v>
      </c>
      <c r="BC266" s="3" t="str">
        <f>IF(AND(HS_DB[[#This Row],[Origin Rank]]&gt;0,HS_DB[[#This Row],[Origin Rank]]&lt;=10),"Yes","No")</f>
        <v>Yes</v>
      </c>
    </row>
    <row r="267" spans="2:55" x14ac:dyDescent="0.3">
      <c r="B267" s="2">
        <f>HS_DB[[#This Row],[Commodity Code]]</f>
        <v>292429</v>
      </c>
      <c r="C267" s="2">
        <f>IFERROR(INDEX(HS_MD!C:C,MATCH(B267,HS_MD!B:B,0),1),"")</f>
        <v>21</v>
      </c>
      <c r="D267" s="17" t="str">
        <f>IFERROR(INDEX(HS_MD!D:D,MATCH(B267,HS_MD!B:B,0),1),"")</f>
        <v>Amino compounds</v>
      </c>
      <c r="E267" s="17" t="str">
        <f>IFERROR(INDEX(HS_MD!E:E,MATCH(B267,HS_MD!B:B,0),1),"")</f>
        <v>Aspartame</v>
      </c>
      <c r="F267" s="17" t="str">
        <f>IFERROR(INDEX(HS_MD!F:F,MATCH(B267,HS_MD!B:B,0),1),"")</f>
        <v>SWEETENERS</v>
      </c>
      <c r="G267" s="17" t="str">
        <f>IFERROR(INDEX(HS_MD!G:G,MATCH(B267,HS_MD!B:B,0),1),"")</f>
        <v>High Intensity Sweeteners</v>
      </c>
      <c r="H267" s="17" t="str">
        <f>IFERROR(INDEX(HS_MD!H:H,MATCH(B267,HS_MD!B:B,0),1),"")</f>
        <v>Aspartame</v>
      </c>
      <c r="I267" s="17" t="str">
        <f>IFERROR(INDEX(HS_MD!I:I,MATCH(B267,HS_MD!B:B,0),1),"")</f>
        <v>Diet Beverages</v>
      </c>
      <c r="J267" s="17">
        <f>IFERROR(INDEX(Heat_Map[Index],MATCH(HS_DB[[#This Row],[Reporter]],Heat_Map[Global],0),1),"")</f>
        <v>156</v>
      </c>
      <c r="K267" s="17" t="str">
        <f>IF(AND(HS_DB[[#This Row],[Origin Rank]]&gt;1,HS_DB[[#This Row],[Origin Rank]]&lt;=10),"Yes","No")</f>
        <v>Yes</v>
      </c>
      <c r="L267" s="2">
        <v>2024</v>
      </c>
      <c r="M267" s="2" t="s">
        <v>57</v>
      </c>
      <c r="N267" s="2" t="s">
        <v>29</v>
      </c>
      <c r="O267" s="2" t="s">
        <v>22</v>
      </c>
      <c r="P267" s="2" t="s">
        <v>23</v>
      </c>
      <c r="Q267" s="2" t="s">
        <v>24</v>
      </c>
      <c r="R267" s="2" t="s">
        <v>25</v>
      </c>
      <c r="S267" s="2">
        <v>292429</v>
      </c>
      <c r="T267" s="3">
        <v>5657</v>
      </c>
      <c r="U267" s="3">
        <v>20</v>
      </c>
      <c r="V267" s="3">
        <v>0</v>
      </c>
      <c r="W267" s="3">
        <v>20</v>
      </c>
      <c r="X267" s="3" t="s">
        <v>58</v>
      </c>
      <c r="Y267" s="3">
        <v>20</v>
      </c>
      <c r="Z267" s="3" t="s">
        <v>58</v>
      </c>
      <c r="AA267" s="6">
        <f>SUMIFS(HS_DB[Trade Value - USD],HS_DB[Reporter],HS_DB[[#This Row],[Reporter]])/SUM(HS_DB[Trade Value - USD])</f>
        <v>1.3832724193842358E-4</v>
      </c>
      <c r="AB267" s="8" cm="1">
        <f t="array" ref="AB267">SUMPRODUCT(
(HS_DB[Reporter]=HS_DB[[#This Row],[Reporter]])*
(HS_DB[Trade Value - USD]&gt;HS_DB[[#This Row],[Trade Value - USD]])
)+1</f>
        <v>5</v>
      </c>
      <c r="AC267" s="8" t="str">
        <f>IFERROR(IF(INDEX(Heat_Map[Crisis Impact %],MATCH(HS_DB[[#This Row],[Reporter]],Heat_Map[Global],0),1)&gt;0,"Yes","No"),"No")</f>
        <v>No</v>
      </c>
      <c r="AD267" s="6">
        <f>IFERROR(INDEX(Heat_Map[Crisis Impact %],MATCH(HS_DB[[#This Row],[Reporter]],Heat_Map[Global],0),1),0)</f>
        <v>0</v>
      </c>
      <c r="AE267" s="8">
        <f>HS_DB[[#This Row],[Crisis Impact%]]*HS_DB[[#This Row],[Trade Value - USD]]</f>
        <v>0</v>
      </c>
      <c r="AF267" s="8">
        <f>HS_DB[[#This Row],[Crisis Impact%]]*HS_DB[[#This Row],[Net Weight -KG]]</f>
        <v>0</v>
      </c>
      <c r="AG267" s="6">
        <f>SUMIFS(HS_DB[Trade Value - USD],HS_DB[Products],HS_DB[[#This Row],[Products]])/SUM(HS_DB[Trade Value - USD])</f>
        <v>7.709373456734254E-3</v>
      </c>
      <c r="AH267" s="8">
        <f>_xlfn.RANK.EQ(HS_DB[[#This Row],[Trade Value - USD]], HS_DB[Trade Value - USD], 0)
 + COUNTIFS(HS_DB[Trade Value - USD],HS_DB[[#This Row],[Trade Value - USD]],
            HS_DB[HS Code],"&lt;"&amp;HS_DB[[#This Row],[HS Code]])</f>
        <v>434</v>
      </c>
      <c r="AI267" s="9">
        <f>IFERROR(HS_DB[[#This Row],[Trade Value - USD]]/HS_DB[[#This Row],[Net Weight -KG]],0)</f>
        <v>282.85000000000002</v>
      </c>
      <c r="AJ267" s="17" cm="1">
        <f t="array" ref="AJ267">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67" s="17" t="str">
        <f>IF(HS_DB[[#This Row],[HS Code Risk Score]]&gt;=40,"High",
 IF(HS_DB[[#This Row],[HS Code Risk Score]]&gt;=25,"Medium","Low"))</f>
        <v>Medium</v>
      </c>
      <c r="AL267" s="17" t="str">
        <f>IF(RANK(HS_DB[[#This Row],[HS Code Risk Score]],HS_DB[HS Code Risk Score])&lt;=10,"Yes","No")</f>
        <v>No</v>
      </c>
      <c r="AM267" s="8">
        <f>SUMIFS(HS_DB[Net Weight -KG],HS_DB[HS Code],HS_DB[[#This Row],[HS Code]])</f>
        <v>1740222.6</v>
      </c>
      <c r="AN267" s="8">
        <f>SUMIFS(HS_DB[Trade Value - USD],HS_DB[HS Code],HS_DB[[#This Row],[HS Code]])</f>
        <v>14532233</v>
      </c>
      <c r="AO267" s="6">
        <f>_xlfn.MAXIFS(HS_DB[Origin Share%],HS_DB[HS Code],HS_DB[[#This Row],[HS Code]])</f>
        <v>6.321329281187793E-2</v>
      </c>
      <c r="AP267" s="8" cm="1">
        <f t="array" ref="AP267">_xlfn.LET(
_xlpm.hs,HS_DB[[#This Row],[HS Code]],
COUNTA(_xlfn.UNIQUE(_xlfn._xlws.FILTER(HS_DB[Reporter],HS_DB[HS Code]=_xlpm.hs)))
)</f>
        <v>16</v>
      </c>
      <c r="AQ267" s="17" t="str">
        <f>IF(HS_DB[[#This Row],[Origin Count]]=1,"Single Source","Multiple Sources")</f>
        <v>Multiple Sources</v>
      </c>
      <c r="AR267" s="8">
        <f>HS_DB[[#This Row],[Annual Spend - USD]]*(HS_DB[[#This Row],[HS Code Risk Score]]/100)</f>
        <v>4940959.2200000007</v>
      </c>
      <c r="AS267" s="8">
        <f>RANK(HS_DB[[#This Row],[Risk Exposure - USD]],HS_DB[Risk Exposure - USD],0)</f>
        <v>181</v>
      </c>
      <c r="AT267" s="8" t="str">
        <f>IF(HS_DB[[#This Row],[Risk Exposure Rank]]&lt;=10,"High",
 IF(HS_DB[[#This Row],[Risk Exposure Rank]]&lt;=30,"Medium",
 "Low"))</f>
        <v>Low</v>
      </c>
      <c r="AU267" s="8" t="str">
        <f>IF(HS_DB[[#This Row],[Risk Exposure Rank]]&lt;=5,"Immediate Action",
 IF(HS_DB[[#This Row],[Risk Exposure Rank]]&lt;=15,"Monitor Closely",
 "Routine Control"))</f>
        <v>Routine Control</v>
      </c>
      <c r="AV267" s="8">
        <f>SUMIFS(HS_DB[Trade Value - USD],HS_DB[HS Code],HS_DB[[#This Row],[HS Code]])</f>
        <v>14532233</v>
      </c>
      <c r="AW267" s="6">
        <f>HS_DB[[#This Row],[Annual Spend - USD]]/HS_DB[[#This Row],[Total Market Size - USD]]</f>
        <v>1</v>
      </c>
      <c r="AX267" s="6" cm="1">
        <f t="array" ref="AX267">COUNTA(_xlfn.UNIQUE(_xlfn._xlws.FILTER(HS_DB[Partner],HS_DB[HS Code]=HS_DB[[#This Row],[HS Code]])))</f>
        <v>1</v>
      </c>
      <c r="AY267" s="8" t="str">
        <f>IF(HS_DB[[#This Row],[Competition Intensity]]&lt;=2,"Highly Concentrated",
 IF(HS_DB[[#This Row],[Competition Intensity]]&lt;=5,"Moderate",
 "Highly Competitive"))</f>
        <v>Highly Concentrated</v>
      </c>
      <c r="AZ267" s="8">
        <f>HS_DB[[#This Row],[Total Market Size - USD]]
*
(1+IFERROR(#REF!,0))
/
HS_DB[[#This Row],[Competition Intensity]]</f>
        <v>14532233</v>
      </c>
      <c r="BA267" s="8" t="str">
        <f>IF(HS_DB[[#This Row],[Commercial Opportunity Score]]&gt;=PERCENTILE(HS_DB[Commercial Opportunity Score],0.9),"High Opportunity",
 IF(HS_DB[[#This Row],[Commercial Opportunity Score]]&gt;=PERCENTILE(HS_DB[Commercial Opportunity Score],0.6),"Medium Opportunity",
 "Routine Market"))</f>
        <v>Medium Opportunity</v>
      </c>
      <c r="BB267" s="3" t="str">
        <f>IF(AND(HS_DB[[#This Row],[Product Rank]]&gt;0,HS_DB[[#This Row],[Product Rank]]&lt;=10),"Yes","No")</f>
        <v>No</v>
      </c>
      <c r="BC267" s="3" t="str">
        <f>IF(AND(HS_DB[[#This Row],[Origin Rank]]&gt;0,HS_DB[[#This Row],[Origin Rank]]&lt;=10),"Yes","No")</f>
        <v>Yes</v>
      </c>
    </row>
    <row r="268" spans="2:55" x14ac:dyDescent="0.3">
      <c r="B268" s="2">
        <f>HS_DB[[#This Row],[Commodity Code]]</f>
        <v>292429</v>
      </c>
      <c r="C268" s="2">
        <f>IFERROR(INDEX(HS_MD!C:C,MATCH(B268,HS_MD!B:B,0),1),"")</f>
        <v>21</v>
      </c>
      <c r="D268" s="17" t="str">
        <f>IFERROR(INDEX(HS_MD!D:D,MATCH(B268,HS_MD!B:B,0),1),"")</f>
        <v>Amino compounds</v>
      </c>
      <c r="E268" s="17" t="str">
        <f>IFERROR(INDEX(HS_MD!E:E,MATCH(B268,HS_MD!B:B,0),1),"")</f>
        <v>Aspartame</v>
      </c>
      <c r="F268" s="17" t="str">
        <f>IFERROR(INDEX(HS_MD!F:F,MATCH(B268,HS_MD!B:B,0),1),"")</f>
        <v>SWEETENERS</v>
      </c>
      <c r="G268" s="17" t="str">
        <f>IFERROR(INDEX(HS_MD!G:G,MATCH(B268,HS_MD!B:B,0),1),"")</f>
        <v>High Intensity Sweeteners</v>
      </c>
      <c r="H268" s="17" t="str">
        <f>IFERROR(INDEX(HS_MD!H:H,MATCH(B268,HS_MD!B:B,0),1),"")</f>
        <v>Aspartame</v>
      </c>
      <c r="I268" s="17" t="str">
        <f>IFERROR(INDEX(HS_MD!I:I,MATCH(B268,HS_MD!B:B,0),1),"")</f>
        <v>Diet Beverages</v>
      </c>
      <c r="J268" s="17">
        <f>IFERROR(INDEX(Heat_Map[Index],MATCH(HS_DB[[#This Row],[Reporter]],Heat_Map[Global],0),1),"")</f>
        <v>159</v>
      </c>
      <c r="K268" s="17" t="str">
        <f>IF(AND(HS_DB[[#This Row],[Origin Rank]]&gt;1,HS_DB[[#This Row],[Origin Rank]]&lt;=10),"Yes","No")</f>
        <v>No</v>
      </c>
      <c r="L268" s="2">
        <v>2024</v>
      </c>
      <c r="M268" s="2" t="s">
        <v>57</v>
      </c>
      <c r="N268" s="2" t="s">
        <v>30</v>
      </c>
      <c r="O268" s="2" t="s">
        <v>22</v>
      </c>
      <c r="P268" s="2" t="s">
        <v>23</v>
      </c>
      <c r="Q268" s="2" t="s">
        <v>24</v>
      </c>
      <c r="R268" s="2" t="s">
        <v>25</v>
      </c>
      <c r="S268" s="2">
        <v>292429</v>
      </c>
      <c r="T268" s="3">
        <v>234966</v>
      </c>
      <c r="U268" s="3">
        <v>5674.8</v>
      </c>
      <c r="V268" s="3">
        <v>0</v>
      </c>
      <c r="W268" s="3">
        <v>5675</v>
      </c>
      <c r="X268" s="3" t="s">
        <v>58</v>
      </c>
      <c r="Y268" s="3">
        <v>5675</v>
      </c>
      <c r="Z268" s="3" t="s">
        <v>58</v>
      </c>
      <c r="AA268" s="6">
        <f>SUMIFS(HS_DB[Trade Value - USD],HS_DB[Reporter],HS_DB[[#This Row],[Reporter]])/SUM(HS_DB[Trade Value - USD])</f>
        <v>6.110186869383482E-3</v>
      </c>
      <c r="AB268" s="8" cm="1">
        <f t="array" ref="AB268">SUMPRODUCT(
(HS_DB[Reporter]=HS_DB[[#This Row],[Reporter]])*
(HS_DB[Trade Value - USD]&gt;HS_DB[[#This Row],[Trade Value - USD]])
)+1</f>
        <v>11</v>
      </c>
      <c r="AC268" s="8" t="str">
        <f>IFERROR(IF(INDEX(Heat_Map[Crisis Impact %],MATCH(HS_DB[[#This Row],[Reporter]],Heat_Map[Global],0),1)&gt;0,"Yes","No"),"No")</f>
        <v>No</v>
      </c>
      <c r="AD268" s="6">
        <f>IFERROR(INDEX(Heat_Map[Crisis Impact %],MATCH(HS_DB[[#This Row],[Reporter]],Heat_Map[Global],0),1),0)</f>
        <v>0</v>
      </c>
      <c r="AE268" s="8">
        <f>HS_DB[[#This Row],[Crisis Impact%]]*HS_DB[[#This Row],[Trade Value - USD]]</f>
        <v>0</v>
      </c>
      <c r="AF268" s="8">
        <f>HS_DB[[#This Row],[Crisis Impact%]]*HS_DB[[#This Row],[Net Weight -KG]]</f>
        <v>0</v>
      </c>
      <c r="AG268" s="6">
        <f>SUMIFS(HS_DB[Trade Value - USD],HS_DB[Products],HS_DB[[#This Row],[Products]])/SUM(HS_DB[Trade Value - USD])</f>
        <v>7.709373456734254E-3</v>
      </c>
      <c r="AH268" s="8">
        <f>_xlfn.RANK.EQ(HS_DB[[#This Row],[Trade Value - USD]], HS_DB[Trade Value - USD], 0)
 + COUNTIFS(HS_DB[Trade Value - USD],HS_DB[[#This Row],[Trade Value - USD]],
            HS_DB[HS Code],"&lt;"&amp;HS_DB[[#This Row],[HS Code]])</f>
        <v>207</v>
      </c>
      <c r="AI268" s="9">
        <f>IFERROR(HS_DB[[#This Row],[Trade Value - USD]]/HS_DB[[#This Row],[Net Weight -KG]],0)</f>
        <v>41.405159653203633</v>
      </c>
      <c r="AJ268" s="17" cm="1">
        <f t="array" ref="AJ268">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68" s="17" t="str">
        <f>IF(HS_DB[[#This Row],[HS Code Risk Score]]&gt;=40,"High",
 IF(HS_DB[[#This Row],[HS Code Risk Score]]&gt;=25,"Medium","Low"))</f>
        <v>Medium</v>
      </c>
      <c r="AL268" s="17" t="str">
        <f>IF(RANK(HS_DB[[#This Row],[HS Code Risk Score]],HS_DB[HS Code Risk Score])&lt;=10,"Yes","No")</f>
        <v>No</v>
      </c>
      <c r="AM268" s="8">
        <f>SUMIFS(HS_DB[Net Weight -KG],HS_DB[HS Code],HS_DB[[#This Row],[HS Code]])</f>
        <v>1740222.6</v>
      </c>
      <c r="AN268" s="8">
        <f>SUMIFS(HS_DB[Trade Value - USD],HS_DB[HS Code],HS_DB[[#This Row],[HS Code]])</f>
        <v>14532233</v>
      </c>
      <c r="AO268" s="6">
        <f>_xlfn.MAXIFS(HS_DB[Origin Share%],HS_DB[HS Code],HS_DB[[#This Row],[HS Code]])</f>
        <v>6.321329281187793E-2</v>
      </c>
      <c r="AP268" s="8" cm="1">
        <f t="array" ref="AP268">_xlfn.LET(
_xlpm.hs,HS_DB[[#This Row],[HS Code]],
COUNTA(_xlfn.UNIQUE(_xlfn._xlws.FILTER(HS_DB[Reporter],HS_DB[HS Code]=_xlpm.hs)))
)</f>
        <v>16</v>
      </c>
      <c r="AQ268" s="17" t="str">
        <f>IF(HS_DB[[#This Row],[Origin Count]]=1,"Single Source","Multiple Sources")</f>
        <v>Multiple Sources</v>
      </c>
      <c r="AR268" s="8">
        <f>HS_DB[[#This Row],[Annual Spend - USD]]*(HS_DB[[#This Row],[HS Code Risk Score]]/100)</f>
        <v>4940959.2200000007</v>
      </c>
      <c r="AS268" s="8">
        <f>RANK(HS_DB[[#This Row],[Risk Exposure - USD]],HS_DB[Risk Exposure - USD],0)</f>
        <v>181</v>
      </c>
      <c r="AT268" s="8" t="str">
        <f>IF(HS_DB[[#This Row],[Risk Exposure Rank]]&lt;=10,"High",
 IF(HS_DB[[#This Row],[Risk Exposure Rank]]&lt;=30,"Medium",
 "Low"))</f>
        <v>Low</v>
      </c>
      <c r="AU268" s="8" t="str">
        <f>IF(HS_DB[[#This Row],[Risk Exposure Rank]]&lt;=5,"Immediate Action",
 IF(HS_DB[[#This Row],[Risk Exposure Rank]]&lt;=15,"Monitor Closely",
 "Routine Control"))</f>
        <v>Routine Control</v>
      </c>
      <c r="AV268" s="8">
        <f>SUMIFS(HS_DB[Trade Value - USD],HS_DB[HS Code],HS_DB[[#This Row],[HS Code]])</f>
        <v>14532233</v>
      </c>
      <c r="AW268" s="6">
        <f>HS_DB[[#This Row],[Annual Spend - USD]]/HS_DB[[#This Row],[Total Market Size - USD]]</f>
        <v>1</v>
      </c>
      <c r="AX268" s="6" cm="1">
        <f t="array" ref="AX268">COUNTA(_xlfn.UNIQUE(_xlfn._xlws.FILTER(HS_DB[Partner],HS_DB[HS Code]=HS_DB[[#This Row],[HS Code]])))</f>
        <v>1</v>
      </c>
      <c r="AY268" s="8" t="str">
        <f>IF(HS_DB[[#This Row],[Competition Intensity]]&lt;=2,"Highly Concentrated",
 IF(HS_DB[[#This Row],[Competition Intensity]]&lt;=5,"Moderate",
 "Highly Competitive"))</f>
        <v>Highly Concentrated</v>
      </c>
      <c r="AZ268" s="8">
        <f>HS_DB[[#This Row],[Total Market Size - USD]]
*
(1+IFERROR(#REF!,0))
/
HS_DB[[#This Row],[Competition Intensity]]</f>
        <v>14532233</v>
      </c>
      <c r="BA268" s="8" t="str">
        <f>IF(HS_DB[[#This Row],[Commercial Opportunity Score]]&gt;=PERCENTILE(HS_DB[Commercial Opportunity Score],0.9),"High Opportunity",
 IF(HS_DB[[#This Row],[Commercial Opportunity Score]]&gt;=PERCENTILE(HS_DB[Commercial Opportunity Score],0.6),"Medium Opportunity",
 "Routine Market"))</f>
        <v>Medium Opportunity</v>
      </c>
      <c r="BB268" s="3" t="str">
        <f>IF(AND(HS_DB[[#This Row],[Product Rank]]&gt;0,HS_DB[[#This Row],[Product Rank]]&lt;=10),"Yes","No")</f>
        <v>No</v>
      </c>
      <c r="BC268" s="3" t="str">
        <f>IF(AND(HS_DB[[#This Row],[Origin Rank]]&gt;0,HS_DB[[#This Row],[Origin Rank]]&lt;=10),"Yes","No")</f>
        <v>No</v>
      </c>
    </row>
    <row r="269" spans="2:55" x14ac:dyDescent="0.3">
      <c r="B269" s="2">
        <f>HS_DB[[#This Row],[Commodity Code]]</f>
        <v>292429</v>
      </c>
      <c r="C269" s="2">
        <f>IFERROR(INDEX(HS_MD!C:C,MATCH(B269,HS_MD!B:B,0),1),"")</f>
        <v>21</v>
      </c>
      <c r="D269" s="17" t="str">
        <f>IFERROR(INDEX(HS_MD!D:D,MATCH(B269,HS_MD!B:B,0),1),"")</f>
        <v>Amino compounds</v>
      </c>
      <c r="E269" s="17" t="str">
        <f>IFERROR(INDEX(HS_MD!E:E,MATCH(B269,HS_MD!B:B,0),1),"")</f>
        <v>Aspartame</v>
      </c>
      <c r="F269" s="17" t="str">
        <f>IFERROR(INDEX(HS_MD!F:F,MATCH(B269,HS_MD!B:B,0),1),"")</f>
        <v>SWEETENERS</v>
      </c>
      <c r="G269" s="17" t="str">
        <f>IFERROR(INDEX(HS_MD!G:G,MATCH(B269,HS_MD!B:B,0),1),"")</f>
        <v>High Intensity Sweeteners</v>
      </c>
      <c r="H269" s="17" t="str">
        <f>IFERROR(INDEX(HS_MD!H:H,MATCH(B269,HS_MD!B:B,0),1),"")</f>
        <v>Aspartame</v>
      </c>
      <c r="I269" s="17" t="str">
        <f>IFERROR(INDEX(HS_MD!I:I,MATCH(B269,HS_MD!B:B,0),1),"")</f>
        <v>Diet Beverages</v>
      </c>
      <c r="J269" s="17">
        <f>IFERROR(INDEX(Heat_Map[Index],MATCH(HS_DB[[#This Row],[Reporter]],Heat_Map[Global],0),1),"")</f>
        <v>163</v>
      </c>
      <c r="K269" s="17" t="str">
        <f>IF(AND(HS_DB[[#This Row],[Origin Rank]]&gt;1,HS_DB[[#This Row],[Origin Rank]]&lt;=10),"Yes","No")</f>
        <v>Yes</v>
      </c>
      <c r="L269" s="2">
        <v>2024</v>
      </c>
      <c r="M269" s="2" t="s">
        <v>57</v>
      </c>
      <c r="N269" s="2" t="s">
        <v>31</v>
      </c>
      <c r="O269" s="2" t="s">
        <v>22</v>
      </c>
      <c r="P269" s="2" t="s">
        <v>23</v>
      </c>
      <c r="Q269" s="2" t="s">
        <v>24</v>
      </c>
      <c r="R269" s="2" t="s">
        <v>25</v>
      </c>
      <c r="S269" s="2">
        <v>292429</v>
      </c>
      <c r="T269" s="3">
        <v>20629</v>
      </c>
      <c r="U269" s="3">
        <v>0</v>
      </c>
      <c r="V269" s="3">
        <v>0</v>
      </c>
      <c r="W269" s="3">
        <v>0</v>
      </c>
      <c r="X269" s="3" t="s">
        <v>26</v>
      </c>
      <c r="Y269" s="3">
        <v>0</v>
      </c>
      <c r="Z269" s="3" t="s">
        <v>26</v>
      </c>
      <c r="AA269" s="6">
        <f>SUMIFS(HS_DB[Trade Value - USD],HS_DB[Reporter],HS_DB[[#This Row],[Reporter]])/SUM(HS_DB[Trade Value - USD])</f>
        <v>1.1596288425054823E-4</v>
      </c>
      <c r="AB269" s="8" cm="1">
        <f t="array" ref="AB269">SUMPRODUCT(
(HS_DB[Reporter]=HS_DB[[#This Row],[Reporter]])*
(HS_DB[Trade Value - USD]&gt;HS_DB[[#This Row],[Trade Value - USD]])
)+1</f>
        <v>3</v>
      </c>
      <c r="AC269" s="8" t="str">
        <f>IFERROR(IF(INDEX(Heat_Map[Crisis Impact %],MATCH(HS_DB[[#This Row],[Reporter]],Heat_Map[Global],0),1)&gt;0,"Yes","No"),"No")</f>
        <v>No</v>
      </c>
      <c r="AD269" s="6">
        <f>IFERROR(INDEX(Heat_Map[Crisis Impact %],MATCH(HS_DB[[#This Row],[Reporter]],Heat_Map[Global],0),1),0)</f>
        <v>0</v>
      </c>
      <c r="AE269" s="8">
        <f>HS_DB[[#This Row],[Crisis Impact%]]*HS_DB[[#This Row],[Trade Value - USD]]</f>
        <v>0</v>
      </c>
      <c r="AF269" s="8">
        <f>HS_DB[[#This Row],[Crisis Impact%]]*HS_DB[[#This Row],[Net Weight -KG]]</f>
        <v>0</v>
      </c>
      <c r="AG269" s="6">
        <f>SUMIFS(HS_DB[Trade Value - USD],HS_DB[Products],HS_DB[[#This Row],[Products]])/SUM(HS_DB[Trade Value - USD])</f>
        <v>7.709373456734254E-3</v>
      </c>
      <c r="AH269" s="8">
        <f>_xlfn.RANK.EQ(HS_DB[[#This Row],[Trade Value - USD]], HS_DB[Trade Value - USD], 0)
 + COUNTIFS(HS_DB[Trade Value - USD],HS_DB[[#This Row],[Trade Value - USD]],
            HS_DB[HS Code],"&lt;"&amp;HS_DB[[#This Row],[HS Code]])</f>
        <v>378</v>
      </c>
      <c r="AI269" s="9">
        <f>IFERROR(HS_DB[[#This Row],[Trade Value - USD]]/HS_DB[[#This Row],[Net Weight -KG]],0)</f>
        <v>0</v>
      </c>
      <c r="AJ269" s="17" cm="1">
        <f t="array" ref="AJ269">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69" s="17" t="str">
        <f>IF(HS_DB[[#This Row],[HS Code Risk Score]]&gt;=40,"High",
 IF(HS_DB[[#This Row],[HS Code Risk Score]]&gt;=25,"Medium","Low"))</f>
        <v>Medium</v>
      </c>
      <c r="AL269" s="17" t="str">
        <f>IF(RANK(HS_DB[[#This Row],[HS Code Risk Score]],HS_DB[HS Code Risk Score])&lt;=10,"Yes","No")</f>
        <v>No</v>
      </c>
      <c r="AM269" s="8">
        <f>SUMIFS(HS_DB[Net Weight -KG],HS_DB[HS Code],HS_DB[[#This Row],[HS Code]])</f>
        <v>1740222.6</v>
      </c>
      <c r="AN269" s="8">
        <f>SUMIFS(HS_DB[Trade Value - USD],HS_DB[HS Code],HS_DB[[#This Row],[HS Code]])</f>
        <v>14532233</v>
      </c>
      <c r="AO269" s="6">
        <f>_xlfn.MAXIFS(HS_DB[Origin Share%],HS_DB[HS Code],HS_DB[[#This Row],[HS Code]])</f>
        <v>6.321329281187793E-2</v>
      </c>
      <c r="AP269" s="8" cm="1">
        <f t="array" ref="AP269">_xlfn.LET(
_xlpm.hs,HS_DB[[#This Row],[HS Code]],
COUNTA(_xlfn.UNIQUE(_xlfn._xlws.FILTER(HS_DB[Reporter],HS_DB[HS Code]=_xlpm.hs)))
)</f>
        <v>16</v>
      </c>
      <c r="AQ269" s="17" t="str">
        <f>IF(HS_DB[[#This Row],[Origin Count]]=1,"Single Source","Multiple Sources")</f>
        <v>Multiple Sources</v>
      </c>
      <c r="AR269" s="8">
        <f>HS_DB[[#This Row],[Annual Spend - USD]]*(HS_DB[[#This Row],[HS Code Risk Score]]/100)</f>
        <v>4940959.2200000007</v>
      </c>
      <c r="AS269" s="8">
        <f>RANK(HS_DB[[#This Row],[Risk Exposure - USD]],HS_DB[Risk Exposure - USD],0)</f>
        <v>181</v>
      </c>
      <c r="AT269" s="8" t="str">
        <f>IF(HS_DB[[#This Row],[Risk Exposure Rank]]&lt;=10,"High",
 IF(HS_DB[[#This Row],[Risk Exposure Rank]]&lt;=30,"Medium",
 "Low"))</f>
        <v>Low</v>
      </c>
      <c r="AU269" s="8" t="str">
        <f>IF(HS_DB[[#This Row],[Risk Exposure Rank]]&lt;=5,"Immediate Action",
 IF(HS_DB[[#This Row],[Risk Exposure Rank]]&lt;=15,"Monitor Closely",
 "Routine Control"))</f>
        <v>Routine Control</v>
      </c>
      <c r="AV269" s="8">
        <f>SUMIFS(HS_DB[Trade Value - USD],HS_DB[HS Code],HS_DB[[#This Row],[HS Code]])</f>
        <v>14532233</v>
      </c>
      <c r="AW269" s="6">
        <f>HS_DB[[#This Row],[Annual Spend - USD]]/HS_DB[[#This Row],[Total Market Size - USD]]</f>
        <v>1</v>
      </c>
      <c r="AX269" s="6" cm="1">
        <f t="array" ref="AX269">COUNTA(_xlfn.UNIQUE(_xlfn._xlws.FILTER(HS_DB[Partner],HS_DB[HS Code]=HS_DB[[#This Row],[HS Code]])))</f>
        <v>1</v>
      </c>
      <c r="AY269" s="8" t="str">
        <f>IF(HS_DB[[#This Row],[Competition Intensity]]&lt;=2,"Highly Concentrated",
 IF(HS_DB[[#This Row],[Competition Intensity]]&lt;=5,"Moderate",
 "Highly Competitive"))</f>
        <v>Highly Concentrated</v>
      </c>
      <c r="AZ269" s="8">
        <f>HS_DB[[#This Row],[Total Market Size - USD]]
*
(1+IFERROR(#REF!,0))
/
HS_DB[[#This Row],[Competition Intensity]]</f>
        <v>14532233</v>
      </c>
      <c r="BA269" s="8" t="str">
        <f>IF(HS_DB[[#This Row],[Commercial Opportunity Score]]&gt;=PERCENTILE(HS_DB[Commercial Opportunity Score],0.9),"High Opportunity",
 IF(HS_DB[[#This Row],[Commercial Opportunity Score]]&gt;=PERCENTILE(HS_DB[Commercial Opportunity Score],0.6),"Medium Opportunity",
 "Routine Market"))</f>
        <v>Medium Opportunity</v>
      </c>
      <c r="BB269" s="3" t="str">
        <f>IF(AND(HS_DB[[#This Row],[Product Rank]]&gt;0,HS_DB[[#This Row],[Product Rank]]&lt;=10),"Yes","No")</f>
        <v>No</v>
      </c>
      <c r="BC269" s="3" t="str">
        <f>IF(AND(HS_DB[[#This Row],[Origin Rank]]&gt;0,HS_DB[[#This Row],[Origin Rank]]&lt;=10),"Yes","No")</f>
        <v>Yes</v>
      </c>
    </row>
    <row r="270" spans="2:55" x14ac:dyDescent="0.3">
      <c r="B270" s="2">
        <f>HS_DB[[#This Row],[Commodity Code]]</f>
        <v>292429</v>
      </c>
      <c r="C270" s="2">
        <f>IFERROR(INDEX(HS_MD!C:C,MATCH(B270,HS_MD!B:B,0),1),"")</f>
        <v>21</v>
      </c>
      <c r="D270" s="17" t="str">
        <f>IFERROR(INDEX(HS_MD!D:D,MATCH(B270,HS_MD!B:B,0),1),"")</f>
        <v>Amino compounds</v>
      </c>
      <c r="E270" s="17" t="str">
        <f>IFERROR(INDEX(HS_MD!E:E,MATCH(B270,HS_MD!B:B,0),1),"")</f>
        <v>Aspartame</v>
      </c>
      <c r="F270" s="17" t="str">
        <f>IFERROR(INDEX(HS_MD!F:F,MATCH(B270,HS_MD!B:B,0),1),"")</f>
        <v>SWEETENERS</v>
      </c>
      <c r="G270" s="17" t="str">
        <f>IFERROR(INDEX(HS_MD!G:G,MATCH(B270,HS_MD!B:B,0),1),"")</f>
        <v>High Intensity Sweeteners</v>
      </c>
      <c r="H270" s="17" t="str">
        <f>IFERROR(INDEX(HS_MD!H:H,MATCH(B270,HS_MD!B:B,0),1),"")</f>
        <v>Aspartame</v>
      </c>
      <c r="I270" s="17" t="str">
        <f>IFERROR(INDEX(HS_MD!I:I,MATCH(B270,HS_MD!B:B,0),1),"")</f>
        <v>Diet Beverages</v>
      </c>
      <c r="J270" s="17">
        <f>IFERROR(INDEX(Heat_Map[Index],MATCH(HS_DB[[#This Row],[Reporter]],Heat_Map[Global],0),1),"")</f>
        <v>164</v>
      </c>
      <c r="K270" s="17" t="str">
        <f>IF(AND(HS_DB[[#This Row],[Origin Rank]]&gt;1,HS_DB[[#This Row],[Origin Rank]]&lt;=10),"Yes","No")</f>
        <v>Yes</v>
      </c>
      <c r="L270" s="2">
        <v>2024</v>
      </c>
      <c r="M270" s="2" t="s">
        <v>57</v>
      </c>
      <c r="N270" s="2" t="s">
        <v>32</v>
      </c>
      <c r="O270" s="2" t="s">
        <v>22</v>
      </c>
      <c r="P270" s="2" t="s">
        <v>23</v>
      </c>
      <c r="Q270" s="2" t="s">
        <v>24</v>
      </c>
      <c r="R270" s="2" t="s">
        <v>25</v>
      </c>
      <c r="S270" s="2">
        <v>292429</v>
      </c>
      <c r="T270" s="3">
        <v>249250</v>
      </c>
      <c r="U270" s="3">
        <v>11</v>
      </c>
      <c r="V270" s="3">
        <v>0</v>
      </c>
      <c r="W270" s="3">
        <v>11</v>
      </c>
      <c r="X270" s="3" t="s">
        <v>58</v>
      </c>
      <c r="Y270" s="3">
        <v>11</v>
      </c>
      <c r="Z270" s="3" t="s">
        <v>58</v>
      </c>
      <c r="AA270" s="6">
        <f>SUMIFS(HS_DB[Trade Value - USD],HS_DB[Reporter],HS_DB[[#This Row],[Reporter]])/SUM(HS_DB[Trade Value - USD])</f>
        <v>1.1630298885271862E-3</v>
      </c>
      <c r="AB270" s="8" cm="1">
        <f t="array" ref="AB270">SUMPRODUCT(
(HS_DB[Reporter]=HS_DB[[#This Row],[Reporter]])*
(HS_DB[Trade Value - USD]&gt;HS_DB[[#This Row],[Trade Value - USD]])
)+1</f>
        <v>2</v>
      </c>
      <c r="AC270" s="8" t="str">
        <f>IFERROR(IF(INDEX(Heat_Map[Crisis Impact %],MATCH(HS_DB[[#This Row],[Reporter]],Heat_Map[Global],0),1)&gt;0,"Yes","No"),"No")</f>
        <v>No</v>
      </c>
      <c r="AD270" s="6">
        <f>IFERROR(INDEX(Heat_Map[Crisis Impact %],MATCH(HS_DB[[#This Row],[Reporter]],Heat_Map[Global],0),1),0)</f>
        <v>0</v>
      </c>
      <c r="AE270" s="8">
        <f>HS_DB[[#This Row],[Crisis Impact%]]*HS_DB[[#This Row],[Trade Value - USD]]</f>
        <v>0</v>
      </c>
      <c r="AF270" s="8">
        <f>HS_DB[[#This Row],[Crisis Impact%]]*HS_DB[[#This Row],[Net Weight -KG]]</f>
        <v>0</v>
      </c>
      <c r="AG270" s="6">
        <f>SUMIFS(HS_DB[Trade Value - USD],HS_DB[Products],HS_DB[[#This Row],[Products]])/SUM(HS_DB[Trade Value - USD])</f>
        <v>7.709373456734254E-3</v>
      </c>
      <c r="AH270" s="8">
        <f>_xlfn.RANK.EQ(HS_DB[[#This Row],[Trade Value - USD]], HS_DB[Trade Value - USD], 0)
 + COUNTIFS(HS_DB[Trade Value - USD],HS_DB[[#This Row],[Trade Value - USD]],
            HS_DB[HS Code],"&lt;"&amp;HS_DB[[#This Row],[HS Code]])</f>
        <v>202</v>
      </c>
      <c r="AI270" s="9">
        <f>IFERROR(HS_DB[[#This Row],[Trade Value - USD]]/HS_DB[[#This Row],[Net Weight -KG]],0)</f>
        <v>22659.090909090908</v>
      </c>
      <c r="AJ270" s="17" cm="1">
        <f t="array" ref="AJ270">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70" s="17" t="str">
        <f>IF(HS_DB[[#This Row],[HS Code Risk Score]]&gt;=40,"High",
 IF(HS_DB[[#This Row],[HS Code Risk Score]]&gt;=25,"Medium","Low"))</f>
        <v>Medium</v>
      </c>
      <c r="AL270" s="17" t="str">
        <f>IF(RANK(HS_DB[[#This Row],[HS Code Risk Score]],HS_DB[HS Code Risk Score])&lt;=10,"Yes","No")</f>
        <v>No</v>
      </c>
      <c r="AM270" s="8">
        <f>SUMIFS(HS_DB[Net Weight -KG],HS_DB[HS Code],HS_DB[[#This Row],[HS Code]])</f>
        <v>1740222.6</v>
      </c>
      <c r="AN270" s="8">
        <f>SUMIFS(HS_DB[Trade Value - USD],HS_DB[HS Code],HS_DB[[#This Row],[HS Code]])</f>
        <v>14532233</v>
      </c>
      <c r="AO270" s="6">
        <f>_xlfn.MAXIFS(HS_DB[Origin Share%],HS_DB[HS Code],HS_DB[[#This Row],[HS Code]])</f>
        <v>6.321329281187793E-2</v>
      </c>
      <c r="AP270" s="8" cm="1">
        <f t="array" ref="AP270">_xlfn.LET(
_xlpm.hs,HS_DB[[#This Row],[HS Code]],
COUNTA(_xlfn.UNIQUE(_xlfn._xlws.FILTER(HS_DB[Reporter],HS_DB[HS Code]=_xlpm.hs)))
)</f>
        <v>16</v>
      </c>
      <c r="AQ270" s="17" t="str">
        <f>IF(HS_DB[[#This Row],[Origin Count]]=1,"Single Source","Multiple Sources")</f>
        <v>Multiple Sources</v>
      </c>
      <c r="AR270" s="8">
        <f>HS_DB[[#This Row],[Annual Spend - USD]]*(HS_DB[[#This Row],[HS Code Risk Score]]/100)</f>
        <v>4940959.2200000007</v>
      </c>
      <c r="AS270" s="8">
        <f>RANK(HS_DB[[#This Row],[Risk Exposure - USD]],HS_DB[Risk Exposure - USD],0)</f>
        <v>181</v>
      </c>
      <c r="AT270" s="8" t="str">
        <f>IF(HS_DB[[#This Row],[Risk Exposure Rank]]&lt;=10,"High",
 IF(HS_DB[[#This Row],[Risk Exposure Rank]]&lt;=30,"Medium",
 "Low"))</f>
        <v>Low</v>
      </c>
      <c r="AU270" s="8" t="str">
        <f>IF(HS_DB[[#This Row],[Risk Exposure Rank]]&lt;=5,"Immediate Action",
 IF(HS_DB[[#This Row],[Risk Exposure Rank]]&lt;=15,"Monitor Closely",
 "Routine Control"))</f>
        <v>Routine Control</v>
      </c>
      <c r="AV270" s="8">
        <f>SUMIFS(HS_DB[Trade Value - USD],HS_DB[HS Code],HS_DB[[#This Row],[HS Code]])</f>
        <v>14532233</v>
      </c>
      <c r="AW270" s="6">
        <f>HS_DB[[#This Row],[Annual Spend - USD]]/HS_DB[[#This Row],[Total Market Size - USD]]</f>
        <v>1</v>
      </c>
      <c r="AX270" s="6" cm="1">
        <f t="array" ref="AX270">COUNTA(_xlfn.UNIQUE(_xlfn._xlws.FILTER(HS_DB[Partner],HS_DB[HS Code]=HS_DB[[#This Row],[HS Code]])))</f>
        <v>1</v>
      </c>
      <c r="AY270" s="8" t="str">
        <f>IF(HS_DB[[#This Row],[Competition Intensity]]&lt;=2,"Highly Concentrated",
 IF(HS_DB[[#This Row],[Competition Intensity]]&lt;=5,"Moderate",
 "Highly Competitive"))</f>
        <v>Highly Concentrated</v>
      </c>
      <c r="AZ270" s="8">
        <f>HS_DB[[#This Row],[Total Market Size - USD]]
*
(1+IFERROR(#REF!,0))
/
HS_DB[[#This Row],[Competition Intensity]]</f>
        <v>14532233</v>
      </c>
      <c r="BA270" s="8" t="str">
        <f>IF(HS_DB[[#This Row],[Commercial Opportunity Score]]&gt;=PERCENTILE(HS_DB[Commercial Opportunity Score],0.9),"High Opportunity",
 IF(HS_DB[[#This Row],[Commercial Opportunity Score]]&gt;=PERCENTILE(HS_DB[Commercial Opportunity Score],0.6),"Medium Opportunity",
 "Routine Market"))</f>
        <v>Medium Opportunity</v>
      </c>
      <c r="BB270" s="3" t="str">
        <f>IF(AND(HS_DB[[#This Row],[Product Rank]]&gt;0,HS_DB[[#This Row],[Product Rank]]&lt;=10),"Yes","No")</f>
        <v>No</v>
      </c>
      <c r="BC270" s="3" t="str">
        <f>IF(AND(HS_DB[[#This Row],[Origin Rank]]&gt;0,HS_DB[[#This Row],[Origin Rank]]&lt;=10),"Yes","No")</f>
        <v>Yes</v>
      </c>
    </row>
    <row r="271" spans="2:55" x14ac:dyDescent="0.3">
      <c r="B271" s="2">
        <f>HS_DB[[#This Row],[Commodity Code]]</f>
        <v>292429</v>
      </c>
      <c r="C271" s="2">
        <f>IFERROR(INDEX(HS_MD!C:C,MATCH(B271,HS_MD!B:B,0),1),"")</f>
        <v>21</v>
      </c>
      <c r="D271" s="17" t="str">
        <f>IFERROR(INDEX(HS_MD!D:D,MATCH(B271,HS_MD!B:B,0),1),"")</f>
        <v>Amino compounds</v>
      </c>
      <c r="E271" s="17" t="str">
        <f>IFERROR(INDEX(HS_MD!E:E,MATCH(B271,HS_MD!B:B,0),1),"")</f>
        <v>Aspartame</v>
      </c>
      <c r="F271" s="17" t="str">
        <f>IFERROR(INDEX(HS_MD!F:F,MATCH(B271,HS_MD!B:B,0),1),"")</f>
        <v>SWEETENERS</v>
      </c>
      <c r="G271" s="17" t="str">
        <f>IFERROR(INDEX(HS_MD!G:G,MATCH(B271,HS_MD!B:B,0),1),"")</f>
        <v>High Intensity Sweeteners</v>
      </c>
      <c r="H271" s="17" t="str">
        <f>IFERROR(INDEX(HS_MD!H:H,MATCH(B271,HS_MD!B:B,0),1),"")</f>
        <v>Aspartame</v>
      </c>
      <c r="I271" s="17" t="str">
        <f>IFERROR(INDEX(HS_MD!I:I,MATCH(B271,HS_MD!B:B,0),1),"")</f>
        <v>Diet Beverages</v>
      </c>
      <c r="J271" s="17">
        <f>IFERROR(INDEX(Heat_Map[Index],MATCH(HS_DB[[#This Row],[Reporter]],Heat_Map[Global],0),1),"")</f>
        <v>169</v>
      </c>
      <c r="K271" s="17" t="str">
        <f>IF(AND(HS_DB[[#This Row],[Origin Rank]]&gt;1,HS_DB[[#This Row],[Origin Rank]]&lt;=10),"Yes","No")</f>
        <v>Yes</v>
      </c>
      <c r="L271" s="2">
        <v>2024</v>
      </c>
      <c r="M271" s="2" t="s">
        <v>57</v>
      </c>
      <c r="N271" s="2" t="s">
        <v>33</v>
      </c>
      <c r="O271" s="2" t="s">
        <v>22</v>
      </c>
      <c r="P271" s="2" t="s">
        <v>23</v>
      </c>
      <c r="Q271" s="2" t="s">
        <v>24</v>
      </c>
      <c r="R271" s="2" t="s">
        <v>25</v>
      </c>
      <c r="S271" s="2">
        <v>292429</v>
      </c>
      <c r="T271" s="3">
        <v>36480</v>
      </c>
      <c r="U271" s="3">
        <v>1800</v>
      </c>
      <c r="V271" s="3">
        <v>0</v>
      </c>
      <c r="W271" s="3">
        <v>1800</v>
      </c>
      <c r="X271" s="3" t="s">
        <v>58</v>
      </c>
      <c r="Y271" s="3">
        <v>1800</v>
      </c>
      <c r="Z271" s="3" t="s">
        <v>58</v>
      </c>
      <c r="AA271" s="6">
        <f>SUMIFS(HS_DB[Trade Value - USD],HS_DB[Reporter],HS_DB[[#This Row],[Reporter]])/SUM(HS_DB[Trade Value - USD])</f>
        <v>8.0337630087875059E-4</v>
      </c>
      <c r="AB271" s="8" cm="1">
        <f t="array" ref="AB271">SUMPRODUCT(
(HS_DB[Reporter]=HS_DB[[#This Row],[Reporter]])*
(HS_DB[Trade Value - USD]&gt;HS_DB[[#This Row],[Trade Value - USD]])
)+1</f>
        <v>3</v>
      </c>
      <c r="AC271" s="8" t="str">
        <f>IFERROR(IF(INDEX(Heat_Map[Crisis Impact %],MATCH(HS_DB[[#This Row],[Reporter]],Heat_Map[Global],0),1)&gt;0,"Yes","No"),"No")</f>
        <v>No</v>
      </c>
      <c r="AD271" s="6">
        <f>IFERROR(INDEX(Heat_Map[Crisis Impact %],MATCH(HS_DB[[#This Row],[Reporter]],Heat_Map[Global],0),1),0)</f>
        <v>0</v>
      </c>
      <c r="AE271" s="8">
        <f>HS_DB[[#This Row],[Crisis Impact%]]*HS_DB[[#This Row],[Trade Value - USD]]</f>
        <v>0</v>
      </c>
      <c r="AF271" s="8">
        <f>HS_DB[[#This Row],[Crisis Impact%]]*HS_DB[[#This Row],[Net Weight -KG]]</f>
        <v>0</v>
      </c>
      <c r="AG271" s="6">
        <f>SUMIFS(HS_DB[Trade Value - USD],HS_DB[Products],HS_DB[[#This Row],[Products]])/SUM(HS_DB[Trade Value - USD])</f>
        <v>7.709373456734254E-3</v>
      </c>
      <c r="AH271" s="8">
        <f>_xlfn.RANK.EQ(HS_DB[[#This Row],[Trade Value - USD]], HS_DB[Trade Value - USD], 0)
 + COUNTIFS(HS_DB[Trade Value - USD],HS_DB[[#This Row],[Trade Value - USD]],
            HS_DB[HS Code],"&lt;"&amp;HS_DB[[#This Row],[HS Code]])</f>
        <v>339</v>
      </c>
      <c r="AI271" s="9">
        <f>IFERROR(HS_DB[[#This Row],[Trade Value - USD]]/HS_DB[[#This Row],[Net Weight -KG]],0)</f>
        <v>20.266666666666666</v>
      </c>
      <c r="AJ271" s="17" cm="1">
        <f t="array" ref="AJ271">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71" s="17" t="str">
        <f>IF(HS_DB[[#This Row],[HS Code Risk Score]]&gt;=40,"High",
 IF(HS_DB[[#This Row],[HS Code Risk Score]]&gt;=25,"Medium","Low"))</f>
        <v>Medium</v>
      </c>
      <c r="AL271" s="17" t="str">
        <f>IF(RANK(HS_DB[[#This Row],[HS Code Risk Score]],HS_DB[HS Code Risk Score])&lt;=10,"Yes","No")</f>
        <v>No</v>
      </c>
      <c r="AM271" s="8">
        <f>SUMIFS(HS_DB[Net Weight -KG],HS_DB[HS Code],HS_DB[[#This Row],[HS Code]])</f>
        <v>1740222.6</v>
      </c>
      <c r="AN271" s="8">
        <f>SUMIFS(HS_DB[Trade Value - USD],HS_DB[HS Code],HS_DB[[#This Row],[HS Code]])</f>
        <v>14532233</v>
      </c>
      <c r="AO271" s="6">
        <f>_xlfn.MAXIFS(HS_DB[Origin Share%],HS_DB[HS Code],HS_DB[[#This Row],[HS Code]])</f>
        <v>6.321329281187793E-2</v>
      </c>
      <c r="AP271" s="8" cm="1">
        <f t="array" ref="AP271">_xlfn.LET(
_xlpm.hs,HS_DB[[#This Row],[HS Code]],
COUNTA(_xlfn.UNIQUE(_xlfn._xlws.FILTER(HS_DB[Reporter],HS_DB[HS Code]=_xlpm.hs)))
)</f>
        <v>16</v>
      </c>
      <c r="AQ271" s="17" t="str">
        <f>IF(HS_DB[[#This Row],[Origin Count]]=1,"Single Source","Multiple Sources")</f>
        <v>Multiple Sources</v>
      </c>
      <c r="AR271" s="8">
        <f>HS_DB[[#This Row],[Annual Spend - USD]]*(HS_DB[[#This Row],[HS Code Risk Score]]/100)</f>
        <v>4940959.2200000007</v>
      </c>
      <c r="AS271" s="8">
        <f>RANK(HS_DB[[#This Row],[Risk Exposure - USD]],HS_DB[Risk Exposure - USD],0)</f>
        <v>181</v>
      </c>
      <c r="AT271" s="8" t="str">
        <f>IF(HS_DB[[#This Row],[Risk Exposure Rank]]&lt;=10,"High",
 IF(HS_DB[[#This Row],[Risk Exposure Rank]]&lt;=30,"Medium",
 "Low"))</f>
        <v>Low</v>
      </c>
      <c r="AU271" s="8" t="str">
        <f>IF(HS_DB[[#This Row],[Risk Exposure Rank]]&lt;=5,"Immediate Action",
 IF(HS_DB[[#This Row],[Risk Exposure Rank]]&lt;=15,"Monitor Closely",
 "Routine Control"))</f>
        <v>Routine Control</v>
      </c>
      <c r="AV271" s="8">
        <f>SUMIFS(HS_DB[Trade Value - USD],HS_DB[HS Code],HS_DB[[#This Row],[HS Code]])</f>
        <v>14532233</v>
      </c>
      <c r="AW271" s="6">
        <f>HS_DB[[#This Row],[Annual Spend - USD]]/HS_DB[[#This Row],[Total Market Size - USD]]</f>
        <v>1</v>
      </c>
      <c r="AX271" s="6" cm="1">
        <f t="array" ref="AX271">COUNTA(_xlfn.UNIQUE(_xlfn._xlws.FILTER(HS_DB[Partner],HS_DB[HS Code]=HS_DB[[#This Row],[HS Code]])))</f>
        <v>1</v>
      </c>
      <c r="AY271" s="8" t="str">
        <f>IF(HS_DB[[#This Row],[Competition Intensity]]&lt;=2,"Highly Concentrated",
 IF(HS_DB[[#This Row],[Competition Intensity]]&lt;=5,"Moderate",
 "Highly Competitive"))</f>
        <v>Highly Concentrated</v>
      </c>
      <c r="AZ271" s="8">
        <f>HS_DB[[#This Row],[Total Market Size - USD]]
*
(1+IFERROR(#REF!,0))
/
HS_DB[[#This Row],[Competition Intensity]]</f>
        <v>14532233</v>
      </c>
      <c r="BA271" s="8" t="str">
        <f>IF(HS_DB[[#This Row],[Commercial Opportunity Score]]&gt;=PERCENTILE(HS_DB[Commercial Opportunity Score],0.9),"High Opportunity",
 IF(HS_DB[[#This Row],[Commercial Opportunity Score]]&gt;=PERCENTILE(HS_DB[Commercial Opportunity Score],0.6),"Medium Opportunity",
 "Routine Market"))</f>
        <v>Medium Opportunity</v>
      </c>
      <c r="BB271" s="3" t="str">
        <f>IF(AND(HS_DB[[#This Row],[Product Rank]]&gt;0,HS_DB[[#This Row],[Product Rank]]&lt;=10),"Yes","No")</f>
        <v>No</v>
      </c>
      <c r="BC271" s="3" t="str">
        <f>IF(AND(HS_DB[[#This Row],[Origin Rank]]&gt;0,HS_DB[[#This Row],[Origin Rank]]&lt;=10),"Yes","No")</f>
        <v>Yes</v>
      </c>
    </row>
    <row r="272" spans="2:55" x14ac:dyDescent="0.3">
      <c r="B272" s="2">
        <f>HS_DB[[#This Row],[Commodity Code]]</f>
        <v>292429</v>
      </c>
      <c r="C272" s="2">
        <f>IFERROR(INDEX(HS_MD!C:C,MATCH(B272,HS_MD!B:B,0),1),"")</f>
        <v>21</v>
      </c>
      <c r="D272" s="17" t="str">
        <f>IFERROR(INDEX(HS_MD!D:D,MATCH(B272,HS_MD!B:B,0),1),"")</f>
        <v>Amino compounds</v>
      </c>
      <c r="E272" s="17" t="str">
        <f>IFERROR(INDEX(HS_MD!E:E,MATCH(B272,HS_MD!B:B,0),1),"")</f>
        <v>Aspartame</v>
      </c>
      <c r="F272" s="17" t="str">
        <f>IFERROR(INDEX(HS_MD!F:F,MATCH(B272,HS_MD!B:B,0),1),"")</f>
        <v>SWEETENERS</v>
      </c>
      <c r="G272" s="17" t="str">
        <f>IFERROR(INDEX(HS_MD!G:G,MATCH(B272,HS_MD!B:B,0),1),"")</f>
        <v>High Intensity Sweeteners</v>
      </c>
      <c r="H272" s="17" t="str">
        <f>IFERROR(INDEX(HS_MD!H:H,MATCH(B272,HS_MD!B:B,0),1),"")</f>
        <v>Aspartame</v>
      </c>
      <c r="I272" s="17" t="str">
        <f>IFERROR(INDEX(HS_MD!I:I,MATCH(B272,HS_MD!B:B,0),1),"")</f>
        <v>Diet Beverages</v>
      </c>
      <c r="J272" s="17">
        <f>IFERROR(INDEX(Heat_Map[Index],MATCH(HS_DB[[#This Row],[Reporter]],Heat_Map[Global],0),1),"")</f>
        <v>175</v>
      </c>
      <c r="K272" s="17" t="str">
        <f>IF(AND(HS_DB[[#This Row],[Origin Rank]]&gt;1,HS_DB[[#This Row],[Origin Rank]]&lt;=10),"Yes","No")</f>
        <v>No</v>
      </c>
      <c r="L272" s="2">
        <v>2024</v>
      </c>
      <c r="M272" s="2" t="s">
        <v>57</v>
      </c>
      <c r="N272" s="2" t="s">
        <v>34</v>
      </c>
      <c r="O272" s="2" t="s">
        <v>22</v>
      </c>
      <c r="P272" s="2" t="s">
        <v>23</v>
      </c>
      <c r="Q272" s="2" t="s">
        <v>24</v>
      </c>
      <c r="R272" s="2" t="s">
        <v>25</v>
      </c>
      <c r="S272" s="2">
        <v>292429</v>
      </c>
      <c r="T272" s="3">
        <v>67</v>
      </c>
      <c r="U272" s="3">
        <v>1</v>
      </c>
      <c r="V272" s="3">
        <v>0</v>
      </c>
      <c r="W272" s="3">
        <v>1</v>
      </c>
      <c r="X272" s="3" t="s">
        <v>58</v>
      </c>
      <c r="Y272" s="3">
        <v>1</v>
      </c>
      <c r="Z272" s="3" t="s">
        <v>58</v>
      </c>
      <c r="AA272" s="6">
        <f>SUMIFS(HS_DB[Trade Value - USD],HS_DB[Reporter],HS_DB[[#This Row],[Reporter]])/SUM(HS_DB[Trade Value - USD])</f>
        <v>4.7522902002533667E-2</v>
      </c>
      <c r="AB272" s="8" cm="1">
        <f t="array" ref="AB272">SUMPRODUCT(
(HS_DB[Reporter]=HS_DB[[#This Row],[Reporter]])*
(HS_DB[Trade Value - USD]&gt;HS_DB[[#This Row],[Trade Value - USD]])
)+1</f>
        <v>34</v>
      </c>
      <c r="AC272" s="8" t="str">
        <f>IFERROR(IF(INDEX(Heat_Map[Crisis Impact %],MATCH(HS_DB[[#This Row],[Reporter]],Heat_Map[Global],0),1)&gt;0,"Yes","No"),"No")</f>
        <v>Yes</v>
      </c>
      <c r="AD272" s="6">
        <f>IFERROR(INDEX(Heat_Map[Crisis Impact %],MATCH(HS_DB[[#This Row],[Reporter]],Heat_Map[Global],0),1),0)</f>
        <v>0.1</v>
      </c>
      <c r="AE272" s="8">
        <f>HS_DB[[#This Row],[Crisis Impact%]]*HS_DB[[#This Row],[Trade Value - USD]]</f>
        <v>6.7</v>
      </c>
      <c r="AF272" s="8">
        <f>HS_DB[[#This Row],[Crisis Impact%]]*HS_DB[[#This Row],[Net Weight -KG]]</f>
        <v>0.1</v>
      </c>
      <c r="AG272" s="6">
        <f>SUMIFS(HS_DB[Trade Value - USD],HS_DB[Products],HS_DB[[#This Row],[Products]])/SUM(HS_DB[Trade Value - USD])</f>
        <v>7.709373456734254E-3</v>
      </c>
      <c r="AH272" s="8">
        <f>_xlfn.RANK.EQ(HS_DB[[#This Row],[Trade Value - USD]], HS_DB[Trade Value - USD], 0)
 + COUNTIFS(HS_DB[Trade Value - USD],HS_DB[[#This Row],[Trade Value - USD]],
            HS_DB[HS Code],"&lt;"&amp;HS_DB[[#This Row],[HS Code]])</f>
        <v>522</v>
      </c>
      <c r="AI272" s="9">
        <f>IFERROR(HS_DB[[#This Row],[Trade Value - USD]]/HS_DB[[#This Row],[Net Weight -KG]],0)</f>
        <v>67</v>
      </c>
      <c r="AJ272" s="17" cm="1">
        <f t="array" ref="AJ272">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72" s="17" t="str">
        <f>IF(HS_DB[[#This Row],[HS Code Risk Score]]&gt;=40,"High",
 IF(HS_DB[[#This Row],[HS Code Risk Score]]&gt;=25,"Medium","Low"))</f>
        <v>Medium</v>
      </c>
      <c r="AL272" s="17" t="str">
        <f>IF(RANK(HS_DB[[#This Row],[HS Code Risk Score]],HS_DB[HS Code Risk Score])&lt;=10,"Yes","No")</f>
        <v>No</v>
      </c>
      <c r="AM272" s="8">
        <f>SUMIFS(HS_DB[Net Weight -KG],HS_DB[HS Code],HS_DB[[#This Row],[HS Code]])</f>
        <v>1740222.6</v>
      </c>
      <c r="AN272" s="8">
        <f>SUMIFS(HS_DB[Trade Value - USD],HS_DB[HS Code],HS_DB[[#This Row],[HS Code]])</f>
        <v>14532233</v>
      </c>
      <c r="AO272" s="6">
        <f>_xlfn.MAXIFS(HS_DB[Origin Share%],HS_DB[HS Code],HS_DB[[#This Row],[HS Code]])</f>
        <v>6.321329281187793E-2</v>
      </c>
      <c r="AP272" s="8" cm="1">
        <f t="array" ref="AP272">_xlfn.LET(
_xlpm.hs,HS_DB[[#This Row],[HS Code]],
COUNTA(_xlfn.UNIQUE(_xlfn._xlws.FILTER(HS_DB[Reporter],HS_DB[HS Code]=_xlpm.hs)))
)</f>
        <v>16</v>
      </c>
      <c r="AQ272" s="17" t="str">
        <f>IF(HS_DB[[#This Row],[Origin Count]]=1,"Single Source","Multiple Sources")</f>
        <v>Multiple Sources</v>
      </c>
      <c r="AR272" s="8">
        <f>HS_DB[[#This Row],[Annual Spend - USD]]*(HS_DB[[#This Row],[HS Code Risk Score]]/100)</f>
        <v>4940959.2200000007</v>
      </c>
      <c r="AS272" s="8">
        <f>RANK(HS_DB[[#This Row],[Risk Exposure - USD]],HS_DB[Risk Exposure - USD],0)</f>
        <v>181</v>
      </c>
      <c r="AT272" s="8" t="str">
        <f>IF(HS_DB[[#This Row],[Risk Exposure Rank]]&lt;=10,"High",
 IF(HS_DB[[#This Row],[Risk Exposure Rank]]&lt;=30,"Medium",
 "Low"))</f>
        <v>Low</v>
      </c>
      <c r="AU272" s="8" t="str">
        <f>IF(HS_DB[[#This Row],[Risk Exposure Rank]]&lt;=5,"Immediate Action",
 IF(HS_DB[[#This Row],[Risk Exposure Rank]]&lt;=15,"Monitor Closely",
 "Routine Control"))</f>
        <v>Routine Control</v>
      </c>
      <c r="AV272" s="8">
        <f>SUMIFS(HS_DB[Trade Value - USD],HS_DB[HS Code],HS_DB[[#This Row],[HS Code]])</f>
        <v>14532233</v>
      </c>
      <c r="AW272" s="6">
        <f>HS_DB[[#This Row],[Annual Spend - USD]]/HS_DB[[#This Row],[Total Market Size - USD]]</f>
        <v>1</v>
      </c>
      <c r="AX272" s="6" cm="1">
        <f t="array" ref="AX272">COUNTA(_xlfn.UNIQUE(_xlfn._xlws.FILTER(HS_DB[Partner],HS_DB[HS Code]=HS_DB[[#This Row],[HS Code]])))</f>
        <v>1</v>
      </c>
      <c r="AY272" s="8" t="str">
        <f>IF(HS_DB[[#This Row],[Competition Intensity]]&lt;=2,"Highly Concentrated",
 IF(HS_DB[[#This Row],[Competition Intensity]]&lt;=5,"Moderate",
 "Highly Competitive"))</f>
        <v>Highly Concentrated</v>
      </c>
      <c r="AZ272" s="8">
        <f>HS_DB[[#This Row],[Total Market Size - USD]]
*
(1+IFERROR(#REF!,0))
/
HS_DB[[#This Row],[Competition Intensity]]</f>
        <v>14532233</v>
      </c>
      <c r="BA272" s="8" t="str">
        <f>IF(HS_DB[[#This Row],[Commercial Opportunity Score]]&gt;=PERCENTILE(HS_DB[Commercial Opportunity Score],0.9),"High Opportunity",
 IF(HS_DB[[#This Row],[Commercial Opportunity Score]]&gt;=PERCENTILE(HS_DB[Commercial Opportunity Score],0.6),"Medium Opportunity",
 "Routine Market"))</f>
        <v>Medium Opportunity</v>
      </c>
      <c r="BB272" s="3" t="str">
        <f>IF(AND(HS_DB[[#This Row],[Product Rank]]&gt;0,HS_DB[[#This Row],[Product Rank]]&lt;=10),"Yes","No")</f>
        <v>No</v>
      </c>
      <c r="BC272" s="3" t="str">
        <f>IF(AND(HS_DB[[#This Row],[Origin Rank]]&gt;0,HS_DB[[#This Row],[Origin Rank]]&lt;=10),"Yes","No")</f>
        <v>No</v>
      </c>
    </row>
    <row r="273" spans="2:55" x14ac:dyDescent="0.3">
      <c r="B273" s="2">
        <f>HS_DB[[#This Row],[Commodity Code]]</f>
        <v>292429</v>
      </c>
      <c r="C273" s="2">
        <f>IFERROR(INDEX(HS_MD!C:C,MATCH(B273,HS_MD!B:B,0),1),"")</f>
        <v>21</v>
      </c>
      <c r="D273" s="17" t="str">
        <f>IFERROR(INDEX(HS_MD!D:D,MATCH(B273,HS_MD!B:B,0),1),"")</f>
        <v>Amino compounds</v>
      </c>
      <c r="E273" s="17" t="str">
        <f>IFERROR(INDEX(HS_MD!E:E,MATCH(B273,HS_MD!B:B,0),1),"")</f>
        <v>Aspartame</v>
      </c>
      <c r="F273" s="17" t="str">
        <f>IFERROR(INDEX(HS_MD!F:F,MATCH(B273,HS_MD!B:B,0),1),"")</f>
        <v>SWEETENERS</v>
      </c>
      <c r="G273" s="17" t="str">
        <f>IFERROR(INDEX(HS_MD!G:G,MATCH(B273,HS_MD!B:B,0),1),"")</f>
        <v>High Intensity Sweeteners</v>
      </c>
      <c r="H273" s="17" t="str">
        <f>IFERROR(INDEX(HS_MD!H:H,MATCH(B273,HS_MD!B:B,0),1),"")</f>
        <v>Aspartame</v>
      </c>
      <c r="I273" s="17" t="str">
        <f>IFERROR(INDEX(HS_MD!I:I,MATCH(B273,HS_MD!B:B,0),1),"")</f>
        <v>Diet Beverages</v>
      </c>
      <c r="J273" s="17">
        <f>IFERROR(INDEX(Heat_Map[Index],MATCH(HS_DB[[#This Row],[Reporter]],Heat_Map[Global],0),1),"")</f>
        <v>181</v>
      </c>
      <c r="K273" s="17" t="str">
        <f>IF(AND(HS_DB[[#This Row],[Origin Rank]]&gt;1,HS_DB[[#This Row],[Origin Rank]]&lt;=10),"Yes","No")</f>
        <v>Yes</v>
      </c>
      <c r="L273" s="2">
        <v>2024</v>
      </c>
      <c r="M273" s="2" t="s">
        <v>57</v>
      </c>
      <c r="N273" s="2" t="s">
        <v>36</v>
      </c>
      <c r="O273" s="2" t="s">
        <v>22</v>
      </c>
      <c r="P273" s="2" t="s">
        <v>23</v>
      </c>
      <c r="Q273" s="2" t="s">
        <v>24</v>
      </c>
      <c r="R273" s="2" t="s">
        <v>25</v>
      </c>
      <c r="S273" s="2">
        <v>292429</v>
      </c>
      <c r="T273" s="3">
        <v>241699</v>
      </c>
      <c r="U273" s="3">
        <v>1247</v>
      </c>
      <c r="V273" s="3">
        <v>0</v>
      </c>
      <c r="W273" s="3">
        <v>1247</v>
      </c>
      <c r="X273" s="3" t="s">
        <v>58</v>
      </c>
      <c r="Y273" s="3">
        <v>1247</v>
      </c>
      <c r="Z273" s="3" t="s">
        <v>58</v>
      </c>
      <c r="AA273" s="6">
        <f>SUMIFS(HS_DB[Trade Value - USD],HS_DB[Reporter],HS_DB[[#This Row],[Reporter]])/SUM(HS_DB[Trade Value - USD])</f>
        <v>1.3104801671892474E-3</v>
      </c>
      <c r="AB273" s="8" cm="1">
        <f t="array" ref="AB273">SUMPRODUCT(
(HS_DB[Reporter]=HS_DB[[#This Row],[Reporter]])*
(HS_DB[Trade Value - USD]&gt;HS_DB[[#This Row],[Trade Value - USD]])
)+1</f>
        <v>4</v>
      </c>
      <c r="AC273" s="8" t="str">
        <f>IFERROR(IF(INDEX(Heat_Map[Crisis Impact %],MATCH(HS_DB[[#This Row],[Reporter]],Heat_Map[Global],0),1)&gt;0,"Yes","No"),"No")</f>
        <v>No</v>
      </c>
      <c r="AD273" s="6">
        <f>IFERROR(INDEX(Heat_Map[Crisis Impact %],MATCH(HS_DB[[#This Row],[Reporter]],Heat_Map[Global],0),1),0)</f>
        <v>0</v>
      </c>
      <c r="AE273" s="8">
        <f>HS_DB[[#This Row],[Crisis Impact%]]*HS_DB[[#This Row],[Trade Value - USD]]</f>
        <v>0</v>
      </c>
      <c r="AF273" s="8">
        <f>HS_DB[[#This Row],[Crisis Impact%]]*HS_DB[[#This Row],[Net Weight -KG]]</f>
        <v>0</v>
      </c>
      <c r="AG273" s="6">
        <f>SUMIFS(HS_DB[Trade Value - USD],HS_DB[Products],HS_DB[[#This Row],[Products]])/SUM(HS_DB[Trade Value - USD])</f>
        <v>7.709373456734254E-3</v>
      </c>
      <c r="AH273" s="8">
        <f>_xlfn.RANK.EQ(HS_DB[[#This Row],[Trade Value - USD]], HS_DB[Trade Value - USD], 0)
 + COUNTIFS(HS_DB[Trade Value - USD],HS_DB[[#This Row],[Trade Value - USD]],
            HS_DB[HS Code],"&lt;"&amp;HS_DB[[#This Row],[HS Code]])</f>
        <v>205</v>
      </c>
      <c r="AI273" s="9">
        <f>IFERROR(HS_DB[[#This Row],[Trade Value - USD]]/HS_DB[[#This Row],[Net Weight -KG]],0)</f>
        <v>193.82437850842021</v>
      </c>
      <c r="AJ273" s="17" cm="1">
        <f t="array" ref="AJ273">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73" s="17" t="str">
        <f>IF(HS_DB[[#This Row],[HS Code Risk Score]]&gt;=40,"High",
 IF(HS_DB[[#This Row],[HS Code Risk Score]]&gt;=25,"Medium","Low"))</f>
        <v>Medium</v>
      </c>
      <c r="AL273" s="17" t="str">
        <f>IF(RANK(HS_DB[[#This Row],[HS Code Risk Score]],HS_DB[HS Code Risk Score])&lt;=10,"Yes","No")</f>
        <v>No</v>
      </c>
      <c r="AM273" s="8">
        <f>SUMIFS(HS_DB[Net Weight -KG],HS_DB[HS Code],HS_DB[[#This Row],[HS Code]])</f>
        <v>1740222.6</v>
      </c>
      <c r="AN273" s="8">
        <f>SUMIFS(HS_DB[Trade Value - USD],HS_DB[HS Code],HS_DB[[#This Row],[HS Code]])</f>
        <v>14532233</v>
      </c>
      <c r="AO273" s="6">
        <f>_xlfn.MAXIFS(HS_DB[Origin Share%],HS_DB[HS Code],HS_DB[[#This Row],[HS Code]])</f>
        <v>6.321329281187793E-2</v>
      </c>
      <c r="AP273" s="8" cm="1">
        <f t="array" ref="AP273">_xlfn.LET(
_xlpm.hs,HS_DB[[#This Row],[HS Code]],
COUNTA(_xlfn.UNIQUE(_xlfn._xlws.FILTER(HS_DB[Reporter],HS_DB[HS Code]=_xlpm.hs)))
)</f>
        <v>16</v>
      </c>
      <c r="AQ273" s="17" t="str">
        <f>IF(HS_DB[[#This Row],[Origin Count]]=1,"Single Source","Multiple Sources")</f>
        <v>Multiple Sources</v>
      </c>
      <c r="AR273" s="8">
        <f>HS_DB[[#This Row],[Annual Spend - USD]]*(HS_DB[[#This Row],[HS Code Risk Score]]/100)</f>
        <v>4940959.2200000007</v>
      </c>
      <c r="AS273" s="8">
        <f>RANK(HS_DB[[#This Row],[Risk Exposure - USD]],HS_DB[Risk Exposure - USD],0)</f>
        <v>181</v>
      </c>
      <c r="AT273" s="8" t="str">
        <f>IF(HS_DB[[#This Row],[Risk Exposure Rank]]&lt;=10,"High",
 IF(HS_DB[[#This Row],[Risk Exposure Rank]]&lt;=30,"Medium",
 "Low"))</f>
        <v>Low</v>
      </c>
      <c r="AU273" s="8" t="str">
        <f>IF(HS_DB[[#This Row],[Risk Exposure Rank]]&lt;=5,"Immediate Action",
 IF(HS_DB[[#This Row],[Risk Exposure Rank]]&lt;=15,"Monitor Closely",
 "Routine Control"))</f>
        <v>Routine Control</v>
      </c>
      <c r="AV273" s="8">
        <f>SUMIFS(HS_DB[Trade Value - USD],HS_DB[HS Code],HS_DB[[#This Row],[HS Code]])</f>
        <v>14532233</v>
      </c>
      <c r="AW273" s="6">
        <f>HS_DB[[#This Row],[Annual Spend - USD]]/HS_DB[[#This Row],[Total Market Size - USD]]</f>
        <v>1</v>
      </c>
      <c r="AX273" s="6" cm="1">
        <f t="array" ref="AX273">COUNTA(_xlfn.UNIQUE(_xlfn._xlws.FILTER(HS_DB[Partner],HS_DB[HS Code]=HS_DB[[#This Row],[HS Code]])))</f>
        <v>1</v>
      </c>
      <c r="AY273" s="8" t="str">
        <f>IF(HS_DB[[#This Row],[Competition Intensity]]&lt;=2,"Highly Concentrated",
 IF(HS_DB[[#This Row],[Competition Intensity]]&lt;=5,"Moderate",
 "Highly Competitive"))</f>
        <v>Highly Concentrated</v>
      </c>
      <c r="AZ273" s="8">
        <f>HS_DB[[#This Row],[Total Market Size - USD]]
*
(1+IFERROR(#REF!,0))
/
HS_DB[[#This Row],[Competition Intensity]]</f>
        <v>14532233</v>
      </c>
      <c r="BA273" s="8" t="str">
        <f>IF(HS_DB[[#This Row],[Commercial Opportunity Score]]&gt;=PERCENTILE(HS_DB[Commercial Opportunity Score],0.9),"High Opportunity",
 IF(HS_DB[[#This Row],[Commercial Opportunity Score]]&gt;=PERCENTILE(HS_DB[Commercial Opportunity Score],0.6),"Medium Opportunity",
 "Routine Market"))</f>
        <v>Medium Opportunity</v>
      </c>
      <c r="BB273" s="3" t="str">
        <f>IF(AND(HS_DB[[#This Row],[Product Rank]]&gt;0,HS_DB[[#This Row],[Product Rank]]&lt;=10),"Yes","No")</f>
        <v>No</v>
      </c>
      <c r="BC273" s="3" t="str">
        <f>IF(AND(HS_DB[[#This Row],[Origin Rank]]&gt;0,HS_DB[[#This Row],[Origin Rank]]&lt;=10),"Yes","No")</f>
        <v>Yes</v>
      </c>
    </row>
    <row r="274" spans="2:55" x14ac:dyDescent="0.3">
      <c r="B274" s="2">
        <f>HS_DB[[#This Row],[Commodity Code]]</f>
        <v>292429</v>
      </c>
      <c r="C274" s="2">
        <f>IFERROR(INDEX(HS_MD!C:C,MATCH(B274,HS_MD!B:B,0),1),"")</f>
        <v>21</v>
      </c>
      <c r="D274" s="17" t="str">
        <f>IFERROR(INDEX(HS_MD!D:D,MATCH(B274,HS_MD!B:B,0),1),"")</f>
        <v>Amino compounds</v>
      </c>
      <c r="E274" s="17" t="str">
        <f>IFERROR(INDEX(HS_MD!E:E,MATCH(B274,HS_MD!B:B,0),1),"")</f>
        <v>Aspartame</v>
      </c>
      <c r="F274" s="17" t="str">
        <f>IFERROR(INDEX(HS_MD!F:F,MATCH(B274,HS_MD!B:B,0),1),"")</f>
        <v>SWEETENERS</v>
      </c>
      <c r="G274" s="17" t="str">
        <f>IFERROR(INDEX(HS_MD!G:G,MATCH(B274,HS_MD!B:B,0),1),"")</f>
        <v>High Intensity Sweeteners</v>
      </c>
      <c r="H274" s="17" t="str">
        <f>IFERROR(INDEX(HS_MD!H:H,MATCH(B274,HS_MD!B:B,0),1),"")</f>
        <v>Aspartame</v>
      </c>
      <c r="I274" s="17" t="str">
        <f>IFERROR(INDEX(HS_MD!I:I,MATCH(B274,HS_MD!B:B,0),1),"")</f>
        <v>Diet Beverages</v>
      </c>
      <c r="J274" s="17">
        <f>IFERROR(INDEX(Heat_Map[Index],MATCH(HS_DB[[#This Row],[Reporter]],Heat_Map[Global],0),1),"")</f>
        <v>182</v>
      </c>
      <c r="K274" s="17" t="str">
        <f>IF(AND(HS_DB[[#This Row],[Origin Rank]]&gt;1,HS_DB[[#This Row],[Origin Rank]]&lt;=10),"Yes","No")</f>
        <v>Yes</v>
      </c>
      <c r="L274" s="2">
        <v>2024</v>
      </c>
      <c r="M274" s="2" t="s">
        <v>57</v>
      </c>
      <c r="N274" s="2" t="s">
        <v>56</v>
      </c>
      <c r="O274" s="2" t="s">
        <v>22</v>
      </c>
      <c r="P274" s="2" t="s">
        <v>23</v>
      </c>
      <c r="Q274" s="2" t="s">
        <v>24</v>
      </c>
      <c r="R274" s="2" t="s">
        <v>25</v>
      </c>
      <c r="S274" s="2">
        <v>292429</v>
      </c>
      <c r="T274" s="3">
        <v>349281</v>
      </c>
      <c r="U274" s="3">
        <v>44596</v>
      </c>
      <c r="V274" s="3">
        <v>0</v>
      </c>
      <c r="W274" s="3">
        <v>44596</v>
      </c>
      <c r="X274" s="3" t="s">
        <v>58</v>
      </c>
      <c r="Y274" s="3">
        <v>44596</v>
      </c>
      <c r="Z274" s="3" t="s">
        <v>58</v>
      </c>
      <c r="AA274" s="6">
        <f>SUMIFS(HS_DB[Trade Value - USD],HS_DB[Reporter],HS_DB[[#This Row],[Reporter]])/SUM(HS_DB[Trade Value - USD])</f>
        <v>9.425427433633813E-3</v>
      </c>
      <c r="AB274" s="8" cm="1">
        <f t="array" ref="AB274">SUMPRODUCT(
(HS_DB[Reporter]=HS_DB[[#This Row],[Reporter]])*
(HS_DB[Trade Value - USD]&gt;HS_DB[[#This Row],[Trade Value - USD]])
)+1</f>
        <v>8</v>
      </c>
      <c r="AC274" s="8" t="str">
        <f>IFERROR(IF(INDEX(Heat_Map[Crisis Impact %],MATCH(HS_DB[[#This Row],[Reporter]],Heat_Map[Global],0),1)&gt;0,"Yes","No"),"No")</f>
        <v>Yes</v>
      </c>
      <c r="AD274" s="6">
        <f>IFERROR(INDEX(Heat_Map[Crisis Impact %],MATCH(HS_DB[[#This Row],[Reporter]],Heat_Map[Global],0),1),0)</f>
        <v>4.0000000000000008E-2</v>
      </c>
      <c r="AE274" s="8">
        <f>HS_DB[[#This Row],[Crisis Impact%]]*HS_DB[[#This Row],[Trade Value - USD]]</f>
        <v>13971.240000000003</v>
      </c>
      <c r="AF274" s="8">
        <f>HS_DB[[#This Row],[Crisis Impact%]]*HS_DB[[#This Row],[Net Weight -KG]]</f>
        <v>1783.8400000000004</v>
      </c>
      <c r="AG274" s="6">
        <f>SUMIFS(HS_DB[Trade Value - USD],HS_DB[Products],HS_DB[[#This Row],[Products]])/SUM(HS_DB[Trade Value - USD])</f>
        <v>7.709373456734254E-3</v>
      </c>
      <c r="AH274" s="8">
        <f>_xlfn.RANK.EQ(HS_DB[[#This Row],[Trade Value - USD]], HS_DB[Trade Value - USD], 0)
 + COUNTIFS(HS_DB[Trade Value - USD],HS_DB[[#This Row],[Trade Value - USD]],
            HS_DB[HS Code],"&lt;"&amp;HS_DB[[#This Row],[HS Code]])</f>
        <v>177</v>
      </c>
      <c r="AI274" s="9">
        <f>IFERROR(HS_DB[[#This Row],[Trade Value - USD]]/HS_DB[[#This Row],[Net Weight -KG]],0)</f>
        <v>7.8321149878912903</v>
      </c>
      <c r="AJ274" s="17" cm="1">
        <f t="array" ref="AJ274">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74" s="17" t="str">
        <f>IF(HS_DB[[#This Row],[HS Code Risk Score]]&gt;=40,"High",
 IF(HS_DB[[#This Row],[HS Code Risk Score]]&gt;=25,"Medium","Low"))</f>
        <v>Medium</v>
      </c>
      <c r="AL274" s="17" t="str">
        <f>IF(RANK(HS_DB[[#This Row],[HS Code Risk Score]],HS_DB[HS Code Risk Score])&lt;=10,"Yes","No")</f>
        <v>No</v>
      </c>
      <c r="AM274" s="8">
        <f>SUMIFS(HS_DB[Net Weight -KG],HS_DB[HS Code],HS_DB[[#This Row],[HS Code]])</f>
        <v>1740222.6</v>
      </c>
      <c r="AN274" s="8">
        <f>SUMIFS(HS_DB[Trade Value - USD],HS_DB[HS Code],HS_DB[[#This Row],[HS Code]])</f>
        <v>14532233</v>
      </c>
      <c r="AO274" s="6">
        <f>_xlfn.MAXIFS(HS_DB[Origin Share%],HS_DB[HS Code],HS_DB[[#This Row],[HS Code]])</f>
        <v>6.321329281187793E-2</v>
      </c>
      <c r="AP274" s="8" cm="1">
        <f t="array" ref="AP274">_xlfn.LET(
_xlpm.hs,HS_DB[[#This Row],[HS Code]],
COUNTA(_xlfn.UNIQUE(_xlfn._xlws.FILTER(HS_DB[Reporter],HS_DB[HS Code]=_xlpm.hs)))
)</f>
        <v>16</v>
      </c>
      <c r="AQ274" s="17" t="str">
        <f>IF(HS_DB[[#This Row],[Origin Count]]=1,"Single Source","Multiple Sources")</f>
        <v>Multiple Sources</v>
      </c>
      <c r="AR274" s="8">
        <f>HS_DB[[#This Row],[Annual Spend - USD]]*(HS_DB[[#This Row],[HS Code Risk Score]]/100)</f>
        <v>4940959.2200000007</v>
      </c>
      <c r="AS274" s="8">
        <f>RANK(HS_DB[[#This Row],[Risk Exposure - USD]],HS_DB[Risk Exposure - USD],0)</f>
        <v>181</v>
      </c>
      <c r="AT274" s="8" t="str">
        <f>IF(HS_DB[[#This Row],[Risk Exposure Rank]]&lt;=10,"High",
 IF(HS_DB[[#This Row],[Risk Exposure Rank]]&lt;=30,"Medium",
 "Low"))</f>
        <v>Low</v>
      </c>
      <c r="AU274" s="8" t="str">
        <f>IF(HS_DB[[#This Row],[Risk Exposure Rank]]&lt;=5,"Immediate Action",
 IF(HS_DB[[#This Row],[Risk Exposure Rank]]&lt;=15,"Monitor Closely",
 "Routine Control"))</f>
        <v>Routine Control</v>
      </c>
      <c r="AV274" s="8">
        <f>SUMIFS(HS_DB[Trade Value - USD],HS_DB[HS Code],HS_DB[[#This Row],[HS Code]])</f>
        <v>14532233</v>
      </c>
      <c r="AW274" s="6">
        <f>HS_DB[[#This Row],[Annual Spend - USD]]/HS_DB[[#This Row],[Total Market Size - USD]]</f>
        <v>1</v>
      </c>
      <c r="AX274" s="6" cm="1">
        <f t="array" ref="AX274">COUNTA(_xlfn.UNIQUE(_xlfn._xlws.FILTER(HS_DB[Partner],HS_DB[HS Code]=HS_DB[[#This Row],[HS Code]])))</f>
        <v>1</v>
      </c>
      <c r="AY274" s="8" t="str">
        <f>IF(HS_DB[[#This Row],[Competition Intensity]]&lt;=2,"Highly Concentrated",
 IF(HS_DB[[#This Row],[Competition Intensity]]&lt;=5,"Moderate",
 "Highly Competitive"))</f>
        <v>Highly Concentrated</v>
      </c>
      <c r="AZ274" s="8">
        <f>HS_DB[[#This Row],[Total Market Size - USD]]
*
(1+IFERROR(#REF!,0))
/
HS_DB[[#This Row],[Competition Intensity]]</f>
        <v>14532233</v>
      </c>
      <c r="BA274" s="8" t="str">
        <f>IF(HS_DB[[#This Row],[Commercial Opportunity Score]]&gt;=PERCENTILE(HS_DB[Commercial Opportunity Score],0.9),"High Opportunity",
 IF(HS_DB[[#This Row],[Commercial Opportunity Score]]&gt;=PERCENTILE(HS_DB[Commercial Opportunity Score],0.6),"Medium Opportunity",
 "Routine Market"))</f>
        <v>Medium Opportunity</v>
      </c>
      <c r="BB274" s="3" t="str">
        <f>IF(AND(HS_DB[[#This Row],[Product Rank]]&gt;0,HS_DB[[#This Row],[Product Rank]]&lt;=10),"Yes","No")</f>
        <v>No</v>
      </c>
      <c r="BC274" s="3" t="str">
        <f>IF(AND(HS_DB[[#This Row],[Origin Rank]]&gt;0,HS_DB[[#This Row],[Origin Rank]]&lt;=10),"Yes","No")</f>
        <v>Yes</v>
      </c>
    </row>
    <row r="275" spans="2:55" x14ac:dyDescent="0.3">
      <c r="B275" s="2">
        <f>HS_DB[[#This Row],[Commodity Code]]</f>
        <v>293499</v>
      </c>
      <c r="C275" s="2">
        <f>IFERROR(INDEX(HS_MD!C:C,MATCH(B275,HS_MD!B:B,0),1),"")</f>
        <v>22</v>
      </c>
      <c r="D275" s="17" t="str">
        <f>IFERROR(INDEX(HS_MD!D:D,MATCH(B275,HS_MD!B:B,0),1),"")</f>
        <v>Heterocyclic compounds</v>
      </c>
      <c r="E275" s="17" t="str">
        <f>IFERROR(INDEX(HS_MD!E:E,MATCH(B275,HS_MD!B:B,0),1),"")</f>
        <v>Acesulfame-K</v>
      </c>
      <c r="F275" s="17" t="str">
        <f>IFERROR(INDEX(HS_MD!F:F,MATCH(B275,HS_MD!B:B,0),1),"")</f>
        <v>SWEETENERS</v>
      </c>
      <c r="G275" s="17" t="str">
        <f>IFERROR(INDEX(HS_MD!G:G,MATCH(B275,HS_MD!B:B,0),1),"")</f>
        <v>High Intensity Sweeteners</v>
      </c>
      <c r="H275" s="17" t="str">
        <f>IFERROR(INDEX(HS_MD!H:H,MATCH(B275,HS_MD!B:B,0),1),"")</f>
        <v>Acesulfame-K</v>
      </c>
      <c r="I275" s="17" t="str">
        <f>IFERROR(INDEX(HS_MD!I:I,MATCH(B275,HS_MD!B:B,0),1),"")</f>
        <v>Diet Beverages</v>
      </c>
      <c r="J275" s="17">
        <f>IFERROR(INDEX(Heat_Map[Index],MATCH(HS_DB[[#This Row],[Reporter]],Heat_Map[Global],0),1),"")</f>
        <v>10</v>
      </c>
      <c r="K275" s="17" t="str">
        <f>IF(AND(HS_DB[[#This Row],[Origin Rank]]&gt;1,HS_DB[[#This Row],[Origin Rank]]&lt;=10),"Yes","No")</f>
        <v>Yes</v>
      </c>
      <c r="L275" s="2">
        <v>2024</v>
      </c>
      <c r="M275" s="2" t="s">
        <v>57</v>
      </c>
      <c r="N275" s="2" t="s">
        <v>148</v>
      </c>
      <c r="O275" s="2" t="s">
        <v>22</v>
      </c>
      <c r="P275" s="2" t="s">
        <v>23</v>
      </c>
      <c r="Q275" s="2" t="s">
        <v>24</v>
      </c>
      <c r="R275" s="2" t="s">
        <v>25</v>
      </c>
      <c r="S275" s="2">
        <v>293499</v>
      </c>
      <c r="T275" s="3">
        <v>4036</v>
      </c>
      <c r="U275" s="3">
        <v>4</v>
      </c>
      <c r="V275" s="3">
        <v>0</v>
      </c>
      <c r="W275" s="3">
        <v>4</v>
      </c>
      <c r="X275" s="3" t="s">
        <v>58</v>
      </c>
      <c r="Y275" s="3">
        <v>4</v>
      </c>
      <c r="Z275" s="3" t="s">
        <v>58</v>
      </c>
      <c r="AA275" s="6">
        <f>SUMIFS(HS_DB[Trade Value - USD],HS_DB[Reporter],HS_DB[[#This Row],[Reporter]])/SUM(HS_DB[Trade Value - USD])</f>
        <v>9.4529556942970843E-5</v>
      </c>
      <c r="AB275" s="8" cm="1">
        <f t="array" ref="AB275">SUMPRODUCT(
(HS_DB[Reporter]=HS_DB[[#This Row],[Reporter]])*
(HS_DB[Trade Value - USD]&gt;HS_DB[[#This Row],[Trade Value - USD]])
)+1</f>
        <v>3</v>
      </c>
      <c r="AC275" s="8" t="str">
        <f>IFERROR(IF(INDEX(Heat_Map[Crisis Impact %],MATCH(HS_DB[[#This Row],[Reporter]],Heat_Map[Global],0),1)&gt;0,"Yes","No"),"No")</f>
        <v>No</v>
      </c>
      <c r="AD275" s="6">
        <f>IFERROR(INDEX(Heat_Map[Crisis Impact %],MATCH(HS_DB[[#This Row],[Reporter]],Heat_Map[Global],0),1),0)</f>
        <v>0</v>
      </c>
      <c r="AE275" s="8">
        <f>HS_DB[[#This Row],[Crisis Impact%]]*HS_DB[[#This Row],[Trade Value - USD]]</f>
        <v>0</v>
      </c>
      <c r="AF275" s="8">
        <f>HS_DB[[#This Row],[Crisis Impact%]]*HS_DB[[#This Row],[Net Weight -KG]]</f>
        <v>0</v>
      </c>
      <c r="AG275" s="6">
        <f>SUMIFS(HS_DB[Trade Value - USD],HS_DB[Products],HS_DB[[#This Row],[Products]])/SUM(HS_DB[Trade Value - USD])</f>
        <v>2.8528600021988443E-2</v>
      </c>
      <c r="AH275" s="8">
        <f>_xlfn.RANK.EQ(HS_DB[[#This Row],[Trade Value - USD]], HS_DB[Trade Value - USD], 0)
 + COUNTIFS(HS_DB[Trade Value - USD],HS_DB[[#This Row],[Trade Value - USD]],
            HS_DB[HS Code],"&lt;"&amp;HS_DB[[#This Row],[HS Code]])</f>
        <v>448</v>
      </c>
      <c r="AI275" s="9">
        <f>IFERROR(HS_DB[[#This Row],[Trade Value - USD]]/HS_DB[[#This Row],[Net Weight -KG]],0)</f>
        <v>1009</v>
      </c>
      <c r="AJ275" s="17" cm="1">
        <f t="array" ref="AJ275">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75" s="17" t="str">
        <f>IF(HS_DB[[#This Row],[HS Code Risk Score]]&gt;=40,"High",
 IF(HS_DB[[#This Row],[HS Code Risk Score]]&gt;=25,"Medium","Low"))</f>
        <v>Medium</v>
      </c>
      <c r="AL275" s="17" t="str">
        <f>IF(RANK(HS_DB[[#This Row],[HS Code Risk Score]],HS_DB[HS Code Risk Score])&lt;=10,"Yes","No")</f>
        <v>No</v>
      </c>
      <c r="AM275" s="8">
        <f>SUMIFS(HS_DB[Net Weight -KG],HS_DB[HS Code],HS_DB[[#This Row],[HS Code]])</f>
        <v>1293070.0000000002</v>
      </c>
      <c r="AN275" s="8">
        <f>SUMIFS(HS_DB[Trade Value - USD],HS_DB[HS Code],HS_DB[[#This Row],[HS Code]])</f>
        <v>53776648</v>
      </c>
      <c r="AO275" s="6">
        <f>_xlfn.MAXIFS(HS_DB[Origin Share%],HS_DB[HS Code],HS_DB[[#This Row],[HS Code]])</f>
        <v>0.39900464236999494</v>
      </c>
      <c r="AP275" s="8" cm="1">
        <f t="array" ref="AP275">_xlfn.LET(
_xlpm.hs,HS_DB[[#This Row],[HS Code]],
COUNTA(_xlfn.UNIQUE(_xlfn._xlws.FILTER(HS_DB[Reporter],HS_DB[HS Code]=_xlpm.hs)))
)</f>
        <v>19</v>
      </c>
      <c r="AQ275" s="17" t="str">
        <f>IF(HS_DB[[#This Row],[Origin Count]]=1,"Single Source","Multiple Sources")</f>
        <v>Multiple Sources</v>
      </c>
      <c r="AR275" s="8">
        <f>HS_DB[[#This Row],[Annual Spend - USD]]*(HS_DB[[#This Row],[HS Code Risk Score]]/100)</f>
        <v>18284060.32</v>
      </c>
      <c r="AS275" s="8">
        <f>RANK(HS_DB[[#This Row],[Risk Exposure - USD]],HS_DB[Risk Exposure - USD],0)</f>
        <v>33</v>
      </c>
      <c r="AT275" s="8" t="str">
        <f>IF(HS_DB[[#This Row],[Risk Exposure Rank]]&lt;=10,"High",
 IF(HS_DB[[#This Row],[Risk Exposure Rank]]&lt;=30,"Medium",
 "Low"))</f>
        <v>Low</v>
      </c>
      <c r="AU275" s="8" t="str">
        <f>IF(HS_DB[[#This Row],[Risk Exposure Rank]]&lt;=5,"Immediate Action",
 IF(HS_DB[[#This Row],[Risk Exposure Rank]]&lt;=15,"Monitor Closely",
 "Routine Control"))</f>
        <v>Routine Control</v>
      </c>
      <c r="AV275" s="8">
        <f>SUMIFS(HS_DB[Trade Value - USD],HS_DB[HS Code],HS_DB[[#This Row],[HS Code]])</f>
        <v>53776648</v>
      </c>
      <c r="AW275" s="6">
        <f>HS_DB[[#This Row],[Annual Spend - USD]]/HS_DB[[#This Row],[Total Market Size - USD]]</f>
        <v>1</v>
      </c>
      <c r="AX275" s="6" cm="1">
        <f t="array" ref="AX275">COUNTA(_xlfn.UNIQUE(_xlfn._xlws.FILTER(HS_DB[Partner],HS_DB[HS Code]=HS_DB[[#This Row],[HS Code]])))</f>
        <v>1</v>
      </c>
      <c r="AY275" s="8" t="str">
        <f>IF(HS_DB[[#This Row],[Competition Intensity]]&lt;=2,"Highly Concentrated",
 IF(HS_DB[[#This Row],[Competition Intensity]]&lt;=5,"Moderate",
 "Highly Competitive"))</f>
        <v>Highly Concentrated</v>
      </c>
      <c r="AZ275" s="8">
        <f>HS_DB[[#This Row],[Total Market Size - USD]]
*
(1+IFERROR(#REF!,0))
/
HS_DB[[#This Row],[Competition Intensity]]</f>
        <v>53776648</v>
      </c>
      <c r="BA275" s="8" t="str">
        <f>IF(HS_DB[[#This Row],[Commercial Opportunity Score]]&gt;=PERCENTILE(HS_DB[Commercial Opportunity Score],0.9),"High Opportunity",
 IF(HS_DB[[#This Row],[Commercial Opportunity Score]]&gt;=PERCENTILE(HS_DB[Commercial Opportunity Score],0.6),"Medium Opportunity",
 "Routine Market"))</f>
        <v>High Opportunity</v>
      </c>
      <c r="BB275" s="3" t="str">
        <f>IF(AND(HS_DB[[#This Row],[Product Rank]]&gt;0,HS_DB[[#This Row],[Product Rank]]&lt;=10),"Yes","No")</f>
        <v>No</v>
      </c>
      <c r="BC275" s="3" t="str">
        <f>IF(AND(HS_DB[[#This Row],[Origin Rank]]&gt;0,HS_DB[[#This Row],[Origin Rank]]&lt;=10),"Yes","No")</f>
        <v>Yes</v>
      </c>
    </row>
    <row r="276" spans="2:55" x14ac:dyDescent="0.3">
      <c r="B276" s="2">
        <f>HS_DB[[#This Row],[Commodity Code]]</f>
        <v>293499</v>
      </c>
      <c r="C276" s="2">
        <f>IFERROR(INDEX(HS_MD!C:C,MATCH(B276,HS_MD!B:B,0),1),"")</f>
        <v>22</v>
      </c>
      <c r="D276" s="17" t="str">
        <f>IFERROR(INDEX(HS_MD!D:D,MATCH(B276,HS_MD!B:B,0),1),"")</f>
        <v>Heterocyclic compounds</v>
      </c>
      <c r="E276" s="17" t="str">
        <f>IFERROR(INDEX(HS_MD!E:E,MATCH(B276,HS_MD!B:B,0),1),"")</f>
        <v>Acesulfame-K</v>
      </c>
      <c r="F276" s="17" t="str">
        <f>IFERROR(INDEX(HS_MD!F:F,MATCH(B276,HS_MD!B:B,0),1),"")</f>
        <v>SWEETENERS</v>
      </c>
      <c r="G276" s="17" t="str">
        <f>IFERROR(INDEX(HS_MD!G:G,MATCH(B276,HS_MD!B:B,0),1),"")</f>
        <v>High Intensity Sweeteners</v>
      </c>
      <c r="H276" s="17" t="str">
        <f>IFERROR(INDEX(HS_MD!H:H,MATCH(B276,HS_MD!B:B,0),1),"")</f>
        <v>Acesulfame-K</v>
      </c>
      <c r="I276" s="17" t="str">
        <f>IFERROR(INDEX(HS_MD!I:I,MATCH(B276,HS_MD!B:B,0),1),"")</f>
        <v>Diet Beverages</v>
      </c>
      <c r="J276" s="17">
        <f>IFERROR(INDEX(Heat_Map[Index],MATCH(HS_DB[[#This Row],[Reporter]],Heat_Map[Global],0),1),"")</f>
        <v>17</v>
      </c>
      <c r="K276" s="17" t="str">
        <f>IF(AND(HS_DB[[#This Row],[Origin Rank]]&gt;1,HS_DB[[#This Row],[Origin Rank]]&lt;=10),"Yes","No")</f>
        <v>Yes</v>
      </c>
      <c r="L276" s="2">
        <v>2024</v>
      </c>
      <c r="M276" s="2" t="s">
        <v>57</v>
      </c>
      <c r="N276" s="2" t="s">
        <v>5</v>
      </c>
      <c r="O276" s="2" t="s">
        <v>22</v>
      </c>
      <c r="P276" s="2" t="s">
        <v>23</v>
      </c>
      <c r="Q276" s="2" t="s">
        <v>24</v>
      </c>
      <c r="R276" s="2" t="s">
        <v>25</v>
      </c>
      <c r="S276" s="2">
        <v>293499</v>
      </c>
      <c r="T276" s="3">
        <v>1715768</v>
      </c>
      <c r="U276" s="3">
        <v>1854.1</v>
      </c>
      <c r="V276" s="3">
        <v>0</v>
      </c>
      <c r="W276" s="3">
        <v>1854</v>
      </c>
      <c r="X276" s="3" t="s">
        <v>58</v>
      </c>
      <c r="Y276" s="3">
        <v>1854</v>
      </c>
      <c r="Z276" s="3" t="s">
        <v>58</v>
      </c>
      <c r="AA276" s="6">
        <f>SUMIFS(HS_DB[Trade Value - USD],HS_DB[Reporter],HS_DB[[#This Row],[Reporter]])/SUM(HS_DB[Trade Value - USD])</f>
        <v>5.3992075088500962E-3</v>
      </c>
      <c r="AB276" s="8" cm="1">
        <f t="array" ref="AB276">SUMPRODUCT(
(HS_DB[Reporter]=HS_DB[[#This Row],[Reporter]])*
(HS_DB[Trade Value - USD]&gt;HS_DB[[#This Row],[Trade Value - USD]])
)+1</f>
        <v>2</v>
      </c>
      <c r="AC276" s="8" t="str">
        <f>IFERROR(IF(INDEX(Heat_Map[Crisis Impact %],MATCH(HS_DB[[#This Row],[Reporter]],Heat_Map[Global],0),1)&gt;0,"Yes","No"),"No")</f>
        <v>No</v>
      </c>
      <c r="AD276" s="6">
        <f>IFERROR(INDEX(Heat_Map[Crisis Impact %],MATCH(HS_DB[[#This Row],[Reporter]],Heat_Map[Global],0),1),0)</f>
        <v>0</v>
      </c>
      <c r="AE276" s="8">
        <f>HS_DB[[#This Row],[Crisis Impact%]]*HS_DB[[#This Row],[Trade Value - USD]]</f>
        <v>0</v>
      </c>
      <c r="AF276" s="8">
        <f>HS_DB[[#This Row],[Crisis Impact%]]*HS_DB[[#This Row],[Net Weight -KG]]</f>
        <v>0</v>
      </c>
      <c r="AG276" s="6">
        <f>SUMIFS(HS_DB[Trade Value - USD],HS_DB[Products],HS_DB[[#This Row],[Products]])/SUM(HS_DB[Trade Value - USD])</f>
        <v>2.8528600021988443E-2</v>
      </c>
      <c r="AH276" s="8">
        <f>_xlfn.RANK.EQ(HS_DB[[#This Row],[Trade Value - USD]], HS_DB[Trade Value - USD], 0)
 + COUNTIFS(HS_DB[Trade Value - USD],HS_DB[[#This Row],[Trade Value - USD]],
            HS_DB[HS Code],"&lt;"&amp;HS_DB[[#This Row],[HS Code]])</f>
        <v>68</v>
      </c>
      <c r="AI276" s="9">
        <f>IFERROR(HS_DB[[#This Row],[Trade Value - USD]]/HS_DB[[#This Row],[Net Weight -KG]],0)</f>
        <v>925.39129496790895</v>
      </c>
      <c r="AJ276" s="17" cm="1">
        <f t="array" ref="AJ276">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76" s="17" t="str">
        <f>IF(HS_DB[[#This Row],[HS Code Risk Score]]&gt;=40,"High",
 IF(HS_DB[[#This Row],[HS Code Risk Score]]&gt;=25,"Medium","Low"))</f>
        <v>Medium</v>
      </c>
      <c r="AL276" s="17" t="str">
        <f>IF(RANK(HS_DB[[#This Row],[HS Code Risk Score]],HS_DB[HS Code Risk Score])&lt;=10,"Yes","No")</f>
        <v>No</v>
      </c>
      <c r="AM276" s="8">
        <f>SUMIFS(HS_DB[Net Weight -KG],HS_DB[HS Code],HS_DB[[#This Row],[HS Code]])</f>
        <v>1293070.0000000002</v>
      </c>
      <c r="AN276" s="8">
        <f>SUMIFS(HS_DB[Trade Value - USD],HS_DB[HS Code],HS_DB[[#This Row],[HS Code]])</f>
        <v>53776648</v>
      </c>
      <c r="AO276" s="6">
        <f>_xlfn.MAXIFS(HS_DB[Origin Share%],HS_DB[HS Code],HS_DB[[#This Row],[HS Code]])</f>
        <v>0.39900464236999494</v>
      </c>
      <c r="AP276" s="8" cm="1">
        <f t="array" ref="AP276">_xlfn.LET(
_xlpm.hs,HS_DB[[#This Row],[HS Code]],
COUNTA(_xlfn.UNIQUE(_xlfn._xlws.FILTER(HS_DB[Reporter],HS_DB[HS Code]=_xlpm.hs)))
)</f>
        <v>19</v>
      </c>
      <c r="AQ276" s="17" t="str">
        <f>IF(HS_DB[[#This Row],[Origin Count]]=1,"Single Source","Multiple Sources")</f>
        <v>Multiple Sources</v>
      </c>
      <c r="AR276" s="8">
        <f>HS_DB[[#This Row],[Annual Spend - USD]]*(HS_DB[[#This Row],[HS Code Risk Score]]/100)</f>
        <v>18284060.32</v>
      </c>
      <c r="AS276" s="8">
        <f>RANK(HS_DB[[#This Row],[Risk Exposure - USD]],HS_DB[Risk Exposure - USD],0)</f>
        <v>33</v>
      </c>
      <c r="AT276" s="8" t="str">
        <f>IF(HS_DB[[#This Row],[Risk Exposure Rank]]&lt;=10,"High",
 IF(HS_DB[[#This Row],[Risk Exposure Rank]]&lt;=30,"Medium",
 "Low"))</f>
        <v>Low</v>
      </c>
      <c r="AU276" s="8" t="str">
        <f>IF(HS_DB[[#This Row],[Risk Exposure Rank]]&lt;=5,"Immediate Action",
 IF(HS_DB[[#This Row],[Risk Exposure Rank]]&lt;=15,"Monitor Closely",
 "Routine Control"))</f>
        <v>Routine Control</v>
      </c>
      <c r="AV276" s="8">
        <f>SUMIFS(HS_DB[Trade Value - USD],HS_DB[HS Code],HS_DB[[#This Row],[HS Code]])</f>
        <v>53776648</v>
      </c>
      <c r="AW276" s="6">
        <f>HS_DB[[#This Row],[Annual Spend - USD]]/HS_DB[[#This Row],[Total Market Size - USD]]</f>
        <v>1</v>
      </c>
      <c r="AX276" s="6" cm="1">
        <f t="array" ref="AX276">COUNTA(_xlfn.UNIQUE(_xlfn._xlws.FILTER(HS_DB[Partner],HS_DB[HS Code]=HS_DB[[#This Row],[HS Code]])))</f>
        <v>1</v>
      </c>
      <c r="AY276" s="8" t="str">
        <f>IF(HS_DB[[#This Row],[Competition Intensity]]&lt;=2,"Highly Concentrated",
 IF(HS_DB[[#This Row],[Competition Intensity]]&lt;=5,"Moderate",
 "Highly Competitive"))</f>
        <v>Highly Concentrated</v>
      </c>
      <c r="AZ276" s="8">
        <f>HS_DB[[#This Row],[Total Market Size - USD]]
*
(1+IFERROR(#REF!,0))
/
HS_DB[[#This Row],[Competition Intensity]]</f>
        <v>53776648</v>
      </c>
      <c r="BA276" s="8" t="str">
        <f>IF(HS_DB[[#This Row],[Commercial Opportunity Score]]&gt;=PERCENTILE(HS_DB[Commercial Opportunity Score],0.9),"High Opportunity",
 IF(HS_DB[[#This Row],[Commercial Opportunity Score]]&gt;=PERCENTILE(HS_DB[Commercial Opportunity Score],0.6),"Medium Opportunity",
 "Routine Market"))</f>
        <v>High Opportunity</v>
      </c>
      <c r="BB276" s="3" t="str">
        <f>IF(AND(HS_DB[[#This Row],[Product Rank]]&gt;0,HS_DB[[#This Row],[Product Rank]]&lt;=10),"Yes","No")</f>
        <v>No</v>
      </c>
      <c r="BC276" s="3" t="str">
        <f>IF(AND(HS_DB[[#This Row],[Origin Rank]]&gt;0,HS_DB[[#This Row],[Origin Rank]]&lt;=10),"Yes","No")</f>
        <v>Yes</v>
      </c>
    </row>
    <row r="277" spans="2:55" x14ac:dyDescent="0.3">
      <c r="B277" s="2">
        <f>HS_DB[[#This Row],[Commodity Code]]</f>
        <v>293499</v>
      </c>
      <c r="C277" s="2">
        <f>IFERROR(INDEX(HS_MD!C:C,MATCH(B277,HS_MD!B:B,0),1),"")</f>
        <v>22</v>
      </c>
      <c r="D277" s="17" t="str">
        <f>IFERROR(INDEX(HS_MD!D:D,MATCH(B277,HS_MD!B:B,0),1),"")</f>
        <v>Heterocyclic compounds</v>
      </c>
      <c r="E277" s="17" t="str">
        <f>IFERROR(INDEX(HS_MD!E:E,MATCH(B277,HS_MD!B:B,0),1),"")</f>
        <v>Acesulfame-K</v>
      </c>
      <c r="F277" s="17" t="str">
        <f>IFERROR(INDEX(HS_MD!F:F,MATCH(B277,HS_MD!B:B,0),1),"")</f>
        <v>SWEETENERS</v>
      </c>
      <c r="G277" s="17" t="str">
        <f>IFERROR(INDEX(HS_MD!G:G,MATCH(B277,HS_MD!B:B,0),1),"")</f>
        <v>High Intensity Sweeteners</v>
      </c>
      <c r="H277" s="17" t="str">
        <f>IFERROR(INDEX(HS_MD!H:H,MATCH(B277,HS_MD!B:B,0),1),"")</f>
        <v>Acesulfame-K</v>
      </c>
      <c r="I277" s="17" t="str">
        <f>IFERROR(INDEX(HS_MD!I:I,MATCH(B277,HS_MD!B:B,0),1),"")</f>
        <v>Diet Beverages</v>
      </c>
      <c r="J277" s="17">
        <f>IFERROR(INDEX(Heat_Map[Index],MATCH(HS_DB[[#This Row],[Reporter]],Heat_Map[Global],0),1),"")</f>
        <v>36</v>
      </c>
      <c r="K277" s="17" t="str">
        <f>IF(AND(HS_DB[[#This Row],[Origin Rank]]&gt;1,HS_DB[[#This Row],[Origin Rank]]&lt;=10),"Yes","No")</f>
        <v>No</v>
      </c>
      <c r="L277" s="2">
        <v>2024</v>
      </c>
      <c r="M277" s="2" t="s">
        <v>57</v>
      </c>
      <c r="N277" s="2" t="s">
        <v>1</v>
      </c>
      <c r="O277" s="2" t="s">
        <v>22</v>
      </c>
      <c r="P277" s="2" t="s">
        <v>23</v>
      </c>
      <c r="Q277" s="2" t="s">
        <v>24</v>
      </c>
      <c r="R277" s="2" t="s">
        <v>25</v>
      </c>
      <c r="S277" s="2">
        <v>293499</v>
      </c>
      <c r="T277" s="3">
        <v>17117895</v>
      </c>
      <c r="U277" s="3">
        <v>546894</v>
      </c>
      <c r="V277" s="3">
        <v>0</v>
      </c>
      <c r="W277" s="3">
        <v>546894</v>
      </c>
      <c r="X277" s="3" t="s">
        <v>58</v>
      </c>
      <c r="Y277" s="3">
        <v>546894</v>
      </c>
      <c r="Z277" s="3" t="s">
        <v>58</v>
      </c>
      <c r="AA277" s="6">
        <f>SUMIFS(HS_DB[Trade Value - USD],HS_DB[Reporter],HS_DB[[#This Row],[Reporter]])/SUM(HS_DB[Trade Value - USD])</f>
        <v>6.321329281187793E-2</v>
      </c>
      <c r="AB277" s="8" cm="1">
        <f t="array" ref="AB277">SUMPRODUCT(
(HS_DB[Reporter]=HS_DB[[#This Row],[Reporter]])*
(HS_DB[Trade Value - USD]&gt;HS_DB[[#This Row],[Trade Value - USD]])
)+1</f>
        <v>1</v>
      </c>
      <c r="AC277" s="8" t="str">
        <f>IFERROR(IF(INDEX(Heat_Map[Crisis Impact %],MATCH(HS_DB[[#This Row],[Reporter]],Heat_Map[Global],0),1)&gt;0,"Yes","No"),"No")</f>
        <v>Yes</v>
      </c>
      <c r="AD277" s="6">
        <f>IFERROR(INDEX(Heat_Map[Crisis Impact %],MATCH(HS_DB[[#This Row],[Reporter]],Heat_Map[Global],0),1),0)</f>
        <v>0.14000000000000001</v>
      </c>
      <c r="AE277" s="8">
        <f>HS_DB[[#This Row],[Crisis Impact%]]*HS_DB[[#This Row],[Trade Value - USD]]</f>
        <v>2396505.3000000003</v>
      </c>
      <c r="AF277" s="8">
        <f>HS_DB[[#This Row],[Crisis Impact%]]*HS_DB[[#This Row],[Net Weight -KG]]</f>
        <v>76565.16</v>
      </c>
      <c r="AG277" s="6">
        <f>SUMIFS(HS_DB[Trade Value - USD],HS_DB[Products],HS_DB[[#This Row],[Products]])/SUM(HS_DB[Trade Value - USD])</f>
        <v>2.8528600021988443E-2</v>
      </c>
      <c r="AH277" s="8">
        <f>_xlfn.RANK.EQ(HS_DB[[#This Row],[Trade Value - USD]], HS_DB[Trade Value - USD], 0)
 + COUNTIFS(HS_DB[Trade Value - USD],HS_DB[[#This Row],[Trade Value - USD]],
            HS_DB[HS Code],"&lt;"&amp;HS_DB[[#This Row],[HS Code]])</f>
        <v>8</v>
      </c>
      <c r="AI277" s="9">
        <f>IFERROR(HS_DB[[#This Row],[Trade Value - USD]]/HS_DB[[#This Row],[Net Weight -KG]],0)</f>
        <v>31.300206255691229</v>
      </c>
      <c r="AJ277" s="17" cm="1">
        <f t="array" ref="AJ277">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77" s="17" t="str">
        <f>IF(HS_DB[[#This Row],[HS Code Risk Score]]&gt;=40,"High",
 IF(HS_DB[[#This Row],[HS Code Risk Score]]&gt;=25,"Medium","Low"))</f>
        <v>Medium</v>
      </c>
      <c r="AL277" s="17" t="str">
        <f>IF(RANK(HS_DB[[#This Row],[HS Code Risk Score]],HS_DB[HS Code Risk Score])&lt;=10,"Yes","No")</f>
        <v>No</v>
      </c>
      <c r="AM277" s="8">
        <f>SUMIFS(HS_DB[Net Weight -KG],HS_DB[HS Code],HS_DB[[#This Row],[HS Code]])</f>
        <v>1293070.0000000002</v>
      </c>
      <c r="AN277" s="8">
        <f>SUMIFS(HS_DB[Trade Value - USD],HS_DB[HS Code],HS_DB[[#This Row],[HS Code]])</f>
        <v>53776648</v>
      </c>
      <c r="AO277" s="6">
        <f>_xlfn.MAXIFS(HS_DB[Origin Share%],HS_DB[HS Code],HS_DB[[#This Row],[HS Code]])</f>
        <v>0.39900464236999494</v>
      </c>
      <c r="AP277" s="8" cm="1">
        <f t="array" ref="AP277">_xlfn.LET(
_xlpm.hs,HS_DB[[#This Row],[HS Code]],
COUNTA(_xlfn.UNIQUE(_xlfn._xlws.FILTER(HS_DB[Reporter],HS_DB[HS Code]=_xlpm.hs)))
)</f>
        <v>19</v>
      </c>
      <c r="AQ277" s="17" t="str">
        <f>IF(HS_DB[[#This Row],[Origin Count]]=1,"Single Source","Multiple Sources")</f>
        <v>Multiple Sources</v>
      </c>
      <c r="AR277" s="8">
        <f>HS_DB[[#This Row],[Annual Spend - USD]]*(HS_DB[[#This Row],[HS Code Risk Score]]/100)</f>
        <v>18284060.32</v>
      </c>
      <c r="AS277" s="8">
        <f>RANK(HS_DB[[#This Row],[Risk Exposure - USD]],HS_DB[Risk Exposure - USD],0)</f>
        <v>33</v>
      </c>
      <c r="AT277" s="8" t="str">
        <f>IF(HS_DB[[#This Row],[Risk Exposure Rank]]&lt;=10,"High",
 IF(HS_DB[[#This Row],[Risk Exposure Rank]]&lt;=30,"Medium",
 "Low"))</f>
        <v>Low</v>
      </c>
      <c r="AU277" s="8" t="str">
        <f>IF(HS_DB[[#This Row],[Risk Exposure Rank]]&lt;=5,"Immediate Action",
 IF(HS_DB[[#This Row],[Risk Exposure Rank]]&lt;=15,"Monitor Closely",
 "Routine Control"))</f>
        <v>Routine Control</v>
      </c>
      <c r="AV277" s="8">
        <f>SUMIFS(HS_DB[Trade Value - USD],HS_DB[HS Code],HS_DB[[#This Row],[HS Code]])</f>
        <v>53776648</v>
      </c>
      <c r="AW277" s="6">
        <f>HS_DB[[#This Row],[Annual Spend - USD]]/HS_DB[[#This Row],[Total Market Size - USD]]</f>
        <v>1</v>
      </c>
      <c r="AX277" s="6" cm="1">
        <f t="array" ref="AX277">COUNTA(_xlfn.UNIQUE(_xlfn._xlws.FILTER(HS_DB[Partner],HS_DB[HS Code]=HS_DB[[#This Row],[HS Code]])))</f>
        <v>1</v>
      </c>
      <c r="AY277" s="8" t="str">
        <f>IF(HS_DB[[#This Row],[Competition Intensity]]&lt;=2,"Highly Concentrated",
 IF(HS_DB[[#This Row],[Competition Intensity]]&lt;=5,"Moderate",
 "Highly Competitive"))</f>
        <v>Highly Concentrated</v>
      </c>
      <c r="AZ277" s="8">
        <f>HS_DB[[#This Row],[Total Market Size - USD]]
*
(1+IFERROR(#REF!,0))
/
HS_DB[[#This Row],[Competition Intensity]]</f>
        <v>53776648</v>
      </c>
      <c r="BA277" s="8" t="str">
        <f>IF(HS_DB[[#This Row],[Commercial Opportunity Score]]&gt;=PERCENTILE(HS_DB[Commercial Opportunity Score],0.9),"High Opportunity",
 IF(HS_DB[[#This Row],[Commercial Opportunity Score]]&gt;=PERCENTILE(HS_DB[Commercial Opportunity Score],0.6),"Medium Opportunity",
 "Routine Market"))</f>
        <v>High Opportunity</v>
      </c>
      <c r="BB277" s="3" t="str">
        <f>IF(AND(HS_DB[[#This Row],[Product Rank]]&gt;0,HS_DB[[#This Row],[Product Rank]]&lt;=10),"Yes","No")</f>
        <v>Yes</v>
      </c>
      <c r="BC277" s="3" t="str">
        <f>IF(AND(HS_DB[[#This Row],[Origin Rank]]&gt;0,HS_DB[[#This Row],[Origin Rank]]&lt;=10),"Yes","No")</f>
        <v>Yes</v>
      </c>
    </row>
    <row r="278" spans="2:55" x14ac:dyDescent="0.3">
      <c r="B278" s="2">
        <f>HS_DB[[#This Row],[Commodity Code]]</f>
        <v>293499</v>
      </c>
      <c r="C278" s="2">
        <f>IFERROR(INDEX(HS_MD!C:C,MATCH(B278,HS_MD!B:B,0),1),"")</f>
        <v>22</v>
      </c>
      <c r="D278" s="17" t="str">
        <f>IFERROR(INDEX(HS_MD!D:D,MATCH(B278,HS_MD!B:B,0),1),"")</f>
        <v>Heterocyclic compounds</v>
      </c>
      <c r="E278" s="17" t="str">
        <f>IFERROR(INDEX(HS_MD!E:E,MATCH(B278,HS_MD!B:B,0),1),"")</f>
        <v>Acesulfame-K</v>
      </c>
      <c r="F278" s="17" t="str">
        <f>IFERROR(INDEX(HS_MD!F:F,MATCH(B278,HS_MD!B:B,0),1),"")</f>
        <v>SWEETENERS</v>
      </c>
      <c r="G278" s="17" t="str">
        <f>IFERROR(INDEX(HS_MD!G:G,MATCH(B278,HS_MD!B:B,0),1),"")</f>
        <v>High Intensity Sweeteners</v>
      </c>
      <c r="H278" s="17" t="str">
        <f>IFERROR(INDEX(HS_MD!H:H,MATCH(B278,HS_MD!B:B,0),1),"")</f>
        <v>Acesulfame-K</v>
      </c>
      <c r="I278" s="17" t="str">
        <f>IFERROR(INDEX(HS_MD!I:I,MATCH(B278,HS_MD!B:B,0),1),"")</f>
        <v>Diet Beverages</v>
      </c>
      <c r="J278" s="17">
        <f>IFERROR(INDEX(Heat_Map[Index],MATCH(HS_DB[[#This Row],[Reporter]],Heat_Map[Global],0),1),"")</f>
        <v>59</v>
      </c>
      <c r="K278" s="17" t="str">
        <f>IF(AND(HS_DB[[#This Row],[Origin Rank]]&gt;1,HS_DB[[#This Row],[Origin Rank]]&lt;=10),"Yes","No")</f>
        <v>Yes</v>
      </c>
      <c r="L278" s="2">
        <v>2024</v>
      </c>
      <c r="M278" s="2" t="s">
        <v>57</v>
      </c>
      <c r="N278" s="2" t="s">
        <v>44</v>
      </c>
      <c r="O278" s="2" t="s">
        <v>22</v>
      </c>
      <c r="P278" s="2" t="s">
        <v>23</v>
      </c>
      <c r="Q278" s="2" t="s">
        <v>24</v>
      </c>
      <c r="R278" s="2" t="s">
        <v>25</v>
      </c>
      <c r="S278" s="2">
        <v>293499</v>
      </c>
      <c r="T278" s="3">
        <v>6202660</v>
      </c>
      <c r="U278" s="3">
        <v>10778.8</v>
      </c>
      <c r="V278" s="3">
        <v>0</v>
      </c>
      <c r="W278" s="3">
        <v>10779</v>
      </c>
      <c r="X278" s="3" t="s">
        <v>58</v>
      </c>
      <c r="Y278" s="3">
        <v>0</v>
      </c>
      <c r="Z278" s="3" t="s">
        <v>26</v>
      </c>
      <c r="AA278" s="6">
        <f>SUMIFS(HS_DB[Trade Value - USD],HS_DB[Reporter],HS_DB[[#This Row],[Reporter]])/SUM(HS_DB[Trade Value - USD])</f>
        <v>1.6951290293147386E-2</v>
      </c>
      <c r="AB278" s="8" cm="1">
        <f t="array" ref="AB278">SUMPRODUCT(
(HS_DB[Reporter]=HS_DB[[#This Row],[Reporter]])*
(HS_DB[Trade Value - USD]&gt;HS_DB[[#This Row],[Trade Value - USD]])
)+1</f>
        <v>2</v>
      </c>
      <c r="AC278" s="8" t="str">
        <f>IFERROR(IF(INDEX(Heat_Map[Crisis Impact %],MATCH(HS_DB[[#This Row],[Reporter]],Heat_Map[Global],0),1)&gt;0,"Yes","No"),"No")</f>
        <v>No</v>
      </c>
      <c r="AD278" s="6">
        <f>IFERROR(INDEX(Heat_Map[Crisis Impact %],MATCH(HS_DB[[#This Row],[Reporter]],Heat_Map[Global],0),1),0)</f>
        <v>0</v>
      </c>
      <c r="AE278" s="8">
        <f>HS_DB[[#This Row],[Crisis Impact%]]*HS_DB[[#This Row],[Trade Value - USD]]</f>
        <v>0</v>
      </c>
      <c r="AF278" s="8">
        <f>HS_DB[[#This Row],[Crisis Impact%]]*HS_DB[[#This Row],[Net Weight -KG]]</f>
        <v>0</v>
      </c>
      <c r="AG278" s="6">
        <f>SUMIFS(HS_DB[Trade Value - USD],HS_DB[Products],HS_DB[[#This Row],[Products]])/SUM(HS_DB[Trade Value - USD])</f>
        <v>2.8528600021988443E-2</v>
      </c>
      <c r="AH278" s="8">
        <f>_xlfn.RANK.EQ(HS_DB[[#This Row],[Trade Value - USD]], HS_DB[Trade Value - USD], 0)
 + COUNTIFS(HS_DB[Trade Value - USD],HS_DB[[#This Row],[Trade Value - USD]],
            HS_DB[HS Code],"&lt;"&amp;HS_DB[[#This Row],[HS Code]])</f>
        <v>26</v>
      </c>
      <c r="AI278" s="9">
        <f>IFERROR(HS_DB[[#This Row],[Trade Value - USD]]/HS_DB[[#This Row],[Net Weight -KG]],0)</f>
        <v>575.44995732363532</v>
      </c>
      <c r="AJ278" s="17" cm="1">
        <f t="array" ref="AJ278">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78" s="17" t="str">
        <f>IF(HS_DB[[#This Row],[HS Code Risk Score]]&gt;=40,"High",
 IF(HS_DB[[#This Row],[HS Code Risk Score]]&gt;=25,"Medium","Low"))</f>
        <v>Medium</v>
      </c>
      <c r="AL278" s="17" t="str">
        <f>IF(RANK(HS_DB[[#This Row],[HS Code Risk Score]],HS_DB[HS Code Risk Score])&lt;=10,"Yes","No")</f>
        <v>No</v>
      </c>
      <c r="AM278" s="8">
        <f>SUMIFS(HS_DB[Net Weight -KG],HS_DB[HS Code],HS_DB[[#This Row],[HS Code]])</f>
        <v>1293070.0000000002</v>
      </c>
      <c r="AN278" s="8">
        <f>SUMIFS(HS_DB[Trade Value - USD],HS_DB[HS Code],HS_DB[[#This Row],[HS Code]])</f>
        <v>53776648</v>
      </c>
      <c r="AO278" s="6">
        <f>_xlfn.MAXIFS(HS_DB[Origin Share%],HS_DB[HS Code],HS_DB[[#This Row],[HS Code]])</f>
        <v>0.39900464236999494</v>
      </c>
      <c r="AP278" s="8" cm="1">
        <f t="array" ref="AP278">_xlfn.LET(
_xlpm.hs,HS_DB[[#This Row],[HS Code]],
COUNTA(_xlfn.UNIQUE(_xlfn._xlws.FILTER(HS_DB[Reporter],HS_DB[HS Code]=_xlpm.hs)))
)</f>
        <v>19</v>
      </c>
      <c r="AQ278" s="17" t="str">
        <f>IF(HS_DB[[#This Row],[Origin Count]]=1,"Single Source","Multiple Sources")</f>
        <v>Multiple Sources</v>
      </c>
      <c r="AR278" s="8">
        <f>HS_DB[[#This Row],[Annual Spend - USD]]*(HS_DB[[#This Row],[HS Code Risk Score]]/100)</f>
        <v>18284060.32</v>
      </c>
      <c r="AS278" s="8">
        <f>RANK(HS_DB[[#This Row],[Risk Exposure - USD]],HS_DB[Risk Exposure - USD],0)</f>
        <v>33</v>
      </c>
      <c r="AT278" s="8" t="str">
        <f>IF(HS_DB[[#This Row],[Risk Exposure Rank]]&lt;=10,"High",
 IF(HS_DB[[#This Row],[Risk Exposure Rank]]&lt;=30,"Medium",
 "Low"))</f>
        <v>Low</v>
      </c>
      <c r="AU278" s="8" t="str">
        <f>IF(HS_DB[[#This Row],[Risk Exposure Rank]]&lt;=5,"Immediate Action",
 IF(HS_DB[[#This Row],[Risk Exposure Rank]]&lt;=15,"Monitor Closely",
 "Routine Control"))</f>
        <v>Routine Control</v>
      </c>
      <c r="AV278" s="8">
        <f>SUMIFS(HS_DB[Trade Value - USD],HS_DB[HS Code],HS_DB[[#This Row],[HS Code]])</f>
        <v>53776648</v>
      </c>
      <c r="AW278" s="6">
        <f>HS_DB[[#This Row],[Annual Spend - USD]]/HS_DB[[#This Row],[Total Market Size - USD]]</f>
        <v>1</v>
      </c>
      <c r="AX278" s="6" cm="1">
        <f t="array" ref="AX278">COUNTA(_xlfn.UNIQUE(_xlfn._xlws.FILTER(HS_DB[Partner],HS_DB[HS Code]=HS_DB[[#This Row],[HS Code]])))</f>
        <v>1</v>
      </c>
      <c r="AY278" s="8" t="str">
        <f>IF(HS_DB[[#This Row],[Competition Intensity]]&lt;=2,"Highly Concentrated",
 IF(HS_DB[[#This Row],[Competition Intensity]]&lt;=5,"Moderate",
 "Highly Competitive"))</f>
        <v>Highly Concentrated</v>
      </c>
      <c r="AZ278" s="8">
        <f>HS_DB[[#This Row],[Total Market Size - USD]]
*
(1+IFERROR(#REF!,0))
/
HS_DB[[#This Row],[Competition Intensity]]</f>
        <v>53776648</v>
      </c>
      <c r="BA278" s="8" t="str">
        <f>IF(HS_DB[[#This Row],[Commercial Opportunity Score]]&gt;=PERCENTILE(HS_DB[Commercial Opportunity Score],0.9),"High Opportunity",
 IF(HS_DB[[#This Row],[Commercial Opportunity Score]]&gt;=PERCENTILE(HS_DB[Commercial Opportunity Score],0.6),"Medium Opportunity",
 "Routine Market"))</f>
        <v>High Opportunity</v>
      </c>
      <c r="BB278" s="3" t="str">
        <f>IF(AND(HS_DB[[#This Row],[Product Rank]]&gt;0,HS_DB[[#This Row],[Product Rank]]&lt;=10),"Yes","No")</f>
        <v>No</v>
      </c>
      <c r="BC278" s="3" t="str">
        <f>IF(AND(HS_DB[[#This Row],[Origin Rank]]&gt;0,HS_DB[[#This Row],[Origin Rank]]&lt;=10),"Yes","No")</f>
        <v>Yes</v>
      </c>
    </row>
    <row r="279" spans="2:55" x14ac:dyDescent="0.3">
      <c r="B279" s="2">
        <f>HS_DB[[#This Row],[Commodity Code]]</f>
        <v>293499</v>
      </c>
      <c r="C279" s="2">
        <f>IFERROR(INDEX(HS_MD!C:C,MATCH(B279,HS_MD!B:B,0),1),"")</f>
        <v>22</v>
      </c>
      <c r="D279" s="17" t="str">
        <f>IFERROR(INDEX(HS_MD!D:D,MATCH(B279,HS_MD!B:B,0),1),"")</f>
        <v>Heterocyclic compounds</v>
      </c>
      <c r="E279" s="17" t="str">
        <f>IFERROR(INDEX(HS_MD!E:E,MATCH(B279,HS_MD!B:B,0),1),"")</f>
        <v>Acesulfame-K</v>
      </c>
      <c r="F279" s="17" t="str">
        <f>IFERROR(INDEX(HS_MD!F:F,MATCH(B279,HS_MD!B:B,0),1),"")</f>
        <v>SWEETENERS</v>
      </c>
      <c r="G279" s="17" t="str">
        <f>IFERROR(INDEX(HS_MD!G:G,MATCH(B279,HS_MD!B:B,0),1),"")</f>
        <v>High Intensity Sweeteners</v>
      </c>
      <c r="H279" s="17" t="str">
        <f>IFERROR(INDEX(HS_MD!H:H,MATCH(B279,HS_MD!B:B,0),1),"")</f>
        <v>Acesulfame-K</v>
      </c>
      <c r="I279" s="17" t="str">
        <f>IFERROR(INDEX(HS_MD!I:I,MATCH(B279,HS_MD!B:B,0),1),"")</f>
        <v>Diet Beverages</v>
      </c>
      <c r="J279" s="17">
        <f>IFERROR(INDEX(Heat_Map[Index],MATCH(HS_DB[[#This Row],[Reporter]],Heat_Map[Global],0),1),"")</f>
        <v>63</v>
      </c>
      <c r="K279" s="17" t="str">
        <f>IF(AND(HS_DB[[#This Row],[Origin Rank]]&gt;1,HS_DB[[#This Row],[Origin Rank]]&lt;=10),"Yes","No")</f>
        <v>No</v>
      </c>
      <c r="L279" s="2">
        <v>2024</v>
      </c>
      <c r="M279" s="2" t="s">
        <v>57</v>
      </c>
      <c r="N279" s="2" t="s">
        <v>2</v>
      </c>
      <c r="O279" s="2" t="s">
        <v>22</v>
      </c>
      <c r="P279" s="2" t="s">
        <v>23</v>
      </c>
      <c r="Q279" s="2" t="s">
        <v>24</v>
      </c>
      <c r="R279" s="2" t="s">
        <v>25</v>
      </c>
      <c r="S279" s="2">
        <v>293499</v>
      </c>
      <c r="T279" s="3">
        <v>3573151</v>
      </c>
      <c r="U279" s="3">
        <v>168285.1</v>
      </c>
      <c r="V279" s="3">
        <v>0</v>
      </c>
      <c r="W279" s="3">
        <v>168285</v>
      </c>
      <c r="X279" s="3" t="s">
        <v>58</v>
      </c>
      <c r="Y279" s="3">
        <v>0</v>
      </c>
      <c r="Z279" s="3" t="s">
        <v>26</v>
      </c>
      <c r="AA279" s="6">
        <f>SUMIFS(HS_DB[Trade Value - USD],HS_DB[Reporter],HS_DB[[#This Row],[Reporter]])/SUM(HS_DB[Trade Value - USD])</f>
        <v>1.1674623358397021E-2</v>
      </c>
      <c r="AB279" s="8" cm="1">
        <f t="array" ref="AB279">SUMPRODUCT(
(HS_DB[Reporter]=HS_DB[[#This Row],[Reporter]])*
(HS_DB[Trade Value - USD]&gt;HS_DB[[#This Row],[Trade Value - USD]])
)+1</f>
        <v>1</v>
      </c>
      <c r="AC279" s="8" t="str">
        <f>IFERROR(IF(INDEX(Heat_Map[Crisis Impact %],MATCH(HS_DB[[#This Row],[Reporter]],Heat_Map[Global],0),1)&gt;0,"Yes","No"),"No")</f>
        <v>No</v>
      </c>
      <c r="AD279" s="6">
        <f>IFERROR(INDEX(Heat_Map[Crisis Impact %],MATCH(HS_DB[[#This Row],[Reporter]],Heat_Map[Global],0),1),0)</f>
        <v>0</v>
      </c>
      <c r="AE279" s="8">
        <f>HS_DB[[#This Row],[Crisis Impact%]]*HS_DB[[#This Row],[Trade Value - USD]]</f>
        <v>0</v>
      </c>
      <c r="AF279" s="8">
        <f>HS_DB[[#This Row],[Crisis Impact%]]*HS_DB[[#This Row],[Net Weight -KG]]</f>
        <v>0</v>
      </c>
      <c r="AG279" s="6">
        <f>SUMIFS(HS_DB[Trade Value - USD],HS_DB[Products],HS_DB[[#This Row],[Products]])/SUM(HS_DB[Trade Value - USD])</f>
        <v>2.8528600021988443E-2</v>
      </c>
      <c r="AH279" s="8">
        <f>_xlfn.RANK.EQ(HS_DB[[#This Row],[Trade Value - USD]], HS_DB[Trade Value - USD], 0)
 + COUNTIFS(HS_DB[Trade Value - USD],HS_DB[[#This Row],[Trade Value - USD]],
            HS_DB[HS Code],"&lt;"&amp;HS_DB[[#This Row],[HS Code]])</f>
        <v>38</v>
      </c>
      <c r="AI279" s="9">
        <f>IFERROR(HS_DB[[#This Row],[Trade Value - USD]]/HS_DB[[#This Row],[Net Weight -KG]],0)</f>
        <v>21.232723515034902</v>
      </c>
      <c r="AJ279" s="17" cm="1">
        <f t="array" ref="AJ279">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79" s="17" t="str">
        <f>IF(HS_DB[[#This Row],[HS Code Risk Score]]&gt;=40,"High",
 IF(HS_DB[[#This Row],[HS Code Risk Score]]&gt;=25,"Medium","Low"))</f>
        <v>Medium</v>
      </c>
      <c r="AL279" s="17" t="str">
        <f>IF(RANK(HS_DB[[#This Row],[HS Code Risk Score]],HS_DB[HS Code Risk Score])&lt;=10,"Yes","No")</f>
        <v>No</v>
      </c>
      <c r="AM279" s="8">
        <f>SUMIFS(HS_DB[Net Weight -KG],HS_DB[HS Code],HS_DB[[#This Row],[HS Code]])</f>
        <v>1293070.0000000002</v>
      </c>
      <c r="AN279" s="8">
        <f>SUMIFS(HS_DB[Trade Value - USD],HS_DB[HS Code],HS_DB[[#This Row],[HS Code]])</f>
        <v>53776648</v>
      </c>
      <c r="AO279" s="6">
        <f>_xlfn.MAXIFS(HS_DB[Origin Share%],HS_DB[HS Code],HS_DB[[#This Row],[HS Code]])</f>
        <v>0.39900464236999494</v>
      </c>
      <c r="AP279" s="8" cm="1">
        <f t="array" ref="AP279">_xlfn.LET(
_xlpm.hs,HS_DB[[#This Row],[HS Code]],
COUNTA(_xlfn.UNIQUE(_xlfn._xlws.FILTER(HS_DB[Reporter],HS_DB[HS Code]=_xlpm.hs)))
)</f>
        <v>19</v>
      </c>
      <c r="AQ279" s="17" t="str">
        <f>IF(HS_DB[[#This Row],[Origin Count]]=1,"Single Source","Multiple Sources")</f>
        <v>Multiple Sources</v>
      </c>
      <c r="AR279" s="8">
        <f>HS_DB[[#This Row],[Annual Spend - USD]]*(HS_DB[[#This Row],[HS Code Risk Score]]/100)</f>
        <v>18284060.32</v>
      </c>
      <c r="AS279" s="8">
        <f>RANK(HS_DB[[#This Row],[Risk Exposure - USD]],HS_DB[Risk Exposure - USD],0)</f>
        <v>33</v>
      </c>
      <c r="AT279" s="8" t="str">
        <f>IF(HS_DB[[#This Row],[Risk Exposure Rank]]&lt;=10,"High",
 IF(HS_DB[[#This Row],[Risk Exposure Rank]]&lt;=30,"Medium",
 "Low"))</f>
        <v>Low</v>
      </c>
      <c r="AU279" s="8" t="str">
        <f>IF(HS_DB[[#This Row],[Risk Exposure Rank]]&lt;=5,"Immediate Action",
 IF(HS_DB[[#This Row],[Risk Exposure Rank]]&lt;=15,"Monitor Closely",
 "Routine Control"))</f>
        <v>Routine Control</v>
      </c>
      <c r="AV279" s="8">
        <f>SUMIFS(HS_DB[Trade Value - USD],HS_DB[HS Code],HS_DB[[#This Row],[HS Code]])</f>
        <v>53776648</v>
      </c>
      <c r="AW279" s="6">
        <f>HS_DB[[#This Row],[Annual Spend - USD]]/HS_DB[[#This Row],[Total Market Size - USD]]</f>
        <v>1</v>
      </c>
      <c r="AX279" s="6" cm="1">
        <f t="array" ref="AX279">COUNTA(_xlfn.UNIQUE(_xlfn._xlws.FILTER(HS_DB[Partner],HS_DB[HS Code]=HS_DB[[#This Row],[HS Code]])))</f>
        <v>1</v>
      </c>
      <c r="AY279" s="8" t="str">
        <f>IF(HS_DB[[#This Row],[Competition Intensity]]&lt;=2,"Highly Concentrated",
 IF(HS_DB[[#This Row],[Competition Intensity]]&lt;=5,"Moderate",
 "Highly Competitive"))</f>
        <v>Highly Concentrated</v>
      </c>
      <c r="AZ279" s="8">
        <f>HS_DB[[#This Row],[Total Market Size - USD]]
*
(1+IFERROR(#REF!,0))
/
HS_DB[[#This Row],[Competition Intensity]]</f>
        <v>53776648</v>
      </c>
      <c r="BA279" s="8" t="str">
        <f>IF(HS_DB[[#This Row],[Commercial Opportunity Score]]&gt;=PERCENTILE(HS_DB[Commercial Opportunity Score],0.9),"High Opportunity",
 IF(HS_DB[[#This Row],[Commercial Opportunity Score]]&gt;=PERCENTILE(HS_DB[Commercial Opportunity Score],0.6),"Medium Opportunity",
 "Routine Market"))</f>
        <v>High Opportunity</v>
      </c>
      <c r="BB279" s="3" t="str">
        <f>IF(AND(HS_DB[[#This Row],[Product Rank]]&gt;0,HS_DB[[#This Row],[Product Rank]]&lt;=10),"Yes","No")</f>
        <v>No</v>
      </c>
      <c r="BC279" s="3" t="str">
        <f>IF(AND(HS_DB[[#This Row],[Origin Rank]]&gt;0,HS_DB[[#This Row],[Origin Rank]]&lt;=10),"Yes","No")</f>
        <v>Yes</v>
      </c>
    </row>
    <row r="280" spans="2:55" x14ac:dyDescent="0.3">
      <c r="B280" s="2">
        <f>HS_DB[[#This Row],[Commodity Code]]</f>
        <v>293499</v>
      </c>
      <c r="C280" s="2">
        <f>IFERROR(INDEX(HS_MD!C:C,MATCH(B280,HS_MD!B:B,0),1),"")</f>
        <v>22</v>
      </c>
      <c r="D280" s="17" t="str">
        <f>IFERROR(INDEX(HS_MD!D:D,MATCH(B280,HS_MD!B:B,0),1),"")</f>
        <v>Heterocyclic compounds</v>
      </c>
      <c r="E280" s="17" t="str">
        <f>IFERROR(INDEX(HS_MD!E:E,MATCH(B280,HS_MD!B:B,0),1),"")</f>
        <v>Acesulfame-K</v>
      </c>
      <c r="F280" s="17" t="str">
        <f>IFERROR(INDEX(HS_MD!F:F,MATCH(B280,HS_MD!B:B,0),1),"")</f>
        <v>SWEETENERS</v>
      </c>
      <c r="G280" s="17" t="str">
        <f>IFERROR(INDEX(HS_MD!G:G,MATCH(B280,HS_MD!B:B,0),1),"")</f>
        <v>High Intensity Sweeteners</v>
      </c>
      <c r="H280" s="17" t="str">
        <f>IFERROR(INDEX(HS_MD!H:H,MATCH(B280,HS_MD!B:B,0),1),"")</f>
        <v>Acesulfame-K</v>
      </c>
      <c r="I280" s="17" t="str">
        <f>IFERROR(INDEX(HS_MD!I:I,MATCH(B280,HS_MD!B:B,0),1),"")</f>
        <v>Diet Beverages</v>
      </c>
      <c r="J280" s="17">
        <f>IFERROR(INDEX(Heat_Map[Index],MATCH(HS_DB[[#This Row],[Reporter]],Heat_Map[Global],0),1),"")</f>
        <v>76</v>
      </c>
      <c r="K280" s="17" t="str">
        <f>IF(AND(HS_DB[[#This Row],[Origin Rank]]&gt;1,HS_DB[[#This Row],[Origin Rank]]&lt;=10),"Yes","No")</f>
        <v>Yes</v>
      </c>
      <c r="L280" s="2">
        <v>2024</v>
      </c>
      <c r="M280" s="2" t="s">
        <v>57</v>
      </c>
      <c r="N280" s="2" t="s">
        <v>47</v>
      </c>
      <c r="O280" s="2" t="s">
        <v>22</v>
      </c>
      <c r="P280" s="2" t="s">
        <v>23</v>
      </c>
      <c r="Q280" s="2" t="s">
        <v>24</v>
      </c>
      <c r="R280" s="2" t="s">
        <v>25</v>
      </c>
      <c r="S280" s="2">
        <v>293499</v>
      </c>
      <c r="T280" s="3">
        <v>2088105</v>
      </c>
      <c r="U280" s="3">
        <v>367300</v>
      </c>
      <c r="V280" s="3">
        <v>0</v>
      </c>
      <c r="W280" s="3">
        <v>367300</v>
      </c>
      <c r="X280" s="3" t="s">
        <v>58</v>
      </c>
      <c r="Y280" s="3">
        <v>367300</v>
      </c>
      <c r="Z280" s="3" t="s">
        <v>58</v>
      </c>
      <c r="AA280" s="6">
        <f>SUMIFS(HS_DB[Trade Value - USD],HS_DB[Reporter],HS_DB[[#This Row],[Reporter]])/SUM(HS_DB[Trade Value - USD])</f>
        <v>0.39900464236999494</v>
      </c>
      <c r="AB280" s="8" cm="1">
        <f t="array" ref="AB280">SUMPRODUCT(
(HS_DB[Reporter]=HS_DB[[#This Row],[Reporter]])*
(HS_DB[Trade Value - USD]&gt;HS_DB[[#This Row],[Trade Value - USD]])
)+1</f>
        <v>3</v>
      </c>
      <c r="AC280" s="8" t="str">
        <f>IFERROR(IF(INDEX(Heat_Map[Crisis Impact %],MATCH(HS_DB[[#This Row],[Reporter]],Heat_Map[Global],0),1)&gt;0,"Yes","No"),"No")</f>
        <v>Yes</v>
      </c>
      <c r="AD280" s="6">
        <f>IFERROR(INDEX(Heat_Map[Crisis Impact %],MATCH(HS_DB[[#This Row],[Reporter]],Heat_Map[Global],0),1),0)</f>
        <v>0.21</v>
      </c>
      <c r="AE280" s="8">
        <f>HS_DB[[#This Row],[Crisis Impact%]]*HS_DB[[#This Row],[Trade Value - USD]]</f>
        <v>438502.05</v>
      </c>
      <c r="AF280" s="8">
        <f>HS_DB[[#This Row],[Crisis Impact%]]*HS_DB[[#This Row],[Net Weight -KG]]</f>
        <v>77133</v>
      </c>
      <c r="AG280" s="6">
        <f>SUMIFS(HS_DB[Trade Value - USD],HS_DB[Products],HS_DB[[#This Row],[Products]])/SUM(HS_DB[Trade Value - USD])</f>
        <v>2.8528600021988443E-2</v>
      </c>
      <c r="AH280" s="8">
        <f>_xlfn.RANK.EQ(HS_DB[[#This Row],[Trade Value - USD]], HS_DB[Trade Value - USD], 0)
 + COUNTIFS(HS_DB[Trade Value - USD],HS_DB[[#This Row],[Trade Value - USD]],
            HS_DB[HS Code],"&lt;"&amp;HS_DB[[#This Row],[HS Code]])</f>
        <v>64</v>
      </c>
      <c r="AI280" s="9">
        <f>IFERROR(HS_DB[[#This Row],[Trade Value - USD]]/HS_DB[[#This Row],[Net Weight -KG]],0)</f>
        <v>5.6850122515654782</v>
      </c>
      <c r="AJ280" s="17" cm="1">
        <f t="array" ref="AJ280">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80" s="17" t="str">
        <f>IF(HS_DB[[#This Row],[HS Code Risk Score]]&gt;=40,"High",
 IF(HS_DB[[#This Row],[HS Code Risk Score]]&gt;=25,"Medium","Low"))</f>
        <v>Medium</v>
      </c>
      <c r="AL280" s="17" t="str">
        <f>IF(RANK(HS_DB[[#This Row],[HS Code Risk Score]],HS_DB[HS Code Risk Score])&lt;=10,"Yes","No")</f>
        <v>No</v>
      </c>
      <c r="AM280" s="8">
        <f>SUMIFS(HS_DB[Net Weight -KG],HS_DB[HS Code],HS_DB[[#This Row],[HS Code]])</f>
        <v>1293070.0000000002</v>
      </c>
      <c r="AN280" s="8">
        <f>SUMIFS(HS_DB[Trade Value - USD],HS_DB[HS Code],HS_DB[[#This Row],[HS Code]])</f>
        <v>53776648</v>
      </c>
      <c r="AO280" s="6">
        <f>_xlfn.MAXIFS(HS_DB[Origin Share%],HS_DB[HS Code],HS_DB[[#This Row],[HS Code]])</f>
        <v>0.39900464236999494</v>
      </c>
      <c r="AP280" s="8" cm="1">
        <f t="array" ref="AP280">_xlfn.LET(
_xlpm.hs,HS_DB[[#This Row],[HS Code]],
COUNTA(_xlfn.UNIQUE(_xlfn._xlws.FILTER(HS_DB[Reporter],HS_DB[HS Code]=_xlpm.hs)))
)</f>
        <v>19</v>
      </c>
      <c r="AQ280" s="17" t="str">
        <f>IF(HS_DB[[#This Row],[Origin Count]]=1,"Single Source","Multiple Sources")</f>
        <v>Multiple Sources</v>
      </c>
      <c r="AR280" s="8">
        <f>HS_DB[[#This Row],[Annual Spend - USD]]*(HS_DB[[#This Row],[HS Code Risk Score]]/100)</f>
        <v>18284060.32</v>
      </c>
      <c r="AS280" s="8">
        <f>RANK(HS_DB[[#This Row],[Risk Exposure - USD]],HS_DB[Risk Exposure - USD],0)</f>
        <v>33</v>
      </c>
      <c r="AT280" s="8" t="str">
        <f>IF(HS_DB[[#This Row],[Risk Exposure Rank]]&lt;=10,"High",
 IF(HS_DB[[#This Row],[Risk Exposure Rank]]&lt;=30,"Medium",
 "Low"))</f>
        <v>Low</v>
      </c>
      <c r="AU280" s="8" t="str">
        <f>IF(HS_DB[[#This Row],[Risk Exposure Rank]]&lt;=5,"Immediate Action",
 IF(HS_DB[[#This Row],[Risk Exposure Rank]]&lt;=15,"Monitor Closely",
 "Routine Control"))</f>
        <v>Routine Control</v>
      </c>
      <c r="AV280" s="8">
        <f>SUMIFS(HS_DB[Trade Value - USD],HS_DB[HS Code],HS_DB[[#This Row],[HS Code]])</f>
        <v>53776648</v>
      </c>
      <c r="AW280" s="6">
        <f>HS_DB[[#This Row],[Annual Spend - USD]]/HS_DB[[#This Row],[Total Market Size - USD]]</f>
        <v>1</v>
      </c>
      <c r="AX280" s="6" cm="1">
        <f t="array" ref="AX280">COUNTA(_xlfn.UNIQUE(_xlfn._xlws.FILTER(HS_DB[Partner],HS_DB[HS Code]=HS_DB[[#This Row],[HS Code]])))</f>
        <v>1</v>
      </c>
      <c r="AY280" s="8" t="str">
        <f>IF(HS_DB[[#This Row],[Competition Intensity]]&lt;=2,"Highly Concentrated",
 IF(HS_DB[[#This Row],[Competition Intensity]]&lt;=5,"Moderate",
 "Highly Competitive"))</f>
        <v>Highly Concentrated</v>
      </c>
      <c r="AZ280" s="8">
        <f>HS_DB[[#This Row],[Total Market Size - USD]]
*
(1+IFERROR(#REF!,0))
/
HS_DB[[#This Row],[Competition Intensity]]</f>
        <v>53776648</v>
      </c>
      <c r="BA280" s="8" t="str">
        <f>IF(HS_DB[[#This Row],[Commercial Opportunity Score]]&gt;=PERCENTILE(HS_DB[Commercial Opportunity Score],0.9),"High Opportunity",
 IF(HS_DB[[#This Row],[Commercial Opportunity Score]]&gt;=PERCENTILE(HS_DB[Commercial Opportunity Score],0.6),"Medium Opportunity",
 "Routine Market"))</f>
        <v>High Opportunity</v>
      </c>
      <c r="BB280" s="3" t="str">
        <f>IF(AND(HS_DB[[#This Row],[Product Rank]]&gt;0,HS_DB[[#This Row],[Product Rank]]&lt;=10),"Yes","No")</f>
        <v>No</v>
      </c>
      <c r="BC280" s="3" t="str">
        <f>IF(AND(HS_DB[[#This Row],[Origin Rank]]&gt;0,HS_DB[[#This Row],[Origin Rank]]&lt;=10),"Yes","No")</f>
        <v>Yes</v>
      </c>
    </row>
    <row r="281" spans="2:55" x14ac:dyDescent="0.3">
      <c r="B281" s="2">
        <f>HS_DB[[#This Row],[Commodity Code]]</f>
        <v>293499</v>
      </c>
      <c r="C281" s="2">
        <f>IFERROR(INDEX(HS_MD!C:C,MATCH(B281,HS_MD!B:B,0),1),"")</f>
        <v>22</v>
      </c>
      <c r="D281" s="17" t="str">
        <f>IFERROR(INDEX(HS_MD!D:D,MATCH(B281,HS_MD!B:B,0),1),"")</f>
        <v>Heterocyclic compounds</v>
      </c>
      <c r="E281" s="17" t="str">
        <f>IFERROR(INDEX(HS_MD!E:E,MATCH(B281,HS_MD!B:B,0),1),"")</f>
        <v>Acesulfame-K</v>
      </c>
      <c r="F281" s="17" t="str">
        <f>IFERROR(INDEX(HS_MD!F:F,MATCH(B281,HS_MD!B:B,0),1),"")</f>
        <v>SWEETENERS</v>
      </c>
      <c r="G281" s="17" t="str">
        <f>IFERROR(INDEX(HS_MD!G:G,MATCH(B281,HS_MD!B:B,0),1),"")</f>
        <v>High Intensity Sweeteners</v>
      </c>
      <c r="H281" s="17" t="str">
        <f>IFERROR(INDEX(HS_MD!H:H,MATCH(B281,HS_MD!B:B,0),1),"")</f>
        <v>Acesulfame-K</v>
      </c>
      <c r="I281" s="17" t="str">
        <f>IFERROR(INDEX(HS_MD!I:I,MATCH(B281,HS_MD!B:B,0),1),"")</f>
        <v>Diet Beverages</v>
      </c>
      <c r="J281" s="17">
        <f>IFERROR(INDEX(Heat_Map[Index],MATCH(HS_DB[[#This Row],[Reporter]],Heat_Map[Global],0),1),"")</f>
        <v>79</v>
      </c>
      <c r="K281" s="17" t="str">
        <f>IF(AND(HS_DB[[#This Row],[Origin Rank]]&gt;1,HS_DB[[#This Row],[Origin Rank]]&lt;=10),"Yes","No")</f>
        <v>Yes</v>
      </c>
      <c r="L281" s="2">
        <v>2024</v>
      </c>
      <c r="M281" s="2" t="s">
        <v>57</v>
      </c>
      <c r="N281" s="2" t="s">
        <v>48</v>
      </c>
      <c r="O281" s="2" t="s">
        <v>22</v>
      </c>
      <c r="P281" s="2" t="s">
        <v>23</v>
      </c>
      <c r="Q281" s="2" t="s">
        <v>24</v>
      </c>
      <c r="R281" s="2" t="s">
        <v>25</v>
      </c>
      <c r="S281" s="2">
        <v>293499</v>
      </c>
      <c r="T281" s="3">
        <v>1231914</v>
      </c>
      <c r="U281" s="3">
        <v>65869</v>
      </c>
      <c r="V281" s="3">
        <v>0</v>
      </c>
      <c r="W281" s="3">
        <v>65869</v>
      </c>
      <c r="X281" s="3" t="s">
        <v>58</v>
      </c>
      <c r="Y281" s="3">
        <v>65869</v>
      </c>
      <c r="Z281" s="3" t="s">
        <v>58</v>
      </c>
      <c r="AA281" s="6">
        <f>SUMIFS(HS_DB[Trade Value - USD],HS_DB[Reporter],HS_DB[[#This Row],[Reporter]])/SUM(HS_DB[Trade Value - USD])</f>
        <v>4.9588465845200368E-3</v>
      </c>
      <c r="AB281" s="8" cm="1">
        <f t="array" ref="AB281">SUMPRODUCT(
(HS_DB[Reporter]=HS_DB[[#This Row],[Reporter]])*
(HS_DB[Trade Value - USD]&gt;HS_DB[[#This Row],[Trade Value - USD]])
)+1</f>
        <v>2</v>
      </c>
      <c r="AC281" s="8" t="str">
        <f>IFERROR(IF(INDEX(Heat_Map[Crisis Impact %],MATCH(HS_DB[[#This Row],[Reporter]],Heat_Map[Global],0),1)&gt;0,"Yes","No"),"No")</f>
        <v>No</v>
      </c>
      <c r="AD281" s="6">
        <f>IFERROR(INDEX(Heat_Map[Crisis Impact %],MATCH(HS_DB[[#This Row],[Reporter]],Heat_Map[Global],0),1),0)</f>
        <v>0</v>
      </c>
      <c r="AE281" s="8">
        <f>HS_DB[[#This Row],[Crisis Impact%]]*HS_DB[[#This Row],[Trade Value - USD]]</f>
        <v>0</v>
      </c>
      <c r="AF281" s="8">
        <f>HS_DB[[#This Row],[Crisis Impact%]]*HS_DB[[#This Row],[Net Weight -KG]]</f>
        <v>0</v>
      </c>
      <c r="AG281" s="6">
        <f>SUMIFS(HS_DB[Trade Value - USD],HS_DB[Products],HS_DB[[#This Row],[Products]])/SUM(HS_DB[Trade Value - USD])</f>
        <v>2.8528600021988443E-2</v>
      </c>
      <c r="AH281" s="8">
        <f>_xlfn.RANK.EQ(HS_DB[[#This Row],[Trade Value - USD]], HS_DB[Trade Value - USD], 0)
 + COUNTIFS(HS_DB[Trade Value - USD],HS_DB[[#This Row],[Trade Value - USD]],
            HS_DB[HS Code],"&lt;"&amp;HS_DB[[#This Row],[HS Code]])</f>
        <v>91</v>
      </c>
      <c r="AI281" s="9">
        <f>IFERROR(HS_DB[[#This Row],[Trade Value - USD]]/HS_DB[[#This Row],[Net Weight -KG]],0)</f>
        <v>18.702485235846908</v>
      </c>
      <c r="AJ281" s="17" cm="1">
        <f t="array" ref="AJ281">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81" s="17" t="str">
        <f>IF(HS_DB[[#This Row],[HS Code Risk Score]]&gt;=40,"High",
 IF(HS_DB[[#This Row],[HS Code Risk Score]]&gt;=25,"Medium","Low"))</f>
        <v>Medium</v>
      </c>
      <c r="AL281" s="17" t="str">
        <f>IF(RANK(HS_DB[[#This Row],[HS Code Risk Score]],HS_DB[HS Code Risk Score])&lt;=10,"Yes","No")</f>
        <v>No</v>
      </c>
      <c r="AM281" s="8">
        <f>SUMIFS(HS_DB[Net Weight -KG],HS_DB[HS Code],HS_DB[[#This Row],[HS Code]])</f>
        <v>1293070.0000000002</v>
      </c>
      <c r="AN281" s="8">
        <f>SUMIFS(HS_DB[Trade Value - USD],HS_DB[HS Code],HS_DB[[#This Row],[HS Code]])</f>
        <v>53776648</v>
      </c>
      <c r="AO281" s="6">
        <f>_xlfn.MAXIFS(HS_DB[Origin Share%],HS_DB[HS Code],HS_DB[[#This Row],[HS Code]])</f>
        <v>0.39900464236999494</v>
      </c>
      <c r="AP281" s="8" cm="1">
        <f t="array" ref="AP281">_xlfn.LET(
_xlpm.hs,HS_DB[[#This Row],[HS Code]],
COUNTA(_xlfn.UNIQUE(_xlfn._xlws.FILTER(HS_DB[Reporter],HS_DB[HS Code]=_xlpm.hs)))
)</f>
        <v>19</v>
      </c>
      <c r="AQ281" s="17" t="str">
        <f>IF(HS_DB[[#This Row],[Origin Count]]=1,"Single Source","Multiple Sources")</f>
        <v>Multiple Sources</v>
      </c>
      <c r="AR281" s="8">
        <f>HS_DB[[#This Row],[Annual Spend - USD]]*(HS_DB[[#This Row],[HS Code Risk Score]]/100)</f>
        <v>18284060.32</v>
      </c>
      <c r="AS281" s="8">
        <f>RANK(HS_DB[[#This Row],[Risk Exposure - USD]],HS_DB[Risk Exposure - USD],0)</f>
        <v>33</v>
      </c>
      <c r="AT281" s="8" t="str">
        <f>IF(HS_DB[[#This Row],[Risk Exposure Rank]]&lt;=10,"High",
 IF(HS_DB[[#This Row],[Risk Exposure Rank]]&lt;=30,"Medium",
 "Low"))</f>
        <v>Low</v>
      </c>
      <c r="AU281" s="8" t="str">
        <f>IF(HS_DB[[#This Row],[Risk Exposure Rank]]&lt;=5,"Immediate Action",
 IF(HS_DB[[#This Row],[Risk Exposure Rank]]&lt;=15,"Monitor Closely",
 "Routine Control"))</f>
        <v>Routine Control</v>
      </c>
      <c r="AV281" s="8">
        <f>SUMIFS(HS_DB[Trade Value - USD],HS_DB[HS Code],HS_DB[[#This Row],[HS Code]])</f>
        <v>53776648</v>
      </c>
      <c r="AW281" s="6">
        <f>HS_DB[[#This Row],[Annual Spend - USD]]/HS_DB[[#This Row],[Total Market Size - USD]]</f>
        <v>1</v>
      </c>
      <c r="AX281" s="6" cm="1">
        <f t="array" ref="AX281">COUNTA(_xlfn.UNIQUE(_xlfn._xlws.FILTER(HS_DB[Partner],HS_DB[HS Code]=HS_DB[[#This Row],[HS Code]])))</f>
        <v>1</v>
      </c>
      <c r="AY281" s="8" t="str">
        <f>IF(HS_DB[[#This Row],[Competition Intensity]]&lt;=2,"Highly Concentrated",
 IF(HS_DB[[#This Row],[Competition Intensity]]&lt;=5,"Moderate",
 "Highly Competitive"))</f>
        <v>Highly Concentrated</v>
      </c>
      <c r="AZ281" s="8">
        <f>HS_DB[[#This Row],[Total Market Size - USD]]
*
(1+IFERROR(#REF!,0))
/
HS_DB[[#This Row],[Competition Intensity]]</f>
        <v>53776648</v>
      </c>
      <c r="BA281" s="8" t="str">
        <f>IF(HS_DB[[#This Row],[Commercial Opportunity Score]]&gt;=PERCENTILE(HS_DB[Commercial Opportunity Score],0.9),"High Opportunity",
 IF(HS_DB[[#This Row],[Commercial Opportunity Score]]&gt;=PERCENTILE(HS_DB[Commercial Opportunity Score],0.6),"Medium Opportunity",
 "Routine Market"))</f>
        <v>High Opportunity</v>
      </c>
      <c r="BB281" s="3" t="str">
        <f>IF(AND(HS_DB[[#This Row],[Product Rank]]&gt;0,HS_DB[[#This Row],[Product Rank]]&lt;=10),"Yes","No")</f>
        <v>No</v>
      </c>
      <c r="BC281" s="3" t="str">
        <f>IF(AND(HS_DB[[#This Row],[Origin Rank]]&gt;0,HS_DB[[#This Row],[Origin Rank]]&lt;=10),"Yes","No")</f>
        <v>Yes</v>
      </c>
    </row>
    <row r="282" spans="2:55" x14ac:dyDescent="0.3">
      <c r="B282" s="2">
        <f>HS_DB[[#This Row],[Commodity Code]]</f>
        <v>293499</v>
      </c>
      <c r="C282" s="2">
        <f>IFERROR(INDEX(HS_MD!C:C,MATCH(B282,HS_MD!B:B,0),1),"")</f>
        <v>22</v>
      </c>
      <c r="D282" s="17" t="str">
        <f>IFERROR(INDEX(HS_MD!D:D,MATCH(B282,HS_MD!B:B,0),1),"")</f>
        <v>Heterocyclic compounds</v>
      </c>
      <c r="E282" s="17" t="str">
        <f>IFERROR(INDEX(HS_MD!E:E,MATCH(B282,HS_MD!B:B,0),1),"")</f>
        <v>Acesulfame-K</v>
      </c>
      <c r="F282" s="17" t="str">
        <f>IFERROR(INDEX(HS_MD!F:F,MATCH(B282,HS_MD!B:B,0),1),"")</f>
        <v>SWEETENERS</v>
      </c>
      <c r="G282" s="17" t="str">
        <f>IFERROR(INDEX(HS_MD!G:G,MATCH(B282,HS_MD!B:B,0),1),"")</f>
        <v>High Intensity Sweeteners</v>
      </c>
      <c r="H282" s="17" t="str">
        <f>IFERROR(INDEX(HS_MD!H:H,MATCH(B282,HS_MD!B:B,0),1),"")</f>
        <v>Acesulfame-K</v>
      </c>
      <c r="I282" s="17" t="str">
        <f>IFERROR(INDEX(HS_MD!I:I,MATCH(B282,HS_MD!B:B,0),1),"")</f>
        <v>Diet Beverages</v>
      </c>
      <c r="J282" s="17">
        <f>IFERROR(INDEX(Heat_Map[Index],MATCH(HS_DB[[#This Row],[Reporter]],Heat_Map[Global],0),1),"")</f>
        <v>81</v>
      </c>
      <c r="K282" s="17" t="str">
        <f>IF(AND(HS_DB[[#This Row],[Origin Rank]]&gt;1,HS_DB[[#This Row],[Origin Rank]]&lt;=10),"Yes","No")</f>
        <v>Yes</v>
      </c>
      <c r="L282" s="2">
        <v>2024</v>
      </c>
      <c r="M282" s="2" t="s">
        <v>57</v>
      </c>
      <c r="N282" s="2" t="s">
        <v>49</v>
      </c>
      <c r="O282" s="2" t="s">
        <v>22</v>
      </c>
      <c r="P282" s="2" t="s">
        <v>23</v>
      </c>
      <c r="Q282" s="2" t="s">
        <v>24</v>
      </c>
      <c r="R282" s="2" t="s">
        <v>25</v>
      </c>
      <c r="S282" s="2">
        <v>293499</v>
      </c>
      <c r="T282" s="3">
        <v>4544085</v>
      </c>
      <c r="U282" s="3">
        <v>30491</v>
      </c>
      <c r="V282" s="3">
        <v>0</v>
      </c>
      <c r="W282" s="3">
        <v>30491</v>
      </c>
      <c r="X282" s="3" t="s">
        <v>58</v>
      </c>
      <c r="Y282" s="3">
        <v>30491</v>
      </c>
      <c r="Z282" s="3" t="s">
        <v>58</v>
      </c>
      <c r="AA282" s="6">
        <f>SUMIFS(HS_DB[Trade Value - USD],HS_DB[Reporter],HS_DB[[#This Row],[Reporter]])/SUM(HS_DB[Trade Value - USD])</f>
        <v>1.1178535358665947E-2</v>
      </c>
      <c r="AB282" s="8" cm="1">
        <f t="array" ref="AB282">SUMPRODUCT(
(HS_DB[Reporter]=HS_DB[[#This Row],[Reporter]])*
(HS_DB[Trade Value - USD]&gt;HS_DB[[#This Row],[Trade Value - USD]])
)+1</f>
        <v>2</v>
      </c>
      <c r="AC282" s="8" t="str">
        <f>IFERROR(IF(INDEX(Heat_Map[Crisis Impact %],MATCH(HS_DB[[#This Row],[Reporter]],Heat_Map[Global],0),1)&gt;0,"Yes","No"),"No")</f>
        <v>No</v>
      </c>
      <c r="AD282" s="6">
        <f>IFERROR(INDEX(Heat_Map[Crisis Impact %],MATCH(HS_DB[[#This Row],[Reporter]],Heat_Map[Global],0),1),0)</f>
        <v>0</v>
      </c>
      <c r="AE282" s="8">
        <f>HS_DB[[#This Row],[Crisis Impact%]]*HS_DB[[#This Row],[Trade Value - USD]]</f>
        <v>0</v>
      </c>
      <c r="AF282" s="8">
        <f>HS_DB[[#This Row],[Crisis Impact%]]*HS_DB[[#This Row],[Net Weight -KG]]</f>
        <v>0</v>
      </c>
      <c r="AG282" s="6">
        <f>SUMIFS(HS_DB[Trade Value - USD],HS_DB[Products],HS_DB[[#This Row],[Products]])/SUM(HS_DB[Trade Value - USD])</f>
        <v>2.8528600021988443E-2</v>
      </c>
      <c r="AH282" s="8">
        <f>_xlfn.RANK.EQ(HS_DB[[#This Row],[Trade Value - USD]], HS_DB[Trade Value - USD], 0)
 + COUNTIFS(HS_DB[Trade Value - USD],HS_DB[[#This Row],[Trade Value - USD]],
            HS_DB[HS Code],"&lt;"&amp;HS_DB[[#This Row],[HS Code]])</f>
        <v>34</v>
      </c>
      <c r="AI282" s="9">
        <f>IFERROR(HS_DB[[#This Row],[Trade Value - USD]]/HS_DB[[#This Row],[Net Weight -KG]],0)</f>
        <v>149.03036961726411</v>
      </c>
      <c r="AJ282" s="17" cm="1">
        <f t="array" ref="AJ282">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82" s="17" t="str">
        <f>IF(HS_DB[[#This Row],[HS Code Risk Score]]&gt;=40,"High",
 IF(HS_DB[[#This Row],[HS Code Risk Score]]&gt;=25,"Medium","Low"))</f>
        <v>Medium</v>
      </c>
      <c r="AL282" s="17" t="str">
        <f>IF(RANK(HS_DB[[#This Row],[HS Code Risk Score]],HS_DB[HS Code Risk Score])&lt;=10,"Yes","No")</f>
        <v>No</v>
      </c>
      <c r="AM282" s="8">
        <f>SUMIFS(HS_DB[Net Weight -KG],HS_DB[HS Code],HS_DB[[#This Row],[HS Code]])</f>
        <v>1293070.0000000002</v>
      </c>
      <c r="AN282" s="8">
        <f>SUMIFS(HS_DB[Trade Value - USD],HS_DB[HS Code],HS_DB[[#This Row],[HS Code]])</f>
        <v>53776648</v>
      </c>
      <c r="AO282" s="6">
        <f>_xlfn.MAXIFS(HS_DB[Origin Share%],HS_DB[HS Code],HS_DB[[#This Row],[HS Code]])</f>
        <v>0.39900464236999494</v>
      </c>
      <c r="AP282" s="8" cm="1">
        <f t="array" ref="AP282">_xlfn.LET(
_xlpm.hs,HS_DB[[#This Row],[HS Code]],
COUNTA(_xlfn.UNIQUE(_xlfn._xlws.FILTER(HS_DB[Reporter],HS_DB[HS Code]=_xlpm.hs)))
)</f>
        <v>19</v>
      </c>
      <c r="AQ282" s="17" t="str">
        <f>IF(HS_DB[[#This Row],[Origin Count]]=1,"Single Source","Multiple Sources")</f>
        <v>Multiple Sources</v>
      </c>
      <c r="AR282" s="8">
        <f>HS_DB[[#This Row],[Annual Spend - USD]]*(HS_DB[[#This Row],[HS Code Risk Score]]/100)</f>
        <v>18284060.32</v>
      </c>
      <c r="AS282" s="8">
        <f>RANK(HS_DB[[#This Row],[Risk Exposure - USD]],HS_DB[Risk Exposure - USD],0)</f>
        <v>33</v>
      </c>
      <c r="AT282" s="8" t="str">
        <f>IF(HS_DB[[#This Row],[Risk Exposure Rank]]&lt;=10,"High",
 IF(HS_DB[[#This Row],[Risk Exposure Rank]]&lt;=30,"Medium",
 "Low"))</f>
        <v>Low</v>
      </c>
      <c r="AU282" s="8" t="str">
        <f>IF(HS_DB[[#This Row],[Risk Exposure Rank]]&lt;=5,"Immediate Action",
 IF(HS_DB[[#This Row],[Risk Exposure Rank]]&lt;=15,"Monitor Closely",
 "Routine Control"))</f>
        <v>Routine Control</v>
      </c>
      <c r="AV282" s="8">
        <f>SUMIFS(HS_DB[Trade Value - USD],HS_DB[HS Code],HS_DB[[#This Row],[HS Code]])</f>
        <v>53776648</v>
      </c>
      <c r="AW282" s="6">
        <f>HS_DB[[#This Row],[Annual Spend - USD]]/HS_DB[[#This Row],[Total Market Size - USD]]</f>
        <v>1</v>
      </c>
      <c r="AX282" s="6" cm="1">
        <f t="array" ref="AX282">COUNTA(_xlfn.UNIQUE(_xlfn._xlws.FILTER(HS_DB[Partner],HS_DB[HS Code]=HS_DB[[#This Row],[HS Code]])))</f>
        <v>1</v>
      </c>
      <c r="AY282" s="8" t="str">
        <f>IF(HS_DB[[#This Row],[Competition Intensity]]&lt;=2,"Highly Concentrated",
 IF(HS_DB[[#This Row],[Competition Intensity]]&lt;=5,"Moderate",
 "Highly Competitive"))</f>
        <v>Highly Concentrated</v>
      </c>
      <c r="AZ282" s="8">
        <f>HS_DB[[#This Row],[Total Market Size - USD]]
*
(1+IFERROR(#REF!,0))
/
HS_DB[[#This Row],[Competition Intensity]]</f>
        <v>53776648</v>
      </c>
      <c r="BA282" s="8" t="str">
        <f>IF(HS_DB[[#This Row],[Commercial Opportunity Score]]&gt;=PERCENTILE(HS_DB[Commercial Opportunity Score],0.9),"High Opportunity",
 IF(HS_DB[[#This Row],[Commercial Opportunity Score]]&gt;=PERCENTILE(HS_DB[Commercial Opportunity Score],0.6),"Medium Opportunity",
 "Routine Market"))</f>
        <v>High Opportunity</v>
      </c>
      <c r="BB282" s="3" t="str">
        <f>IF(AND(HS_DB[[#This Row],[Product Rank]]&gt;0,HS_DB[[#This Row],[Product Rank]]&lt;=10),"Yes","No")</f>
        <v>No</v>
      </c>
      <c r="BC282" s="3" t="str">
        <f>IF(AND(HS_DB[[#This Row],[Origin Rank]]&gt;0,HS_DB[[#This Row],[Origin Rank]]&lt;=10),"Yes","No")</f>
        <v>Yes</v>
      </c>
    </row>
    <row r="283" spans="2:55" x14ac:dyDescent="0.3">
      <c r="B283" s="2">
        <f>HS_DB[[#This Row],[Commodity Code]]</f>
        <v>293499</v>
      </c>
      <c r="C283" s="2">
        <f>IFERROR(INDEX(HS_MD!C:C,MATCH(B283,HS_MD!B:B,0),1),"")</f>
        <v>22</v>
      </c>
      <c r="D283" s="17" t="str">
        <f>IFERROR(INDEX(HS_MD!D:D,MATCH(B283,HS_MD!B:B,0),1),"")</f>
        <v>Heterocyclic compounds</v>
      </c>
      <c r="E283" s="17" t="str">
        <f>IFERROR(INDEX(HS_MD!E:E,MATCH(B283,HS_MD!B:B,0),1),"")</f>
        <v>Acesulfame-K</v>
      </c>
      <c r="F283" s="17" t="str">
        <f>IFERROR(INDEX(HS_MD!F:F,MATCH(B283,HS_MD!B:B,0),1),"")</f>
        <v>SWEETENERS</v>
      </c>
      <c r="G283" s="17" t="str">
        <f>IFERROR(INDEX(HS_MD!G:G,MATCH(B283,HS_MD!B:B,0),1),"")</f>
        <v>High Intensity Sweeteners</v>
      </c>
      <c r="H283" s="17" t="str">
        <f>IFERROR(INDEX(HS_MD!H:H,MATCH(B283,HS_MD!B:B,0),1),"")</f>
        <v>Acesulfame-K</v>
      </c>
      <c r="I283" s="17" t="str">
        <f>IFERROR(INDEX(HS_MD!I:I,MATCH(B283,HS_MD!B:B,0),1),"")</f>
        <v>Diet Beverages</v>
      </c>
      <c r="J283" s="17">
        <f>IFERROR(INDEX(Heat_Map[Index],MATCH(HS_DB[[#This Row],[Reporter]],Heat_Map[Global],0),1),"")</f>
        <v>83</v>
      </c>
      <c r="K283" s="17" t="str">
        <f>IF(AND(HS_DB[[#This Row],[Origin Rank]]&gt;1,HS_DB[[#This Row],[Origin Rank]]&lt;=10),"Yes","No")</f>
        <v>No</v>
      </c>
      <c r="L283" s="2">
        <v>2024</v>
      </c>
      <c r="M283" s="2" t="s">
        <v>57</v>
      </c>
      <c r="N283" s="2" t="s">
        <v>143</v>
      </c>
      <c r="O283" s="2" t="s">
        <v>22</v>
      </c>
      <c r="P283" s="2" t="s">
        <v>23</v>
      </c>
      <c r="Q283" s="2" t="s">
        <v>24</v>
      </c>
      <c r="R283" s="2" t="s">
        <v>25</v>
      </c>
      <c r="S283" s="2">
        <v>293499</v>
      </c>
      <c r="T283" s="3">
        <v>173380</v>
      </c>
      <c r="U283" s="3">
        <v>2000</v>
      </c>
      <c r="V283" s="3">
        <v>0</v>
      </c>
      <c r="W283" s="3">
        <v>2000</v>
      </c>
      <c r="X283" s="3" t="s">
        <v>58</v>
      </c>
      <c r="Y283" s="3">
        <v>2000</v>
      </c>
      <c r="Z283" s="3" t="s">
        <v>58</v>
      </c>
      <c r="AA283" s="6">
        <f>SUMIFS(HS_DB[Trade Value - USD],HS_DB[Reporter],HS_DB[[#This Row],[Reporter]])/SUM(HS_DB[Trade Value - USD])</f>
        <v>1.4722693747111796E-4</v>
      </c>
      <c r="AB283" s="8" cm="1">
        <f t="array" ref="AB283">SUMPRODUCT(
(HS_DB[Reporter]=HS_DB[[#This Row],[Reporter]])*
(HS_DB[Trade Value - USD]&gt;HS_DB[[#This Row],[Trade Value - USD]])
)+1</f>
        <v>1</v>
      </c>
      <c r="AC283" s="8" t="str">
        <f>IFERROR(IF(INDEX(Heat_Map[Crisis Impact %],MATCH(HS_DB[[#This Row],[Reporter]],Heat_Map[Global],0),1)&gt;0,"Yes","No"),"No")</f>
        <v>No</v>
      </c>
      <c r="AD283" s="6">
        <f>IFERROR(INDEX(Heat_Map[Crisis Impact %],MATCH(HS_DB[[#This Row],[Reporter]],Heat_Map[Global],0),1),0)</f>
        <v>0</v>
      </c>
      <c r="AE283" s="8">
        <f>HS_DB[[#This Row],[Crisis Impact%]]*HS_DB[[#This Row],[Trade Value - USD]]</f>
        <v>0</v>
      </c>
      <c r="AF283" s="8">
        <f>HS_DB[[#This Row],[Crisis Impact%]]*HS_DB[[#This Row],[Net Weight -KG]]</f>
        <v>0</v>
      </c>
      <c r="AG283" s="6">
        <f>SUMIFS(HS_DB[Trade Value - USD],HS_DB[Products],HS_DB[[#This Row],[Products]])/SUM(HS_DB[Trade Value - USD])</f>
        <v>2.8528600021988443E-2</v>
      </c>
      <c r="AH283" s="8">
        <f>_xlfn.RANK.EQ(HS_DB[[#This Row],[Trade Value - USD]], HS_DB[Trade Value - USD], 0)
 + COUNTIFS(HS_DB[Trade Value - USD],HS_DB[[#This Row],[Trade Value - USD]],
            HS_DB[HS Code],"&lt;"&amp;HS_DB[[#This Row],[HS Code]])</f>
        <v>231</v>
      </c>
      <c r="AI283" s="9">
        <f>IFERROR(HS_DB[[#This Row],[Trade Value - USD]]/HS_DB[[#This Row],[Net Weight -KG]],0)</f>
        <v>86.69</v>
      </c>
      <c r="AJ283" s="17" cm="1">
        <f t="array" ref="AJ283">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83" s="17" t="str">
        <f>IF(HS_DB[[#This Row],[HS Code Risk Score]]&gt;=40,"High",
 IF(HS_DB[[#This Row],[HS Code Risk Score]]&gt;=25,"Medium","Low"))</f>
        <v>Medium</v>
      </c>
      <c r="AL283" s="17" t="str">
        <f>IF(RANK(HS_DB[[#This Row],[HS Code Risk Score]],HS_DB[HS Code Risk Score])&lt;=10,"Yes","No")</f>
        <v>No</v>
      </c>
      <c r="AM283" s="8">
        <f>SUMIFS(HS_DB[Net Weight -KG],HS_DB[HS Code],HS_DB[[#This Row],[HS Code]])</f>
        <v>1293070.0000000002</v>
      </c>
      <c r="AN283" s="8">
        <f>SUMIFS(HS_DB[Trade Value - USD],HS_DB[HS Code],HS_DB[[#This Row],[HS Code]])</f>
        <v>53776648</v>
      </c>
      <c r="AO283" s="6">
        <f>_xlfn.MAXIFS(HS_DB[Origin Share%],HS_DB[HS Code],HS_DB[[#This Row],[HS Code]])</f>
        <v>0.39900464236999494</v>
      </c>
      <c r="AP283" s="8" cm="1">
        <f t="array" ref="AP283">_xlfn.LET(
_xlpm.hs,HS_DB[[#This Row],[HS Code]],
COUNTA(_xlfn.UNIQUE(_xlfn._xlws.FILTER(HS_DB[Reporter],HS_DB[HS Code]=_xlpm.hs)))
)</f>
        <v>19</v>
      </c>
      <c r="AQ283" s="17" t="str">
        <f>IF(HS_DB[[#This Row],[Origin Count]]=1,"Single Source","Multiple Sources")</f>
        <v>Multiple Sources</v>
      </c>
      <c r="AR283" s="8">
        <f>HS_DB[[#This Row],[Annual Spend - USD]]*(HS_DB[[#This Row],[HS Code Risk Score]]/100)</f>
        <v>18284060.32</v>
      </c>
      <c r="AS283" s="8">
        <f>RANK(HS_DB[[#This Row],[Risk Exposure - USD]],HS_DB[Risk Exposure - USD],0)</f>
        <v>33</v>
      </c>
      <c r="AT283" s="8" t="str">
        <f>IF(HS_DB[[#This Row],[Risk Exposure Rank]]&lt;=10,"High",
 IF(HS_DB[[#This Row],[Risk Exposure Rank]]&lt;=30,"Medium",
 "Low"))</f>
        <v>Low</v>
      </c>
      <c r="AU283" s="8" t="str">
        <f>IF(HS_DB[[#This Row],[Risk Exposure Rank]]&lt;=5,"Immediate Action",
 IF(HS_DB[[#This Row],[Risk Exposure Rank]]&lt;=15,"Monitor Closely",
 "Routine Control"))</f>
        <v>Routine Control</v>
      </c>
      <c r="AV283" s="8">
        <f>SUMIFS(HS_DB[Trade Value - USD],HS_DB[HS Code],HS_DB[[#This Row],[HS Code]])</f>
        <v>53776648</v>
      </c>
      <c r="AW283" s="6">
        <f>HS_DB[[#This Row],[Annual Spend - USD]]/HS_DB[[#This Row],[Total Market Size - USD]]</f>
        <v>1</v>
      </c>
      <c r="AX283" s="6" cm="1">
        <f t="array" ref="AX283">COUNTA(_xlfn.UNIQUE(_xlfn._xlws.FILTER(HS_DB[Partner],HS_DB[HS Code]=HS_DB[[#This Row],[HS Code]])))</f>
        <v>1</v>
      </c>
      <c r="AY283" s="8" t="str">
        <f>IF(HS_DB[[#This Row],[Competition Intensity]]&lt;=2,"Highly Concentrated",
 IF(HS_DB[[#This Row],[Competition Intensity]]&lt;=5,"Moderate",
 "Highly Competitive"))</f>
        <v>Highly Concentrated</v>
      </c>
      <c r="AZ283" s="8">
        <f>HS_DB[[#This Row],[Total Market Size - USD]]
*
(1+IFERROR(#REF!,0))
/
HS_DB[[#This Row],[Competition Intensity]]</f>
        <v>53776648</v>
      </c>
      <c r="BA283" s="8" t="str">
        <f>IF(HS_DB[[#This Row],[Commercial Opportunity Score]]&gt;=PERCENTILE(HS_DB[Commercial Opportunity Score],0.9),"High Opportunity",
 IF(HS_DB[[#This Row],[Commercial Opportunity Score]]&gt;=PERCENTILE(HS_DB[Commercial Opportunity Score],0.6),"Medium Opportunity",
 "Routine Market"))</f>
        <v>High Opportunity</v>
      </c>
      <c r="BB283" s="3" t="str">
        <f>IF(AND(HS_DB[[#This Row],[Product Rank]]&gt;0,HS_DB[[#This Row],[Product Rank]]&lt;=10),"Yes","No")</f>
        <v>No</v>
      </c>
      <c r="BC283" s="3" t="str">
        <f>IF(AND(HS_DB[[#This Row],[Origin Rank]]&gt;0,HS_DB[[#This Row],[Origin Rank]]&lt;=10),"Yes","No")</f>
        <v>Yes</v>
      </c>
    </row>
    <row r="284" spans="2:55" x14ac:dyDescent="0.3">
      <c r="B284" s="2">
        <f>HS_DB[[#This Row],[Commodity Code]]</f>
        <v>293499</v>
      </c>
      <c r="C284" s="2">
        <f>IFERROR(INDEX(HS_MD!C:C,MATCH(B284,HS_MD!B:B,0),1),"")</f>
        <v>22</v>
      </c>
      <c r="D284" s="17" t="str">
        <f>IFERROR(INDEX(HS_MD!D:D,MATCH(B284,HS_MD!B:B,0),1),"")</f>
        <v>Heterocyclic compounds</v>
      </c>
      <c r="E284" s="17" t="str">
        <f>IFERROR(INDEX(HS_MD!E:E,MATCH(B284,HS_MD!B:B,0),1),"")</f>
        <v>Acesulfame-K</v>
      </c>
      <c r="F284" s="17" t="str">
        <f>IFERROR(INDEX(HS_MD!F:F,MATCH(B284,HS_MD!B:B,0),1),"")</f>
        <v>SWEETENERS</v>
      </c>
      <c r="G284" s="17" t="str">
        <f>IFERROR(INDEX(HS_MD!G:G,MATCH(B284,HS_MD!B:B,0),1),"")</f>
        <v>High Intensity Sweeteners</v>
      </c>
      <c r="H284" s="17" t="str">
        <f>IFERROR(INDEX(HS_MD!H:H,MATCH(B284,HS_MD!B:B,0),1),"")</f>
        <v>Acesulfame-K</v>
      </c>
      <c r="I284" s="17" t="str">
        <f>IFERROR(INDEX(HS_MD!I:I,MATCH(B284,HS_MD!B:B,0),1),"")</f>
        <v>Diet Beverages</v>
      </c>
      <c r="J284" s="17">
        <f>IFERROR(INDEX(Heat_Map[Index],MATCH(HS_DB[[#This Row],[Reporter]],Heat_Map[Global],0),1),"")</f>
        <v>123</v>
      </c>
      <c r="K284" s="17" t="str">
        <f>IF(AND(HS_DB[[#This Row],[Origin Rank]]&gt;1,HS_DB[[#This Row],[Origin Rank]]&lt;=10),"Yes","No")</f>
        <v>Yes</v>
      </c>
      <c r="L284" s="2">
        <v>2024</v>
      </c>
      <c r="M284" s="2" t="s">
        <v>57</v>
      </c>
      <c r="N284" s="2" t="s">
        <v>330</v>
      </c>
      <c r="O284" s="2" t="s">
        <v>22</v>
      </c>
      <c r="P284" s="2" t="s">
        <v>23</v>
      </c>
      <c r="Q284" s="2" t="s">
        <v>24</v>
      </c>
      <c r="R284" s="2" t="s">
        <v>25</v>
      </c>
      <c r="S284" s="2">
        <v>293499</v>
      </c>
      <c r="T284" s="3">
        <v>357631</v>
      </c>
      <c r="U284" s="3">
        <v>1591</v>
      </c>
      <c r="V284" s="3">
        <v>0</v>
      </c>
      <c r="W284" s="3">
        <v>1591</v>
      </c>
      <c r="X284" s="3" t="s">
        <v>58</v>
      </c>
      <c r="Y284" s="3">
        <v>1591</v>
      </c>
      <c r="Z284" s="3" t="s">
        <v>58</v>
      </c>
      <c r="AA284" s="6">
        <f>SUMIFS(HS_DB[Trade Value - USD],HS_DB[Reporter],HS_DB[[#This Row],[Reporter]])/SUM(HS_DB[Trade Value - USD])</f>
        <v>1.389484063100993E-2</v>
      </c>
      <c r="AB284" s="8" cm="1">
        <f t="array" ref="AB284">SUMPRODUCT(
(HS_DB[Reporter]=HS_DB[[#This Row],[Reporter]])*
(HS_DB[Trade Value - USD]&gt;HS_DB[[#This Row],[Trade Value - USD]])
)+1</f>
        <v>3</v>
      </c>
      <c r="AC284" s="8" t="str">
        <f>IFERROR(IF(INDEX(Heat_Map[Crisis Impact %],MATCH(HS_DB[[#This Row],[Reporter]],Heat_Map[Global],0),1)&gt;0,"Yes","No"),"No")</f>
        <v>No</v>
      </c>
      <c r="AD284" s="6">
        <f>IFERROR(INDEX(Heat_Map[Crisis Impact %],MATCH(HS_DB[[#This Row],[Reporter]],Heat_Map[Global],0),1),0)</f>
        <v>0</v>
      </c>
      <c r="AE284" s="8">
        <f>HS_DB[[#This Row],[Crisis Impact%]]*HS_DB[[#This Row],[Trade Value - USD]]</f>
        <v>0</v>
      </c>
      <c r="AF284" s="8">
        <f>HS_DB[[#This Row],[Crisis Impact%]]*HS_DB[[#This Row],[Net Weight -KG]]</f>
        <v>0</v>
      </c>
      <c r="AG284" s="6">
        <f>SUMIFS(HS_DB[Trade Value - USD],HS_DB[Products],HS_DB[[#This Row],[Products]])/SUM(HS_DB[Trade Value - USD])</f>
        <v>2.8528600021988443E-2</v>
      </c>
      <c r="AH284" s="8">
        <f>_xlfn.RANK.EQ(HS_DB[[#This Row],[Trade Value - USD]], HS_DB[Trade Value - USD], 0)
 + COUNTIFS(HS_DB[Trade Value - USD],HS_DB[[#This Row],[Trade Value - USD]],
            HS_DB[HS Code],"&lt;"&amp;HS_DB[[#This Row],[HS Code]])</f>
        <v>175</v>
      </c>
      <c r="AI284" s="9">
        <f>IFERROR(HS_DB[[#This Row],[Trade Value - USD]]/HS_DB[[#This Row],[Net Weight -KG]],0)</f>
        <v>224.78378378378378</v>
      </c>
      <c r="AJ284" s="17" cm="1">
        <f t="array" ref="AJ284">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84" s="17" t="str">
        <f>IF(HS_DB[[#This Row],[HS Code Risk Score]]&gt;=40,"High",
 IF(HS_DB[[#This Row],[HS Code Risk Score]]&gt;=25,"Medium","Low"))</f>
        <v>Medium</v>
      </c>
      <c r="AL284" s="17" t="str">
        <f>IF(RANK(HS_DB[[#This Row],[HS Code Risk Score]],HS_DB[HS Code Risk Score])&lt;=10,"Yes","No")</f>
        <v>No</v>
      </c>
      <c r="AM284" s="8">
        <f>SUMIFS(HS_DB[Net Weight -KG],HS_DB[HS Code],HS_DB[[#This Row],[HS Code]])</f>
        <v>1293070.0000000002</v>
      </c>
      <c r="AN284" s="8">
        <f>SUMIFS(HS_DB[Trade Value - USD],HS_DB[HS Code],HS_DB[[#This Row],[HS Code]])</f>
        <v>53776648</v>
      </c>
      <c r="AO284" s="6">
        <f>_xlfn.MAXIFS(HS_DB[Origin Share%],HS_DB[HS Code],HS_DB[[#This Row],[HS Code]])</f>
        <v>0.39900464236999494</v>
      </c>
      <c r="AP284" s="8" cm="1">
        <f t="array" ref="AP284">_xlfn.LET(
_xlpm.hs,HS_DB[[#This Row],[HS Code]],
COUNTA(_xlfn.UNIQUE(_xlfn._xlws.FILTER(HS_DB[Reporter],HS_DB[HS Code]=_xlpm.hs)))
)</f>
        <v>19</v>
      </c>
      <c r="AQ284" s="17" t="str">
        <f>IF(HS_DB[[#This Row],[Origin Count]]=1,"Single Source","Multiple Sources")</f>
        <v>Multiple Sources</v>
      </c>
      <c r="AR284" s="8">
        <f>HS_DB[[#This Row],[Annual Spend - USD]]*(HS_DB[[#This Row],[HS Code Risk Score]]/100)</f>
        <v>18284060.32</v>
      </c>
      <c r="AS284" s="8">
        <f>RANK(HS_DB[[#This Row],[Risk Exposure - USD]],HS_DB[Risk Exposure - USD],0)</f>
        <v>33</v>
      </c>
      <c r="AT284" s="8" t="str">
        <f>IF(HS_DB[[#This Row],[Risk Exposure Rank]]&lt;=10,"High",
 IF(HS_DB[[#This Row],[Risk Exposure Rank]]&lt;=30,"Medium",
 "Low"))</f>
        <v>Low</v>
      </c>
      <c r="AU284" s="8" t="str">
        <f>IF(HS_DB[[#This Row],[Risk Exposure Rank]]&lt;=5,"Immediate Action",
 IF(HS_DB[[#This Row],[Risk Exposure Rank]]&lt;=15,"Monitor Closely",
 "Routine Control"))</f>
        <v>Routine Control</v>
      </c>
      <c r="AV284" s="8">
        <f>SUMIFS(HS_DB[Trade Value - USD],HS_DB[HS Code],HS_DB[[#This Row],[HS Code]])</f>
        <v>53776648</v>
      </c>
      <c r="AW284" s="6">
        <f>HS_DB[[#This Row],[Annual Spend - USD]]/HS_DB[[#This Row],[Total Market Size - USD]]</f>
        <v>1</v>
      </c>
      <c r="AX284" s="6" cm="1">
        <f t="array" ref="AX284">COUNTA(_xlfn.UNIQUE(_xlfn._xlws.FILTER(HS_DB[Partner],HS_DB[HS Code]=HS_DB[[#This Row],[HS Code]])))</f>
        <v>1</v>
      </c>
      <c r="AY284" s="8" t="str">
        <f>IF(HS_DB[[#This Row],[Competition Intensity]]&lt;=2,"Highly Concentrated",
 IF(HS_DB[[#This Row],[Competition Intensity]]&lt;=5,"Moderate",
 "Highly Competitive"))</f>
        <v>Highly Concentrated</v>
      </c>
      <c r="AZ284" s="8">
        <f>HS_DB[[#This Row],[Total Market Size - USD]]
*
(1+IFERROR(#REF!,0))
/
HS_DB[[#This Row],[Competition Intensity]]</f>
        <v>53776648</v>
      </c>
      <c r="BA284" s="8" t="str">
        <f>IF(HS_DB[[#This Row],[Commercial Opportunity Score]]&gt;=PERCENTILE(HS_DB[Commercial Opportunity Score],0.9),"High Opportunity",
 IF(HS_DB[[#This Row],[Commercial Opportunity Score]]&gt;=PERCENTILE(HS_DB[Commercial Opportunity Score],0.6),"Medium Opportunity",
 "Routine Market"))</f>
        <v>High Opportunity</v>
      </c>
      <c r="BB284" s="3" t="str">
        <f>IF(AND(HS_DB[[#This Row],[Product Rank]]&gt;0,HS_DB[[#This Row],[Product Rank]]&lt;=10),"Yes","No")</f>
        <v>No</v>
      </c>
      <c r="BC284" s="3" t="str">
        <f>IF(AND(HS_DB[[#This Row],[Origin Rank]]&gt;0,HS_DB[[#This Row],[Origin Rank]]&lt;=10),"Yes","No")</f>
        <v>Yes</v>
      </c>
    </row>
    <row r="285" spans="2:55" x14ac:dyDescent="0.3">
      <c r="B285" s="2">
        <f>HS_DB[[#This Row],[Commodity Code]]</f>
        <v>293499</v>
      </c>
      <c r="C285" s="2">
        <f>IFERROR(INDEX(HS_MD!C:C,MATCH(B285,HS_MD!B:B,0),1),"")</f>
        <v>22</v>
      </c>
      <c r="D285" s="17" t="str">
        <f>IFERROR(INDEX(HS_MD!D:D,MATCH(B285,HS_MD!B:B,0),1),"")</f>
        <v>Heterocyclic compounds</v>
      </c>
      <c r="E285" s="17" t="str">
        <f>IFERROR(INDEX(HS_MD!E:E,MATCH(B285,HS_MD!B:B,0),1),"")</f>
        <v>Acesulfame-K</v>
      </c>
      <c r="F285" s="17" t="str">
        <f>IFERROR(INDEX(HS_MD!F:F,MATCH(B285,HS_MD!B:B,0),1),"")</f>
        <v>SWEETENERS</v>
      </c>
      <c r="G285" s="17" t="str">
        <f>IFERROR(INDEX(HS_MD!G:G,MATCH(B285,HS_MD!B:B,0),1),"")</f>
        <v>High Intensity Sweeteners</v>
      </c>
      <c r="H285" s="17" t="str">
        <f>IFERROR(INDEX(HS_MD!H:H,MATCH(B285,HS_MD!B:B,0),1),"")</f>
        <v>Acesulfame-K</v>
      </c>
      <c r="I285" s="17" t="str">
        <f>IFERROR(INDEX(HS_MD!I:I,MATCH(B285,HS_MD!B:B,0),1),"")</f>
        <v>Diet Beverages</v>
      </c>
      <c r="J285" s="17">
        <f>IFERROR(INDEX(Heat_Map[Index],MATCH(HS_DB[[#This Row],[Reporter]],Heat_Map[Global],0),1),"")</f>
        <v>118</v>
      </c>
      <c r="K285" s="17" t="str">
        <f>IF(AND(HS_DB[[#This Row],[Origin Rank]]&gt;1,HS_DB[[#This Row],[Origin Rank]]&lt;=10),"Yes","No")</f>
        <v>No</v>
      </c>
      <c r="L285" s="2">
        <v>2024</v>
      </c>
      <c r="M285" s="2" t="s">
        <v>57</v>
      </c>
      <c r="N285" s="2" t="s">
        <v>53</v>
      </c>
      <c r="O285" s="2" t="s">
        <v>22</v>
      </c>
      <c r="P285" s="2" t="s">
        <v>23</v>
      </c>
      <c r="Q285" s="2" t="s">
        <v>24</v>
      </c>
      <c r="R285" s="2" t="s">
        <v>25</v>
      </c>
      <c r="S285" s="2">
        <v>293499</v>
      </c>
      <c r="T285" s="3">
        <v>75766</v>
      </c>
      <c r="U285" s="3">
        <v>1402</v>
      </c>
      <c r="V285" s="3">
        <v>0</v>
      </c>
      <c r="W285" s="3">
        <v>1402</v>
      </c>
      <c r="X285" s="3" t="s">
        <v>58</v>
      </c>
      <c r="Y285" s="3">
        <v>1402</v>
      </c>
      <c r="Z285" s="3" t="s">
        <v>58</v>
      </c>
      <c r="AA285" s="6">
        <f>SUMIFS(HS_DB[Trade Value - USD],HS_DB[Reporter],HS_DB[[#This Row],[Reporter]])/SUM(HS_DB[Trade Value - USD])</f>
        <v>1.4561232389604124E-2</v>
      </c>
      <c r="AB285" s="8" cm="1">
        <f t="array" ref="AB285">SUMPRODUCT(
(HS_DB[Reporter]=HS_DB[[#This Row],[Reporter]])*
(HS_DB[Trade Value - USD]&gt;HS_DB[[#This Row],[Trade Value - USD]])
)+1</f>
        <v>17</v>
      </c>
      <c r="AC285" s="8" t="str">
        <f>IFERROR(IF(INDEX(Heat_Map[Crisis Impact %],MATCH(HS_DB[[#This Row],[Reporter]],Heat_Map[Global],0),1)&gt;0,"Yes","No"),"No")</f>
        <v>No</v>
      </c>
      <c r="AD285" s="6">
        <f>IFERROR(INDEX(Heat_Map[Crisis Impact %],MATCH(HS_DB[[#This Row],[Reporter]],Heat_Map[Global],0),1),0)</f>
        <v>0</v>
      </c>
      <c r="AE285" s="8">
        <f>HS_DB[[#This Row],[Crisis Impact%]]*HS_DB[[#This Row],[Trade Value - USD]]</f>
        <v>0</v>
      </c>
      <c r="AF285" s="8">
        <f>HS_DB[[#This Row],[Crisis Impact%]]*HS_DB[[#This Row],[Net Weight -KG]]</f>
        <v>0</v>
      </c>
      <c r="AG285" s="6">
        <f>SUMIFS(HS_DB[Trade Value - USD],HS_DB[Products],HS_DB[[#This Row],[Products]])/SUM(HS_DB[Trade Value - USD])</f>
        <v>2.8528600021988443E-2</v>
      </c>
      <c r="AH285" s="8">
        <f>_xlfn.RANK.EQ(HS_DB[[#This Row],[Trade Value - USD]], HS_DB[Trade Value - USD], 0)
 + COUNTIFS(HS_DB[Trade Value - USD],HS_DB[[#This Row],[Trade Value - USD]],
            HS_DB[HS Code],"&lt;"&amp;HS_DB[[#This Row],[HS Code]])</f>
        <v>297</v>
      </c>
      <c r="AI285" s="9">
        <f>IFERROR(HS_DB[[#This Row],[Trade Value - USD]]/HS_DB[[#This Row],[Net Weight -KG]],0)</f>
        <v>54.041369472182595</v>
      </c>
      <c r="AJ285" s="17" cm="1">
        <f t="array" ref="AJ285">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85" s="17" t="str">
        <f>IF(HS_DB[[#This Row],[HS Code Risk Score]]&gt;=40,"High",
 IF(HS_DB[[#This Row],[HS Code Risk Score]]&gt;=25,"Medium","Low"))</f>
        <v>Medium</v>
      </c>
      <c r="AL285" s="17" t="str">
        <f>IF(RANK(HS_DB[[#This Row],[HS Code Risk Score]],HS_DB[HS Code Risk Score])&lt;=10,"Yes","No")</f>
        <v>No</v>
      </c>
      <c r="AM285" s="8">
        <f>SUMIFS(HS_DB[Net Weight -KG],HS_DB[HS Code],HS_DB[[#This Row],[HS Code]])</f>
        <v>1293070.0000000002</v>
      </c>
      <c r="AN285" s="8">
        <f>SUMIFS(HS_DB[Trade Value - USD],HS_DB[HS Code],HS_DB[[#This Row],[HS Code]])</f>
        <v>53776648</v>
      </c>
      <c r="AO285" s="6">
        <f>_xlfn.MAXIFS(HS_DB[Origin Share%],HS_DB[HS Code],HS_DB[[#This Row],[HS Code]])</f>
        <v>0.39900464236999494</v>
      </c>
      <c r="AP285" s="8" cm="1">
        <f t="array" ref="AP285">_xlfn.LET(
_xlpm.hs,HS_DB[[#This Row],[HS Code]],
COUNTA(_xlfn.UNIQUE(_xlfn._xlws.FILTER(HS_DB[Reporter],HS_DB[HS Code]=_xlpm.hs)))
)</f>
        <v>19</v>
      </c>
      <c r="AQ285" s="17" t="str">
        <f>IF(HS_DB[[#This Row],[Origin Count]]=1,"Single Source","Multiple Sources")</f>
        <v>Multiple Sources</v>
      </c>
      <c r="AR285" s="8">
        <f>HS_DB[[#This Row],[Annual Spend - USD]]*(HS_DB[[#This Row],[HS Code Risk Score]]/100)</f>
        <v>18284060.32</v>
      </c>
      <c r="AS285" s="8">
        <f>RANK(HS_DB[[#This Row],[Risk Exposure - USD]],HS_DB[Risk Exposure - USD],0)</f>
        <v>33</v>
      </c>
      <c r="AT285" s="8" t="str">
        <f>IF(HS_DB[[#This Row],[Risk Exposure Rank]]&lt;=10,"High",
 IF(HS_DB[[#This Row],[Risk Exposure Rank]]&lt;=30,"Medium",
 "Low"))</f>
        <v>Low</v>
      </c>
      <c r="AU285" s="8" t="str">
        <f>IF(HS_DB[[#This Row],[Risk Exposure Rank]]&lt;=5,"Immediate Action",
 IF(HS_DB[[#This Row],[Risk Exposure Rank]]&lt;=15,"Monitor Closely",
 "Routine Control"))</f>
        <v>Routine Control</v>
      </c>
      <c r="AV285" s="8">
        <f>SUMIFS(HS_DB[Trade Value - USD],HS_DB[HS Code],HS_DB[[#This Row],[HS Code]])</f>
        <v>53776648</v>
      </c>
      <c r="AW285" s="6">
        <f>HS_DB[[#This Row],[Annual Spend - USD]]/HS_DB[[#This Row],[Total Market Size - USD]]</f>
        <v>1</v>
      </c>
      <c r="AX285" s="6" cm="1">
        <f t="array" ref="AX285">COUNTA(_xlfn.UNIQUE(_xlfn._xlws.FILTER(HS_DB[Partner],HS_DB[HS Code]=HS_DB[[#This Row],[HS Code]])))</f>
        <v>1</v>
      </c>
      <c r="AY285" s="8" t="str">
        <f>IF(HS_DB[[#This Row],[Competition Intensity]]&lt;=2,"Highly Concentrated",
 IF(HS_DB[[#This Row],[Competition Intensity]]&lt;=5,"Moderate",
 "Highly Competitive"))</f>
        <v>Highly Concentrated</v>
      </c>
      <c r="AZ285" s="8">
        <f>HS_DB[[#This Row],[Total Market Size - USD]]
*
(1+IFERROR(#REF!,0))
/
HS_DB[[#This Row],[Competition Intensity]]</f>
        <v>53776648</v>
      </c>
      <c r="BA285" s="8" t="str">
        <f>IF(HS_DB[[#This Row],[Commercial Opportunity Score]]&gt;=PERCENTILE(HS_DB[Commercial Opportunity Score],0.9),"High Opportunity",
 IF(HS_DB[[#This Row],[Commercial Opportunity Score]]&gt;=PERCENTILE(HS_DB[Commercial Opportunity Score],0.6),"Medium Opportunity",
 "Routine Market"))</f>
        <v>High Opportunity</v>
      </c>
      <c r="BB285" s="3" t="str">
        <f>IF(AND(HS_DB[[#This Row],[Product Rank]]&gt;0,HS_DB[[#This Row],[Product Rank]]&lt;=10),"Yes","No")</f>
        <v>No</v>
      </c>
      <c r="BC285" s="3" t="str">
        <f>IF(AND(HS_DB[[#This Row],[Origin Rank]]&gt;0,HS_DB[[#This Row],[Origin Rank]]&lt;=10),"Yes","No")</f>
        <v>No</v>
      </c>
    </row>
    <row r="286" spans="2:55" x14ac:dyDescent="0.3">
      <c r="B286" s="2">
        <f>HS_DB[[#This Row],[Commodity Code]]</f>
        <v>293499</v>
      </c>
      <c r="C286" s="2">
        <f>IFERROR(INDEX(HS_MD!C:C,MATCH(B286,HS_MD!B:B,0),1),"")</f>
        <v>22</v>
      </c>
      <c r="D286" s="17" t="str">
        <f>IFERROR(INDEX(HS_MD!D:D,MATCH(B286,HS_MD!B:B,0),1),"")</f>
        <v>Heterocyclic compounds</v>
      </c>
      <c r="E286" s="17" t="str">
        <f>IFERROR(INDEX(HS_MD!E:E,MATCH(B286,HS_MD!B:B,0),1),"")</f>
        <v>Acesulfame-K</v>
      </c>
      <c r="F286" s="17" t="str">
        <f>IFERROR(INDEX(HS_MD!F:F,MATCH(B286,HS_MD!B:B,0),1),"")</f>
        <v>SWEETENERS</v>
      </c>
      <c r="G286" s="17" t="str">
        <f>IFERROR(INDEX(HS_MD!G:G,MATCH(B286,HS_MD!B:B,0),1),"")</f>
        <v>High Intensity Sweeteners</v>
      </c>
      <c r="H286" s="17" t="str">
        <f>IFERROR(INDEX(HS_MD!H:H,MATCH(B286,HS_MD!B:B,0),1),"")</f>
        <v>Acesulfame-K</v>
      </c>
      <c r="I286" s="17" t="str">
        <f>IFERROR(INDEX(HS_MD!I:I,MATCH(B286,HS_MD!B:B,0),1),"")</f>
        <v>Diet Beverages</v>
      </c>
      <c r="J286" s="17">
        <f>IFERROR(INDEX(Heat_Map[Index],MATCH(HS_DB[[#This Row],[Reporter]],Heat_Map[Global],0),1),"")</f>
        <v>134</v>
      </c>
      <c r="K286" s="17" t="str">
        <f>IF(AND(HS_DB[[#This Row],[Origin Rank]]&gt;1,HS_DB[[#This Row],[Origin Rank]]&lt;=10),"Yes","No")</f>
        <v>Yes</v>
      </c>
      <c r="L286" s="2">
        <v>2024</v>
      </c>
      <c r="M286" s="2" t="s">
        <v>57</v>
      </c>
      <c r="N286" s="2" t="s">
        <v>55</v>
      </c>
      <c r="O286" s="2" t="s">
        <v>22</v>
      </c>
      <c r="P286" s="2" t="s">
        <v>23</v>
      </c>
      <c r="Q286" s="2" t="s">
        <v>24</v>
      </c>
      <c r="R286" s="2" t="s">
        <v>25</v>
      </c>
      <c r="S286" s="2">
        <v>293499</v>
      </c>
      <c r="T286" s="3">
        <v>86733</v>
      </c>
      <c r="U286" s="3">
        <v>59.1</v>
      </c>
      <c r="V286" s="3">
        <v>0</v>
      </c>
      <c r="W286" s="3">
        <v>59</v>
      </c>
      <c r="X286" s="3" t="s">
        <v>58</v>
      </c>
      <c r="Y286" s="3">
        <v>0</v>
      </c>
      <c r="Z286" s="3" t="s">
        <v>26</v>
      </c>
      <c r="AA286" s="6">
        <f>SUMIFS(HS_DB[Trade Value - USD],HS_DB[Reporter],HS_DB[[#This Row],[Reporter]])/SUM(HS_DB[Trade Value - USD])</f>
        <v>6.3855771678493602E-3</v>
      </c>
      <c r="AB286" s="8" cm="1">
        <f t="array" ref="AB286">SUMPRODUCT(
(HS_DB[Reporter]=HS_DB[[#This Row],[Reporter]])*
(HS_DB[Trade Value - USD]&gt;HS_DB[[#This Row],[Trade Value - USD]])
)+1</f>
        <v>5</v>
      </c>
      <c r="AC286" s="8" t="str">
        <f>IFERROR(IF(INDEX(Heat_Map[Crisis Impact %],MATCH(HS_DB[[#This Row],[Reporter]],Heat_Map[Global],0),1)&gt;0,"Yes","No"),"No")</f>
        <v>Yes</v>
      </c>
      <c r="AD286" s="6">
        <f>IFERROR(INDEX(Heat_Map[Crisis Impact %],MATCH(HS_DB[[#This Row],[Reporter]],Heat_Map[Global],0),1),0)</f>
        <v>0.06</v>
      </c>
      <c r="AE286" s="8">
        <f>HS_DB[[#This Row],[Crisis Impact%]]*HS_DB[[#This Row],[Trade Value - USD]]</f>
        <v>5203.9799999999996</v>
      </c>
      <c r="AF286" s="8">
        <f>HS_DB[[#This Row],[Crisis Impact%]]*HS_DB[[#This Row],[Net Weight -KG]]</f>
        <v>3.5459999999999998</v>
      </c>
      <c r="AG286" s="6">
        <f>SUMIFS(HS_DB[Trade Value - USD],HS_DB[Products],HS_DB[[#This Row],[Products]])/SUM(HS_DB[Trade Value - USD])</f>
        <v>2.8528600021988443E-2</v>
      </c>
      <c r="AH286" s="8">
        <f>_xlfn.RANK.EQ(HS_DB[[#This Row],[Trade Value - USD]], HS_DB[Trade Value - USD], 0)
 + COUNTIFS(HS_DB[Trade Value - USD],HS_DB[[#This Row],[Trade Value - USD]],
            HS_DB[HS Code],"&lt;"&amp;HS_DB[[#This Row],[HS Code]])</f>
        <v>285</v>
      </c>
      <c r="AI286" s="9">
        <f>IFERROR(HS_DB[[#This Row],[Trade Value - USD]]/HS_DB[[#This Row],[Net Weight -KG]],0)</f>
        <v>1467.5634517766498</v>
      </c>
      <c r="AJ286" s="17" cm="1">
        <f t="array" ref="AJ286">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86" s="17" t="str">
        <f>IF(HS_DB[[#This Row],[HS Code Risk Score]]&gt;=40,"High",
 IF(HS_DB[[#This Row],[HS Code Risk Score]]&gt;=25,"Medium","Low"))</f>
        <v>Medium</v>
      </c>
      <c r="AL286" s="17" t="str">
        <f>IF(RANK(HS_DB[[#This Row],[HS Code Risk Score]],HS_DB[HS Code Risk Score])&lt;=10,"Yes","No")</f>
        <v>No</v>
      </c>
      <c r="AM286" s="8">
        <f>SUMIFS(HS_DB[Net Weight -KG],HS_DB[HS Code],HS_DB[[#This Row],[HS Code]])</f>
        <v>1293070.0000000002</v>
      </c>
      <c r="AN286" s="8">
        <f>SUMIFS(HS_DB[Trade Value - USD],HS_DB[HS Code],HS_DB[[#This Row],[HS Code]])</f>
        <v>53776648</v>
      </c>
      <c r="AO286" s="6">
        <f>_xlfn.MAXIFS(HS_DB[Origin Share%],HS_DB[HS Code],HS_DB[[#This Row],[HS Code]])</f>
        <v>0.39900464236999494</v>
      </c>
      <c r="AP286" s="8" cm="1">
        <f t="array" ref="AP286">_xlfn.LET(
_xlpm.hs,HS_DB[[#This Row],[HS Code]],
COUNTA(_xlfn.UNIQUE(_xlfn._xlws.FILTER(HS_DB[Reporter],HS_DB[HS Code]=_xlpm.hs)))
)</f>
        <v>19</v>
      </c>
      <c r="AQ286" s="17" t="str">
        <f>IF(HS_DB[[#This Row],[Origin Count]]=1,"Single Source","Multiple Sources")</f>
        <v>Multiple Sources</v>
      </c>
      <c r="AR286" s="8">
        <f>HS_DB[[#This Row],[Annual Spend - USD]]*(HS_DB[[#This Row],[HS Code Risk Score]]/100)</f>
        <v>18284060.32</v>
      </c>
      <c r="AS286" s="8">
        <f>RANK(HS_DB[[#This Row],[Risk Exposure - USD]],HS_DB[Risk Exposure - USD],0)</f>
        <v>33</v>
      </c>
      <c r="AT286" s="8" t="str">
        <f>IF(HS_DB[[#This Row],[Risk Exposure Rank]]&lt;=10,"High",
 IF(HS_DB[[#This Row],[Risk Exposure Rank]]&lt;=30,"Medium",
 "Low"))</f>
        <v>Low</v>
      </c>
      <c r="AU286" s="8" t="str">
        <f>IF(HS_DB[[#This Row],[Risk Exposure Rank]]&lt;=5,"Immediate Action",
 IF(HS_DB[[#This Row],[Risk Exposure Rank]]&lt;=15,"Monitor Closely",
 "Routine Control"))</f>
        <v>Routine Control</v>
      </c>
      <c r="AV286" s="8">
        <f>SUMIFS(HS_DB[Trade Value - USD],HS_DB[HS Code],HS_DB[[#This Row],[HS Code]])</f>
        <v>53776648</v>
      </c>
      <c r="AW286" s="6">
        <f>HS_DB[[#This Row],[Annual Spend - USD]]/HS_DB[[#This Row],[Total Market Size - USD]]</f>
        <v>1</v>
      </c>
      <c r="AX286" s="6" cm="1">
        <f t="array" ref="AX286">COUNTA(_xlfn.UNIQUE(_xlfn._xlws.FILTER(HS_DB[Partner],HS_DB[HS Code]=HS_DB[[#This Row],[HS Code]])))</f>
        <v>1</v>
      </c>
      <c r="AY286" s="8" t="str">
        <f>IF(HS_DB[[#This Row],[Competition Intensity]]&lt;=2,"Highly Concentrated",
 IF(HS_DB[[#This Row],[Competition Intensity]]&lt;=5,"Moderate",
 "Highly Competitive"))</f>
        <v>Highly Concentrated</v>
      </c>
      <c r="AZ286" s="8">
        <f>HS_DB[[#This Row],[Total Market Size - USD]]
*
(1+IFERROR(#REF!,0))
/
HS_DB[[#This Row],[Competition Intensity]]</f>
        <v>53776648</v>
      </c>
      <c r="BA286" s="8" t="str">
        <f>IF(HS_DB[[#This Row],[Commercial Opportunity Score]]&gt;=PERCENTILE(HS_DB[Commercial Opportunity Score],0.9),"High Opportunity",
 IF(HS_DB[[#This Row],[Commercial Opportunity Score]]&gt;=PERCENTILE(HS_DB[Commercial Opportunity Score],0.6),"Medium Opportunity",
 "Routine Market"))</f>
        <v>High Opportunity</v>
      </c>
      <c r="BB286" s="3" t="str">
        <f>IF(AND(HS_DB[[#This Row],[Product Rank]]&gt;0,HS_DB[[#This Row],[Product Rank]]&lt;=10),"Yes","No")</f>
        <v>No</v>
      </c>
      <c r="BC286" s="3" t="str">
        <f>IF(AND(HS_DB[[#This Row],[Origin Rank]]&gt;0,HS_DB[[#This Row],[Origin Rank]]&lt;=10),"Yes","No")</f>
        <v>Yes</v>
      </c>
    </row>
    <row r="287" spans="2:55" x14ac:dyDescent="0.3">
      <c r="B287" s="2">
        <f>HS_DB[[#This Row],[Commodity Code]]</f>
        <v>293499</v>
      </c>
      <c r="C287" s="2">
        <f>IFERROR(INDEX(HS_MD!C:C,MATCH(B287,HS_MD!B:B,0),1),"")</f>
        <v>22</v>
      </c>
      <c r="D287" s="17" t="str">
        <f>IFERROR(INDEX(HS_MD!D:D,MATCH(B287,HS_MD!B:B,0),1),"")</f>
        <v>Heterocyclic compounds</v>
      </c>
      <c r="E287" s="17" t="str">
        <f>IFERROR(INDEX(HS_MD!E:E,MATCH(B287,HS_MD!B:B,0),1),"")</f>
        <v>Acesulfame-K</v>
      </c>
      <c r="F287" s="17" t="str">
        <f>IFERROR(INDEX(HS_MD!F:F,MATCH(B287,HS_MD!B:B,0),1),"")</f>
        <v>SWEETENERS</v>
      </c>
      <c r="G287" s="17" t="str">
        <f>IFERROR(INDEX(HS_MD!G:G,MATCH(B287,HS_MD!B:B,0),1),"")</f>
        <v>High Intensity Sweeteners</v>
      </c>
      <c r="H287" s="17" t="str">
        <f>IFERROR(INDEX(HS_MD!H:H,MATCH(B287,HS_MD!B:B,0),1),"")</f>
        <v>Acesulfame-K</v>
      </c>
      <c r="I287" s="17" t="str">
        <f>IFERROR(INDEX(HS_MD!I:I,MATCH(B287,HS_MD!B:B,0),1),"")</f>
        <v>Diet Beverages</v>
      </c>
      <c r="J287" s="17">
        <f>IFERROR(INDEX(Heat_Map[Index],MATCH(HS_DB[[#This Row],[Reporter]],Heat_Map[Global],0),1),"")</f>
        <v>75</v>
      </c>
      <c r="K287" s="17" t="str">
        <f>IF(AND(HS_DB[[#This Row],[Origin Rank]]&gt;1,HS_DB[[#This Row],[Origin Rank]]&lt;=10),"Yes","No")</f>
        <v>No</v>
      </c>
      <c r="L287" s="2">
        <v>2024</v>
      </c>
      <c r="M287" s="2" t="s">
        <v>57</v>
      </c>
      <c r="N287" s="2" t="s">
        <v>8</v>
      </c>
      <c r="O287" s="2" t="s">
        <v>22</v>
      </c>
      <c r="P287" s="2" t="s">
        <v>23</v>
      </c>
      <c r="Q287" s="2" t="s">
        <v>24</v>
      </c>
      <c r="R287" s="2" t="s">
        <v>25</v>
      </c>
      <c r="S287" s="2">
        <v>293499</v>
      </c>
      <c r="T287" s="3">
        <v>13286977</v>
      </c>
      <c r="U287" s="3">
        <v>92748</v>
      </c>
      <c r="V287" s="3">
        <v>0</v>
      </c>
      <c r="W287" s="3">
        <v>92748</v>
      </c>
      <c r="X287" s="3" t="s">
        <v>58</v>
      </c>
      <c r="Y287" s="3">
        <v>92748</v>
      </c>
      <c r="Z287" s="3" t="s">
        <v>58</v>
      </c>
      <c r="AA287" s="6">
        <f>SUMIFS(HS_DB[Trade Value - USD],HS_DB[Reporter],HS_DB[[#This Row],[Reporter]])/SUM(HS_DB[Trade Value - USD])</f>
        <v>2.2441761060335613E-2</v>
      </c>
      <c r="AB287" s="8" cm="1">
        <f t="array" ref="AB287">SUMPRODUCT(
(HS_DB[Reporter]=HS_DB[[#This Row],[Reporter]])*
(HS_DB[Trade Value - USD]&gt;HS_DB[[#This Row],[Trade Value - USD]])
)+1</f>
        <v>1</v>
      </c>
      <c r="AC287" s="8" t="str">
        <f>IFERROR(IF(INDEX(Heat_Map[Crisis Impact %],MATCH(HS_DB[[#This Row],[Reporter]],Heat_Map[Global],0),1)&gt;0,"Yes","No"),"No")</f>
        <v>No</v>
      </c>
      <c r="AD287" s="6">
        <f>IFERROR(INDEX(Heat_Map[Crisis Impact %],MATCH(HS_DB[[#This Row],[Reporter]],Heat_Map[Global],0),1),0)</f>
        <v>0</v>
      </c>
      <c r="AE287" s="8">
        <f>HS_DB[[#This Row],[Crisis Impact%]]*HS_DB[[#This Row],[Trade Value - USD]]</f>
        <v>0</v>
      </c>
      <c r="AF287" s="8">
        <f>HS_DB[[#This Row],[Crisis Impact%]]*HS_DB[[#This Row],[Net Weight -KG]]</f>
        <v>0</v>
      </c>
      <c r="AG287" s="6">
        <f>SUMIFS(HS_DB[Trade Value - USD],HS_DB[Products],HS_DB[[#This Row],[Products]])/SUM(HS_DB[Trade Value - USD])</f>
        <v>2.8528600021988443E-2</v>
      </c>
      <c r="AH287" s="8">
        <f>_xlfn.RANK.EQ(HS_DB[[#This Row],[Trade Value - USD]], HS_DB[Trade Value - USD], 0)
 + COUNTIFS(HS_DB[Trade Value - USD],HS_DB[[#This Row],[Trade Value - USD]],
            HS_DB[HS Code],"&lt;"&amp;HS_DB[[#This Row],[HS Code]])</f>
        <v>12</v>
      </c>
      <c r="AI287" s="9">
        <f>IFERROR(HS_DB[[#This Row],[Trade Value - USD]]/HS_DB[[#This Row],[Net Weight -KG]],0)</f>
        <v>143.25890585241731</v>
      </c>
      <c r="AJ287" s="17" cm="1">
        <f t="array" ref="AJ287">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87" s="17" t="str">
        <f>IF(HS_DB[[#This Row],[HS Code Risk Score]]&gt;=40,"High",
 IF(HS_DB[[#This Row],[HS Code Risk Score]]&gt;=25,"Medium","Low"))</f>
        <v>Medium</v>
      </c>
      <c r="AL287" s="17" t="str">
        <f>IF(RANK(HS_DB[[#This Row],[HS Code Risk Score]],HS_DB[HS Code Risk Score])&lt;=10,"Yes","No")</f>
        <v>No</v>
      </c>
      <c r="AM287" s="8">
        <f>SUMIFS(HS_DB[Net Weight -KG],HS_DB[HS Code],HS_DB[[#This Row],[HS Code]])</f>
        <v>1293070.0000000002</v>
      </c>
      <c r="AN287" s="8">
        <f>SUMIFS(HS_DB[Trade Value - USD],HS_DB[HS Code],HS_DB[[#This Row],[HS Code]])</f>
        <v>53776648</v>
      </c>
      <c r="AO287" s="6">
        <f>_xlfn.MAXIFS(HS_DB[Origin Share%],HS_DB[HS Code],HS_DB[[#This Row],[HS Code]])</f>
        <v>0.39900464236999494</v>
      </c>
      <c r="AP287" s="8" cm="1">
        <f t="array" ref="AP287">_xlfn.LET(
_xlpm.hs,HS_DB[[#This Row],[HS Code]],
COUNTA(_xlfn.UNIQUE(_xlfn._xlws.FILTER(HS_DB[Reporter],HS_DB[HS Code]=_xlpm.hs)))
)</f>
        <v>19</v>
      </c>
      <c r="AQ287" s="17" t="str">
        <f>IF(HS_DB[[#This Row],[Origin Count]]=1,"Single Source","Multiple Sources")</f>
        <v>Multiple Sources</v>
      </c>
      <c r="AR287" s="8">
        <f>HS_DB[[#This Row],[Annual Spend - USD]]*(HS_DB[[#This Row],[HS Code Risk Score]]/100)</f>
        <v>18284060.32</v>
      </c>
      <c r="AS287" s="8">
        <f>RANK(HS_DB[[#This Row],[Risk Exposure - USD]],HS_DB[Risk Exposure - USD],0)</f>
        <v>33</v>
      </c>
      <c r="AT287" s="8" t="str">
        <f>IF(HS_DB[[#This Row],[Risk Exposure Rank]]&lt;=10,"High",
 IF(HS_DB[[#This Row],[Risk Exposure Rank]]&lt;=30,"Medium",
 "Low"))</f>
        <v>Low</v>
      </c>
      <c r="AU287" s="8" t="str">
        <f>IF(HS_DB[[#This Row],[Risk Exposure Rank]]&lt;=5,"Immediate Action",
 IF(HS_DB[[#This Row],[Risk Exposure Rank]]&lt;=15,"Monitor Closely",
 "Routine Control"))</f>
        <v>Routine Control</v>
      </c>
      <c r="AV287" s="8">
        <f>SUMIFS(HS_DB[Trade Value - USD],HS_DB[HS Code],HS_DB[[#This Row],[HS Code]])</f>
        <v>53776648</v>
      </c>
      <c r="AW287" s="6">
        <f>HS_DB[[#This Row],[Annual Spend - USD]]/HS_DB[[#This Row],[Total Market Size - USD]]</f>
        <v>1</v>
      </c>
      <c r="AX287" s="6" cm="1">
        <f t="array" ref="AX287">COUNTA(_xlfn.UNIQUE(_xlfn._xlws.FILTER(HS_DB[Partner],HS_DB[HS Code]=HS_DB[[#This Row],[HS Code]])))</f>
        <v>1</v>
      </c>
      <c r="AY287" s="8" t="str">
        <f>IF(HS_DB[[#This Row],[Competition Intensity]]&lt;=2,"Highly Concentrated",
 IF(HS_DB[[#This Row],[Competition Intensity]]&lt;=5,"Moderate",
 "Highly Competitive"))</f>
        <v>Highly Concentrated</v>
      </c>
      <c r="AZ287" s="8">
        <f>HS_DB[[#This Row],[Total Market Size - USD]]
*
(1+IFERROR(#REF!,0))
/
HS_DB[[#This Row],[Competition Intensity]]</f>
        <v>53776648</v>
      </c>
      <c r="BA287" s="8" t="str">
        <f>IF(HS_DB[[#This Row],[Commercial Opportunity Score]]&gt;=PERCENTILE(HS_DB[Commercial Opportunity Score],0.9),"High Opportunity",
 IF(HS_DB[[#This Row],[Commercial Opportunity Score]]&gt;=PERCENTILE(HS_DB[Commercial Opportunity Score],0.6),"Medium Opportunity",
 "Routine Market"))</f>
        <v>High Opportunity</v>
      </c>
      <c r="BB287" s="3" t="str">
        <f>IF(AND(HS_DB[[#This Row],[Product Rank]]&gt;0,HS_DB[[#This Row],[Product Rank]]&lt;=10),"Yes","No")</f>
        <v>No</v>
      </c>
      <c r="BC287" s="3" t="str">
        <f>IF(AND(HS_DB[[#This Row],[Origin Rank]]&gt;0,HS_DB[[#This Row],[Origin Rank]]&lt;=10),"Yes","No")</f>
        <v>Yes</v>
      </c>
    </row>
    <row r="288" spans="2:55" x14ac:dyDescent="0.3">
      <c r="B288" s="2">
        <f>HS_DB[[#This Row],[Commodity Code]]</f>
        <v>293499</v>
      </c>
      <c r="C288" s="2">
        <f>IFERROR(INDEX(HS_MD!C:C,MATCH(B288,HS_MD!B:B,0),1),"")</f>
        <v>22</v>
      </c>
      <c r="D288" s="17" t="str">
        <f>IFERROR(INDEX(HS_MD!D:D,MATCH(B288,HS_MD!B:B,0),1),"")</f>
        <v>Heterocyclic compounds</v>
      </c>
      <c r="E288" s="17" t="str">
        <f>IFERROR(INDEX(HS_MD!E:E,MATCH(B288,HS_MD!B:B,0),1),"")</f>
        <v>Acesulfame-K</v>
      </c>
      <c r="F288" s="17" t="str">
        <f>IFERROR(INDEX(HS_MD!F:F,MATCH(B288,HS_MD!B:B,0),1),"")</f>
        <v>SWEETENERS</v>
      </c>
      <c r="G288" s="17" t="str">
        <f>IFERROR(INDEX(HS_MD!G:G,MATCH(B288,HS_MD!B:B,0),1),"")</f>
        <v>High Intensity Sweeteners</v>
      </c>
      <c r="H288" s="17" t="str">
        <f>IFERROR(INDEX(HS_MD!H:H,MATCH(B288,HS_MD!B:B,0),1),"")</f>
        <v>Acesulfame-K</v>
      </c>
      <c r="I288" s="17" t="str">
        <f>IFERROR(INDEX(HS_MD!I:I,MATCH(B288,HS_MD!B:B,0),1),"")</f>
        <v>Diet Beverages</v>
      </c>
      <c r="J288" s="17">
        <f>IFERROR(INDEX(Heat_Map[Index],MATCH(HS_DB[[#This Row],[Reporter]],Heat_Map[Global],0),1),"")</f>
        <v>151</v>
      </c>
      <c r="K288" s="17" t="str">
        <f>IF(AND(HS_DB[[#This Row],[Origin Rank]]&gt;1,HS_DB[[#This Row],[Origin Rank]]&lt;=10),"Yes","No")</f>
        <v>Yes</v>
      </c>
      <c r="L288" s="2">
        <v>2024</v>
      </c>
      <c r="M288" s="2" t="s">
        <v>57</v>
      </c>
      <c r="N288" s="2" t="s">
        <v>28</v>
      </c>
      <c r="O288" s="2" t="s">
        <v>22</v>
      </c>
      <c r="P288" s="2" t="s">
        <v>23</v>
      </c>
      <c r="Q288" s="2" t="s">
        <v>24</v>
      </c>
      <c r="R288" s="2" t="s">
        <v>25</v>
      </c>
      <c r="S288" s="2">
        <v>293499</v>
      </c>
      <c r="T288" s="3">
        <v>17253</v>
      </c>
      <c r="U288" s="3">
        <v>0.6</v>
      </c>
      <c r="V288" s="3">
        <v>0</v>
      </c>
      <c r="W288" s="3">
        <v>1</v>
      </c>
      <c r="X288" s="3" t="s">
        <v>58</v>
      </c>
      <c r="Y288" s="3">
        <v>1</v>
      </c>
      <c r="Z288" s="3" t="s">
        <v>58</v>
      </c>
      <c r="AA288" s="6">
        <f>SUMIFS(HS_DB[Trade Value - USD],HS_DB[Reporter],HS_DB[[#This Row],[Reporter]])/SUM(HS_DB[Trade Value - USD])</f>
        <v>8.2796770445636432E-4</v>
      </c>
      <c r="AB288" s="8" cm="1">
        <f t="array" ref="AB288">SUMPRODUCT(
(HS_DB[Reporter]=HS_DB[[#This Row],[Reporter]])*
(HS_DB[Trade Value - USD]&gt;HS_DB[[#This Row],[Trade Value - USD]])
)+1</f>
        <v>6</v>
      </c>
      <c r="AC288" s="8" t="str">
        <f>IFERROR(IF(INDEX(Heat_Map[Crisis Impact %],MATCH(HS_DB[[#This Row],[Reporter]],Heat_Map[Global],0),1)&gt;0,"Yes","No"),"No")</f>
        <v>Yes</v>
      </c>
      <c r="AD288" s="6">
        <f>IFERROR(INDEX(Heat_Map[Crisis Impact %],MATCH(HS_DB[[#This Row],[Reporter]],Heat_Map[Global],0),1),0)</f>
        <v>0.06</v>
      </c>
      <c r="AE288" s="8">
        <f>HS_DB[[#This Row],[Crisis Impact%]]*HS_DB[[#This Row],[Trade Value - USD]]</f>
        <v>1035.18</v>
      </c>
      <c r="AF288" s="8">
        <f>HS_DB[[#This Row],[Crisis Impact%]]*HS_DB[[#This Row],[Net Weight -KG]]</f>
        <v>3.5999999999999997E-2</v>
      </c>
      <c r="AG288" s="6">
        <f>SUMIFS(HS_DB[Trade Value - USD],HS_DB[Products],HS_DB[[#This Row],[Products]])/SUM(HS_DB[Trade Value - USD])</f>
        <v>2.8528600021988443E-2</v>
      </c>
      <c r="AH288" s="8">
        <f>_xlfn.RANK.EQ(HS_DB[[#This Row],[Trade Value - USD]], HS_DB[Trade Value - USD], 0)
 + COUNTIFS(HS_DB[Trade Value - USD],HS_DB[[#This Row],[Trade Value - USD]],
            HS_DB[HS Code],"&lt;"&amp;HS_DB[[#This Row],[HS Code]])</f>
        <v>386</v>
      </c>
      <c r="AI288" s="9">
        <f>IFERROR(HS_DB[[#This Row],[Trade Value - USD]]/HS_DB[[#This Row],[Net Weight -KG]],0)</f>
        <v>28755</v>
      </c>
      <c r="AJ288" s="17" cm="1">
        <f t="array" ref="AJ288">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88" s="17" t="str">
        <f>IF(HS_DB[[#This Row],[HS Code Risk Score]]&gt;=40,"High",
 IF(HS_DB[[#This Row],[HS Code Risk Score]]&gt;=25,"Medium","Low"))</f>
        <v>Medium</v>
      </c>
      <c r="AL288" s="17" t="str">
        <f>IF(RANK(HS_DB[[#This Row],[HS Code Risk Score]],HS_DB[HS Code Risk Score])&lt;=10,"Yes","No")</f>
        <v>No</v>
      </c>
      <c r="AM288" s="8">
        <f>SUMIFS(HS_DB[Net Weight -KG],HS_DB[HS Code],HS_DB[[#This Row],[HS Code]])</f>
        <v>1293070.0000000002</v>
      </c>
      <c r="AN288" s="8">
        <f>SUMIFS(HS_DB[Trade Value - USD],HS_DB[HS Code],HS_DB[[#This Row],[HS Code]])</f>
        <v>53776648</v>
      </c>
      <c r="AO288" s="6">
        <f>_xlfn.MAXIFS(HS_DB[Origin Share%],HS_DB[HS Code],HS_DB[[#This Row],[HS Code]])</f>
        <v>0.39900464236999494</v>
      </c>
      <c r="AP288" s="8" cm="1">
        <f t="array" ref="AP288">_xlfn.LET(
_xlpm.hs,HS_DB[[#This Row],[HS Code]],
COUNTA(_xlfn.UNIQUE(_xlfn._xlws.FILTER(HS_DB[Reporter],HS_DB[HS Code]=_xlpm.hs)))
)</f>
        <v>19</v>
      </c>
      <c r="AQ288" s="17" t="str">
        <f>IF(HS_DB[[#This Row],[Origin Count]]=1,"Single Source","Multiple Sources")</f>
        <v>Multiple Sources</v>
      </c>
      <c r="AR288" s="8">
        <f>HS_DB[[#This Row],[Annual Spend - USD]]*(HS_DB[[#This Row],[HS Code Risk Score]]/100)</f>
        <v>18284060.32</v>
      </c>
      <c r="AS288" s="8">
        <f>RANK(HS_DB[[#This Row],[Risk Exposure - USD]],HS_DB[Risk Exposure - USD],0)</f>
        <v>33</v>
      </c>
      <c r="AT288" s="8" t="str">
        <f>IF(HS_DB[[#This Row],[Risk Exposure Rank]]&lt;=10,"High",
 IF(HS_DB[[#This Row],[Risk Exposure Rank]]&lt;=30,"Medium",
 "Low"))</f>
        <v>Low</v>
      </c>
      <c r="AU288" s="8" t="str">
        <f>IF(HS_DB[[#This Row],[Risk Exposure Rank]]&lt;=5,"Immediate Action",
 IF(HS_DB[[#This Row],[Risk Exposure Rank]]&lt;=15,"Monitor Closely",
 "Routine Control"))</f>
        <v>Routine Control</v>
      </c>
      <c r="AV288" s="8">
        <f>SUMIFS(HS_DB[Trade Value - USD],HS_DB[HS Code],HS_DB[[#This Row],[HS Code]])</f>
        <v>53776648</v>
      </c>
      <c r="AW288" s="6">
        <f>HS_DB[[#This Row],[Annual Spend - USD]]/HS_DB[[#This Row],[Total Market Size - USD]]</f>
        <v>1</v>
      </c>
      <c r="AX288" s="6" cm="1">
        <f t="array" ref="AX288">COUNTA(_xlfn.UNIQUE(_xlfn._xlws.FILTER(HS_DB[Partner],HS_DB[HS Code]=HS_DB[[#This Row],[HS Code]])))</f>
        <v>1</v>
      </c>
      <c r="AY288" s="8" t="str">
        <f>IF(HS_DB[[#This Row],[Competition Intensity]]&lt;=2,"Highly Concentrated",
 IF(HS_DB[[#This Row],[Competition Intensity]]&lt;=5,"Moderate",
 "Highly Competitive"))</f>
        <v>Highly Concentrated</v>
      </c>
      <c r="AZ288" s="8">
        <f>HS_DB[[#This Row],[Total Market Size - USD]]
*
(1+IFERROR(#REF!,0))
/
HS_DB[[#This Row],[Competition Intensity]]</f>
        <v>53776648</v>
      </c>
      <c r="BA288" s="8" t="str">
        <f>IF(HS_DB[[#This Row],[Commercial Opportunity Score]]&gt;=PERCENTILE(HS_DB[Commercial Opportunity Score],0.9),"High Opportunity",
 IF(HS_DB[[#This Row],[Commercial Opportunity Score]]&gt;=PERCENTILE(HS_DB[Commercial Opportunity Score],0.6),"Medium Opportunity",
 "Routine Market"))</f>
        <v>High Opportunity</v>
      </c>
      <c r="BB288" s="3" t="str">
        <f>IF(AND(HS_DB[[#This Row],[Product Rank]]&gt;0,HS_DB[[#This Row],[Product Rank]]&lt;=10),"Yes","No")</f>
        <v>No</v>
      </c>
      <c r="BC288" s="3" t="str">
        <f>IF(AND(HS_DB[[#This Row],[Origin Rank]]&gt;0,HS_DB[[#This Row],[Origin Rank]]&lt;=10),"Yes","No")</f>
        <v>Yes</v>
      </c>
    </row>
    <row r="289" spans="2:55" x14ac:dyDescent="0.3">
      <c r="B289" s="2">
        <f>HS_DB[[#This Row],[Commodity Code]]</f>
        <v>293499</v>
      </c>
      <c r="C289" s="2">
        <f>IFERROR(INDEX(HS_MD!C:C,MATCH(B289,HS_MD!B:B,0),1),"")</f>
        <v>22</v>
      </c>
      <c r="D289" s="17" t="str">
        <f>IFERROR(INDEX(HS_MD!D:D,MATCH(B289,HS_MD!B:B,0),1),"")</f>
        <v>Heterocyclic compounds</v>
      </c>
      <c r="E289" s="17" t="str">
        <f>IFERROR(INDEX(HS_MD!E:E,MATCH(B289,HS_MD!B:B,0),1),"")</f>
        <v>Acesulfame-K</v>
      </c>
      <c r="F289" s="17" t="str">
        <f>IFERROR(INDEX(HS_MD!F:F,MATCH(B289,HS_MD!B:B,0),1),"")</f>
        <v>SWEETENERS</v>
      </c>
      <c r="G289" s="17" t="str">
        <f>IFERROR(INDEX(HS_MD!G:G,MATCH(B289,HS_MD!B:B,0),1),"")</f>
        <v>High Intensity Sweeteners</v>
      </c>
      <c r="H289" s="17" t="str">
        <f>IFERROR(INDEX(HS_MD!H:H,MATCH(B289,HS_MD!B:B,0),1),"")</f>
        <v>Acesulfame-K</v>
      </c>
      <c r="I289" s="17" t="str">
        <f>IFERROR(INDEX(HS_MD!I:I,MATCH(B289,HS_MD!B:B,0),1),"")</f>
        <v>Diet Beverages</v>
      </c>
      <c r="J289" s="17">
        <f>IFERROR(INDEX(Heat_Map[Index],MATCH(HS_DB[[#This Row],[Reporter]],Heat_Map[Global],0),1),"")</f>
        <v>159</v>
      </c>
      <c r="K289" s="17" t="str">
        <f>IF(AND(HS_DB[[#This Row],[Origin Rank]]&gt;1,HS_DB[[#This Row],[Origin Rank]]&lt;=10),"Yes","No")</f>
        <v>Yes</v>
      </c>
      <c r="L289" s="2">
        <v>2024</v>
      </c>
      <c r="M289" s="2" t="s">
        <v>57</v>
      </c>
      <c r="N289" s="2" t="s">
        <v>30</v>
      </c>
      <c r="O289" s="2" t="s">
        <v>22</v>
      </c>
      <c r="P289" s="2" t="s">
        <v>23</v>
      </c>
      <c r="Q289" s="2" t="s">
        <v>24</v>
      </c>
      <c r="R289" s="2" t="s">
        <v>25</v>
      </c>
      <c r="S289" s="2">
        <v>293499</v>
      </c>
      <c r="T289" s="3">
        <v>1575907</v>
      </c>
      <c r="U289" s="3">
        <v>2892.3</v>
      </c>
      <c r="V289" s="3">
        <v>0</v>
      </c>
      <c r="W289" s="3">
        <v>2892</v>
      </c>
      <c r="X289" s="3" t="s">
        <v>58</v>
      </c>
      <c r="Y289" s="3">
        <v>2892</v>
      </c>
      <c r="Z289" s="3" t="s">
        <v>58</v>
      </c>
      <c r="AA289" s="6">
        <f>SUMIFS(HS_DB[Trade Value - USD],HS_DB[Reporter],HS_DB[[#This Row],[Reporter]])/SUM(HS_DB[Trade Value - USD])</f>
        <v>6.110186869383482E-3</v>
      </c>
      <c r="AB289" s="8" cm="1">
        <f t="array" ref="AB289">SUMPRODUCT(
(HS_DB[Reporter]=HS_DB[[#This Row],[Reporter]])*
(HS_DB[Trade Value - USD]&gt;HS_DB[[#This Row],[Trade Value - USD]])
)+1</f>
        <v>3</v>
      </c>
      <c r="AC289" s="8" t="str">
        <f>IFERROR(IF(INDEX(Heat_Map[Crisis Impact %],MATCH(HS_DB[[#This Row],[Reporter]],Heat_Map[Global],0),1)&gt;0,"Yes","No"),"No")</f>
        <v>No</v>
      </c>
      <c r="AD289" s="6">
        <f>IFERROR(INDEX(Heat_Map[Crisis Impact %],MATCH(HS_DB[[#This Row],[Reporter]],Heat_Map[Global],0),1),0)</f>
        <v>0</v>
      </c>
      <c r="AE289" s="8">
        <f>HS_DB[[#This Row],[Crisis Impact%]]*HS_DB[[#This Row],[Trade Value - USD]]</f>
        <v>0</v>
      </c>
      <c r="AF289" s="8">
        <f>HS_DB[[#This Row],[Crisis Impact%]]*HS_DB[[#This Row],[Net Weight -KG]]</f>
        <v>0</v>
      </c>
      <c r="AG289" s="6">
        <f>SUMIFS(HS_DB[Trade Value - USD],HS_DB[Products],HS_DB[[#This Row],[Products]])/SUM(HS_DB[Trade Value - USD])</f>
        <v>2.8528600021988443E-2</v>
      </c>
      <c r="AH289" s="8">
        <f>_xlfn.RANK.EQ(HS_DB[[#This Row],[Trade Value - USD]], HS_DB[Trade Value - USD], 0)
 + COUNTIFS(HS_DB[Trade Value - USD],HS_DB[[#This Row],[Trade Value - USD]],
            HS_DB[HS Code],"&lt;"&amp;HS_DB[[#This Row],[HS Code]])</f>
        <v>73</v>
      </c>
      <c r="AI289" s="9">
        <f>IFERROR(HS_DB[[#This Row],[Trade Value - USD]]/HS_DB[[#This Row],[Net Weight -KG]],0)</f>
        <v>544.86291186944641</v>
      </c>
      <c r="AJ289" s="17" cm="1">
        <f t="array" ref="AJ289">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89" s="17" t="str">
        <f>IF(HS_DB[[#This Row],[HS Code Risk Score]]&gt;=40,"High",
 IF(HS_DB[[#This Row],[HS Code Risk Score]]&gt;=25,"Medium","Low"))</f>
        <v>Medium</v>
      </c>
      <c r="AL289" s="17" t="str">
        <f>IF(RANK(HS_DB[[#This Row],[HS Code Risk Score]],HS_DB[HS Code Risk Score])&lt;=10,"Yes","No")</f>
        <v>No</v>
      </c>
      <c r="AM289" s="8">
        <f>SUMIFS(HS_DB[Net Weight -KG],HS_DB[HS Code],HS_DB[[#This Row],[HS Code]])</f>
        <v>1293070.0000000002</v>
      </c>
      <c r="AN289" s="8">
        <f>SUMIFS(HS_DB[Trade Value - USD],HS_DB[HS Code],HS_DB[[#This Row],[HS Code]])</f>
        <v>53776648</v>
      </c>
      <c r="AO289" s="6">
        <f>_xlfn.MAXIFS(HS_DB[Origin Share%],HS_DB[HS Code],HS_DB[[#This Row],[HS Code]])</f>
        <v>0.39900464236999494</v>
      </c>
      <c r="AP289" s="8" cm="1">
        <f t="array" ref="AP289">_xlfn.LET(
_xlpm.hs,HS_DB[[#This Row],[HS Code]],
COUNTA(_xlfn.UNIQUE(_xlfn._xlws.FILTER(HS_DB[Reporter],HS_DB[HS Code]=_xlpm.hs)))
)</f>
        <v>19</v>
      </c>
      <c r="AQ289" s="17" t="str">
        <f>IF(HS_DB[[#This Row],[Origin Count]]=1,"Single Source","Multiple Sources")</f>
        <v>Multiple Sources</v>
      </c>
      <c r="AR289" s="8">
        <f>HS_DB[[#This Row],[Annual Spend - USD]]*(HS_DB[[#This Row],[HS Code Risk Score]]/100)</f>
        <v>18284060.32</v>
      </c>
      <c r="AS289" s="8">
        <f>RANK(HS_DB[[#This Row],[Risk Exposure - USD]],HS_DB[Risk Exposure - USD],0)</f>
        <v>33</v>
      </c>
      <c r="AT289" s="8" t="str">
        <f>IF(HS_DB[[#This Row],[Risk Exposure Rank]]&lt;=10,"High",
 IF(HS_DB[[#This Row],[Risk Exposure Rank]]&lt;=30,"Medium",
 "Low"))</f>
        <v>Low</v>
      </c>
      <c r="AU289" s="8" t="str">
        <f>IF(HS_DB[[#This Row],[Risk Exposure Rank]]&lt;=5,"Immediate Action",
 IF(HS_DB[[#This Row],[Risk Exposure Rank]]&lt;=15,"Monitor Closely",
 "Routine Control"))</f>
        <v>Routine Control</v>
      </c>
      <c r="AV289" s="8">
        <f>SUMIFS(HS_DB[Trade Value - USD],HS_DB[HS Code],HS_DB[[#This Row],[HS Code]])</f>
        <v>53776648</v>
      </c>
      <c r="AW289" s="6">
        <f>HS_DB[[#This Row],[Annual Spend - USD]]/HS_DB[[#This Row],[Total Market Size - USD]]</f>
        <v>1</v>
      </c>
      <c r="AX289" s="6" cm="1">
        <f t="array" ref="AX289">COUNTA(_xlfn.UNIQUE(_xlfn._xlws.FILTER(HS_DB[Partner],HS_DB[HS Code]=HS_DB[[#This Row],[HS Code]])))</f>
        <v>1</v>
      </c>
      <c r="AY289" s="8" t="str">
        <f>IF(HS_DB[[#This Row],[Competition Intensity]]&lt;=2,"Highly Concentrated",
 IF(HS_DB[[#This Row],[Competition Intensity]]&lt;=5,"Moderate",
 "Highly Competitive"))</f>
        <v>Highly Concentrated</v>
      </c>
      <c r="AZ289" s="8">
        <f>HS_DB[[#This Row],[Total Market Size - USD]]
*
(1+IFERROR(#REF!,0))
/
HS_DB[[#This Row],[Competition Intensity]]</f>
        <v>53776648</v>
      </c>
      <c r="BA289" s="8" t="str">
        <f>IF(HS_DB[[#This Row],[Commercial Opportunity Score]]&gt;=PERCENTILE(HS_DB[Commercial Opportunity Score],0.9),"High Opportunity",
 IF(HS_DB[[#This Row],[Commercial Opportunity Score]]&gt;=PERCENTILE(HS_DB[Commercial Opportunity Score],0.6),"Medium Opportunity",
 "Routine Market"))</f>
        <v>High Opportunity</v>
      </c>
      <c r="BB289" s="3" t="str">
        <f>IF(AND(HS_DB[[#This Row],[Product Rank]]&gt;0,HS_DB[[#This Row],[Product Rank]]&lt;=10),"Yes","No")</f>
        <v>No</v>
      </c>
      <c r="BC289" s="3" t="str">
        <f>IF(AND(HS_DB[[#This Row],[Origin Rank]]&gt;0,HS_DB[[#This Row],[Origin Rank]]&lt;=10),"Yes","No")</f>
        <v>Yes</v>
      </c>
    </row>
    <row r="290" spans="2:55" x14ac:dyDescent="0.3">
      <c r="B290" s="2">
        <f>HS_DB[[#This Row],[Commodity Code]]</f>
        <v>293499</v>
      </c>
      <c r="C290" s="2">
        <f>IFERROR(INDEX(HS_MD!C:C,MATCH(B290,HS_MD!B:B,0),1),"")</f>
        <v>22</v>
      </c>
      <c r="D290" s="17" t="str">
        <f>IFERROR(INDEX(HS_MD!D:D,MATCH(B290,HS_MD!B:B,0),1),"")</f>
        <v>Heterocyclic compounds</v>
      </c>
      <c r="E290" s="17" t="str">
        <f>IFERROR(INDEX(HS_MD!E:E,MATCH(B290,HS_MD!B:B,0),1),"")</f>
        <v>Acesulfame-K</v>
      </c>
      <c r="F290" s="17" t="str">
        <f>IFERROR(INDEX(HS_MD!F:F,MATCH(B290,HS_MD!B:B,0),1),"")</f>
        <v>SWEETENERS</v>
      </c>
      <c r="G290" s="17" t="str">
        <f>IFERROR(INDEX(HS_MD!G:G,MATCH(B290,HS_MD!B:B,0),1),"")</f>
        <v>High Intensity Sweeteners</v>
      </c>
      <c r="H290" s="17" t="str">
        <f>IFERROR(INDEX(HS_MD!H:H,MATCH(B290,HS_MD!B:B,0),1),"")</f>
        <v>Acesulfame-K</v>
      </c>
      <c r="I290" s="17" t="str">
        <f>IFERROR(INDEX(HS_MD!I:I,MATCH(B290,HS_MD!B:B,0),1),"")</f>
        <v>Diet Beverages</v>
      </c>
      <c r="J290" s="17">
        <f>IFERROR(INDEX(Heat_Map[Index],MATCH(HS_DB[[#This Row],[Reporter]],Heat_Map[Global],0),1),"")</f>
        <v>164</v>
      </c>
      <c r="K290" s="17" t="str">
        <f>IF(AND(HS_DB[[#This Row],[Origin Rank]]&gt;1,HS_DB[[#This Row],[Origin Rank]]&lt;=10),"Yes","No")</f>
        <v>No</v>
      </c>
      <c r="L290" s="2">
        <v>2024</v>
      </c>
      <c r="M290" s="2" t="s">
        <v>57</v>
      </c>
      <c r="N290" s="2" t="s">
        <v>32</v>
      </c>
      <c r="O290" s="2" t="s">
        <v>22</v>
      </c>
      <c r="P290" s="2" t="s">
        <v>23</v>
      </c>
      <c r="Q290" s="2" t="s">
        <v>24</v>
      </c>
      <c r="R290" s="2" t="s">
        <v>25</v>
      </c>
      <c r="S290" s="2">
        <v>293499</v>
      </c>
      <c r="T290" s="3">
        <v>1480221</v>
      </c>
      <c r="U290" s="3">
        <v>131</v>
      </c>
      <c r="V290" s="3">
        <v>0</v>
      </c>
      <c r="W290" s="3">
        <v>131</v>
      </c>
      <c r="X290" s="3" t="s">
        <v>58</v>
      </c>
      <c r="Y290" s="3">
        <v>0</v>
      </c>
      <c r="Z290" s="3" t="s">
        <v>26</v>
      </c>
      <c r="AA290" s="6">
        <f>SUMIFS(HS_DB[Trade Value - USD],HS_DB[Reporter],HS_DB[[#This Row],[Reporter]])/SUM(HS_DB[Trade Value - USD])</f>
        <v>1.1630298885271862E-3</v>
      </c>
      <c r="AB290" s="8" cm="1">
        <f t="array" ref="AB290">SUMPRODUCT(
(HS_DB[Reporter]=HS_DB[[#This Row],[Reporter]])*
(HS_DB[Trade Value - USD]&gt;HS_DB[[#This Row],[Trade Value - USD]])
)+1</f>
        <v>1</v>
      </c>
      <c r="AC290" s="8" t="str">
        <f>IFERROR(IF(INDEX(Heat_Map[Crisis Impact %],MATCH(HS_DB[[#This Row],[Reporter]],Heat_Map[Global],0),1)&gt;0,"Yes","No"),"No")</f>
        <v>No</v>
      </c>
      <c r="AD290" s="6">
        <f>IFERROR(INDEX(Heat_Map[Crisis Impact %],MATCH(HS_DB[[#This Row],[Reporter]],Heat_Map[Global],0),1),0)</f>
        <v>0</v>
      </c>
      <c r="AE290" s="8">
        <f>HS_DB[[#This Row],[Crisis Impact%]]*HS_DB[[#This Row],[Trade Value - USD]]</f>
        <v>0</v>
      </c>
      <c r="AF290" s="8">
        <f>HS_DB[[#This Row],[Crisis Impact%]]*HS_DB[[#This Row],[Net Weight -KG]]</f>
        <v>0</v>
      </c>
      <c r="AG290" s="6">
        <f>SUMIFS(HS_DB[Trade Value - USD],HS_DB[Products],HS_DB[[#This Row],[Products]])/SUM(HS_DB[Trade Value - USD])</f>
        <v>2.8528600021988443E-2</v>
      </c>
      <c r="AH290" s="8">
        <f>_xlfn.RANK.EQ(HS_DB[[#This Row],[Trade Value - USD]], HS_DB[Trade Value - USD], 0)
 + COUNTIFS(HS_DB[Trade Value - USD],HS_DB[[#This Row],[Trade Value - USD]],
            HS_DB[HS Code],"&lt;"&amp;HS_DB[[#This Row],[HS Code]])</f>
        <v>77</v>
      </c>
      <c r="AI290" s="9">
        <f>IFERROR(HS_DB[[#This Row],[Trade Value - USD]]/HS_DB[[#This Row],[Net Weight -KG]],0)</f>
        <v>11299.396946564886</v>
      </c>
      <c r="AJ290" s="17" cm="1">
        <f t="array" ref="AJ290">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90" s="17" t="str">
        <f>IF(HS_DB[[#This Row],[HS Code Risk Score]]&gt;=40,"High",
 IF(HS_DB[[#This Row],[HS Code Risk Score]]&gt;=25,"Medium","Low"))</f>
        <v>Medium</v>
      </c>
      <c r="AL290" s="17" t="str">
        <f>IF(RANK(HS_DB[[#This Row],[HS Code Risk Score]],HS_DB[HS Code Risk Score])&lt;=10,"Yes","No")</f>
        <v>No</v>
      </c>
      <c r="AM290" s="8">
        <f>SUMIFS(HS_DB[Net Weight -KG],HS_DB[HS Code],HS_DB[[#This Row],[HS Code]])</f>
        <v>1293070.0000000002</v>
      </c>
      <c r="AN290" s="8">
        <f>SUMIFS(HS_DB[Trade Value - USD],HS_DB[HS Code],HS_DB[[#This Row],[HS Code]])</f>
        <v>53776648</v>
      </c>
      <c r="AO290" s="6">
        <f>_xlfn.MAXIFS(HS_DB[Origin Share%],HS_DB[HS Code],HS_DB[[#This Row],[HS Code]])</f>
        <v>0.39900464236999494</v>
      </c>
      <c r="AP290" s="8" cm="1">
        <f t="array" ref="AP290">_xlfn.LET(
_xlpm.hs,HS_DB[[#This Row],[HS Code]],
COUNTA(_xlfn.UNIQUE(_xlfn._xlws.FILTER(HS_DB[Reporter],HS_DB[HS Code]=_xlpm.hs)))
)</f>
        <v>19</v>
      </c>
      <c r="AQ290" s="17" t="str">
        <f>IF(HS_DB[[#This Row],[Origin Count]]=1,"Single Source","Multiple Sources")</f>
        <v>Multiple Sources</v>
      </c>
      <c r="AR290" s="8">
        <f>HS_DB[[#This Row],[Annual Spend - USD]]*(HS_DB[[#This Row],[HS Code Risk Score]]/100)</f>
        <v>18284060.32</v>
      </c>
      <c r="AS290" s="8">
        <f>RANK(HS_DB[[#This Row],[Risk Exposure - USD]],HS_DB[Risk Exposure - USD],0)</f>
        <v>33</v>
      </c>
      <c r="AT290" s="8" t="str">
        <f>IF(HS_DB[[#This Row],[Risk Exposure Rank]]&lt;=10,"High",
 IF(HS_DB[[#This Row],[Risk Exposure Rank]]&lt;=30,"Medium",
 "Low"))</f>
        <v>Low</v>
      </c>
      <c r="AU290" s="8" t="str">
        <f>IF(HS_DB[[#This Row],[Risk Exposure Rank]]&lt;=5,"Immediate Action",
 IF(HS_DB[[#This Row],[Risk Exposure Rank]]&lt;=15,"Monitor Closely",
 "Routine Control"))</f>
        <v>Routine Control</v>
      </c>
      <c r="AV290" s="8">
        <f>SUMIFS(HS_DB[Trade Value - USD],HS_DB[HS Code],HS_DB[[#This Row],[HS Code]])</f>
        <v>53776648</v>
      </c>
      <c r="AW290" s="6">
        <f>HS_DB[[#This Row],[Annual Spend - USD]]/HS_DB[[#This Row],[Total Market Size - USD]]</f>
        <v>1</v>
      </c>
      <c r="AX290" s="6" cm="1">
        <f t="array" ref="AX290">COUNTA(_xlfn.UNIQUE(_xlfn._xlws.FILTER(HS_DB[Partner],HS_DB[HS Code]=HS_DB[[#This Row],[HS Code]])))</f>
        <v>1</v>
      </c>
      <c r="AY290" s="8" t="str">
        <f>IF(HS_DB[[#This Row],[Competition Intensity]]&lt;=2,"Highly Concentrated",
 IF(HS_DB[[#This Row],[Competition Intensity]]&lt;=5,"Moderate",
 "Highly Competitive"))</f>
        <v>Highly Concentrated</v>
      </c>
      <c r="AZ290" s="8">
        <f>HS_DB[[#This Row],[Total Market Size - USD]]
*
(1+IFERROR(#REF!,0))
/
HS_DB[[#This Row],[Competition Intensity]]</f>
        <v>53776648</v>
      </c>
      <c r="BA290" s="8" t="str">
        <f>IF(HS_DB[[#This Row],[Commercial Opportunity Score]]&gt;=PERCENTILE(HS_DB[Commercial Opportunity Score],0.9),"High Opportunity",
 IF(HS_DB[[#This Row],[Commercial Opportunity Score]]&gt;=PERCENTILE(HS_DB[Commercial Opportunity Score],0.6),"Medium Opportunity",
 "Routine Market"))</f>
        <v>High Opportunity</v>
      </c>
      <c r="BB290" s="3" t="str">
        <f>IF(AND(HS_DB[[#This Row],[Product Rank]]&gt;0,HS_DB[[#This Row],[Product Rank]]&lt;=10),"Yes","No")</f>
        <v>No</v>
      </c>
      <c r="BC290" s="3" t="str">
        <f>IF(AND(HS_DB[[#This Row],[Origin Rank]]&gt;0,HS_DB[[#This Row],[Origin Rank]]&lt;=10),"Yes","No")</f>
        <v>Yes</v>
      </c>
    </row>
    <row r="291" spans="2:55" x14ac:dyDescent="0.3">
      <c r="B291" s="2">
        <f>HS_DB[[#This Row],[Commodity Code]]</f>
        <v>293499</v>
      </c>
      <c r="C291" s="2">
        <f>IFERROR(INDEX(HS_MD!C:C,MATCH(B291,HS_MD!B:B,0),1),"")</f>
        <v>22</v>
      </c>
      <c r="D291" s="17" t="str">
        <f>IFERROR(INDEX(HS_MD!D:D,MATCH(B291,HS_MD!B:B,0),1),"")</f>
        <v>Heterocyclic compounds</v>
      </c>
      <c r="E291" s="17" t="str">
        <f>IFERROR(INDEX(HS_MD!E:E,MATCH(B291,HS_MD!B:B,0),1),"")</f>
        <v>Acesulfame-K</v>
      </c>
      <c r="F291" s="17" t="str">
        <f>IFERROR(INDEX(HS_MD!F:F,MATCH(B291,HS_MD!B:B,0),1),"")</f>
        <v>SWEETENERS</v>
      </c>
      <c r="G291" s="17" t="str">
        <f>IFERROR(INDEX(HS_MD!G:G,MATCH(B291,HS_MD!B:B,0),1),"")</f>
        <v>High Intensity Sweeteners</v>
      </c>
      <c r="H291" s="17" t="str">
        <f>IFERROR(INDEX(HS_MD!H:H,MATCH(B291,HS_MD!B:B,0),1),"")</f>
        <v>Acesulfame-K</v>
      </c>
      <c r="I291" s="17" t="str">
        <f>IFERROR(INDEX(HS_MD!I:I,MATCH(B291,HS_MD!B:B,0),1),"")</f>
        <v>Diet Beverages</v>
      </c>
      <c r="J291" s="17">
        <f>IFERROR(INDEX(Heat_Map[Index],MATCH(HS_DB[[#This Row],[Reporter]],Heat_Map[Global],0),1),"")</f>
        <v>175</v>
      </c>
      <c r="K291" s="17" t="str">
        <f>IF(AND(HS_DB[[#This Row],[Origin Rank]]&gt;1,HS_DB[[#This Row],[Origin Rank]]&lt;=10),"Yes","No")</f>
        <v>No</v>
      </c>
      <c r="L291" s="2">
        <v>2024</v>
      </c>
      <c r="M291" s="2" t="s">
        <v>57</v>
      </c>
      <c r="N291" s="2" t="s">
        <v>34</v>
      </c>
      <c r="O291" s="2" t="s">
        <v>22</v>
      </c>
      <c r="P291" s="2" t="s">
        <v>23</v>
      </c>
      <c r="Q291" s="2" t="s">
        <v>24</v>
      </c>
      <c r="R291" s="2" t="s">
        <v>25</v>
      </c>
      <c r="S291" s="2">
        <v>293499</v>
      </c>
      <c r="T291" s="3">
        <v>348</v>
      </c>
      <c r="U291" s="3">
        <v>31</v>
      </c>
      <c r="V291" s="3">
        <v>0</v>
      </c>
      <c r="W291" s="3">
        <v>31</v>
      </c>
      <c r="X291" s="3" t="s">
        <v>58</v>
      </c>
      <c r="Y291" s="3">
        <v>31</v>
      </c>
      <c r="Z291" s="3" t="s">
        <v>58</v>
      </c>
      <c r="AA291" s="6">
        <f>SUMIFS(HS_DB[Trade Value - USD],HS_DB[Reporter],HS_DB[[#This Row],[Reporter]])/SUM(HS_DB[Trade Value - USD])</f>
        <v>4.7522902002533667E-2</v>
      </c>
      <c r="AB291" s="8" cm="1">
        <f t="array" ref="AB291">SUMPRODUCT(
(HS_DB[Reporter]=HS_DB[[#This Row],[Reporter]])*
(HS_DB[Trade Value - USD]&gt;HS_DB[[#This Row],[Trade Value - USD]])
)+1</f>
        <v>33</v>
      </c>
      <c r="AC291" s="8" t="str">
        <f>IFERROR(IF(INDEX(Heat_Map[Crisis Impact %],MATCH(HS_DB[[#This Row],[Reporter]],Heat_Map[Global],0),1)&gt;0,"Yes","No"),"No")</f>
        <v>Yes</v>
      </c>
      <c r="AD291" s="6">
        <f>IFERROR(INDEX(Heat_Map[Crisis Impact %],MATCH(HS_DB[[#This Row],[Reporter]],Heat_Map[Global],0),1),0)</f>
        <v>0.1</v>
      </c>
      <c r="AE291" s="8">
        <f>HS_DB[[#This Row],[Crisis Impact%]]*HS_DB[[#This Row],[Trade Value - USD]]</f>
        <v>34.800000000000004</v>
      </c>
      <c r="AF291" s="8">
        <f>HS_DB[[#This Row],[Crisis Impact%]]*HS_DB[[#This Row],[Net Weight -KG]]</f>
        <v>3.1</v>
      </c>
      <c r="AG291" s="6">
        <f>SUMIFS(HS_DB[Trade Value - USD],HS_DB[Products],HS_DB[[#This Row],[Products]])/SUM(HS_DB[Trade Value - USD])</f>
        <v>2.8528600021988443E-2</v>
      </c>
      <c r="AH291" s="8">
        <f>_xlfn.RANK.EQ(HS_DB[[#This Row],[Trade Value - USD]], HS_DB[Trade Value - USD], 0)
 + COUNTIFS(HS_DB[Trade Value - USD],HS_DB[[#This Row],[Trade Value - USD]],
            HS_DB[HS Code],"&lt;"&amp;HS_DB[[#This Row],[HS Code]])</f>
        <v>500</v>
      </c>
      <c r="AI291" s="9">
        <f>IFERROR(HS_DB[[#This Row],[Trade Value - USD]]/HS_DB[[#This Row],[Net Weight -KG]],0)</f>
        <v>11.225806451612904</v>
      </c>
      <c r="AJ291" s="17" cm="1">
        <f t="array" ref="AJ291">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91" s="17" t="str">
        <f>IF(HS_DB[[#This Row],[HS Code Risk Score]]&gt;=40,"High",
 IF(HS_DB[[#This Row],[HS Code Risk Score]]&gt;=25,"Medium","Low"))</f>
        <v>Medium</v>
      </c>
      <c r="AL291" s="17" t="str">
        <f>IF(RANK(HS_DB[[#This Row],[HS Code Risk Score]],HS_DB[HS Code Risk Score])&lt;=10,"Yes","No")</f>
        <v>No</v>
      </c>
      <c r="AM291" s="8">
        <f>SUMIFS(HS_DB[Net Weight -KG],HS_DB[HS Code],HS_DB[[#This Row],[HS Code]])</f>
        <v>1293070.0000000002</v>
      </c>
      <c r="AN291" s="8">
        <f>SUMIFS(HS_DB[Trade Value - USD],HS_DB[HS Code],HS_DB[[#This Row],[HS Code]])</f>
        <v>53776648</v>
      </c>
      <c r="AO291" s="6">
        <f>_xlfn.MAXIFS(HS_DB[Origin Share%],HS_DB[HS Code],HS_DB[[#This Row],[HS Code]])</f>
        <v>0.39900464236999494</v>
      </c>
      <c r="AP291" s="8" cm="1">
        <f t="array" ref="AP291">_xlfn.LET(
_xlpm.hs,HS_DB[[#This Row],[HS Code]],
COUNTA(_xlfn.UNIQUE(_xlfn._xlws.FILTER(HS_DB[Reporter],HS_DB[HS Code]=_xlpm.hs)))
)</f>
        <v>19</v>
      </c>
      <c r="AQ291" s="17" t="str">
        <f>IF(HS_DB[[#This Row],[Origin Count]]=1,"Single Source","Multiple Sources")</f>
        <v>Multiple Sources</v>
      </c>
      <c r="AR291" s="8">
        <f>HS_DB[[#This Row],[Annual Spend - USD]]*(HS_DB[[#This Row],[HS Code Risk Score]]/100)</f>
        <v>18284060.32</v>
      </c>
      <c r="AS291" s="8">
        <f>RANK(HS_DB[[#This Row],[Risk Exposure - USD]],HS_DB[Risk Exposure - USD],0)</f>
        <v>33</v>
      </c>
      <c r="AT291" s="8" t="str">
        <f>IF(HS_DB[[#This Row],[Risk Exposure Rank]]&lt;=10,"High",
 IF(HS_DB[[#This Row],[Risk Exposure Rank]]&lt;=30,"Medium",
 "Low"))</f>
        <v>Low</v>
      </c>
      <c r="AU291" s="8" t="str">
        <f>IF(HS_DB[[#This Row],[Risk Exposure Rank]]&lt;=5,"Immediate Action",
 IF(HS_DB[[#This Row],[Risk Exposure Rank]]&lt;=15,"Monitor Closely",
 "Routine Control"))</f>
        <v>Routine Control</v>
      </c>
      <c r="AV291" s="8">
        <f>SUMIFS(HS_DB[Trade Value - USD],HS_DB[HS Code],HS_DB[[#This Row],[HS Code]])</f>
        <v>53776648</v>
      </c>
      <c r="AW291" s="6">
        <f>HS_DB[[#This Row],[Annual Spend - USD]]/HS_DB[[#This Row],[Total Market Size - USD]]</f>
        <v>1</v>
      </c>
      <c r="AX291" s="6" cm="1">
        <f t="array" ref="AX291">COUNTA(_xlfn.UNIQUE(_xlfn._xlws.FILTER(HS_DB[Partner],HS_DB[HS Code]=HS_DB[[#This Row],[HS Code]])))</f>
        <v>1</v>
      </c>
      <c r="AY291" s="8" t="str">
        <f>IF(HS_DB[[#This Row],[Competition Intensity]]&lt;=2,"Highly Concentrated",
 IF(HS_DB[[#This Row],[Competition Intensity]]&lt;=5,"Moderate",
 "Highly Competitive"))</f>
        <v>Highly Concentrated</v>
      </c>
      <c r="AZ291" s="8">
        <f>HS_DB[[#This Row],[Total Market Size - USD]]
*
(1+IFERROR(#REF!,0))
/
HS_DB[[#This Row],[Competition Intensity]]</f>
        <v>53776648</v>
      </c>
      <c r="BA291" s="8" t="str">
        <f>IF(HS_DB[[#This Row],[Commercial Opportunity Score]]&gt;=PERCENTILE(HS_DB[Commercial Opportunity Score],0.9),"High Opportunity",
 IF(HS_DB[[#This Row],[Commercial Opportunity Score]]&gt;=PERCENTILE(HS_DB[Commercial Opportunity Score],0.6),"Medium Opportunity",
 "Routine Market"))</f>
        <v>High Opportunity</v>
      </c>
      <c r="BB291" s="3" t="str">
        <f>IF(AND(HS_DB[[#This Row],[Product Rank]]&gt;0,HS_DB[[#This Row],[Product Rank]]&lt;=10),"Yes","No")</f>
        <v>No</v>
      </c>
      <c r="BC291" s="3" t="str">
        <f>IF(AND(HS_DB[[#This Row],[Origin Rank]]&gt;0,HS_DB[[#This Row],[Origin Rank]]&lt;=10),"Yes","No")</f>
        <v>No</v>
      </c>
    </row>
    <row r="292" spans="2:55" x14ac:dyDescent="0.3">
      <c r="B292" s="2">
        <f>HS_DB[[#This Row],[Commodity Code]]</f>
        <v>293499</v>
      </c>
      <c r="C292" s="2">
        <f>IFERROR(INDEX(HS_MD!C:C,MATCH(B292,HS_MD!B:B,0),1),"")</f>
        <v>22</v>
      </c>
      <c r="D292" s="17" t="str">
        <f>IFERROR(INDEX(HS_MD!D:D,MATCH(B292,HS_MD!B:B,0),1),"")</f>
        <v>Heterocyclic compounds</v>
      </c>
      <c r="E292" s="17" t="str">
        <f>IFERROR(INDEX(HS_MD!E:E,MATCH(B292,HS_MD!B:B,0),1),"")</f>
        <v>Acesulfame-K</v>
      </c>
      <c r="F292" s="17" t="str">
        <f>IFERROR(INDEX(HS_MD!F:F,MATCH(B292,HS_MD!B:B,0),1),"")</f>
        <v>SWEETENERS</v>
      </c>
      <c r="G292" s="17" t="str">
        <f>IFERROR(INDEX(HS_MD!G:G,MATCH(B292,HS_MD!B:B,0),1),"")</f>
        <v>High Intensity Sweeteners</v>
      </c>
      <c r="H292" s="17" t="str">
        <f>IFERROR(INDEX(HS_MD!H:H,MATCH(B292,HS_MD!B:B,0),1),"")</f>
        <v>Acesulfame-K</v>
      </c>
      <c r="I292" s="17" t="str">
        <f>IFERROR(INDEX(HS_MD!I:I,MATCH(B292,HS_MD!B:B,0),1),"")</f>
        <v>Diet Beverages</v>
      </c>
      <c r="J292" s="17">
        <f>IFERROR(INDEX(Heat_Map[Index],MATCH(HS_DB[[#This Row],[Reporter]],Heat_Map[Global],0),1),"")</f>
        <v>181</v>
      </c>
      <c r="K292" s="17" t="str">
        <f>IF(AND(HS_DB[[#This Row],[Origin Rank]]&gt;1,HS_DB[[#This Row],[Origin Rank]]&lt;=10),"Yes","No")</f>
        <v>No</v>
      </c>
      <c r="L292" s="2">
        <v>2024</v>
      </c>
      <c r="M292" s="2" t="s">
        <v>57</v>
      </c>
      <c r="N292" s="2" t="s">
        <v>36</v>
      </c>
      <c r="O292" s="2" t="s">
        <v>22</v>
      </c>
      <c r="P292" s="2" t="s">
        <v>23</v>
      </c>
      <c r="Q292" s="2" t="s">
        <v>24</v>
      </c>
      <c r="R292" s="2" t="s">
        <v>25</v>
      </c>
      <c r="S292" s="2">
        <v>293499</v>
      </c>
      <c r="T292" s="3">
        <v>9523</v>
      </c>
      <c r="U292" s="3">
        <v>16</v>
      </c>
      <c r="V292" s="3">
        <v>0</v>
      </c>
      <c r="W292" s="3">
        <v>16</v>
      </c>
      <c r="X292" s="3" t="s">
        <v>58</v>
      </c>
      <c r="Y292" s="3">
        <v>16</v>
      </c>
      <c r="Z292" s="3" t="s">
        <v>58</v>
      </c>
      <c r="AA292" s="6">
        <f>SUMIFS(HS_DB[Trade Value - USD],HS_DB[Reporter],HS_DB[[#This Row],[Reporter]])/SUM(HS_DB[Trade Value - USD])</f>
        <v>1.3104801671892474E-3</v>
      </c>
      <c r="AB292" s="8" cm="1">
        <f t="array" ref="AB292">SUMPRODUCT(
(HS_DB[Reporter]=HS_DB[[#This Row],[Reporter]])*
(HS_DB[Trade Value - USD]&gt;HS_DB[[#This Row],[Trade Value - USD]])
)+1</f>
        <v>13</v>
      </c>
      <c r="AC292" s="8" t="str">
        <f>IFERROR(IF(INDEX(Heat_Map[Crisis Impact %],MATCH(HS_DB[[#This Row],[Reporter]],Heat_Map[Global],0),1)&gt;0,"Yes","No"),"No")</f>
        <v>No</v>
      </c>
      <c r="AD292" s="6">
        <f>IFERROR(INDEX(Heat_Map[Crisis Impact %],MATCH(HS_DB[[#This Row],[Reporter]],Heat_Map[Global],0),1),0)</f>
        <v>0</v>
      </c>
      <c r="AE292" s="8">
        <f>HS_DB[[#This Row],[Crisis Impact%]]*HS_DB[[#This Row],[Trade Value - USD]]</f>
        <v>0</v>
      </c>
      <c r="AF292" s="8">
        <f>HS_DB[[#This Row],[Crisis Impact%]]*HS_DB[[#This Row],[Net Weight -KG]]</f>
        <v>0</v>
      </c>
      <c r="AG292" s="6">
        <f>SUMIFS(HS_DB[Trade Value - USD],HS_DB[Products],HS_DB[[#This Row],[Products]])/SUM(HS_DB[Trade Value - USD])</f>
        <v>2.8528600021988443E-2</v>
      </c>
      <c r="AH292" s="8">
        <f>_xlfn.RANK.EQ(HS_DB[[#This Row],[Trade Value - USD]], HS_DB[Trade Value - USD], 0)
 + COUNTIFS(HS_DB[Trade Value - USD],HS_DB[[#This Row],[Trade Value - USD]],
            HS_DB[HS Code],"&lt;"&amp;HS_DB[[#This Row],[HS Code]])</f>
        <v>414</v>
      </c>
      <c r="AI292" s="9">
        <f>IFERROR(HS_DB[[#This Row],[Trade Value - USD]]/HS_DB[[#This Row],[Net Weight -KG]],0)</f>
        <v>595.1875</v>
      </c>
      <c r="AJ292" s="17" cm="1">
        <f t="array" ref="AJ292">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92" s="17" t="str">
        <f>IF(HS_DB[[#This Row],[HS Code Risk Score]]&gt;=40,"High",
 IF(HS_DB[[#This Row],[HS Code Risk Score]]&gt;=25,"Medium","Low"))</f>
        <v>Medium</v>
      </c>
      <c r="AL292" s="17" t="str">
        <f>IF(RANK(HS_DB[[#This Row],[HS Code Risk Score]],HS_DB[HS Code Risk Score])&lt;=10,"Yes","No")</f>
        <v>No</v>
      </c>
      <c r="AM292" s="8">
        <f>SUMIFS(HS_DB[Net Weight -KG],HS_DB[HS Code],HS_DB[[#This Row],[HS Code]])</f>
        <v>1293070.0000000002</v>
      </c>
      <c r="AN292" s="8">
        <f>SUMIFS(HS_DB[Trade Value - USD],HS_DB[HS Code],HS_DB[[#This Row],[HS Code]])</f>
        <v>53776648</v>
      </c>
      <c r="AO292" s="6">
        <f>_xlfn.MAXIFS(HS_DB[Origin Share%],HS_DB[HS Code],HS_DB[[#This Row],[HS Code]])</f>
        <v>0.39900464236999494</v>
      </c>
      <c r="AP292" s="8" cm="1">
        <f t="array" ref="AP292">_xlfn.LET(
_xlpm.hs,HS_DB[[#This Row],[HS Code]],
COUNTA(_xlfn.UNIQUE(_xlfn._xlws.FILTER(HS_DB[Reporter],HS_DB[HS Code]=_xlpm.hs)))
)</f>
        <v>19</v>
      </c>
      <c r="AQ292" s="17" t="str">
        <f>IF(HS_DB[[#This Row],[Origin Count]]=1,"Single Source","Multiple Sources")</f>
        <v>Multiple Sources</v>
      </c>
      <c r="AR292" s="8">
        <f>HS_DB[[#This Row],[Annual Spend - USD]]*(HS_DB[[#This Row],[HS Code Risk Score]]/100)</f>
        <v>18284060.32</v>
      </c>
      <c r="AS292" s="8">
        <f>RANK(HS_DB[[#This Row],[Risk Exposure - USD]],HS_DB[Risk Exposure - USD],0)</f>
        <v>33</v>
      </c>
      <c r="AT292" s="8" t="str">
        <f>IF(HS_DB[[#This Row],[Risk Exposure Rank]]&lt;=10,"High",
 IF(HS_DB[[#This Row],[Risk Exposure Rank]]&lt;=30,"Medium",
 "Low"))</f>
        <v>Low</v>
      </c>
      <c r="AU292" s="8" t="str">
        <f>IF(HS_DB[[#This Row],[Risk Exposure Rank]]&lt;=5,"Immediate Action",
 IF(HS_DB[[#This Row],[Risk Exposure Rank]]&lt;=15,"Monitor Closely",
 "Routine Control"))</f>
        <v>Routine Control</v>
      </c>
      <c r="AV292" s="8">
        <f>SUMIFS(HS_DB[Trade Value - USD],HS_DB[HS Code],HS_DB[[#This Row],[HS Code]])</f>
        <v>53776648</v>
      </c>
      <c r="AW292" s="6">
        <f>HS_DB[[#This Row],[Annual Spend - USD]]/HS_DB[[#This Row],[Total Market Size - USD]]</f>
        <v>1</v>
      </c>
      <c r="AX292" s="6" cm="1">
        <f t="array" ref="AX292">COUNTA(_xlfn.UNIQUE(_xlfn._xlws.FILTER(HS_DB[Partner],HS_DB[HS Code]=HS_DB[[#This Row],[HS Code]])))</f>
        <v>1</v>
      </c>
      <c r="AY292" s="8" t="str">
        <f>IF(HS_DB[[#This Row],[Competition Intensity]]&lt;=2,"Highly Concentrated",
 IF(HS_DB[[#This Row],[Competition Intensity]]&lt;=5,"Moderate",
 "Highly Competitive"))</f>
        <v>Highly Concentrated</v>
      </c>
      <c r="AZ292" s="8">
        <f>HS_DB[[#This Row],[Total Market Size - USD]]
*
(1+IFERROR(#REF!,0))
/
HS_DB[[#This Row],[Competition Intensity]]</f>
        <v>53776648</v>
      </c>
      <c r="BA292" s="8" t="str">
        <f>IF(HS_DB[[#This Row],[Commercial Opportunity Score]]&gt;=PERCENTILE(HS_DB[Commercial Opportunity Score],0.9),"High Opportunity",
 IF(HS_DB[[#This Row],[Commercial Opportunity Score]]&gt;=PERCENTILE(HS_DB[Commercial Opportunity Score],0.6),"Medium Opportunity",
 "Routine Market"))</f>
        <v>High Opportunity</v>
      </c>
      <c r="BB292" s="3" t="str">
        <f>IF(AND(HS_DB[[#This Row],[Product Rank]]&gt;0,HS_DB[[#This Row],[Product Rank]]&lt;=10),"Yes","No")</f>
        <v>No</v>
      </c>
      <c r="BC292" s="3" t="str">
        <f>IF(AND(HS_DB[[#This Row],[Origin Rank]]&gt;0,HS_DB[[#This Row],[Origin Rank]]&lt;=10),"Yes","No")</f>
        <v>No</v>
      </c>
    </row>
    <row r="293" spans="2:55" x14ac:dyDescent="0.3">
      <c r="B293" s="2">
        <f>HS_DB[[#This Row],[Commodity Code]]</f>
        <v>293499</v>
      </c>
      <c r="C293" s="2">
        <f>IFERROR(INDEX(HS_MD!C:C,MATCH(B293,HS_MD!B:B,0),1),"")</f>
        <v>22</v>
      </c>
      <c r="D293" s="17" t="str">
        <f>IFERROR(INDEX(HS_MD!D:D,MATCH(B293,HS_MD!B:B,0),1),"")</f>
        <v>Heterocyclic compounds</v>
      </c>
      <c r="E293" s="17" t="str">
        <f>IFERROR(INDEX(HS_MD!E:E,MATCH(B293,HS_MD!B:B,0),1),"")</f>
        <v>Acesulfame-K</v>
      </c>
      <c r="F293" s="17" t="str">
        <f>IFERROR(INDEX(HS_MD!F:F,MATCH(B293,HS_MD!B:B,0),1),"")</f>
        <v>SWEETENERS</v>
      </c>
      <c r="G293" s="17" t="str">
        <f>IFERROR(INDEX(HS_MD!G:G,MATCH(B293,HS_MD!B:B,0),1),"")</f>
        <v>High Intensity Sweeteners</v>
      </c>
      <c r="H293" s="17" t="str">
        <f>IFERROR(INDEX(HS_MD!H:H,MATCH(B293,HS_MD!B:B,0),1),"")</f>
        <v>Acesulfame-K</v>
      </c>
      <c r="I293" s="17" t="str">
        <f>IFERROR(INDEX(HS_MD!I:I,MATCH(B293,HS_MD!B:B,0),1),"")</f>
        <v>Diet Beverages</v>
      </c>
      <c r="J293" s="17">
        <f>IFERROR(INDEX(Heat_Map[Index],MATCH(HS_DB[[#This Row],[Reporter]],Heat_Map[Global],0),1),"")</f>
        <v>182</v>
      </c>
      <c r="K293" s="17" t="str">
        <f>IF(AND(HS_DB[[#This Row],[Origin Rank]]&gt;1,HS_DB[[#This Row],[Origin Rank]]&lt;=10),"Yes","No")</f>
        <v>Yes</v>
      </c>
      <c r="L293" s="2">
        <v>2024</v>
      </c>
      <c r="M293" s="2" t="s">
        <v>57</v>
      </c>
      <c r="N293" s="2" t="s">
        <v>56</v>
      </c>
      <c r="O293" s="2" t="s">
        <v>22</v>
      </c>
      <c r="P293" s="2" t="s">
        <v>23</v>
      </c>
      <c r="Q293" s="2" t="s">
        <v>24</v>
      </c>
      <c r="R293" s="2" t="s">
        <v>25</v>
      </c>
      <c r="S293" s="2">
        <v>293499</v>
      </c>
      <c r="T293" s="3">
        <v>235295</v>
      </c>
      <c r="U293" s="3">
        <v>723</v>
      </c>
      <c r="V293" s="3">
        <v>0</v>
      </c>
      <c r="W293" s="3">
        <v>723</v>
      </c>
      <c r="X293" s="3" t="s">
        <v>58</v>
      </c>
      <c r="Y293" s="3">
        <v>723</v>
      </c>
      <c r="Z293" s="3" t="s">
        <v>58</v>
      </c>
      <c r="AA293" s="6">
        <f>SUMIFS(HS_DB[Trade Value - USD],HS_DB[Reporter],HS_DB[[#This Row],[Reporter]])/SUM(HS_DB[Trade Value - USD])</f>
        <v>9.425427433633813E-3</v>
      </c>
      <c r="AB293" s="8" cm="1">
        <f t="array" ref="AB293">SUMPRODUCT(
(HS_DB[Reporter]=HS_DB[[#This Row],[Reporter]])*
(HS_DB[Trade Value - USD]&gt;HS_DB[[#This Row],[Trade Value - USD]])
)+1</f>
        <v>9</v>
      </c>
      <c r="AC293" s="8" t="str">
        <f>IFERROR(IF(INDEX(Heat_Map[Crisis Impact %],MATCH(HS_DB[[#This Row],[Reporter]],Heat_Map[Global],0),1)&gt;0,"Yes","No"),"No")</f>
        <v>Yes</v>
      </c>
      <c r="AD293" s="6">
        <f>IFERROR(INDEX(Heat_Map[Crisis Impact %],MATCH(HS_DB[[#This Row],[Reporter]],Heat_Map[Global],0),1),0)</f>
        <v>4.0000000000000008E-2</v>
      </c>
      <c r="AE293" s="8">
        <f>HS_DB[[#This Row],[Crisis Impact%]]*HS_DB[[#This Row],[Trade Value - USD]]</f>
        <v>9411.8000000000011</v>
      </c>
      <c r="AF293" s="8">
        <f>HS_DB[[#This Row],[Crisis Impact%]]*HS_DB[[#This Row],[Net Weight -KG]]</f>
        <v>28.920000000000005</v>
      </c>
      <c r="AG293" s="6">
        <f>SUMIFS(HS_DB[Trade Value - USD],HS_DB[Products],HS_DB[[#This Row],[Products]])/SUM(HS_DB[Trade Value - USD])</f>
        <v>2.8528600021988443E-2</v>
      </c>
      <c r="AH293" s="8">
        <f>_xlfn.RANK.EQ(HS_DB[[#This Row],[Trade Value - USD]], HS_DB[Trade Value - USD], 0)
 + COUNTIFS(HS_DB[Trade Value - USD],HS_DB[[#This Row],[Trade Value - USD]],
            HS_DB[HS Code],"&lt;"&amp;HS_DB[[#This Row],[HS Code]])</f>
        <v>206</v>
      </c>
      <c r="AI293" s="9">
        <f>IFERROR(HS_DB[[#This Row],[Trade Value - USD]]/HS_DB[[#This Row],[Net Weight -KG]],0)</f>
        <v>325.44260027662517</v>
      </c>
      <c r="AJ293" s="17" cm="1">
        <f t="array" ref="AJ293">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93" s="17" t="str">
        <f>IF(HS_DB[[#This Row],[HS Code Risk Score]]&gt;=40,"High",
 IF(HS_DB[[#This Row],[HS Code Risk Score]]&gt;=25,"Medium","Low"))</f>
        <v>Medium</v>
      </c>
      <c r="AL293" s="17" t="str">
        <f>IF(RANK(HS_DB[[#This Row],[HS Code Risk Score]],HS_DB[HS Code Risk Score])&lt;=10,"Yes","No")</f>
        <v>No</v>
      </c>
      <c r="AM293" s="8">
        <f>SUMIFS(HS_DB[Net Weight -KG],HS_DB[HS Code],HS_DB[[#This Row],[HS Code]])</f>
        <v>1293070.0000000002</v>
      </c>
      <c r="AN293" s="8">
        <f>SUMIFS(HS_DB[Trade Value - USD],HS_DB[HS Code],HS_DB[[#This Row],[HS Code]])</f>
        <v>53776648</v>
      </c>
      <c r="AO293" s="6">
        <f>_xlfn.MAXIFS(HS_DB[Origin Share%],HS_DB[HS Code],HS_DB[[#This Row],[HS Code]])</f>
        <v>0.39900464236999494</v>
      </c>
      <c r="AP293" s="8" cm="1">
        <f t="array" ref="AP293">_xlfn.LET(
_xlpm.hs,HS_DB[[#This Row],[HS Code]],
COUNTA(_xlfn.UNIQUE(_xlfn._xlws.FILTER(HS_DB[Reporter],HS_DB[HS Code]=_xlpm.hs)))
)</f>
        <v>19</v>
      </c>
      <c r="AQ293" s="17" t="str">
        <f>IF(HS_DB[[#This Row],[Origin Count]]=1,"Single Source","Multiple Sources")</f>
        <v>Multiple Sources</v>
      </c>
      <c r="AR293" s="8">
        <f>HS_DB[[#This Row],[Annual Spend - USD]]*(HS_DB[[#This Row],[HS Code Risk Score]]/100)</f>
        <v>18284060.32</v>
      </c>
      <c r="AS293" s="8">
        <f>RANK(HS_DB[[#This Row],[Risk Exposure - USD]],HS_DB[Risk Exposure - USD],0)</f>
        <v>33</v>
      </c>
      <c r="AT293" s="8" t="str">
        <f>IF(HS_DB[[#This Row],[Risk Exposure Rank]]&lt;=10,"High",
 IF(HS_DB[[#This Row],[Risk Exposure Rank]]&lt;=30,"Medium",
 "Low"))</f>
        <v>Low</v>
      </c>
      <c r="AU293" s="8" t="str">
        <f>IF(HS_DB[[#This Row],[Risk Exposure Rank]]&lt;=5,"Immediate Action",
 IF(HS_DB[[#This Row],[Risk Exposure Rank]]&lt;=15,"Monitor Closely",
 "Routine Control"))</f>
        <v>Routine Control</v>
      </c>
      <c r="AV293" s="8">
        <f>SUMIFS(HS_DB[Trade Value - USD],HS_DB[HS Code],HS_DB[[#This Row],[HS Code]])</f>
        <v>53776648</v>
      </c>
      <c r="AW293" s="6">
        <f>HS_DB[[#This Row],[Annual Spend - USD]]/HS_DB[[#This Row],[Total Market Size - USD]]</f>
        <v>1</v>
      </c>
      <c r="AX293" s="6" cm="1">
        <f t="array" ref="AX293">COUNTA(_xlfn.UNIQUE(_xlfn._xlws.FILTER(HS_DB[Partner],HS_DB[HS Code]=HS_DB[[#This Row],[HS Code]])))</f>
        <v>1</v>
      </c>
      <c r="AY293" s="8" t="str">
        <f>IF(HS_DB[[#This Row],[Competition Intensity]]&lt;=2,"Highly Concentrated",
 IF(HS_DB[[#This Row],[Competition Intensity]]&lt;=5,"Moderate",
 "Highly Competitive"))</f>
        <v>Highly Concentrated</v>
      </c>
      <c r="AZ293" s="8">
        <f>HS_DB[[#This Row],[Total Market Size - USD]]
*
(1+IFERROR(#REF!,0))
/
HS_DB[[#This Row],[Competition Intensity]]</f>
        <v>53776648</v>
      </c>
      <c r="BA293" s="8" t="str">
        <f>IF(HS_DB[[#This Row],[Commercial Opportunity Score]]&gt;=PERCENTILE(HS_DB[Commercial Opportunity Score],0.9),"High Opportunity",
 IF(HS_DB[[#This Row],[Commercial Opportunity Score]]&gt;=PERCENTILE(HS_DB[Commercial Opportunity Score],0.6),"Medium Opportunity",
 "Routine Market"))</f>
        <v>High Opportunity</v>
      </c>
      <c r="BB293" s="3" t="str">
        <f>IF(AND(HS_DB[[#This Row],[Product Rank]]&gt;0,HS_DB[[#This Row],[Product Rank]]&lt;=10),"Yes","No")</f>
        <v>No</v>
      </c>
      <c r="BC293" s="3" t="str">
        <f>IF(AND(HS_DB[[#This Row],[Origin Rank]]&gt;0,HS_DB[[#This Row],[Origin Rank]]&lt;=10),"Yes","No")</f>
        <v>Yes</v>
      </c>
    </row>
    <row r="294" spans="2:55" x14ac:dyDescent="0.3">
      <c r="B294" s="2">
        <f>HS_DB[[#This Row],[Commodity Code]]</f>
        <v>170290</v>
      </c>
      <c r="C294" s="2">
        <f>IFERROR(INDEX(HS_MD!C:C,MATCH(B294,HS_MD!B:B,0),1),"")</f>
        <v>25</v>
      </c>
      <c r="D294" s="17" t="str">
        <f>IFERROR(INDEX(HS_MD!D:D,MATCH(B294,HS_MD!B:B,0),1),"")</f>
        <v>Other sugars incl. caramel</v>
      </c>
      <c r="E294" s="17" t="str">
        <f>IFERROR(INDEX(HS_MD!E:E,MATCH(B294,HS_MD!B:B,0),1),"")</f>
        <v>Caramel Color</v>
      </c>
      <c r="F294" s="17" t="str">
        <f>IFERROR(INDEX(HS_MD!F:F,MATCH(B294,HS_MD!B:B,0),1),"")</f>
        <v>Food Ingredients</v>
      </c>
      <c r="G294" s="17" t="str">
        <f>IFERROR(INDEX(HS_MD!G:G,MATCH(B294,HS_MD!B:B,0),1),"")</f>
        <v>Colors</v>
      </c>
      <c r="H294" s="17" t="str">
        <f>IFERROR(INDEX(HS_MD!H:H,MATCH(B294,HS_MD!B:B,0),1),"")</f>
        <v>Caramel Color (Class I-IV)</v>
      </c>
      <c r="I294" s="17" t="str">
        <f>IFERROR(INDEX(HS_MD!I:I,MATCH(B294,HS_MD!B:B,0),1),"")</f>
        <v>Beverages / Sauces</v>
      </c>
      <c r="J294" s="17">
        <f>IFERROR(INDEX(Heat_Map[Index],MATCH(HS_DB[[#This Row],[Reporter]],Heat_Map[Global],0),1),"")</f>
        <v>13</v>
      </c>
      <c r="K294" s="17" t="str">
        <f>IF(AND(HS_DB[[#This Row],[Origin Rank]]&gt;1,HS_DB[[#This Row],[Origin Rank]]&lt;=10),"Yes","No")</f>
        <v>No</v>
      </c>
      <c r="L294" s="2">
        <v>2024</v>
      </c>
      <c r="M294" s="2" t="s">
        <v>57</v>
      </c>
      <c r="N294" s="2" t="s">
        <v>152</v>
      </c>
      <c r="O294" s="2" t="s">
        <v>22</v>
      </c>
      <c r="P294" s="2" t="s">
        <v>23</v>
      </c>
      <c r="Q294" s="2" t="s">
        <v>24</v>
      </c>
      <c r="R294" s="2" t="s">
        <v>25</v>
      </c>
      <c r="S294" s="2">
        <v>170290</v>
      </c>
      <c r="T294" s="3">
        <v>22372</v>
      </c>
      <c r="U294" s="3">
        <v>47207.9</v>
      </c>
      <c r="V294" s="3">
        <v>0</v>
      </c>
      <c r="W294" s="3">
        <v>47208</v>
      </c>
      <c r="X294" s="3" t="s">
        <v>58</v>
      </c>
      <c r="Y294" s="3">
        <v>47208</v>
      </c>
      <c r="Z294" s="3" t="s">
        <v>58</v>
      </c>
      <c r="AA294" s="6">
        <f>SUMIFS(HS_DB[Trade Value - USD],HS_DB[Reporter],HS_DB[[#This Row],[Reporter]])/SUM(HS_DB[Trade Value - USD])</f>
        <v>1.1868382716823955E-5</v>
      </c>
      <c r="AB294" s="8" cm="1">
        <f t="array" ref="AB294">SUMPRODUCT(
(HS_DB[Reporter]=HS_DB[[#This Row],[Reporter]])*
(HS_DB[Trade Value - USD]&gt;HS_DB[[#This Row],[Trade Value - USD]])
)+1</f>
        <v>1</v>
      </c>
      <c r="AC294" s="8" t="str">
        <f>IFERROR(IF(INDEX(Heat_Map[Crisis Impact %],MATCH(HS_DB[[#This Row],[Reporter]],Heat_Map[Global],0),1)&gt;0,"Yes","No"),"No")</f>
        <v>No</v>
      </c>
      <c r="AD294" s="6">
        <f>IFERROR(INDEX(Heat_Map[Crisis Impact %],MATCH(HS_DB[[#This Row],[Reporter]],Heat_Map[Global],0),1),0)</f>
        <v>0</v>
      </c>
      <c r="AE294" s="8">
        <f>HS_DB[[#This Row],[Crisis Impact%]]*HS_DB[[#This Row],[Trade Value - USD]]</f>
        <v>0</v>
      </c>
      <c r="AF294" s="8">
        <f>HS_DB[[#This Row],[Crisis Impact%]]*HS_DB[[#This Row],[Net Weight -KG]]</f>
        <v>0</v>
      </c>
      <c r="AG294" s="6">
        <f>SUMIFS(HS_DB[Trade Value - USD],HS_DB[Products],HS_DB[[#This Row],[Products]])/SUM(HS_DB[Trade Value - USD])</f>
        <v>6.2244850394839587E-3</v>
      </c>
      <c r="AH294" s="8">
        <f>_xlfn.RANK.EQ(HS_DB[[#This Row],[Trade Value - USD]], HS_DB[Trade Value - USD], 0)
 + COUNTIFS(HS_DB[Trade Value - USD],HS_DB[[#This Row],[Trade Value - USD]],
            HS_DB[HS Code],"&lt;"&amp;HS_DB[[#This Row],[HS Code]])</f>
        <v>373</v>
      </c>
      <c r="AI294" s="9">
        <f>IFERROR(HS_DB[[#This Row],[Trade Value - USD]]/HS_DB[[#This Row],[Net Weight -KG]],0)</f>
        <v>0.47390373221431159</v>
      </c>
      <c r="AJ294" s="17" cm="1">
        <f t="array" ref="AJ294">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94" s="17" t="str">
        <f>IF(HS_DB[[#This Row],[HS Code Risk Score]]&gt;=40,"High",
 IF(HS_DB[[#This Row],[HS Code Risk Score]]&gt;=25,"Medium","Low"))</f>
        <v>Medium</v>
      </c>
      <c r="AL294" s="17" t="str">
        <f>IF(RANK(HS_DB[[#This Row],[HS Code Risk Score]],HS_DB[HS Code Risk Score])&lt;=10,"Yes","No")</f>
        <v>No</v>
      </c>
      <c r="AM294" s="8">
        <f>SUMIFS(HS_DB[Net Weight -KG],HS_DB[HS Code],HS_DB[[#This Row],[HS Code]])</f>
        <v>12365742.6</v>
      </c>
      <c r="AN294" s="8">
        <f>SUMIFS(HS_DB[Trade Value - USD],HS_DB[HS Code],HS_DB[[#This Row],[HS Code]])</f>
        <v>11733206</v>
      </c>
      <c r="AO294" s="6">
        <f>_xlfn.MAXIFS(HS_DB[Origin Share%],HS_DB[HS Code],HS_DB[[#This Row],[HS Code]])</f>
        <v>0.25769345655074266</v>
      </c>
      <c r="AP294" s="8" cm="1">
        <f t="array" ref="AP294">_xlfn.LET(
_xlpm.hs,HS_DB[[#This Row],[HS Code]],
COUNTA(_xlfn.UNIQUE(_xlfn._xlws.FILTER(HS_DB[Reporter],HS_DB[HS Code]=_xlpm.hs)))
)</f>
        <v>20</v>
      </c>
      <c r="AQ294" s="17" t="str">
        <f>IF(HS_DB[[#This Row],[Origin Count]]=1,"Single Source","Multiple Sources")</f>
        <v>Multiple Sources</v>
      </c>
      <c r="AR294" s="8">
        <f>HS_DB[[#This Row],[Annual Spend - USD]]*(HS_DB[[#This Row],[HS Code Risk Score]]/100)</f>
        <v>3989290.0400000005</v>
      </c>
      <c r="AS294" s="8">
        <f>RANK(HS_DB[[#This Row],[Risk Exposure - USD]],HS_DB[Risk Exposure - USD],0)</f>
        <v>241</v>
      </c>
      <c r="AT294" s="8" t="str">
        <f>IF(HS_DB[[#This Row],[Risk Exposure Rank]]&lt;=10,"High",
 IF(HS_DB[[#This Row],[Risk Exposure Rank]]&lt;=30,"Medium",
 "Low"))</f>
        <v>Low</v>
      </c>
      <c r="AU294" s="8" t="str">
        <f>IF(HS_DB[[#This Row],[Risk Exposure Rank]]&lt;=5,"Immediate Action",
 IF(HS_DB[[#This Row],[Risk Exposure Rank]]&lt;=15,"Monitor Closely",
 "Routine Control"))</f>
        <v>Routine Control</v>
      </c>
      <c r="AV294" s="8">
        <f>SUMIFS(HS_DB[Trade Value - USD],HS_DB[HS Code],HS_DB[[#This Row],[HS Code]])</f>
        <v>11733206</v>
      </c>
      <c r="AW294" s="6">
        <f>HS_DB[[#This Row],[Annual Spend - USD]]/HS_DB[[#This Row],[Total Market Size - USD]]</f>
        <v>1</v>
      </c>
      <c r="AX294" s="6" cm="1">
        <f t="array" ref="AX294">COUNTA(_xlfn.UNIQUE(_xlfn._xlws.FILTER(HS_DB[Partner],HS_DB[HS Code]=HS_DB[[#This Row],[HS Code]])))</f>
        <v>1</v>
      </c>
      <c r="AY294" s="8" t="str">
        <f>IF(HS_DB[[#This Row],[Competition Intensity]]&lt;=2,"Highly Concentrated",
 IF(HS_DB[[#This Row],[Competition Intensity]]&lt;=5,"Moderate",
 "Highly Competitive"))</f>
        <v>Highly Concentrated</v>
      </c>
      <c r="AZ294" s="8">
        <f>HS_DB[[#This Row],[Total Market Size - USD]]
*
(1+IFERROR(#REF!,0))
/
HS_DB[[#This Row],[Competition Intensity]]</f>
        <v>11733206</v>
      </c>
      <c r="BA294" s="8" t="str">
        <f>IF(HS_DB[[#This Row],[Commercial Opportunity Score]]&gt;=PERCENTILE(HS_DB[Commercial Opportunity Score],0.9),"High Opportunity",
 IF(HS_DB[[#This Row],[Commercial Opportunity Score]]&gt;=PERCENTILE(HS_DB[Commercial Opportunity Score],0.6),"Medium Opportunity",
 "Routine Market"))</f>
        <v>Routine Market</v>
      </c>
      <c r="BB294" s="3" t="str">
        <f>IF(AND(HS_DB[[#This Row],[Product Rank]]&gt;0,HS_DB[[#This Row],[Product Rank]]&lt;=10),"Yes","No")</f>
        <v>No</v>
      </c>
      <c r="BC294" s="3" t="str">
        <f>IF(AND(HS_DB[[#This Row],[Origin Rank]]&gt;0,HS_DB[[#This Row],[Origin Rank]]&lt;=10),"Yes","No")</f>
        <v>Yes</v>
      </c>
    </row>
    <row r="295" spans="2:55" x14ac:dyDescent="0.3">
      <c r="B295" s="2">
        <f>HS_DB[[#This Row],[Commodity Code]]</f>
        <v>170290</v>
      </c>
      <c r="C295" s="2">
        <f>IFERROR(INDEX(HS_MD!C:C,MATCH(B295,HS_MD!B:B,0),1),"")</f>
        <v>25</v>
      </c>
      <c r="D295" s="17" t="str">
        <f>IFERROR(INDEX(HS_MD!D:D,MATCH(B295,HS_MD!B:B,0),1),"")</f>
        <v>Other sugars incl. caramel</v>
      </c>
      <c r="E295" s="17" t="str">
        <f>IFERROR(INDEX(HS_MD!E:E,MATCH(B295,HS_MD!B:B,0),1),"")</f>
        <v>Caramel Color</v>
      </c>
      <c r="F295" s="17" t="str">
        <f>IFERROR(INDEX(HS_MD!F:F,MATCH(B295,HS_MD!B:B,0),1),"")</f>
        <v>Food Ingredients</v>
      </c>
      <c r="G295" s="17" t="str">
        <f>IFERROR(INDEX(HS_MD!G:G,MATCH(B295,HS_MD!B:B,0),1),"")</f>
        <v>Colors</v>
      </c>
      <c r="H295" s="17" t="str">
        <f>IFERROR(INDEX(HS_MD!H:H,MATCH(B295,HS_MD!B:B,0),1),"")</f>
        <v>Caramel Color (Class I-IV)</v>
      </c>
      <c r="I295" s="17" t="str">
        <f>IFERROR(INDEX(HS_MD!I:I,MATCH(B295,HS_MD!B:B,0),1),"")</f>
        <v>Beverages / Sauces</v>
      </c>
      <c r="J295" s="17">
        <f>IFERROR(INDEX(Heat_Map[Index],MATCH(HS_DB[[#This Row],[Reporter]],Heat_Map[Global],0),1),"")</f>
        <v>17</v>
      </c>
      <c r="K295" s="17" t="str">
        <f>IF(AND(HS_DB[[#This Row],[Origin Rank]]&gt;1,HS_DB[[#This Row],[Origin Rank]]&lt;=10),"Yes","No")</f>
        <v>No</v>
      </c>
      <c r="L295" s="2">
        <v>2024</v>
      </c>
      <c r="M295" s="2" t="s">
        <v>57</v>
      </c>
      <c r="N295" s="2" t="s">
        <v>5</v>
      </c>
      <c r="O295" s="2" t="s">
        <v>22</v>
      </c>
      <c r="P295" s="2" t="s">
        <v>23</v>
      </c>
      <c r="Q295" s="2" t="s">
        <v>24</v>
      </c>
      <c r="R295" s="2" t="s">
        <v>25</v>
      </c>
      <c r="S295" s="2">
        <v>170290</v>
      </c>
      <c r="T295" s="3">
        <v>18513</v>
      </c>
      <c r="U295" s="3">
        <v>17520.7</v>
      </c>
      <c r="V295" s="3">
        <v>0</v>
      </c>
      <c r="W295" s="3">
        <v>17521</v>
      </c>
      <c r="X295" s="3" t="s">
        <v>58</v>
      </c>
      <c r="Y295" s="3">
        <v>17521</v>
      </c>
      <c r="Z295" s="3" t="s">
        <v>58</v>
      </c>
      <c r="AA295" s="6">
        <f>SUMIFS(HS_DB[Trade Value - USD],HS_DB[Reporter],HS_DB[[#This Row],[Reporter]])/SUM(HS_DB[Trade Value - USD])</f>
        <v>5.3992075088500962E-3</v>
      </c>
      <c r="AB295" s="8" cm="1">
        <f t="array" ref="AB295">SUMPRODUCT(
(HS_DB[Reporter]=HS_DB[[#This Row],[Reporter]])*
(HS_DB[Trade Value - USD]&gt;HS_DB[[#This Row],[Trade Value - USD]])
)+1</f>
        <v>17</v>
      </c>
      <c r="AC295" s="8" t="str">
        <f>IFERROR(IF(INDEX(Heat_Map[Crisis Impact %],MATCH(HS_DB[[#This Row],[Reporter]],Heat_Map[Global],0),1)&gt;0,"Yes","No"),"No")</f>
        <v>No</v>
      </c>
      <c r="AD295" s="6">
        <f>IFERROR(INDEX(Heat_Map[Crisis Impact %],MATCH(HS_DB[[#This Row],[Reporter]],Heat_Map[Global],0),1),0)</f>
        <v>0</v>
      </c>
      <c r="AE295" s="8">
        <f>HS_DB[[#This Row],[Crisis Impact%]]*HS_DB[[#This Row],[Trade Value - USD]]</f>
        <v>0</v>
      </c>
      <c r="AF295" s="8">
        <f>HS_DB[[#This Row],[Crisis Impact%]]*HS_DB[[#This Row],[Net Weight -KG]]</f>
        <v>0</v>
      </c>
      <c r="AG295" s="6">
        <f>SUMIFS(HS_DB[Trade Value - USD],HS_DB[Products],HS_DB[[#This Row],[Products]])/SUM(HS_DB[Trade Value - USD])</f>
        <v>6.2244850394839587E-3</v>
      </c>
      <c r="AH295" s="8">
        <f>_xlfn.RANK.EQ(HS_DB[[#This Row],[Trade Value - USD]], HS_DB[Trade Value - USD], 0)
 + COUNTIFS(HS_DB[Trade Value - USD],HS_DB[[#This Row],[Trade Value - USD]],
            HS_DB[HS Code],"&lt;"&amp;HS_DB[[#This Row],[HS Code]])</f>
        <v>383</v>
      </c>
      <c r="AI295" s="9">
        <f>IFERROR(HS_DB[[#This Row],[Trade Value - USD]]/HS_DB[[#This Row],[Net Weight -KG]],0)</f>
        <v>1.0566358650053935</v>
      </c>
      <c r="AJ295" s="17" cm="1">
        <f t="array" ref="AJ295">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95" s="17" t="str">
        <f>IF(HS_DB[[#This Row],[HS Code Risk Score]]&gt;=40,"High",
 IF(HS_DB[[#This Row],[HS Code Risk Score]]&gt;=25,"Medium","Low"))</f>
        <v>Medium</v>
      </c>
      <c r="AL295" s="17" t="str">
        <f>IF(RANK(HS_DB[[#This Row],[HS Code Risk Score]],HS_DB[HS Code Risk Score])&lt;=10,"Yes","No")</f>
        <v>No</v>
      </c>
      <c r="AM295" s="8">
        <f>SUMIFS(HS_DB[Net Weight -KG],HS_DB[HS Code],HS_DB[[#This Row],[HS Code]])</f>
        <v>12365742.6</v>
      </c>
      <c r="AN295" s="8">
        <f>SUMIFS(HS_DB[Trade Value - USD],HS_DB[HS Code],HS_DB[[#This Row],[HS Code]])</f>
        <v>11733206</v>
      </c>
      <c r="AO295" s="6">
        <f>_xlfn.MAXIFS(HS_DB[Origin Share%],HS_DB[HS Code],HS_DB[[#This Row],[HS Code]])</f>
        <v>0.25769345655074266</v>
      </c>
      <c r="AP295" s="8" cm="1">
        <f t="array" ref="AP295">_xlfn.LET(
_xlpm.hs,HS_DB[[#This Row],[HS Code]],
COUNTA(_xlfn.UNIQUE(_xlfn._xlws.FILTER(HS_DB[Reporter],HS_DB[HS Code]=_xlpm.hs)))
)</f>
        <v>20</v>
      </c>
      <c r="AQ295" s="17" t="str">
        <f>IF(HS_DB[[#This Row],[Origin Count]]=1,"Single Source","Multiple Sources")</f>
        <v>Multiple Sources</v>
      </c>
      <c r="AR295" s="8">
        <f>HS_DB[[#This Row],[Annual Spend - USD]]*(HS_DB[[#This Row],[HS Code Risk Score]]/100)</f>
        <v>3989290.0400000005</v>
      </c>
      <c r="AS295" s="8">
        <f>RANK(HS_DB[[#This Row],[Risk Exposure - USD]],HS_DB[Risk Exposure - USD],0)</f>
        <v>241</v>
      </c>
      <c r="AT295" s="8" t="str">
        <f>IF(HS_DB[[#This Row],[Risk Exposure Rank]]&lt;=10,"High",
 IF(HS_DB[[#This Row],[Risk Exposure Rank]]&lt;=30,"Medium",
 "Low"))</f>
        <v>Low</v>
      </c>
      <c r="AU295" s="8" t="str">
        <f>IF(HS_DB[[#This Row],[Risk Exposure Rank]]&lt;=5,"Immediate Action",
 IF(HS_DB[[#This Row],[Risk Exposure Rank]]&lt;=15,"Monitor Closely",
 "Routine Control"))</f>
        <v>Routine Control</v>
      </c>
      <c r="AV295" s="8">
        <f>SUMIFS(HS_DB[Trade Value - USD],HS_DB[HS Code],HS_DB[[#This Row],[HS Code]])</f>
        <v>11733206</v>
      </c>
      <c r="AW295" s="6">
        <f>HS_DB[[#This Row],[Annual Spend - USD]]/HS_DB[[#This Row],[Total Market Size - USD]]</f>
        <v>1</v>
      </c>
      <c r="AX295" s="6" cm="1">
        <f t="array" ref="AX295">COUNTA(_xlfn.UNIQUE(_xlfn._xlws.FILTER(HS_DB[Partner],HS_DB[HS Code]=HS_DB[[#This Row],[HS Code]])))</f>
        <v>1</v>
      </c>
      <c r="AY295" s="8" t="str">
        <f>IF(HS_DB[[#This Row],[Competition Intensity]]&lt;=2,"Highly Concentrated",
 IF(HS_DB[[#This Row],[Competition Intensity]]&lt;=5,"Moderate",
 "Highly Competitive"))</f>
        <v>Highly Concentrated</v>
      </c>
      <c r="AZ295" s="8">
        <f>HS_DB[[#This Row],[Total Market Size - USD]]
*
(1+IFERROR(#REF!,0))
/
HS_DB[[#This Row],[Competition Intensity]]</f>
        <v>11733206</v>
      </c>
      <c r="BA295" s="8" t="str">
        <f>IF(HS_DB[[#This Row],[Commercial Opportunity Score]]&gt;=PERCENTILE(HS_DB[Commercial Opportunity Score],0.9),"High Opportunity",
 IF(HS_DB[[#This Row],[Commercial Opportunity Score]]&gt;=PERCENTILE(HS_DB[Commercial Opportunity Score],0.6),"Medium Opportunity",
 "Routine Market"))</f>
        <v>Routine Market</v>
      </c>
      <c r="BB295" s="3" t="str">
        <f>IF(AND(HS_DB[[#This Row],[Product Rank]]&gt;0,HS_DB[[#This Row],[Product Rank]]&lt;=10),"Yes","No")</f>
        <v>No</v>
      </c>
      <c r="BC295" s="3" t="str">
        <f>IF(AND(HS_DB[[#This Row],[Origin Rank]]&gt;0,HS_DB[[#This Row],[Origin Rank]]&lt;=10),"Yes","No")</f>
        <v>No</v>
      </c>
    </row>
    <row r="296" spans="2:55" x14ac:dyDescent="0.3">
      <c r="B296" s="2">
        <f>HS_DB[[#This Row],[Commodity Code]]</f>
        <v>170290</v>
      </c>
      <c r="C296" s="2">
        <f>IFERROR(INDEX(HS_MD!C:C,MATCH(B296,HS_MD!B:B,0),1),"")</f>
        <v>25</v>
      </c>
      <c r="D296" s="17" t="str">
        <f>IFERROR(INDEX(HS_MD!D:D,MATCH(B296,HS_MD!B:B,0),1),"")</f>
        <v>Other sugars incl. caramel</v>
      </c>
      <c r="E296" s="17" t="str">
        <f>IFERROR(INDEX(HS_MD!E:E,MATCH(B296,HS_MD!B:B,0),1),"")</f>
        <v>Caramel Color</v>
      </c>
      <c r="F296" s="17" t="str">
        <f>IFERROR(INDEX(HS_MD!F:F,MATCH(B296,HS_MD!B:B,0),1),"")</f>
        <v>Food Ingredients</v>
      </c>
      <c r="G296" s="17" t="str">
        <f>IFERROR(INDEX(HS_MD!G:G,MATCH(B296,HS_MD!B:B,0),1),"")</f>
        <v>Colors</v>
      </c>
      <c r="H296" s="17" t="str">
        <f>IFERROR(INDEX(HS_MD!H:H,MATCH(B296,HS_MD!B:B,0),1),"")</f>
        <v>Caramel Color (Class I-IV)</v>
      </c>
      <c r="I296" s="17" t="str">
        <f>IFERROR(INDEX(HS_MD!I:I,MATCH(B296,HS_MD!B:B,0),1),"")</f>
        <v>Beverages / Sauces</v>
      </c>
      <c r="J296" s="17">
        <f>IFERROR(INDEX(Heat_Map[Index],MATCH(HS_DB[[#This Row],[Reporter]],Heat_Map[Global],0),1),"")</f>
        <v>36</v>
      </c>
      <c r="K296" s="17" t="str">
        <f>IF(AND(HS_DB[[#This Row],[Origin Rank]]&gt;1,HS_DB[[#This Row],[Origin Rank]]&lt;=10),"Yes","No")</f>
        <v>No</v>
      </c>
      <c r="L296" s="2">
        <v>2024</v>
      </c>
      <c r="M296" s="2" t="s">
        <v>57</v>
      </c>
      <c r="N296" s="2" t="s">
        <v>1</v>
      </c>
      <c r="O296" s="2" t="s">
        <v>22</v>
      </c>
      <c r="P296" s="2" t="s">
        <v>23</v>
      </c>
      <c r="Q296" s="2" t="s">
        <v>24</v>
      </c>
      <c r="R296" s="2" t="s">
        <v>25</v>
      </c>
      <c r="S296" s="2">
        <v>170290</v>
      </c>
      <c r="T296" s="3">
        <v>2089153</v>
      </c>
      <c r="U296" s="3">
        <v>2820117</v>
      </c>
      <c r="V296" s="3">
        <v>0</v>
      </c>
      <c r="W296" s="3">
        <v>2820117</v>
      </c>
      <c r="X296" s="3" t="s">
        <v>58</v>
      </c>
      <c r="Y296" s="3">
        <v>2820117</v>
      </c>
      <c r="Z296" s="3" t="s">
        <v>58</v>
      </c>
      <c r="AA296" s="6">
        <f>SUMIFS(HS_DB[Trade Value - USD],HS_DB[Reporter],HS_DB[[#This Row],[Reporter]])/SUM(HS_DB[Trade Value - USD])</f>
        <v>6.321329281187793E-2</v>
      </c>
      <c r="AB296" s="8" cm="1">
        <f t="array" ref="AB296">SUMPRODUCT(
(HS_DB[Reporter]=HS_DB[[#This Row],[Reporter]])*
(HS_DB[Trade Value - USD]&gt;HS_DB[[#This Row],[Trade Value - USD]])
)+1</f>
        <v>15</v>
      </c>
      <c r="AC296" s="8" t="str">
        <f>IFERROR(IF(INDEX(Heat_Map[Crisis Impact %],MATCH(HS_DB[[#This Row],[Reporter]],Heat_Map[Global],0),1)&gt;0,"Yes","No"),"No")</f>
        <v>Yes</v>
      </c>
      <c r="AD296" s="6">
        <f>IFERROR(INDEX(Heat_Map[Crisis Impact %],MATCH(HS_DB[[#This Row],[Reporter]],Heat_Map[Global],0),1),0)</f>
        <v>0.14000000000000001</v>
      </c>
      <c r="AE296" s="8">
        <f>HS_DB[[#This Row],[Crisis Impact%]]*HS_DB[[#This Row],[Trade Value - USD]]</f>
        <v>292481.42000000004</v>
      </c>
      <c r="AF296" s="8">
        <f>HS_DB[[#This Row],[Crisis Impact%]]*HS_DB[[#This Row],[Net Weight -KG]]</f>
        <v>394816.38000000006</v>
      </c>
      <c r="AG296" s="6">
        <f>SUMIFS(HS_DB[Trade Value - USD],HS_DB[Products],HS_DB[[#This Row],[Products]])/SUM(HS_DB[Trade Value - USD])</f>
        <v>6.2244850394839587E-3</v>
      </c>
      <c r="AH296" s="8">
        <f>_xlfn.RANK.EQ(HS_DB[[#This Row],[Trade Value - USD]], HS_DB[Trade Value - USD], 0)
 + COUNTIFS(HS_DB[Trade Value - USD],HS_DB[[#This Row],[Trade Value - USD]],
            HS_DB[HS Code],"&lt;"&amp;HS_DB[[#This Row],[HS Code]])</f>
        <v>63</v>
      </c>
      <c r="AI296" s="9">
        <f>IFERROR(HS_DB[[#This Row],[Trade Value - USD]]/HS_DB[[#This Row],[Net Weight -KG]],0)</f>
        <v>0.74080366169205036</v>
      </c>
      <c r="AJ296" s="17" cm="1">
        <f t="array" ref="AJ296">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96" s="17" t="str">
        <f>IF(HS_DB[[#This Row],[HS Code Risk Score]]&gt;=40,"High",
 IF(HS_DB[[#This Row],[HS Code Risk Score]]&gt;=25,"Medium","Low"))</f>
        <v>Medium</v>
      </c>
      <c r="AL296" s="17" t="str">
        <f>IF(RANK(HS_DB[[#This Row],[HS Code Risk Score]],HS_DB[HS Code Risk Score])&lt;=10,"Yes","No")</f>
        <v>No</v>
      </c>
      <c r="AM296" s="8">
        <f>SUMIFS(HS_DB[Net Weight -KG],HS_DB[HS Code],HS_DB[[#This Row],[HS Code]])</f>
        <v>12365742.6</v>
      </c>
      <c r="AN296" s="8">
        <f>SUMIFS(HS_DB[Trade Value - USD],HS_DB[HS Code],HS_DB[[#This Row],[HS Code]])</f>
        <v>11733206</v>
      </c>
      <c r="AO296" s="6">
        <f>_xlfn.MAXIFS(HS_DB[Origin Share%],HS_DB[HS Code],HS_DB[[#This Row],[HS Code]])</f>
        <v>0.25769345655074266</v>
      </c>
      <c r="AP296" s="8" cm="1">
        <f t="array" ref="AP296">_xlfn.LET(
_xlpm.hs,HS_DB[[#This Row],[HS Code]],
COUNTA(_xlfn.UNIQUE(_xlfn._xlws.FILTER(HS_DB[Reporter],HS_DB[HS Code]=_xlpm.hs)))
)</f>
        <v>20</v>
      </c>
      <c r="AQ296" s="17" t="str">
        <f>IF(HS_DB[[#This Row],[Origin Count]]=1,"Single Source","Multiple Sources")</f>
        <v>Multiple Sources</v>
      </c>
      <c r="AR296" s="8">
        <f>HS_DB[[#This Row],[Annual Spend - USD]]*(HS_DB[[#This Row],[HS Code Risk Score]]/100)</f>
        <v>3989290.0400000005</v>
      </c>
      <c r="AS296" s="8">
        <f>RANK(HS_DB[[#This Row],[Risk Exposure - USD]],HS_DB[Risk Exposure - USD],0)</f>
        <v>241</v>
      </c>
      <c r="AT296" s="8" t="str">
        <f>IF(HS_DB[[#This Row],[Risk Exposure Rank]]&lt;=10,"High",
 IF(HS_DB[[#This Row],[Risk Exposure Rank]]&lt;=30,"Medium",
 "Low"))</f>
        <v>Low</v>
      </c>
      <c r="AU296" s="8" t="str">
        <f>IF(HS_DB[[#This Row],[Risk Exposure Rank]]&lt;=5,"Immediate Action",
 IF(HS_DB[[#This Row],[Risk Exposure Rank]]&lt;=15,"Monitor Closely",
 "Routine Control"))</f>
        <v>Routine Control</v>
      </c>
      <c r="AV296" s="8">
        <f>SUMIFS(HS_DB[Trade Value - USD],HS_DB[HS Code],HS_DB[[#This Row],[HS Code]])</f>
        <v>11733206</v>
      </c>
      <c r="AW296" s="6">
        <f>HS_DB[[#This Row],[Annual Spend - USD]]/HS_DB[[#This Row],[Total Market Size - USD]]</f>
        <v>1</v>
      </c>
      <c r="AX296" s="6" cm="1">
        <f t="array" ref="AX296">COUNTA(_xlfn.UNIQUE(_xlfn._xlws.FILTER(HS_DB[Partner],HS_DB[HS Code]=HS_DB[[#This Row],[HS Code]])))</f>
        <v>1</v>
      </c>
      <c r="AY296" s="8" t="str">
        <f>IF(HS_DB[[#This Row],[Competition Intensity]]&lt;=2,"Highly Concentrated",
 IF(HS_DB[[#This Row],[Competition Intensity]]&lt;=5,"Moderate",
 "Highly Competitive"))</f>
        <v>Highly Concentrated</v>
      </c>
      <c r="AZ296" s="8">
        <f>HS_DB[[#This Row],[Total Market Size - USD]]
*
(1+IFERROR(#REF!,0))
/
HS_DB[[#This Row],[Competition Intensity]]</f>
        <v>11733206</v>
      </c>
      <c r="BA296" s="8" t="str">
        <f>IF(HS_DB[[#This Row],[Commercial Opportunity Score]]&gt;=PERCENTILE(HS_DB[Commercial Opportunity Score],0.9),"High Opportunity",
 IF(HS_DB[[#This Row],[Commercial Opportunity Score]]&gt;=PERCENTILE(HS_DB[Commercial Opportunity Score],0.6),"Medium Opportunity",
 "Routine Market"))</f>
        <v>Routine Market</v>
      </c>
      <c r="BB296" s="3" t="str">
        <f>IF(AND(HS_DB[[#This Row],[Product Rank]]&gt;0,HS_DB[[#This Row],[Product Rank]]&lt;=10),"Yes","No")</f>
        <v>No</v>
      </c>
      <c r="BC296" s="3" t="str">
        <f>IF(AND(HS_DB[[#This Row],[Origin Rank]]&gt;0,HS_DB[[#This Row],[Origin Rank]]&lt;=10),"Yes","No")</f>
        <v>No</v>
      </c>
    </row>
    <row r="297" spans="2:55" x14ac:dyDescent="0.3">
      <c r="B297" s="2">
        <f>HS_DB[[#This Row],[Commodity Code]]</f>
        <v>170290</v>
      </c>
      <c r="C297" s="2">
        <f>IFERROR(INDEX(HS_MD!C:C,MATCH(B297,HS_MD!B:B,0),1),"")</f>
        <v>25</v>
      </c>
      <c r="D297" s="17" t="str">
        <f>IFERROR(INDEX(HS_MD!D:D,MATCH(B297,HS_MD!B:B,0),1),"")</f>
        <v>Other sugars incl. caramel</v>
      </c>
      <c r="E297" s="17" t="str">
        <f>IFERROR(INDEX(HS_MD!E:E,MATCH(B297,HS_MD!B:B,0),1),"")</f>
        <v>Caramel Color</v>
      </c>
      <c r="F297" s="17" t="str">
        <f>IFERROR(INDEX(HS_MD!F:F,MATCH(B297,HS_MD!B:B,0),1),"")</f>
        <v>Food Ingredients</v>
      </c>
      <c r="G297" s="17" t="str">
        <f>IFERROR(INDEX(HS_MD!G:G,MATCH(B297,HS_MD!B:B,0),1),"")</f>
        <v>Colors</v>
      </c>
      <c r="H297" s="17" t="str">
        <f>IFERROR(INDEX(HS_MD!H:H,MATCH(B297,HS_MD!B:B,0),1),"")</f>
        <v>Caramel Color (Class I-IV)</v>
      </c>
      <c r="I297" s="17" t="str">
        <f>IFERROR(INDEX(HS_MD!I:I,MATCH(B297,HS_MD!B:B,0),1),"")</f>
        <v>Beverages / Sauces</v>
      </c>
      <c r="J297" s="17">
        <f>IFERROR(INDEX(Heat_Map[Index],MATCH(HS_DB[[#This Row],[Reporter]],Heat_Map[Global],0),1),"")</f>
        <v>45</v>
      </c>
      <c r="K297" s="17" t="str">
        <f>IF(AND(HS_DB[[#This Row],[Origin Rank]]&gt;1,HS_DB[[#This Row],[Origin Rank]]&lt;=10),"Yes","No")</f>
        <v>Yes</v>
      </c>
      <c r="L297" s="2">
        <v>2024</v>
      </c>
      <c r="M297" s="2" t="s">
        <v>57</v>
      </c>
      <c r="N297" s="2" t="s">
        <v>42</v>
      </c>
      <c r="O297" s="2" t="s">
        <v>22</v>
      </c>
      <c r="P297" s="2" t="s">
        <v>23</v>
      </c>
      <c r="Q297" s="2" t="s">
        <v>24</v>
      </c>
      <c r="R297" s="2" t="s">
        <v>25</v>
      </c>
      <c r="S297" s="2">
        <v>170290</v>
      </c>
      <c r="T297" s="3">
        <v>11547</v>
      </c>
      <c r="U297" s="3">
        <v>2100</v>
      </c>
      <c r="V297" s="3">
        <v>0</v>
      </c>
      <c r="W297" s="3">
        <v>2100</v>
      </c>
      <c r="X297" s="3" t="s">
        <v>58</v>
      </c>
      <c r="Y297" s="3">
        <v>2100</v>
      </c>
      <c r="Z297" s="3" t="s">
        <v>58</v>
      </c>
      <c r="AA297" s="6">
        <f>SUMIFS(HS_DB[Trade Value - USD],HS_DB[Reporter],HS_DB[[#This Row],[Reporter]])/SUM(HS_DB[Trade Value - USD])</f>
        <v>4.8573207719329804E-4</v>
      </c>
      <c r="AB297" s="8" cm="1">
        <f t="array" ref="AB297">SUMPRODUCT(
(HS_DB[Reporter]=HS_DB[[#This Row],[Reporter]])*
(HS_DB[Trade Value - USD]&gt;HS_DB[[#This Row],[Trade Value - USD]])
)+1</f>
        <v>7</v>
      </c>
      <c r="AC297" s="8" t="str">
        <f>IFERROR(IF(INDEX(Heat_Map[Crisis Impact %],MATCH(HS_DB[[#This Row],[Reporter]],Heat_Map[Global],0),1)&gt;0,"Yes","No"),"No")</f>
        <v>No</v>
      </c>
      <c r="AD297" s="6">
        <f>IFERROR(INDEX(Heat_Map[Crisis Impact %],MATCH(HS_DB[[#This Row],[Reporter]],Heat_Map[Global],0),1),0)</f>
        <v>0</v>
      </c>
      <c r="AE297" s="8">
        <f>HS_DB[[#This Row],[Crisis Impact%]]*HS_DB[[#This Row],[Trade Value - USD]]</f>
        <v>0</v>
      </c>
      <c r="AF297" s="8">
        <f>HS_DB[[#This Row],[Crisis Impact%]]*HS_DB[[#This Row],[Net Weight -KG]]</f>
        <v>0</v>
      </c>
      <c r="AG297" s="6">
        <f>SUMIFS(HS_DB[Trade Value - USD],HS_DB[Products],HS_DB[[#This Row],[Products]])/SUM(HS_DB[Trade Value - USD])</f>
        <v>6.2244850394839587E-3</v>
      </c>
      <c r="AH297" s="8">
        <f>_xlfn.RANK.EQ(HS_DB[[#This Row],[Trade Value - USD]], HS_DB[Trade Value - USD], 0)
 + COUNTIFS(HS_DB[Trade Value - USD],HS_DB[[#This Row],[Trade Value - USD]],
            HS_DB[HS Code],"&lt;"&amp;HS_DB[[#This Row],[HS Code]])</f>
        <v>405</v>
      </c>
      <c r="AI297" s="9">
        <f>IFERROR(HS_DB[[#This Row],[Trade Value - USD]]/HS_DB[[#This Row],[Net Weight -KG]],0)</f>
        <v>5.4985714285714282</v>
      </c>
      <c r="AJ297" s="17" cm="1">
        <f t="array" ref="AJ297">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97" s="17" t="str">
        <f>IF(HS_DB[[#This Row],[HS Code Risk Score]]&gt;=40,"High",
 IF(HS_DB[[#This Row],[HS Code Risk Score]]&gt;=25,"Medium","Low"))</f>
        <v>Medium</v>
      </c>
      <c r="AL297" s="17" t="str">
        <f>IF(RANK(HS_DB[[#This Row],[HS Code Risk Score]],HS_DB[HS Code Risk Score])&lt;=10,"Yes","No")</f>
        <v>No</v>
      </c>
      <c r="AM297" s="8">
        <f>SUMIFS(HS_DB[Net Weight -KG],HS_DB[HS Code],HS_DB[[#This Row],[HS Code]])</f>
        <v>12365742.6</v>
      </c>
      <c r="AN297" s="8">
        <f>SUMIFS(HS_DB[Trade Value - USD],HS_DB[HS Code],HS_DB[[#This Row],[HS Code]])</f>
        <v>11733206</v>
      </c>
      <c r="AO297" s="6">
        <f>_xlfn.MAXIFS(HS_DB[Origin Share%],HS_DB[HS Code],HS_DB[[#This Row],[HS Code]])</f>
        <v>0.25769345655074266</v>
      </c>
      <c r="AP297" s="8" cm="1">
        <f t="array" ref="AP297">_xlfn.LET(
_xlpm.hs,HS_DB[[#This Row],[HS Code]],
COUNTA(_xlfn.UNIQUE(_xlfn._xlws.FILTER(HS_DB[Reporter],HS_DB[HS Code]=_xlpm.hs)))
)</f>
        <v>20</v>
      </c>
      <c r="AQ297" s="17" t="str">
        <f>IF(HS_DB[[#This Row],[Origin Count]]=1,"Single Source","Multiple Sources")</f>
        <v>Multiple Sources</v>
      </c>
      <c r="AR297" s="8">
        <f>HS_DB[[#This Row],[Annual Spend - USD]]*(HS_DB[[#This Row],[HS Code Risk Score]]/100)</f>
        <v>3989290.0400000005</v>
      </c>
      <c r="AS297" s="8">
        <f>RANK(HS_DB[[#This Row],[Risk Exposure - USD]],HS_DB[Risk Exposure - USD],0)</f>
        <v>241</v>
      </c>
      <c r="AT297" s="8" t="str">
        <f>IF(HS_DB[[#This Row],[Risk Exposure Rank]]&lt;=10,"High",
 IF(HS_DB[[#This Row],[Risk Exposure Rank]]&lt;=30,"Medium",
 "Low"))</f>
        <v>Low</v>
      </c>
      <c r="AU297" s="8" t="str">
        <f>IF(HS_DB[[#This Row],[Risk Exposure Rank]]&lt;=5,"Immediate Action",
 IF(HS_DB[[#This Row],[Risk Exposure Rank]]&lt;=15,"Monitor Closely",
 "Routine Control"))</f>
        <v>Routine Control</v>
      </c>
      <c r="AV297" s="8">
        <f>SUMIFS(HS_DB[Trade Value - USD],HS_DB[HS Code],HS_DB[[#This Row],[HS Code]])</f>
        <v>11733206</v>
      </c>
      <c r="AW297" s="6">
        <f>HS_DB[[#This Row],[Annual Spend - USD]]/HS_DB[[#This Row],[Total Market Size - USD]]</f>
        <v>1</v>
      </c>
      <c r="AX297" s="6" cm="1">
        <f t="array" ref="AX297">COUNTA(_xlfn.UNIQUE(_xlfn._xlws.FILTER(HS_DB[Partner],HS_DB[HS Code]=HS_DB[[#This Row],[HS Code]])))</f>
        <v>1</v>
      </c>
      <c r="AY297" s="8" t="str">
        <f>IF(HS_DB[[#This Row],[Competition Intensity]]&lt;=2,"Highly Concentrated",
 IF(HS_DB[[#This Row],[Competition Intensity]]&lt;=5,"Moderate",
 "Highly Competitive"))</f>
        <v>Highly Concentrated</v>
      </c>
      <c r="AZ297" s="8">
        <f>HS_DB[[#This Row],[Total Market Size - USD]]
*
(1+IFERROR(#REF!,0))
/
HS_DB[[#This Row],[Competition Intensity]]</f>
        <v>11733206</v>
      </c>
      <c r="BA297" s="8" t="str">
        <f>IF(HS_DB[[#This Row],[Commercial Opportunity Score]]&gt;=PERCENTILE(HS_DB[Commercial Opportunity Score],0.9),"High Opportunity",
 IF(HS_DB[[#This Row],[Commercial Opportunity Score]]&gt;=PERCENTILE(HS_DB[Commercial Opportunity Score],0.6),"Medium Opportunity",
 "Routine Market"))</f>
        <v>Routine Market</v>
      </c>
      <c r="BB297" s="3" t="str">
        <f>IF(AND(HS_DB[[#This Row],[Product Rank]]&gt;0,HS_DB[[#This Row],[Product Rank]]&lt;=10),"Yes","No")</f>
        <v>No</v>
      </c>
      <c r="BC297" s="3" t="str">
        <f>IF(AND(HS_DB[[#This Row],[Origin Rank]]&gt;0,HS_DB[[#This Row],[Origin Rank]]&lt;=10),"Yes","No")</f>
        <v>Yes</v>
      </c>
    </row>
    <row r="298" spans="2:55" x14ac:dyDescent="0.3">
      <c r="B298" s="2">
        <f>HS_DB[[#This Row],[Commodity Code]]</f>
        <v>170290</v>
      </c>
      <c r="C298" s="2">
        <f>IFERROR(INDEX(HS_MD!C:C,MATCH(B298,HS_MD!B:B,0),1),"")</f>
        <v>25</v>
      </c>
      <c r="D298" s="17" t="str">
        <f>IFERROR(INDEX(HS_MD!D:D,MATCH(B298,HS_MD!B:B,0),1),"")</f>
        <v>Other sugars incl. caramel</v>
      </c>
      <c r="E298" s="17" t="str">
        <f>IFERROR(INDEX(HS_MD!E:E,MATCH(B298,HS_MD!B:B,0),1),"")</f>
        <v>Caramel Color</v>
      </c>
      <c r="F298" s="17" t="str">
        <f>IFERROR(INDEX(HS_MD!F:F,MATCH(B298,HS_MD!B:B,0),1),"")</f>
        <v>Food Ingredients</v>
      </c>
      <c r="G298" s="17" t="str">
        <f>IFERROR(INDEX(HS_MD!G:G,MATCH(B298,HS_MD!B:B,0),1),"")</f>
        <v>Colors</v>
      </c>
      <c r="H298" s="17" t="str">
        <f>IFERROR(INDEX(HS_MD!H:H,MATCH(B298,HS_MD!B:B,0),1),"")</f>
        <v>Caramel Color (Class I-IV)</v>
      </c>
      <c r="I298" s="17" t="str">
        <f>IFERROR(INDEX(HS_MD!I:I,MATCH(B298,HS_MD!B:B,0),1),"")</f>
        <v>Beverages / Sauces</v>
      </c>
      <c r="J298" s="17">
        <f>IFERROR(INDEX(Heat_Map[Index],MATCH(HS_DB[[#This Row],[Reporter]],Heat_Map[Global],0),1),"")</f>
        <v>59</v>
      </c>
      <c r="K298" s="17" t="str">
        <f>IF(AND(HS_DB[[#This Row],[Origin Rank]]&gt;1,HS_DB[[#This Row],[Origin Rank]]&lt;=10),"Yes","No")</f>
        <v>Yes</v>
      </c>
      <c r="L298" s="2">
        <v>2024</v>
      </c>
      <c r="M298" s="2" t="s">
        <v>57</v>
      </c>
      <c r="N298" s="2" t="s">
        <v>44</v>
      </c>
      <c r="O298" s="2" t="s">
        <v>22</v>
      </c>
      <c r="P298" s="2" t="s">
        <v>23</v>
      </c>
      <c r="Q298" s="2" t="s">
        <v>24</v>
      </c>
      <c r="R298" s="2" t="s">
        <v>25</v>
      </c>
      <c r="S298" s="2">
        <v>170290</v>
      </c>
      <c r="T298" s="3">
        <v>4959639</v>
      </c>
      <c r="U298" s="3">
        <v>5731201</v>
      </c>
      <c r="V298" s="3">
        <v>0</v>
      </c>
      <c r="W298" s="3">
        <v>5731201</v>
      </c>
      <c r="X298" s="3" t="s">
        <v>58</v>
      </c>
      <c r="Y298" s="3">
        <v>5731201</v>
      </c>
      <c r="Z298" s="3" t="s">
        <v>58</v>
      </c>
      <c r="AA298" s="6">
        <f>SUMIFS(HS_DB[Trade Value - USD],HS_DB[Reporter],HS_DB[[#This Row],[Reporter]])/SUM(HS_DB[Trade Value - USD])</f>
        <v>1.6951290293147386E-2</v>
      </c>
      <c r="AB298" s="8" cm="1">
        <f t="array" ref="AB298">SUMPRODUCT(
(HS_DB[Reporter]=HS_DB[[#This Row],[Reporter]])*
(HS_DB[Trade Value - USD]&gt;HS_DB[[#This Row],[Trade Value - USD]])
)+1</f>
        <v>3</v>
      </c>
      <c r="AC298" s="8" t="str">
        <f>IFERROR(IF(INDEX(Heat_Map[Crisis Impact %],MATCH(HS_DB[[#This Row],[Reporter]],Heat_Map[Global],0),1)&gt;0,"Yes","No"),"No")</f>
        <v>No</v>
      </c>
      <c r="AD298" s="6">
        <f>IFERROR(INDEX(Heat_Map[Crisis Impact %],MATCH(HS_DB[[#This Row],[Reporter]],Heat_Map[Global],0),1),0)</f>
        <v>0</v>
      </c>
      <c r="AE298" s="8">
        <f>HS_DB[[#This Row],[Crisis Impact%]]*HS_DB[[#This Row],[Trade Value - USD]]</f>
        <v>0</v>
      </c>
      <c r="AF298" s="8">
        <f>HS_DB[[#This Row],[Crisis Impact%]]*HS_DB[[#This Row],[Net Weight -KG]]</f>
        <v>0</v>
      </c>
      <c r="AG298" s="6">
        <f>SUMIFS(HS_DB[Trade Value - USD],HS_DB[Products],HS_DB[[#This Row],[Products]])/SUM(HS_DB[Trade Value - USD])</f>
        <v>6.2244850394839587E-3</v>
      </c>
      <c r="AH298" s="8">
        <f>_xlfn.RANK.EQ(HS_DB[[#This Row],[Trade Value - USD]], HS_DB[Trade Value - USD], 0)
 + COUNTIFS(HS_DB[Trade Value - USD],HS_DB[[#This Row],[Trade Value - USD]],
            HS_DB[HS Code],"&lt;"&amp;HS_DB[[#This Row],[HS Code]])</f>
        <v>31</v>
      </c>
      <c r="AI298" s="9">
        <f>IFERROR(HS_DB[[#This Row],[Trade Value - USD]]/HS_DB[[#This Row],[Net Weight -KG]],0)</f>
        <v>0.86537516307663964</v>
      </c>
      <c r="AJ298" s="17" cm="1">
        <f t="array" ref="AJ298">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98" s="17" t="str">
        <f>IF(HS_DB[[#This Row],[HS Code Risk Score]]&gt;=40,"High",
 IF(HS_DB[[#This Row],[HS Code Risk Score]]&gt;=25,"Medium","Low"))</f>
        <v>Medium</v>
      </c>
      <c r="AL298" s="17" t="str">
        <f>IF(RANK(HS_DB[[#This Row],[HS Code Risk Score]],HS_DB[HS Code Risk Score])&lt;=10,"Yes","No")</f>
        <v>No</v>
      </c>
      <c r="AM298" s="8">
        <f>SUMIFS(HS_DB[Net Weight -KG],HS_DB[HS Code],HS_DB[[#This Row],[HS Code]])</f>
        <v>12365742.6</v>
      </c>
      <c r="AN298" s="8">
        <f>SUMIFS(HS_DB[Trade Value - USD],HS_DB[HS Code],HS_DB[[#This Row],[HS Code]])</f>
        <v>11733206</v>
      </c>
      <c r="AO298" s="6">
        <f>_xlfn.MAXIFS(HS_DB[Origin Share%],HS_DB[HS Code],HS_DB[[#This Row],[HS Code]])</f>
        <v>0.25769345655074266</v>
      </c>
      <c r="AP298" s="8" cm="1">
        <f t="array" ref="AP298">_xlfn.LET(
_xlpm.hs,HS_DB[[#This Row],[HS Code]],
COUNTA(_xlfn.UNIQUE(_xlfn._xlws.FILTER(HS_DB[Reporter],HS_DB[HS Code]=_xlpm.hs)))
)</f>
        <v>20</v>
      </c>
      <c r="AQ298" s="17" t="str">
        <f>IF(HS_DB[[#This Row],[Origin Count]]=1,"Single Source","Multiple Sources")</f>
        <v>Multiple Sources</v>
      </c>
      <c r="AR298" s="8">
        <f>HS_DB[[#This Row],[Annual Spend - USD]]*(HS_DB[[#This Row],[HS Code Risk Score]]/100)</f>
        <v>3989290.0400000005</v>
      </c>
      <c r="AS298" s="8">
        <f>RANK(HS_DB[[#This Row],[Risk Exposure - USD]],HS_DB[Risk Exposure - USD],0)</f>
        <v>241</v>
      </c>
      <c r="AT298" s="8" t="str">
        <f>IF(HS_DB[[#This Row],[Risk Exposure Rank]]&lt;=10,"High",
 IF(HS_DB[[#This Row],[Risk Exposure Rank]]&lt;=30,"Medium",
 "Low"))</f>
        <v>Low</v>
      </c>
      <c r="AU298" s="8" t="str">
        <f>IF(HS_DB[[#This Row],[Risk Exposure Rank]]&lt;=5,"Immediate Action",
 IF(HS_DB[[#This Row],[Risk Exposure Rank]]&lt;=15,"Monitor Closely",
 "Routine Control"))</f>
        <v>Routine Control</v>
      </c>
      <c r="AV298" s="8">
        <f>SUMIFS(HS_DB[Trade Value - USD],HS_DB[HS Code],HS_DB[[#This Row],[HS Code]])</f>
        <v>11733206</v>
      </c>
      <c r="AW298" s="6">
        <f>HS_DB[[#This Row],[Annual Spend - USD]]/HS_DB[[#This Row],[Total Market Size - USD]]</f>
        <v>1</v>
      </c>
      <c r="AX298" s="6" cm="1">
        <f t="array" ref="AX298">COUNTA(_xlfn.UNIQUE(_xlfn._xlws.FILTER(HS_DB[Partner],HS_DB[HS Code]=HS_DB[[#This Row],[HS Code]])))</f>
        <v>1</v>
      </c>
      <c r="AY298" s="8" t="str">
        <f>IF(HS_DB[[#This Row],[Competition Intensity]]&lt;=2,"Highly Concentrated",
 IF(HS_DB[[#This Row],[Competition Intensity]]&lt;=5,"Moderate",
 "Highly Competitive"))</f>
        <v>Highly Concentrated</v>
      </c>
      <c r="AZ298" s="8">
        <f>HS_DB[[#This Row],[Total Market Size - USD]]
*
(1+IFERROR(#REF!,0))
/
HS_DB[[#This Row],[Competition Intensity]]</f>
        <v>11733206</v>
      </c>
      <c r="BA298" s="8" t="str">
        <f>IF(HS_DB[[#This Row],[Commercial Opportunity Score]]&gt;=PERCENTILE(HS_DB[Commercial Opportunity Score],0.9),"High Opportunity",
 IF(HS_DB[[#This Row],[Commercial Opportunity Score]]&gt;=PERCENTILE(HS_DB[Commercial Opportunity Score],0.6),"Medium Opportunity",
 "Routine Market"))</f>
        <v>Routine Market</v>
      </c>
      <c r="BB298" s="3" t="str">
        <f>IF(AND(HS_DB[[#This Row],[Product Rank]]&gt;0,HS_DB[[#This Row],[Product Rank]]&lt;=10),"Yes","No")</f>
        <v>No</v>
      </c>
      <c r="BC298" s="3" t="str">
        <f>IF(AND(HS_DB[[#This Row],[Origin Rank]]&gt;0,HS_DB[[#This Row],[Origin Rank]]&lt;=10),"Yes","No")</f>
        <v>Yes</v>
      </c>
    </row>
    <row r="299" spans="2:55" x14ac:dyDescent="0.3">
      <c r="B299" s="2">
        <f>HS_DB[[#This Row],[Commodity Code]]</f>
        <v>170290</v>
      </c>
      <c r="C299" s="2">
        <f>IFERROR(INDEX(HS_MD!C:C,MATCH(B299,HS_MD!B:B,0),1),"")</f>
        <v>25</v>
      </c>
      <c r="D299" s="17" t="str">
        <f>IFERROR(INDEX(HS_MD!D:D,MATCH(B299,HS_MD!B:B,0),1),"")</f>
        <v>Other sugars incl. caramel</v>
      </c>
      <c r="E299" s="17" t="str">
        <f>IFERROR(INDEX(HS_MD!E:E,MATCH(B299,HS_MD!B:B,0),1),"")</f>
        <v>Caramel Color</v>
      </c>
      <c r="F299" s="17" t="str">
        <f>IFERROR(INDEX(HS_MD!F:F,MATCH(B299,HS_MD!B:B,0),1),"")</f>
        <v>Food Ingredients</v>
      </c>
      <c r="G299" s="17" t="str">
        <f>IFERROR(INDEX(HS_MD!G:G,MATCH(B299,HS_MD!B:B,0),1),"")</f>
        <v>Colors</v>
      </c>
      <c r="H299" s="17" t="str">
        <f>IFERROR(INDEX(HS_MD!H:H,MATCH(B299,HS_MD!B:B,0),1),"")</f>
        <v>Caramel Color (Class I-IV)</v>
      </c>
      <c r="I299" s="17" t="str">
        <f>IFERROR(INDEX(HS_MD!I:I,MATCH(B299,HS_MD!B:B,0),1),"")</f>
        <v>Beverages / Sauces</v>
      </c>
      <c r="J299" s="17">
        <f>IFERROR(INDEX(Heat_Map[Index],MATCH(HS_DB[[#This Row],[Reporter]],Heat_Map[Global],0),1),"")</f>
        <v>63</v>
      </c>
      <c r="K299" s="17" t="str">
        <f>IF(AND(HS_DB[[#This Row],[Origin Rank]]&gt;1,HS_DB[[#This Row],[Origin Rank]]&lt;=10),"Yes","No")</f>
        <v>No</v>
      </c>
      <c r="L299" s="2">
        <v>2024</v>
      </c>
      <c r="M299" s="2" t="s">
        <v>57</v>
      </c>
      <c r="N299" s="2" t="s">
        <v>2</v>
      </c>
      <c r="O299" s="2" t="s">
        <v>22</v>
      </c>
      <c r="P299" s="2" t="s">
        <v>23</v>
      </c>
      <c r="Q299" s="2" t="s">
        <v>24</v>
      </c>
      <c r="R299" s="2" t="s">
        <v>25</v>
      </c>
      <c r="S299" s="2">
        <v>170290</v>
      </c>
      <c r="T299" s="3">
        <v>67088</v>
      </c>
      <c r="U299" s="3">
        <v>30656</v>
      </c>
      <c r="V299" s="3">
        <v>0</v>
      </c>
      <c r="W299" s="3">
        <v>30656</v>
      </c>
      <c r="X299" s="3" t="s">
        <v>58</v>
      </c>
      <c r="Y299" s="3">
        <v>30656</v>
      </c>
      <c r="Z299" s="3" t="s">
        <v>58</v>
      </c>
      <c r="AA299" s="6">
        <f>SUMIFS(HS_DB[Trade Value - USD],HS_DB[Reporter],HS_DB[[#This Row],[Reporter]])/SUM(HS_DB[Trade Value - USD])</f>
        <v>1.1674623358397021E-2</v>
      </c>
      <c r="AB299" s="8" cm="1">
        <f t="array" ref="AB299">SUMPRODUCT(
(HS_DB[Reporter]=HS_DB[[#This Row],[Reporter]])*
(HS_DB[Trade Value - USD]&gt;HS_DB[[#This Row],[Trade Value - USD]])
)+1</f>
        <v>24</v>
      </c>
      <c r="AC299" s="8" t="str">
        <f>IFERROR(IF(INDEX(Heat_Map[Crisis Impact %],MATCH(HS_DB[[#This Row],[Reporter]],Heat_Map[Global],0),1)&gt;0,"Yes","No"),"No")</f>
        <v>No</v>
      </c>
      <c r="AD299" s="6">
        <f>IFERROR(INDEX(Heat_Map[Crisis Impact %],MATCH(HS_DB[[#This Row],[Reporter]],Heat_Map[Global],0),1),0)</f>
        <v>0</v>
      </c>
      <c r="AE299" s="8">
        <f>HS_DB[[#This Row],[Crisis Impact%]]*HS_DB[[#This Row],[Trade Value - USD]]</f>
        <v>0</v>
      </c>
      <c r="AF299" s="8">
        <f>HS_DB[[#This Row],[Crisis Impact%]]*HS_DB[[#This Row],[Net Weight -KG]]</f>
        <v>0</v>
      </c>
      <c r="AG299" s="6">
        <f>SUMIFS(HS_DB[Trade Value - USD],HS_DB[Products],HS_DB[[#This Row],[Products]])/SUM(HS_DB[Trade Value - USD])</f>
        <v>6.2244850394839587E-3</v>
      </c>
      <c r="AH299" s="8">
        <f>_xlfn.RANK.EQ(HS_DB[[#This Row],[Trade Value - USD]], HS_DB[Trade Value - USD], 0)
 + COUNTIFS(HS_DB[Trade Value - USD],HS_DB[[#This Row],[Trade Value - USD]],
            HS_DB[HS Code],"&lt;"&amp;HS_DB[[#This Row],[HS Code]])</f>
        <v>308</v>
      </c>
      <c r="AI299" s="9">
        <f>IFERROR(HS_DB[[#This Row],[Trade Value - USD]]/HS_DB[[#This Row],[Net Weight -KG]],0)</f>
        <v>2.1884133611691023</v>
      </c>
      <c r="AJ299" s="17" cm="1">
        <f t="array" ref="AJ299">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299" s="17" t="str">
        <f>IF(HS_DB[[#This Row],[HS Code Risk Score]]&gt;=40,"High",
 IF(HS_DB[[#This Row],[HS Code Risk Score]]&gt;=25,"Medium","Low"))</f>
        <v>Medium</v>
      </c>
      <c r="AL299" s="17" t="str">
        <f>IF(RANK(HS_DB[[#This Row],[HS Code Risk Score]],HS_DB[HS Code Risk Score])&lt;=10,"Yes","No")</f>
        <v>No</v>
      </c>
      <c r="AM299" s="8">
        <f>SUMIFS(HS_DB[Net Weight -KG],HS_DB[HS Code],HS_DB[[#This Row],[HS Code]])</f>
        <v>12365742.6</v>
      </c>
      <c r="AN299" s="8">
        <f>SUMIFS(HS_DB[Trade Value - USD],HS_DB[HS Code],HS_DB[[#This Row],[HS Code]])</f>
        <v>11733206</v>
      </c>
      <c r="AO299" s="6">
        <f>_xlfn.MAXIFS(HS_DB[Origin Share%],HS_DB[HS Code],HS_DB[[#This Row],[HS Code]])</f>
        <v>0.25769345655074266</v>
      </c>
      <c r="AP299" s="8" cm="1">
        <f t="array" ref="AP299">_xlfn.LET(
_xlpm.hs,HS_DB[[#This Row],[HS Code]],
COUNTA(_xlfn.UNIQUE(_xlfn._xlws.FILTER(HS_DB[Reporter],HS_DB[HS Code]=_xlpm.hs)))
)</f>
        <v>20</v>
      </c>
      <c r="AQ299" s="17" t="str">
        <f>IF(HS_DB[[#This Row],[Origin Count]]=1,"Single Source","Multiple Sources")</f>
        <v>Multiple Sources</v>
      </c>
      <c r="AR299" s="8">
        <f>HS_DB[[#This Row],[Annual Spend - USD]]*(HS_DB[[#This Row],[HS Code Risk Score]]/100)</f>
        <v>3989290.0400000005</v>
      </c>
      <c r="AS299" s="8">
        <f>RANK(HS_DB[[#This Row],[Risk Exposure - USD]],HS_DB[Risk Exposure - USD],0)</f>
        <v>241</v>
      </c>
      <c r="AT299" s="8" t="str">
        <f>IF(HS_DB[[#This Row],[Risk Exposure Rank]]&lt;=10,"High",
 IF(HS_DB[[#This Row],[Risk Exposure Rank]]&lt;=30,"Medium",
 "Low"))</f>
        <v>Low</v>
      </c>
      <c r="AU299" s="8" t="str">
        <f>IF(HS_DB[[#This Row],[Risk Exposure Rank]]&lt;=5,"Immediate Action",
 IF(HS_DB[[#This Row],[Risk Exposure Rank]]&lt;=15,"Monitor Closely",
 "Routine Control"))</f>
        <v>Routine Control</v>
      </c>
      <c r="AV299" s="8">
        <f>SUMIFS(HS_DB[Trade Value - USD],HS_DB[HS Code],HS_DB[[#This Row],[HS Code]])</f>
        <v>11733206</v>
      </c>
      <c r="AW299" s="6">
        <f>HS_DB[[#This Row],[Annual Spend - USD]]/HS_DB[[#This Row],[Total Market Size - USD]]</f>
        <v>1</v>
      </c>
      <c r="AX299" s="6" cm="1">
        <f t="array" ref="AX299">COUNTA(_xlfn.UNIQUE(_xlfn._xlws.FILTER(HS_DB[Partner],HS_DB[HS Code]=HS_DB[[#This Row],[HS Code]])))</f>
        <v>1</v>
      </c>
      <c r="AY299" s="8" t="str">
        <f>IF(HS_DB[[#This Row],[Competition Intensity]]&lt;=2,"Highly Concentrated",
 IF(HS_DB[[#This Row],[Competition Intensity]]&lt;=5,"Moderate",
 "Highly Competitive"))</f>
        <v>Highly Concentrated</v>
      </c>
      <c r="AZ299" s="8">
        <f>HS_DB[[#This Row],[Total Market Size - USD]]
*
(1+IFERROR(#REF!,0))
/
HS_DB[[#This Row],[Competition Intensity]]</f>
        <v>11733206</v>
      </c>
      <c r="BA299" s="8" t="str">
        <f>IF(HS_DB[[#This Row],[Commercial Opportunity Score]]&gt;=PERCENTILE(HS_DB[Commercial Opportunity Score],0.9),"High Opportunity",
 IF(HS_DB[[#This Row],[Commercial Opportunity Score]]&gt;=PERCENTILE(HS_DB[Commercial Opportunity Score],0.6),"Medium Opportunity",
 "Routine Market"))</f>
        <v>Routine Market</v>
      </c>
      <c r="BB299" s="3" t="str">
        <f>IF(AND(HS_DB[[#This Row],[Product Rank]]&gt;0,HS_DB[[#This Row],[Product Rank]]&lt;=10),"Yes","No")</f>
        <v>No</v>
      </c>
      <c r="BC299" s="3" t="str">
        <f>IF(AND(HS_DB[[#This Row],[Origin Rank]]&gt;0,HS_DB[[#This Row],[Origin Rank]]&lt;=10),"Yes","No")</f>
        <v>No</v>
      </c>
    </row>
    <row r="300" spans="2:55" x14ac:dyDescent="0.3">
      <c r="B300" s="2">
        <f>HS_DB[[#This Row],[Commodity Code]]</f>
        <v>170290</v>
      </c>
      <c r="C300" s="2">
        <f>IFERROR(INDEX(HS_MD!C:C,MATCH(B300,HS_MD!B:B,0),1),"")</f>
        <v>25</v>
      </c>
      <c r="D300" s="17" t="str">
        <f>IFERROR(INDEX(HS_MD!D:D,MATCH(B300,HS_MD!B:B,0),1),"")</f>
        <v>Other sugars incl. caramel</v>
      </c>
      <c r="E300" s="17" t="str">
        <f>IFERROR(INDEX(HS_MD!E:E,MATCH(B300,HS_MD!B:B,0),1),"")</f>
        <v>Caramel Color</v>
      </c>
      <c r="F300" s="17" t="str">
        <f>IFERROR(INDEX(HS_MD!F:F,MATCH(B300,HS_MD!B:B,0),1),"")</f>
        <v>Food Ingredients</v>
      </c>
      <c r="G300" s="17" t="str">
        <f>IFERROR(INDEX(HS_MD!G:G,MATCH(B300,HS_MD!B:B,0),1),"")</f>
        <v>Colors</v>
      </c>
      <c r="H300" s="17" t="str">
        <f>IFERROR(INDEX(HS_MD!H:H,MATCH(B300,HS_MD!B:B,0),1),"")</f>
        <v>Caramel Color (Class I-IV)</v>
      </c>
      <c r="I300" s="17" t="str">
        <f>IFERROR(INDEX(HS_MD!I:I,MATCH(B300,HS_MD!B:B,0),1),"")</f>
        <v>Beverages / Sauces</v>
      </c>
      <c r="J300" s="17">
        <f>IFERROR(INDEX(Heat_Map[Index],MATCH(HS_DB[[#This Row],[Reporter]],Heat_Map[Global],0),1),"")</f>
        <v>73</v>
      </c>
      <c r="K300" s="17" t="str">
        <f>IF(AND(HS_DB[[#This Row],[Origin Rank]]&gt;1,HS_DB[[#This Row],[Origin Rank]]&lt;=10),"Yes","No")</f>
        <v>No</v>
      </c>
      <c r="L300" s="2">
        <v>2024</v>
      </c>
      <c r="M300" s="2" t="s">
        <v>57</v>
      </c>
      <c r="N300" s="2" t="s">
        <v>46</v>
      </c>
      <c r="O300" s="2" t="s">
        <v>22</v>
      </c>
      <c r="P300" s="2" t="s">
        <v>23</v>
      </c>
      <c r="Q300" s="2" t="s">
        <v>24</v>
      </c>
      <c r="R300" s="2" t="s">
        <v>25</v>
      </c>
      <c r="S300" s="2">
        <v>170290</v>
      </c>
      <c r="T300" s="3">
        <v>485305</v>
      </c>
      <c r="U300" s="3">
        <v>170350</v>
      </c>
      <c r="V300" s="3">
        <v>0</v>
      </c>
      <c r="W300" s="3">
        <v>170350</v>
      </c>
      <c r="X300" s="3" t="s">
        <v>58</v>
      </c>
      <c r="Y300" s="3">
        <v>170350</v>
      </c>
      <c r="Z300" s="3" t="s">
        <v>58</v>
      </c>
      <c r="AA300" s="6">
        <f>SUMIFS(HS_DB[Trade Value - USD],HS_DB[Reporter],HS_DB[[#This Row],[Reporter]])/SUM(HS_DB[Trade Value - USD])</f>
        <v>2.621940701411424E-4</v>
      </c>
      <c r="AB300" s="8" cm="1">
        <f t="array" ref="AB300">SUMPRODUCT(
(HS_DB[Reporter]=HS_DB[[#This Row],[Reporter]])*
(HS_DB[Trade Value - USD]&gt;HS_DB[[#This Row],[Trade Value - USD]])
)+1</f>
        <v>1</v>
      </c>
      <c r="AC300" s="8" t="str">
        <f>IFERROR(IF(INDEX(Heat_Map[Crisis Impact %],MATCH(HS_DB[[#This Row],[Reporter]],Heat_Map[Global],0),1)&gt;0,"Yes","No"),"No")</f>
        <v>No</v>
      </c>
      <c r="AD300" s="6">
        <f>IFERROR(INDEX(Heat_Map[Crisis Impact %],MATCH(HS_DB[[#This Row],[Reporter]],Heat_Map[Global],0),1),0)</f>
        <v>0</v>
      </c>
      <c r="AE300" s="8">
        <f>HS_DB[[#This Row],[Crisis Impact%]]*HS_DB[[#This Row],[Trade Value - USD]]</f>
        <v>0</v>
      </c>
      <c r="AF300" s="8">
        <f>HS_DB[[#This Row],[Crisis Impact%]]*HS_DB[[#This Row],[Net Weight -KG]]</f>
        <v>0</v>
      </c>
      <c r="AG300" s="6">
        <f>SUMIFS(HS_DB[Trade Value - USD],HS_DB[Products],HS_DB[[#This Row],[Products]])/SUM(HS_DB[Trade Value - USD])</f>
        <v>6.2244850394839587E-3</v>
      </c>
      <c r="AH300" s="8">
        <f>_xlfn.RANK.EQ(HS_DB[[#This Row],[Trade Value - USD]], HS_DB[Trade Value - USD], 0)
 + COUNTIFS(HS_DB[Trade Value - USD],HS_DB[[#This Row],[Trade Value - USD]],
            HS_DB[HS Code],"&lt;"&amp;HS_DB[[#This Row],[HS Code]])</f>
        <v>148</v>
      </c>
      <c r="AI300" s="9">
        <f>IFERROR(HS_DB[[#This Row],[Trade Value - USD]]/HS_DB[[#This Row],[Net Weight -KG]],0)</f>
        <v>2.8488699735837981</v>
      </c>
      <c r="AJ300" s="17" cm="1">
        <f t="array" ref="AJ300">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00" s="17" t="str">
        <f>IF(HS_DB[[#This Row],[HS Code Risk Score]]&gt;=40,"High",
 IF(HS_DB[[#This Row],[HS Code Risk Score]]&gt;=25,"Medium","Low"))</f>
        <v>Medium</v>
      </c>
      <c r="AL300" s="17" t="str">
        <f>IF(RANK(HS_DB[[#This Row],[HS Code Risk Score]],HS_DB[HS Code Risk Score])&lt;=10,"Yes","No")</f>
        <v>No</v>
      </c>
      <c r="AM300" s="8">
        <f>SUMIFS(HS_DB[Net Weight -KG],HS_DB[HS Code],HS_DB[[#This Row],[HS Code]])</f>
        <v>12365742.6</v>
      </c>
      <c r="AN300" s="8">
        <f>SUMIFS(HS_DB[Trade Value - USD],HS_DB[HS Code],HS_DB[[#This Row],[HS Code]])</f>
        <v>11733206</v>
      </c>
      <c r="AO300" s="6">
        <f>_xlfn.MAXIFS(HS_DB[Origin Share%],HS_DB[HS Code],HS_DB[[#This Row],[HS Code]])</f>
        <v>0.25769345655074266</v>
      </c>
      <c r="AP300" s="8" cm="1">
        <f t="array" ref="AP300">_xlfn.LET(
_xlpm.hs,HS_DB[[#This Row],[HS Code]],
COUNTA(_xlfn.UNIQUE(_xlfn._xlws.FILTER(HS_DB[Reporter],HS_DB[HS Code]=_xlpm.hs)))
)</f>
        <v>20</v>
      </c>
      <c r="AQ300" s="17" t="str">
        <f>IF(HS_DB[[#This Row],[Origin Count]]=1,"Single Source","Multiple Sources")</f>
        <v>Multiple Sources</v>
      </c>
      <c r="AR300" s="8">
        <f>HS_DB[[#This Row],[Annual Spend - USD]]*(HS_DB[[#This Row],[HS Code Risk Score]]/100)</f>
        <v>3989290.0400000005</v>
      </c>
      <c r="AS300" s="8">
        <f>RANK(HS_DB[[#This Row],[Risk Exposure - USD]],HS_DB[Risk Exposure - USD],0)</f>
        <v>241</v>
      </c>
      <c r="AT300" s="8" t="str">
        <f>IF(HS_DB[[#This Row],[Risk Exposure Rank]]&lt;=10,"High",
 IF(HS_DB[[#This Row],[Risk Exposure Rank]]&lt;=30,"Medium",
 "Low"))</f>
        <v>Low</v>
      </c>
      <c r="AU300" s="8" t="str">
        <f>IF(HS_DB[[#This Row],[Risk Exposure Rank]]&lt;=5,"Immediate Action",
 IF(HS_DB[[#This Row],[Risk Exposure Rank]]&lt;=15,"Monitor Closely",
 "Routine Control"))</f>
        <v>Routine Control</v>
      </c>
      <c r="AV300" s="8">
        <f>SUMIFS(HS_DB[Trade Value - USD],HS_DB[HS Code],HS_DB[[#This Row],[HS Code]])</f>
        <v>11733206</v>
      </c>
      <c r="AW300" s="6">
        <f>HS_DB[[#This Row],[Annual Spend - USD]]/HS_DB[[#This Row],[Total Market Size - USD]]</f>
        <v>1</v>
      </c>
      <c r="AX300" s="6" cm="1">
        <f t="array" ref="AX300">COUNTA(_xlfn.UNIQUE(_xlfn._xlws.FILTER(HS_DB[Partner],HS_DB[HS Code]=HS_DB[[#This Row],[HS Code]])))</f>
        <v>1</v>
      </c>
      <c r="AY300" s="8" t="str">
        <f>IF(HS_DB[[#This Row],[Competition Intensity]]&lt;=2,"Highly Concentrated",
 IF(HS_DB[[#This Row],[Competition Intensity]]&lt;=5,"Moderate",
 "Highly Competitive"))</f>
        <v>Highly Concentrated</v>
      </c>
      <c r="AZ300" s="8">
        <f>HS_DB[[#This Row],[Total Market Size - USD]]
*
(1+IFERROR(#REF!,0))
/
HS_DB[[#This Row],[Competition Intensity]]</f>
        <v>11733206</v>
      </c>
      <c r="BA300" s="8" t="str">
        <f>IF(HS_DB[[#This Row],[Commercial Opportunity Score]]&gt;=PERCENTILE(HS_DB[Commercial Opportunity Score],0.9),"High Opportunity",
 IF(HS_DB[[#This Row],[Commercial Opportunity Score]]&gt;=PERCENTILE(HS_DB[Commercial Opportunity Score],0.6),"Medium Opportunity",
 "Routine Market"))</f>
        <v>Routine Market</v>
      </c>
      <c r="BB300" s="3" t="str">
        <f>IF(AND(HS_DB[[#This Row],[Product Rank]]&gt;0,HS_DB[[#This Row],[Product Rank]]&lt;=10),"Yes","No")</f>
        <v>No</v>
      </c>
      <c r="BC300" s="3" t="str">
        <f>IF(AND(HS_DB[[#This Row],[Origin Rank]]&gt;0,HS_DB[[#This Row],[Origin Rank]]&lt;=10),"Yes","No")</f>
        <v>Yes</v>
      </c>
    </row>
    <row r="301" spans="2:55" x14ac:dyDescent="0.3">
      <c r="B301" s="2">
        <f>HS_DB[[#This Row],[Commodity Code]]</f>
        <v>170290</v>
      </c>
      <c r="C301" s="2">
        <f>IFERROR(INDEX(HS_MD!C:C,MATCH(B301,HS_MD!B:B,0),1),"")</f>
        <v>25</v>
      </c>
      <c r="D301" s="17" t="str">
        <f>IFERROR(INDEX(HS_MD!D:D,MATCH(B301,HS_MD!B:B,0),1),"")</f>
        <v>Other sugars incl. caramel</v>
      </c>
      <c r="E301" s="17" t="str">
        <f>IFERROR(INDEX(HS_MD!E:E,MATCH(B301,HS_MD!B:B,0),1),"")</f>
        <v>Caramel Color</v>
      </c>
      <c r="F301" s="17" t="str">
        <f>IFERROR(INDEX(HS_MD!F:F,MATCH(B301,HS_MD!B:B,0),1),"")</f>
        <v>Food Ingredients</v>
      </c>
      <c r="G301" s="17" t="str">
        <f>IFERROR(INDEX(HS_MD!G:G,MATCH(B301,HS_MD!B:B,0),1),"")</f>
        <v>Colors</v>
      </c>
      <c r="H301" s="17" t="str">
        <f>IFERROR(INDEX(HS_MD!H:H,MATCH(B301,HS_MD!B:B,0),1),"")</f>
        <v>Caramel Color (Class I-IV)</v>
      </c>
      <c r="I301" s="17" t="str">
        <f>IFERROR(INDEX(HS_MD!I:I,MATCH(B301,HS_MD!B:B,0),1),"")</f>
        <v>Beverages / Sauces</v>
      </c>
      <c r="J301" s="17">
        <f>IFERROR(INDEX(Heat_Map[Index],MATCH(HS_DB[[#This Row],[Reporter]],Heat_Map[Global],0),1),"")</f>
        <v>79</v>
      </c>
      <c r="K301" s="17" t="str">
        <f>IF(AND(HS_DB[[#This Row],[Origin Rank]]&gt;1,HS_DB[[#This Row],[Origin Rank]]&lt;=10),"Yes","No")</f>
        <v>Yes</v>
      </c>
      <c r="L301" s="2">
        <v>2024</v>
      </c>
      <c r="M301" s="2" t="s">
        <v>57</v>
      </c>
      <c r="N301" s="2" t="s">
        <v>48</v>
      </c>
      <c r="O301" s="2" t="s">
        <v>22</v>
      </c>
      <c r="P301" s="2" t="s">
        <v>23</v>
      </c>
      <c r="Q301" s="2" t="s">
        <v>24</v>
      </c>
      <c r="R301" s="2" t="s">
        <v>25</v>
      </c>
      <c r="S301" s="2">
        <v>170290</v>
      </c>
      <c r="T301" s="3">
        <v>310660</v>
      </c>
      <c r="U301" s="3">
        <v>162807</v>
      </c>
      <c r="V301" s="3">
        <v>0</v>
      </c>
      <c r="W301" s="3">
        <v>162807</v>
      </c>
      <c r="X301" s="3" t="s">
        <v>58</v>
      </c>
      <c r="Y301" s="3">
        <v>162807</v>
      </c>
      <c r="Z301" s="3" t="s">
        <v>58</v>
      </c>
      <c r="AA301" s="6">
        <f>SUMIFS(HS_DB[Trade Value - USD],HS_DB[Reporter],HS_DB[[#This Row],[Reporter]])/SUM(HS_DB[Trade Value - USD])</f>
        <v>4.9588465845200368E-3</v>
      </c>
      <c r="AB301" s="8" cm="1">
        <f t="array" ref="AB301">SUMPRODUCT(
(HS_DB[Reporter]=HS_DB[[#This Row],[Reporter]])*
(HS_DB[Trade Value - USD]&gt;HS_DB[[#This Row],[Trade Value - USD]])
)+1</f>
        <v>10</v>
      </c>
      <c r="AC301" s="8" t="str">
        <f>IFERROR(IF(INDEX(Heat_Map[Crisis Impact %],MATCH(HS_DB[[#This Row],[Reporter]],Heat_Map[Global],0),1)&gt;0,"Yes","No"),"No")</f>
        <v>No</v>
      </c>
      <c r="AD301" s="6">
        <f>IFERROR(INDEX(Heat_Map[Crisis Impact %],MATCH(HS_DB[[#This Row],[Reporter]],Heat_Map[Global],0),1),0)</f>
        <v>0</v>
      </c>
      <c r="AE301" s="8">
        <f>HS_DB[[#This Row],[Crisis Impact%]]*HS_DB[[#This Row],[Trade Value - USD]]</f>
        <v>0</v>
      </c>
      <c r="AF301" s="8">
        <f>HS_DB[[#This Row],[Crisis Impact%]]*HS_DB[[#This Row],[Net Weight -KG]]</f>
        <v>0</v>
      </c>
      <c r="AG301" s="6">
        <f>SUMIFS(HS_DB[Trade Value - USD],HS_DB[Products],HS_DB[[#This Row],[Products]])/SUM(HS_DB[Trade Value - USD])</f>
        <v>6.2244850394839587E-3</v>
      </c>
      <c r="AH301" s="8">
        <f>_xlfn.RANK.EQ(HS_DB[[#This Row],[Trade Value - USD]], HS_DB[Trade Value - USD], 0)
 + COUNTIFS(HS_DB[Trade Value - USD],HS_DB[[#This Row],[Trade Value - USD]],
            HS_DB[HS Code],"&lt;"&amp;HS_DB[[#This Row],[HS Code]])</f>
        <v>184</v>
      </c>
      <c r="AI301" s="9">
        <f>IFERROR(HS_DB[[#This Row],[Trade Value - USD]]/HS_DB[[#This Row],[Net Weight -KG]],0)</f>
        <v>1.9081489125160467</v>
      </c>
      <c r="AJ301" s="17" cm="1">
        <f t="array" ref="AJ301">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01" s="17" t="str">
        <f>IF(HS_DB[[#This Row],[HS Code Risk Score]]&gt;=40,"High",
 IF(HS_DB[[#This Row],[HS Code Risk Score]]&gt;=25,"Medium","Low"))</f>
        <v>Medium</v>
      </c>
      <c r="AL301" s="17" t="str">
        <f>IF(RANK(HS_DB[[#This Row],[HS Code Risk Score]],HS_DB[HS Code Risk Score])&lt;=10,"Yes","No")</f>
        <v>No</v>
      </c>
      <c r="AM301" s="8">
        <f>SUMIFS(HS_DB[Net Weight -KG],HS_DB[HS Code],HS_DB[[#This Row],[HS Code]])</f>
        <v>12365742.6</v>
      </c>
      <c r="AN301" s="8">
        <f>SUMIFS(HS_DB[Trade Value - USD],HS_DB[HS Code],HS_DB[[#This Row],[HS Code]])</f>
        <v>11733206</v>
      </c>
      <c r="AO301" s="6">
        <f>_xlfn.MAXIFS(HS_DB[Origin Share%],HS_DB[HS Code],HS_DB[[#This Row],[HS Code]])</f>
        <v>0.25769345655074266</v>
      </c>
      <c r="AP301" s="8" cm="1">
        <f t="array" ref="AP301">_xlfn.LET(
_xlpm.hs,HS_DB[[#This Row],[HS Code]],
COUNTA(_xlfn.UNIQUE(_xlfn._xlws.FILTER(HS_DB[Reporter],HS_DB[HS Code]=_xlpm.hs)))
)</f>
        <v>20</v>
      </c>
      <c r="AQ301" s="17" t="str">
        <f>IF(HS_DB[[#This Row],[Origin Count]]=1,"Single Source","Multiple Sources")</f>
        <v>Multiple Sources</v>
      </c>
      <c r="AR301" s="8">
        <f>HS_DB[[#This Row],[Annual Spend - USD]]*(HS_DB[[#This Row],[HS Code Risk Score]]/100)</f>
        <v>3989290.0400000005</v>
      </c>
      <c r="AS301" s="8">
        <f>RANK(HS_DB[[#This Row],[Risk Exposure - USD]],HS_DB[Risk Exposure - USD],0)</f>
        <v>241</v>
      </c>
      <c r="AT301" s="8" t="str">
        <f>IF(HS_DB[[#This Row],[Risk Exposure Rank]]&lt;=10,"High",
 IF(HS_DB[[#This Row],[Risk Exposure Rank]]&lt;=30,"Medium",
 "Low"))</f>
        <v>Low</v>
      </c>
      <c r="AU301" s="8" t="str">
        <f>IF(HS_DB[[#This Row],[Risk Exposure Rank]]&lt;=5,"Immediate Action",
 IF(HS_DB[[#This Row],[Risk Exposure Rank]]&lt;=15,"Monitor Closely",
 "Routine Control"))</f>
        <v>Routine Control</v>
      </c>
      <c r="AV301" s="8">
        <f>SUMIFS(HS_DB[Trade Value - USD],HS_DB[HS Code],HS_DB[[#This Row],[HS Code]])</f>
        <v>11733206</v>
      </c>
      <c r="AW301" s="6">
        <f>HS_DB[[#This Row],[Annual Spend - USD]]/HS_DB[[#This Row],[Total Market Size - USD]]</f>
        <v>1</v>
      </c>
      <c r="AX301" s="6" cm="1">
        <f t="array" ref="AX301">COUNTA(_xlfn.UNIQUE(_xlfn._xlws.FILTER(HS_DB[Partner],HS_DB[HS Code]=HS_DB[[#This Row],[HS Code]])))</f>
        <v>1</v>
      </c>
      <c r="AY301" s="8" t="str">
        <f>IF(HS_DB[[#This Row],[Competition Intensity]]&lt;=2,"Highly Concentrated",
 IF(HS_DB[[#This Row],[Competition Intensity]]&lt;=5,"Moderate",
 "Highly Competitive"))</f>
        <v>Highly Concentrated</v>
      </c>
      <c r="AZ301" s="8">
        <f>HS_DB[[#This Row],[Total Market Size - USD]]
*
(1+IFERROR(#REF!,0))
/
HS_DB[[#This Row],[Competition Intensity]]</f>
        <v>11733206</v>
      </c>
      <c r="BA301" s="8" t="str">
        <f>IF(HS_DB[[#This Row],[Commercial Opportunity Score]]&gt;=PERCENTILE(HS_DB[Commercial Opportunity Score],0.9),"High Opportunity",
 IF(HS_DB[[#This Row],[Commercial Opportunity Score]]&gt;=PERCENTILE(HS_DB[Commercial Opportunity Score],0.6),"Medium Opportunity",
 "Routine Market"))</f>
        <v>Routine Market</v>
      </c>
      <c r="BB301" s="3" t="str">
        <f>IF(AND(HS_DB[[#This Row],[Product Rank]]&gt;0,HS_DB[[#This Row],[Product Rank]]&lt;=10),"Yes","No")</f>
        <v>No</v>
      </c>
      <c r="BC301" s="3" t="str">
        <f>IF(AND(HS_DB[[#This Row],[Origin Rank]]&gt;0,HS_DB[[#This Row],[Origin Rank]]&lt;=10),"Yes","No")</f>
        <v>Yes</v>
      </c>
    </row>
    <row r="302" spans="2:55" x14ac:dyDescent="0.3">
      <c r="B302" s="2">
        <f>HS_DB[[#This Row],[Commodity Code]]</f>
        <v>170290</v>
      </c>
      <c r="C302" s="2">
        <f>IFERROR(INDEX(HS_MD!C:C,MATCH(B302,HS_MD!B:B,0),1),"")</f>
        <v>25</v>
      </c>
      <c r="D302" s="17" t="str">
        <f>IFERROR(INDEX(HS_MD!D:D,MATCH(B302,HS_MD!B:B,0),1),"")</f>
        <v>Other sugars incl. caramel</v>
      </c>
      <c r="E302" s="17" t="str">
        <f>IFERROR(INDEX(HS_MD!E:E,MATCH(B302,HS_MD!B:B,0),1),"")</f>
        <v>Caramel Color</v>
      </c>
      <c r="F302" s="17" t="str">
        <f>IFERROR(INDEX(HS_MD!F:F,MATCH(B302,HS_MD!B:B,0),1),"")</f>
        <v>Food Ingredients</v>
      </c>
      <c r="G302" s="17" t="str">
        <f>IFERROR(INDEX(HS_MD!G:G,MATCH(B302,HS_MD!B:B,0),1),"")</f>
        <v>Colors</v>
      </c>
      <c r="H302" s="17" t="str">
        <f>IFERROR(INDEX(HS_MD!H:H,MATCH(B302,HS_MD!B:B,0),1),"")</f>
        <v>Caramel Color (Class I-IV)</v>
      </c>
      <c r="I302" s="17" t="str">
        <f>IFERROR(INDEX(HS_MD!I:I,MATCH(B302,HS_MD!B:B,0),1),"")</f>
        <v>Beverages / Sauces</v>
      </c>
      <c r="J302" s="17">
        <f>IFERROR(INDEX(Heat_Map[Index],MATCH(HS_DB[[#This Row],[Reporter]],Heat_Map[Global],0),1),"")</f>
        <v>100</v>
      </c>
      <c r="K302" s="17" t="str">
        <f>IF(AND(HS_DB[[#This Row],[Origin Rank]]&gt;1,HS_DB[[#This Row],[Origin Rank]]&lt;=10),"Yes","No")</f>
        <v>Yes</v>
      </c>
      <c r="L302" s="2">
        <v>2024</v>
      </c>
      <c r="M302" s="2" t="s">
        <v>57</v>
      </c>
      <c r="N302" s="2" t="s">
        <v>51</v>
      </c>
      <c r="O302" s="2" t="s">
        <v>22</v>
      </c>
      <c r="P302" s="2" t="s">
        <v>23</v>
      </c>
      <c r="Q302" s="2" t="s">
        <v>24</v>
      </c>
      <c r="R302" s="2" t="s">
        <v>25</v>
      </c>
      <c r="S302" s="2">
        <v>170290</v>
      </c>
      <c r="T302" s="3">
        <v>432</v>
      </c>
      <c r="U302" s="3">
        <v>535</v>
      </c>
      <c r="V302" s="3">
        <v>0</v>
      </c>
      <c r="W302" s="3">
        <v>535</v>
      </c>
      <c r="X302" s="3" t="s">
        <v>58</v>
      </c>
      <c r="Y302" s="3">
        <v>535</v>
      </c>
      <c r="Z302" s="3" t="s">
        <v>58</v>
      </c>
      <c r="AA302" s="6">
        <f>SUMIFS(HS_DB[Trade Value - USD],HS_DB[Reporter],HS_DB[[#This Row],[Reporter]])/SUM(HS_DB[Trade Value - USD])</f>
        <v>0.25769345655074266</v>
      </c>
      <c r="AB302" s="8" cm="1">
        <f t="array" ref="AB302">SUMPRODUCT(
(HS_DB[Reporter]=HS_DB[[#This Row],[Reporter]])*
(HS_DB[Trade Value - USD]&gt;HS_DB[[#This Row],[Trade Value - USD]])
)+1</f>
        <v>4</v>
      </c>
      <c r="AC302" s="8" t="str">
        <f>IFERROR(IF(INDEX(Heat_Map[Crisis Impact %],MATCH(HS_DB[[#This Row],[Reporter]],Heat_Map[Global],0),1)&gt;0,"Yes","No"),"No")</f>
        <v>No</v>
      </c>
      <c r="AD302" s="6">
        <f>IFERROR(INDEX(Heat_Map[Crisis Impact %],MATCH(HS_DB[[#This Row],[Reporter]],Heat_Map[Global],0),1),0)</f>
        <v>0</v>
      </c>
      <c r="AE302" s="8">
        <f>HS_DB[[#This Row],[Crisis Impact%]]*HS_DB[[#This Row],[Trade Value - USD]]</f>
        <v>0</v>
      </c>
      <c r="AF302" s="8">
        <f>HS_DB[[#This Row],[Crisis Impact%]]*HS_DB[[#This Row],[Net Weight -KG]]</f>
        <v>0</v>
      </c>
      <c r="AG302" s="6">
        <f>SUMIFS(HS_DB[Trade Value - USD],HS_DB[Products],HS_DB[[#This Row],[Products]])/SUM(HS_DB[Trade Value - USD])</f>
        <v>6.2244850394839587E-3</v>
      </c>
      <c r="AH302" s="8">
        <f>_xlfn.RANK.EQ(HS_DB[[#This Row],[Trade Value - USD]], HS_DB[Trade Value - USD], 0)
 + COUNTIFS(HS_DB[Trade Value - USD],HS_DB[[#This Row],[Trade Value - USD]],
            HS_DB[HS Code],"&lt;"&amp;HS_DB[[#This Row],[HS Code]])</f>
        <v>498</v>
      </c>
      <c r="AI302" s="9">
        <f>IFERROR(HS_DB[[#This Row],[Trade Value - USD]]/HS_DB[[#This Row],[Net Weight -KG]],0)</f>
        <v>0.80747663551401871</v>
      </c>
      <c r="AJ302" s="17" cm="1">
        <f t="array" ref="AJ302">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02" s="17" t="str">
        <f>IF(HS_DB[[#This Row],[HS Code Risk Score]]&gt;=40,"High",
 IF(HS_DB[[#This Row],[HS Code Risk Score]]&gt;=25,"Medium","Low"))</f>
        <v>Medium</v>
      </c>
      <c r="AL302" s="17" t="str">
        <f>IF(RANK(HS_DB[[#This Row],[HS Code Risk Score]],HS_DB[HS Code Risk Score])&lt;=10,"Yes","No")</f>
        <v>No</v>
      </c>
      <c r="AM302" s="8">
        <f>SUMIFS(HS_DB[Net Weight -KG],HS_DB[HS Code],HS_DB[[#This Row],[HS Code]])</f>
        <v>12365742.6</v>
      </c>
      <c r="AN302" s="8">
        <f>SUMIFS(HS_DB[Trade Value - USD],HS_DB[HS Code],HS_DB[[#This Row],[HS Code]])</f>
        <v>11733206</v>
      </c>
      <c r="AO302" s="6">
        <f>_xlfn.MAXIFS(HS_DB[Origin Share%],HS_DB[HS Code],HS_DB[[#This Row],[HS Code]])</f>
        <v>0.25769345655074266</v>
      </c>
      <c r="AP302" s="8" cm="1">
        <f t="array" ref="AP302">_xlfn.LET(
_xlpm.hs,HS_DB[[#This Row],[HS Code]],
COUNTA(_xlfn.UNIQUE(_xlfn._xlws.FILTER(HS_DB[Reporter],HS_DB[HS Code]=_xlpm.hs)))
)</f>
        <v>20</v>
      </c>
      <c r="AQ302" s="17" t="str">
        <f>IF(HS_DB[[#This Row],[Origin Count]]=1,"Single Source","Multiple Sources")</f>
        <v>Multiple Sources</v>
      </c>
      <c r="AR302" s="8">
        <f>HS_DB[[#This Row],[Annual Spend - USD]]*(HS_DB[[#This Row],[HS Code Risk Score]]/100)</f>
        <v>3989290.0400000005</v>
      </c>
      <c r="AS302" s="8">
        <f>RANK(HS_DB[[#This Row],[Risk Exposure - USD]],HS_DB[Risk Exposure - USD],0)</f>
        <v>241</v>
      </c>
      <c r="AT302" s="8" t="str">
        <f>IF(HS_DB[[#This Row],[Risk Exposure Rank]]&lt;=10,"High",
 IF(HS_DB[[#This Row],[Risk Exposure Rank]]&lt;=30,"Medium",
 "Low"))</f>
        <v>Low</v>
      </c>
      <c r="AU302" s="8" t="str">
        <f>IF(HS_DB[[#This Row],[Risk Exposure Rank]]&lt;=5,"Immediate Action",
 IF(HS_DB[[#This Row],[Risk Exposure Rank]]&lt;=15,"Monitor Closely",
 "Routine Control"))</f>
        <v>Routine Control</v>
      </c>
      <c r="AV302" s="8">
        <f>SUMIFS(HS_DB[Trade Value - USD],HS_DB[HS Code],HS_DB[[#This Row],[HS Code]])</f>
        <v>11733206</v>
      </c>
      <c r="AW302" s="6">
        <f>HS_DB[[#This Row],[Annual Spend - USD]]/HS_DB[[#This Row],[Total Market Size - USD]]</f>
        <v>1</v>
      </c>
      <c r="AX302" s="6" cm="1">
        <f t="array" ref="AX302">COUNTA(_xlfn.UNIQUE(_xlfn._xlws.FILTER(HS_DB[Partner],HS_DB[HS Code]=HS_DB[[#This Row],[HS Code]])))</f>
        <v>1</v>
      </c>
      <c r="AY302" s="8" t="str">
        <f>IF(HS_DB[[#This Row],[Competition Intensity]]&lt;=2,"Highly Concentrated",
 IF(HS_DB[[#This Row],[Competition Intensity]]&lt;=5,"Moderate",
 "Highly Competitive"))</f>
        <v>Highly Concentrated</v>
      </c>
      <c r="AZ302" s="8">
        <f>HS_DB[[#This Row],[Total Market Size - USD]]
*
(1+IFERROR(#REF!,0))
/
HS_DB[[#This Row],[Competition Intensity]]</f>
        <v>11733206</v>
      </c>
      <c r="BA302" s="8" t="str">
        <f>IF(HS_DB[[#This Row],[Commercial Opportunity Score]]&gt;=PERCENTILE(HS_DB[Commercial Opportunity Score],0.9),"High Opportunity",
 IF(HS_DB[[#This Row],[Commercial Opportunity Score]]&gt;=PERCENTILE(HS_DB[Commercial Opportunity Score],0.6),"Medium Opportunity",
 "Routine Market"))</f>
        <v>Routine Market</v>
      </c>
      <c r="BB302" s="3" t="str">
        <f>IF(AND(HS_DB[[#This Row],[Product Rank]]&gt;0,HS_DB[[#This Row],[Product Rank]]&lt;=10),"Yes","No")</f>
        <v>No</v>
      </c>
      <c r="BC302" s="3" t="str">
        <f>IF(AND(HS_DB[[#This Row],[Origin Rank]]&gt;0,HS_DB[[#This Row],[Origin Rank]]&lt;=10),"Yes","No")</f>
        <v>Yes</v>
      </c>
    </row>
    <row r="303" spans="2:55" x14ac:dyDescent="0.3">
      <c r="B303" s="2">
        <f>HS_DB[[#This Row],[Commodity Code]]</f>
        <v>170290</v>
      </c>
      <c r="C303" s="2">
        <f>IFERROR(INDEX(HS_MD!C:C,MATCH(B303,HS_MD!B:B,0),1),"")</f>
        <v>25</v>
      </c>
      <c r="D303" s="17" t="str">
        <f>IFERROR(INDEX(HS_MD!D:D,MATCH(B303,HS_MD!B:B,0),1),"")</f>
        <v>Other sugars incl. caramel</v>
      </c>
      <c r="E303" s="17" t="str">
        <f>IFERROR(INDEX(HS_MD!E:E,MATCH(B303,HS_MD!B:B,0),1),"")</f>
        <v>Caramel Color</v>
      </c>
      <c r="F303" s="17" t="str">
        <f>IFERROR(INDEX(HS_MD!F:F,MATCH(B303,HS_MD!B:B,0),1),"")</f>
        <v>Food Ingredients</v>
      </c>
      <c r="G303" s="17" t="str">
        <f>IFERROR(INDEX(HS_MD!G:G,MATCH(B303,HS_MD!B:B,0),1),"")</f>
        <v>Colors</v>
      </c>
      <c r="H303" s="17" t="str">
        <f>IFERROR(INDEX(HS_MD!H:H,MATCH(B303,HS_MD!B:B,0),1),"")</f>
        <v>Caramel Color (Class I-IV)</v>
      </c>
      <c r="I303" s="17" t="str">
        <f>IFERROR(INDEX(HS_MD!I:I,MATCH(B303,HS_MD!B:B,0),1),"")</f>
        <v>Beverages / Sauces</v>
      </c>
      <c r="J303" s="17">
        <f>IFERROR(INDEX(Heat_Map[Index],MATCH(HS_DB[[#This Row],[Reporter]],Heat_Map[Global],0),1),"")</f>
        <v>112</v>
      </c>
      <c r="K303" s="17" t="str">
        <f>IF(AND(HS_DB[[#This Row],[Origin Rank]]&gt;1,HS_DB[[#This Row],[Origin Rank]]&lt;=10),"Yes","No")</f>
        <v>Yes</v>
      </c>
      <c r="L303" s="2">
        <v>2024</v>
      </c>
      <c r="M303" s="2" t="s">
        <v>57</v>
      </c>
      <c r="N303" s="2" t="s">
        <v>52</v>
      </c>
      <c r="O303" s="2" t="s">
        <v>22</v>
      </c>
      <c r="P303" s="2" t="s">
        <v>23</v>
      </c>
      <c r="Q303" s="2" t="s">
        <v>24</v>
      </c>
      <c r="R303" s="2" t="s">
        <v>25</v>
      </c>
      <c r="S303" s="2">
        <v>170290</v>
      </c>
      <c r="T303" s="3">
        <v>847</v>
      </c>
      <c r="U303" s="3">
        <v>25</v>
      </c>
      <c r="V303" s="3">
        <v>0</v>
      </c>
      <c r="W303" s="3">
        <v>25</v>
      </c>
      <c r="X303" s="3" t="s">
        <v>58</v>
      </c>
      <c r="Y303" s="3">
        <v>25</v>
      </c>
      <c r="Z303" s="3" t="s">
        <v>58</v>
      </c>
      <c r="AA303" s="6">
        <f>SUMIFS(HS_DB[Trade Value - USD],HS_DB[Reporter],HS_DB[[#This Row],[Reporter]])/SUM(HS_DB[Trade Value - USD])</f>
        <v>1.4429559760252854E-3</v>
      </c>
      <c r="AB303" s="8" cm="1">
        <f t="array" ref="AB303">SUMPRODUCT(
(HS_DB[Reporter]=HS_DB[[#This Row],[Reporter]])*
(HS_DB[Trade Value - USD]&gt;HS_DB[[#This Row],[Trade Value - USD]])
)+1</f>
        <v>5</v>
      </c>
      <c r="AC303" s="8" t="str">
        <f>IFERROR(IF(INDEX(Heat_Map[Crisis Impact %],MATCH(HS_DB[[#This Row],[Reporter]],Heat_Map[Global],0),1)&gt;0,"Yes","No"),"No")</f>
        <v>No</v>
      </c>
      <c r="AD303" s="6">
        <f>IFERROR(INDEX(Heat_Map[Crisis Impact %],MATCH(HS_DB[[#This Row],[Reporter]],Heat_Map[Global],0),1),0)</f>
        <v>0</v>
      </c>
      <c r="AE303" s="8">
        <f>HS_DB[[#This Row],[Crisis Impact%]]*HS_DB[[#This Row],[Trade Value - USD]]</f>
        <v>0</v>
      </c>
      <c r="AF303" s="8">
        <f>HS_DB[[#This Row],[Crisis Impact%]]*HS_DB[[#This Row],[Net Weight -KG]]</f>
        <v>0</v>
      </c>
      <c r="AG303" s="6">
        <f>SUMIFS(HS_DB[Trade Value - USD],HS_DB[Products],HS_DB[[#This Row],[Products]])/SUM(HS_DB[Trade Value - USD])</f>
        <v>6.2244850394839587E-3</v>
      </c>
      <c r="AH303" s="8">
        <f>_xlfn.RANK.EQ(HS_DB[[#This Row],[Trade Value - USD]], HS_DB[Trade Value - USD], 0)
 + COUNTIFS(HS_DB[Trade Value - USD],HS_DB[[#This Row],[Trade Value - USD]],
            HS_DB[HS Code],"&lt;"&amp;HS_DB[[#This Row],[HS Code]])</f>
        <v>487</v>
      </c>
      <c r="AI303" s="9">
        <f>IFERROR(HS_DB[[#This Row],[Trade Value - USD]]/HS_DB[[#This Row],[Net Weight -KG]],0)</f>
        <v>33.880000000000003</v>
      </c>
      <c r="AJ303" s="17" cm="1">
        <f t="array" ref="AJ303">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03" s="17" t="str">
        <f>IF(HS_DB[[#This Row],[HS Code Risk Score]]&gt;=40,"High",
 IF(HS_DB[[#This Row],[HS Code Risk Score]]&gt;=25,"Medium","Low"))</f>
        <v>Medium</v>
      </c>
      <c r="AL303" s="17" t="str">
        <f>IF(RANK(HS_DB[[#This Row],[HS Code Risk Score]],HS_DB[HS Code Risk Score])&lt;=10,"Yes","No")</f>
        <v>No</v>
      </c>
      <c r="AM303" s="8">
        <f>SUMIFS(HS_DB[Net Weight -KG],HS_DB[HS Code],HS_DB[[#This Row],[HS Code]])</f>
        <v>12365742.6</v>
      </c>
      <c r="AN303" s="8">
        <f>SUMIFS(HS_DB[Trade Value - USD],HS_DB[HS Code],HS_DB[[#This Row],[HS Code]])</f>
        <v>11733206</v>
      </c>
      <c r="AO303" s="6">
        <f>_xlfn.MAXIFS(HS_DB[Origin Share%],HS_DB[HS Code],HS_DB[[#This Row],[HS Code]])</f>
        <v>0.25769345655074266</v>
      </c>
      <c r="AP303" s="8" cm="1">
        <f t="array" ref="AP303">_xlfn.LET(
_xlpm.hs,HS_DB[[#This Row],[HS Code]],
COUNTA(_xlfn.UNIQUE(_xlfn._xlws.FILTER(HS_DB[Reporter],HS_DB[HS Code]=_xlpm.hs)))
)</f>
        <v>20</v>
      </c>
      <c r="AQ303" s="17" t="str">
        <f>IF(HS_DB[[#This Row],[Origin Count]]=1,"Single Source","Multiple Sources")</f>
        <v>Multiple Sources</v>
      </c>
      <c r="AR303" s="8">
        <f>HS_DB[[#This Row],[Annual Spend - USD]]*(HS_DB[[#This Row],[HS Code Risk Score]]/100)</f>
        <v>3989290.0400000005</v>
      </c>
      <c r="AS303" s="8">
        <f>RANK(HS_DB[[#This Row],[Risk Exposure - USD]],HS_DB[Risk Exposure - USD],0)</f>
        <v>241</v>
      </c>
      <c r="AT303" s="8" t="str">
        <f>IF(HS_DB[[#This Row],[Risk Exposure Rank]]&lt;=10,"High",
 IF(HS_DB[[#This Row],[Risk Exposure Rank]]&lt;=30,"Medium",
 "Low"))</f>
        <v>Low</v>
      </c>
      <c r="AU303" s="8" t="str">
        <f>IF(HS_DB[[#This Row],[Risk Exposure Rank]]&lt;=5,"Immediate Action",
 IF(HS_DB[[#This Row],[Risk Exposure Rank]]&lt;=15,"Monitor Closely",
 "Routine Control"))</f>
        <v>Routine Control</v>
      </c>
      <c r="AV303" s="8">
        <f>SUMIFS(HS_DB[Trade Value - USD],HS_DB[HS Code],HS_DB[[#This Row],[HS Code]])</f>
        <v>11733206</v>
      </c>
      <c r="AW303" s="6">
        <f>HS_DB[[#This Row],[Annual Spend - USD]]/HS_DB[[#This Row],[Total Market Size - USD]]</f>
        <v>1</v>
      </c>
      <c r="AX303" s="6" cm="1">
        <f t="array" ref="AX303">COUNTA(_xlfn.UNIQUE(_xlfn._xlws.FILTER(HS_DB[Partner],HS_DB[HS Code]=HS_DB[[#This Row],[HS Code]])))</f>
        <v>1</v>
      </c>
      <c r="AY303" s="8" t="str">
        <f>IF(HS_DB[[#This Row],[Competition Intensity]]&lt;=2,"Highly Concentrated",
 IF(HS_DB[[#This Row],[Competition Intensity]]&lt;=5,"Moderate",
 "Highly Competitive"))</f>
        <v>Highly Concentrated</v>
      </c>
      <c r="AZ303" s="8">
        <f>HS_DB[[#This Row],[Total Market Size - USD]]
*
(1+IFERROR(#REF!,0))
/
HS_DB[[#This Row],[Competition Intensity]]</f>
        <v>11733206</v>
      </c>
      <c r="BA303" s="8" t="str">
        <f>IF(HS_DB[[#This Row],[Commercial Opportunity Score]]&gt;=PERCENTILE(HS_DB[Commercial Opportunity Score],0.9),"High Opportunity",
 IF(HS_DB[[#This Row],[Commercial Opportunity Score]]&gt;=PERCENTILE(HS_DB[Commercial Opportunity Score],0.6),"Medium Opportunity",
 "Routine Market"))</f>
        <v>Routine Market</v>
      </c>
      <c r="BB303" s="3" t="str">
        <f>IF(AND(HS_DB[[#This Row],[Product Rank]]&gt;0,HS_DB[[#This Row],[Product Rank]]&lt;=10),"Yes","No")</f>
        <v>No</v>
      </c>
      <c r="BC303" s="3" t="str">
        <f>IF(AND(HS_DB[[#This Row],[Origin Rank]]&gt;0,HS_DB[[#This Row],[Origin Rank]]&lt;=10),"Yes","No")</f>
        <v>Yes</v>
      </c>
    </row>
    <row r="304" spans="2:55" x14ac:dyDescent="0.3">
      <c r="B304" s="2">
        <f>HS_DB[[#This Row],[Commodity Code]]</f>
        <v>170290</v>
      </c>
      <c r="C304" s="2">
        <f>IFERROR(INDEX(HS_MD!C:C,MATCH(B304,HS_MD!B:B,0),1),"")</f>
        <v>25</v>
      </c>
      <c r="D304" s="17" t="str">
        <f>IFERROR(INDEX(HS_MD!D:D,MATCH(B304,HS_MD!B:B,0),1),"")</f>
        <v>Other sugars incl. caramel</v>
      </c>
      <c r="E304" s="17" t="str">
        <f>IFERROR(INDEX(HS_MD!E:E,MATCH(B304,HS_MD!B:B,0),1),"")</f>
        <v>Caramel Color</v>
      </c>
      <c r="F304" s="17" t="str">
        <f>IFERROR(INDEX(HS_MD!F:F,MATCH(B304,HS_MD!B:B,0),1),"")</f>
        <v>Food Ingredients</v>
      </c>
      <c r="G304" s="17" t="str">
        <f>IFERROR(INDEX(HS_MD!G:G,MATCH(B304,HS_MD!B:B,0),1),"")</f>
        <v>Colors</v>
      </c>
      <c r="H304" s="17" t="str">
        <f>IFERROR(INDEX(HS_MD!H:H,MATCH(B304,HS_MD!B:B,0),1),"")</f>
        <v>Caramel Color (Class I-IV)</v>
      </c>
      <c r="I304" s="17" t="str">
        <f>IFERROR(INDEX(HS_MD!I:I,MATCH(B304,HS_MD!B:B,0),1),"")</f>
        <v>Beverages / Sauces</v>
      </c>
      <c r="J304" s="17">
        <f>IFERROR(INDEX(Heat_Map[Index],MATCH(HS_DB[[#This Row],[Reporter]],Heat_Map[Global],0),1),"")</f>
        <v>118</v>
      </c>
      <c r="K304" s="17" t="str">
        <f>IF(AND(HS_DB[[#This Row],[Origin Rank]]&gt;1,HS_DB[[#This Row],[Origin Rank]]&lt;=10),"Yes","No")</f>
        <v>No</v>
      </c>
      <c r="L304" s="2">
        <v>2024</v>
      </c>
      <c r="M304" s="2" t="s">
        <v>57</v>
      </c>
      <c r="N304" s="2" t="s">
        <v>53</v>
      </c>
      <c r="O304" s="2" t="s">
        <v>22</v>
      </c>
      <c r="P304" s="2" t="s">
        <v>23</v>
      </c>
      <c r="Q304" s="2" t="s">
        <v>24</v>
      </c>
      <c r="R304" s="2" t="s">
        <v>25</v>
      </c>
      <c r="S304" s="2">
        <v>170290</v>
      </c>
      <c r="T304" s="3">
        <v>34384</v>
      </c>
      <c r="U304" s="3">
        <v>14162</v>
      </c>
      <c r="V304" s="3">
        <v>0</v>
      </c>
      <c r="W304" s="3">
        <v>14162</v>
      </c>
      <c r="X304" s="3" t="s">
        <v>58</v>
      </c>
      <c r="Y304" s="3">
        <v>14162</v>
      </c>
      <c r="Z304" s="3" t="s">
        <v>58</v>
      </c>
      <c r="AA304" s="6">
        <f>SUMIFS(HS_DB[Trade Value - USD],HS_DB[Reporter],HS_DB[[#This Row],[Reporter]])/SUM(HS_DB[Trade Value - USD])</f>
        <v>1.4561232389604124E-2</v>
      </c>
      <c r="AB304" s="8" cm="1">
        <f t="array" ref="AB304">SUMPRODUCT(
(HS_DB[Reporter]=HS_DB[[#This Row],[Reporter]])*
(HS_DB[Trade Value - USD]&gt;HS_DB[[#This Row],[Trade Value - USD]])
)+1</f>
        <v>23</v>
      </c>
      <c r="AC304" s="8" t="str">
        <f>IFERROR(IF(INDEX(Heat_Map[Crisis Impact %],MATCH(HS_DB[[#This Row],[Reporter]],Heat_Map[Global],0),1)&gt;0,"Yes","No"),"No")</f>
        <v>No</v>
      </c>
      <c r="AD304" s="6">
        <f>IFERROR(INDEX(Heat_Map[Crisis Impact %],MATCH(HS_DB[[#This Row],[Reporter]],Heat_Map[Global],0),1),0)</f>
        <v>0</v>
      </c>
      <c r="AE304" s="8">
        <f>HS_DB[[#This Row],[Crisis Impact%]]*HS_DB[[#This Row],[Trade Value - USD]]</f>
        <v>0</v>
      </c>
      <c r="AF304" s="8">
        <f>HS_DB[[#This Row],[Crisis Impact%]]*HS_DB[[#This Row],[Net Weight -KG]]</f>
        <v>0</v>
      </c>
      <c r="AG304" s="6">
        <f>SUMIFS(HS_DB[Trade Value - USD],HS_DB[Products],HS_DB[[#This Row],[Products]])/SUM(HS_DB[Trade Value - USD])</f>
        <v>6.2244850394839587E-3</v>
      </c>
      <c r="AH304" s="8">
        <f>_xlfn.RANK.EQ(HS_DB[[#This Row],[Trade Value - USD]], HS_DB[Trade Value - USD], 0)
 + COUNTIFS(HS_DB[Trade Value - USD],HS_DB[[#This Row],[Trade Value - USD]],
            HS_DB[HS Code],"&lt;"&amp;HS_DB[[#This Row],[HS Code]])</f>
        <v>346</v>
      </c>
      <c r="AI304" s="9">
        <f>IFERROR(HS_DB[[#This Row],[Trade Value - USD]]/HS_DB[[#This Row],[Net Weight -KG]],0)</f>
        <v>2.4279056630419431</v>
      </c>
      <c r="AJ304" s="17" cm="1">
        <f t="array" ref="AJ304">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04" s="17" t="str">
        <f>IF(HS_DB[[#This Row],[HS Code Risk Score]]&gt;=40,"High",
 IF(HS_DB[[#This Row],[HS Code Risk Score]]&gt;=25,"Medium","Low"))</f>
        <v>Medium</v>
      </c>
      <c r="AL304" s="17" t="str">
        <f>IF(RANK(HS_DB[[#This Row],[HS Code Risk Score]],HS_DB[HS Code Risk Score])&lt;=10,"Yes","No")</f>
        <v>No</v>
      </c>
      <c r="AM304" s="8">
        <f>SUMIFS(HS_DB[Net Weight -KG],HS_DB[HS Code],HS_DB[[#This Row],[HS Code]])</f>
        <v>12365742.6</v>
      </c>
      <c r="AN304" s="8">
        <f>SUMIFS(HS_DB[Trade Value - USD],HS_DB[HS Code],HS_DB[[#This Row],[HS Code]])</f>
        <v>11733206</v>
      </c>
      <c r="AO304" s="6">
        <f>_xlfn.MAXIFS(HS_DB[Origin Share%],HS_DB[HS Code],HS_DB[[#This Row],[HS Code]])</f>
        <v>0.25769345655074266</v>
      </c>
      <c r="AP304" s="8" cm="1">
        <f t="array" ref="AP304">_xlfn.LET(
_xlpm.hs,HS_DB[[#This Row],[HS Code]],
COUNTA(_xlfn.UNIQUE(_xlfn._xlws.FILTER(HS_DB[Reporter],HS_DB[HS Code]=_xlpm.hs)))
)</f>
        <v>20</v>
      </c>
      <c r="AQ304" s="17" t="str">
        <f>IF(HS_DB[[#This Row],[Origin Count]]=1,"Single Source","Multiple Sources")</f>
        <v>Multiple Sources</v>
      </c>
      <c r="AR304" s="8">
        <f>HS_DB[[#This Row],[Annual Spend - USD]]*(HS_DB[[#This Row],[HS Code Risk Score]]/100)</f>
        <v>3989290.0400000005</v>
      </c>
      <c r="AS304" s="8">
        <f>RANK(HS_DB[[#This Row],[Risk Exposure - USD]],HS_DB[Risk Exposure - USD],0)</f>
        <v>241</v>
      </c>
      <c r="AT304" s="8" t="str">
        <f>IF(HS_DB[[#This Row],[Risk Exposure Rank]]&lt;=10,"High",
 IF(HS_DB[[#This Row],[Risk Exposure Rank]]&lt;=30,"Medium",
 "Low"))</f>
        <v>Low</v>
      </c>
      <c r="AU304" s="8" t="str">
        <f>IF(HS_DB[[#This Row],[Risk Exposure Rank]]&lt;=5,"Immediate Action",
 IF(HS_DB[[#This Row],[Risk Exposure Rank]]&lt;=15,"Monitor Closely",
 "Routine Control"))</f>
        <v>Routine Control</v>
      </c>
      <c r="AV304" s="8">
        <f>SUMIFS(HS_DB[Trade Value - USD],HS_DB[HS Code],HS_DB[[#This Row],[HS Code]])</f>
        <v>11733206</v>
      </c>
      <c r="AW304" s="6">
        <f>HS_DB[[#This Row],[Annual Spend - USD]]/HS_DB[[#This Row],[Total Market Size - USD]]</f>
        <v>1</v>
      </c>
      <c r="AX304" s="6" cm="1">
        <f t="array" ref="AX304">COUNTA(_xlfn.UNIQUE(_xlfn._xlws.FILTER(HS_DB[Partner],HS_DB[HS Code]=HS_DB[[#This Row],[HS Code]])))</f>
        <v>1</v>
      </c>
      <c r="AY304" s="8" t="str">
        <f>IF(HS_DB[[#This Row],[Competition Intensity]]&lt;=2,"Highly Concentrated",
 IF(HS_DB[[#This Row],[Competition Intensity]]&lt;=5,"Moderate",
 "Highly Competitive"))</f>
        <v>Highly Concentrated</v>
      </c>
      <c r="AZ304" s="8">
        <f>HS_DB[[#This Row],[Total Market Size - USD]]
*
(1+IFERROR(#REF!,0))
/
HS_DB[[#This Row],[Competition Intensity]]</f>
        <v>11733206</v>
      </c>
      <c r="BA304" s="8" t="str">
        <f>IF(HS_DB[[#This Row],[Commercial Opportunity Score]]&gt;=PERCENTILE(HS_DB[Commercial Opportunity Score],0.9),"High Opportunity",
 IF(HS_DB[[#This Row],[Commercial Opportunity Score]]&gt;=PERCENTILE(HS_DB[Commercial Opportunity Score],0.6),"Medium Opportunity",
 "Routine Market"))</f>
        <v>Routine Market</v>
      </c>
      <c r="BB304" s="3" t="str">
        <f>IF(AND(HS_DB[[#This Row],[Product Rank]]&gt;0,HS_DB[[#This Row],[Product Rank]]&lt;=10),"Yes","No")</f>
        <v>No</v>
      </c>
      <c r="BC304" s="3" t="str">
        <f>IF(AND(HS_DB[[#This Row],[Origin Rank]]&gt;0,HS_DB[[#This Row],[Origin Rank]]&lt;=10),"Yes","No")</f>
        <v>No</v>
      </c>
    </row>
    <row r="305" spans="2:55" x14ac:dyDescent="0.3">
      <c r="B305" s="2">
        <f>HS_DB[[#This Row],[Commodity Code]]</f>
        <v>170290</v>
      </c>
      <c r="C305" s="2">
        <f>IFERROR(INDEX(HS_MD!C:C,MATCH(B305,HS_MD!B:B,0),1),"")</f>
        <v>25</v>
      </c>
      <c r="D305" s="17" t="str">
        <f>IFERROR(INDEX(HS_MD!D:D,MATCH(B305,HS_MD!B:B,0),1),"")</f>
        <v>Other sugars incl. caramel</v>
      </c>
      <c r="E305" s="17" t="str">
        <f>IFERROR(INDEX(HS_MD!E:E,MATCH(B305,HS_MD!B:B,0),1),"")</f>
        <v>Caramel Color</v>
      </c>
      <c r="F305" s="17" t="str">
        <f>IFERROR(INDEX(HS_MD!F:F,MATCH(B305,HS_MD!B:B,0),1),"")</f>
        <v>Food Ingredients</v>
      </c>
      <c r="G305" s="17" t="str">
        <f>IFERROR(INDEX(HS_MD!G:G,MATCH(B305,HS_MD!B:B,0),1),"")</f>
        <v>Colors</v>
      </c>
      <c r="H305" s="17" t="str">
        <f>IFERROR(INDEX(HS_MD!H:H,MATCH(B305,HS_MD!B:B,0),1),"")</f>
        <v>Caramel Color (Class I-IV)</v>
      </c>
      <c r="I305" s="17" t="str">
        <f>IFERROR(INDEX(HS_MD!I:I,MATCH(B305,HS_MD!B:B,0),1),"")</f>
        <v>Beverages / Sauces</v>
      </c>
      <c r="J305" s="17">
        <f>IFERROR(INDEX(Heat_Map[Index],MATCH(HS_DB[[#This Row],[Reporter]],Heat_Map[Global],0),1),"")</f>
        <v>134</v>
      </c>
      <c r="K305" s="17" t="str">
        <f>IF(AND(HS_DB[[#This Row],[Origin Rank]]&gt;1,HS_DB[[#This Row],[Origin Rank]]&lt;=10),"Yes","No")</f>
        <v>No</v>
      </c>
      <c r="L305" s="2">
        <v>2024</v>
      </c>
      <c r="M305" s="2" t="s">
        <v>57</v>
      </c>
      <c r="N305" s="2" t="s">
        <v>55</v>
      </c>
      <c r="O305" s="2" t="s">
        <v>22</v>
      </c>
      <c r="P305" s="2" t="s">
        <v>23</v>
      </c>
      <c r="Q305" s="2" t="s">
        <v>24</v>
      </c>
      <c r="R305" s="2" t="s">
        <v>25</v>
      </c>
      <c r="S305" s="2">
        <v>170290</v>
      </c>
      <c r="T305" s="3">
        <v>17</v>
      </c>
      <c r="U305" s="3">
        <v>2</v>
      </c>
      <c r="V305" s="3">
        <v>0</v>
      </c>
      <c r="W305" s="3">
        <v>2</v>
      </c>
      <c r="X305" s="3" t="s">
        <v>58</v>
      </c>
      <c r="Y305" s="3">
        <v>2</v>
      </c>
      <c r="Z305" s="3" t="s">
        <v>58</v>
      </c>
      <c r="AA305" s="6">
        <f>SUMIFS(HS_DB[Trade Value - USD],HS_DB[Reporter],HS_DB[[#This Row],[Reporter]])/SUM(HS_DB[Trade Value - USD])</f>
        <v>6.3855771678493602E-3</v>
      </c>
      <c r="AB305" s="8" cm="1">
        <f t="array" ref="AB305">SUMPRODUCT(
(HS_DB[Reporter]=HS_DB[[#This Row],[Reporter]])*
(HS_DB[Trade Value - USD]&gt;HS_DB[[#This Row],[Trade Value - USD]])
)+1</f>
        <v>11</v>
      </c>
      <c r="AC305" s="8" t="str">
        <f>IFERROR(IF(INDEX(Heat_Map[Crisis Impact %],MATCH(HS_DB[[#This Row],[Reporter]],Heat_Map[Global],0),1)&gt;0,"Yes","No"),"No")</f>
        <v>Yes</v>
      </c>
      <c r="AD305" s="6">
        <f>IFERROR(INDEX(Heat_Map[Crisis Impact %],MATCH(HS_DB[[#This Row],[Reporter]],Heat_Map[Global],0),1),0)</f>
        <v>0.06</v>
      </c>
      <c r="AE305" s="8">
        <f>HS_DB[[#This Row],[Crisis Impact%]]*HS_DB[[#This Row],[Trade Value - USD]]</f>
        <v>1.02</v>
      </c>
      <c r="AF305" s="8">
        <f>HS_DB[[#This Row],[Crisis Impact%]]*HS_DB[[#This Row],[Net Weight -KG]]</f>
        <v>0.12</v>
      </c>
      <c r="AG305" s="6">
        <f>SUMIFS(HS_DB[Trade Value - USD],HS_DB[Products],HS_DB[[#This Row],[Products]])/SUM(HS_DB[Trade Value - USD])</f>
        <v>6.2244850394839587E-3</v>
      </c>
      <c r="AH305" s="8">
        <f>_xlfn.RANK.EQ(HS_DB[[#This Row],[Trade Value - USD]], HS_DB[Trade Value - USD], 0)
 + COUNTIFS(HS_DB[Trade Value - USD],HS_DB[[#This Row],[Trade Value - USD]],
            HS_DB[HS Code],"&lt;"&amp;HS_DB[[#This Row],[HS Code]])</f>
        <v>531</v>
      </c>
      <c r="AI305" s="9">
        <f>IFERROR(HS_DB[[#This Row],[Trade Value - USD]]/HS_DB[[#This Row],[Net Weight -KG]],0)</f>
        <v>8.5</v>
      </c>
      <c r="AJ305" s="17" cm="1">
        <f t="array" ref="AJ305">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05" s="17" t="str">
        <f>IF(HS_DB[[#This Row],[HS Code Risk Score]]&gt;=40,"High",
 IF(HS_DB[[#This Row],[HS Code Risk Score]]&gt;=25,"Medium","Low"))</f>
        <v>Medium</v>
      </c>
      <c r="AL305" s="17" t="str">
        <f>IF(RANK(HS_DB[[#This Row],[HS Code Risk Score]],HS_DB[HS Code Risk Score])&lt;=10,"Yes","No")</f>
        <v>No</v>
      </c>
      <c r="AM305" s="8">
        <f>SUMIFS(HS_DB[Net Weight -KG],HS_DB[HS Code],HS_DB[[#This Row],[HS Code]])</f>
        <v>12365742.6</v>
      </c>
      <c r="AN305" s="8">
        <f>SUMIFS(HS_DB[Trade Value - USD],HS_DB[HS Code],HS_DB[[#This Row],[HS Code]])</f>
        <v>11733206</v>
      </c>
      <c r="AO305" s="6">
        <f>_xlfn.MAXIFS(HS_DB[Origin Share%],HS_DB[HS Code],HS_DB[[#This Row],[HS Code]])</f>
        <v>0.25769345655074266</v>
      </c>
      <c r="AP305" s="8" cm="1">
        <f t="array" ref="AP305">_xlfn.LET(
_xlpm.hs,HS_DB[[#This Row],[HS Code]],
COUNTA(_xlfn.UNIQUE(_xlfn._xlws.FILTER(HS_DB[Reporter],HS_DB[HS Code]=_xlpm.hs)))
)</f>
        <v>20</v>
      </c>
      <c r="AQ305" s="17" t="str">
        <f>IF(HS_DB[[#This Row],[Origin Count]]=1,"Single Source","Multiple Sources")</f>
        <v>Multiple Sources</v>
      </c>
      <c r="AR305" s="8">
        <f>HS_DB[[#This Row],[Annual Spend - USD]]*(HS_DB[[#This Row],[HS Code Risk Score]]/100)</f>
        <v>3989290.0400000005</v>
      </c>
      <c r="AS305" s="8">
        <f>RANK(HS_DB[[#This Row],[Risk Exposure - USD]],HS_DB[Risk Exposure - USD],0)</f>
        <v>241</v>
      </c>
      <c r="AT305" s="8" t="str">
        <f>IF(HS_DB[[#This Row],[Risk Exposure Rank]]&lt;=10,"High",
 IF(HS_DB[[#This Row],[Risk Exposure Rank]]&lt;=30,"Medium",
 "Low"))</f>
        <v>Low</v>
      </c>
      <c r="AU305" s="8" t="str">
        <f>IF(HS_DB[[#This Row],[Risk Exposure Rank]]&lt;=5,"Immediate Action",
 IF(HS_DB[[#This Row],[Risk Exposure Rank]]&lt;=15,"Monitor Closely",
 "Routine Control"))</f>
        <v>Routine Control</v>
      </c>
      <c r="AV305" s="8">
        <f>SUMIFS(HS_DB[Trade Value - USD],HS_DB[HS Code],HS_DB[[#This Row],[HS Code]])</f>
        <v>11733206</v>
      </c>
      <c r="AW305" s="6">
        <f>HS_DB[[#This Row],[Annual Spend - USD]]/HS_DB[[#This Row],[Total Market Size - USD]]</f>
        <v>1</v>
      </c>
      <c r="AX305" s="6" cm="1">
        <f t="array" ref="AX305">COUNTA(_xlfn.UNIQUE(_xlfn._xlws.FILTER(HS_DB[Partner],HS_DB[HS Code]=HS_DB[[#This Row],[HS Code]])))</f>
        <v>1</v>
      </c>
      <c r="AY305" s="8" t="str">
        <f>IF(HS_DB[[#This Row],[Competition Intensity]]&lt;=2,"Highly Concentrated",
 IF(HS_DB[[#This Row],[Competition Intensity]]&lt;=5,"Moderate",
 "Highly Competitive"))</f>
        <v>Highly Concentrated</v>
      </c>
      <c r="AZ305" s="8">
        <f>HS_DB[[#This Row],[Total Market Size - USD]]
*
(1+IFERROR(#REF!,0))
/
HS_DB[[#This Row],[Competition Intensity]]</f>
        <v>11733206</v>
      </c>
      <c r="BA305" s="8" t="str">
        <f>IF(HS_DB[[#This Row],[Commercial Opportunity Score]]&gt;=PERCENTILE(HS_DB[Commercial Opportunity Score],0.9),"High Opportunity",
 IF(HS_DB[[#This Row],[Commercial Opportunity Score]]&gt;=PERCENTILE(HS_DB[Commercial Opportunity Score],0.6),"Medium Opportunity",
 "Routine Market"))</f>
        <v>Routine Market</v>
      </c>
      <c r="BB305" s="3" t="str">
        <f>IF(AND(HS_DB[[#This Row],[Product Rank]]&gt;0,HS_DB[[#This Row],[Product Rank]]&lt;=10),"Yes","No")</f>
        <v>No</v>
      </c>
      <c r="BC305" s="3" t="str">
        <f>IF(AND(HS_DB[[#This Row],[Origin Rank]]&gt;0,HS_DB[[#This Row],[Origin Rank]]&lt;=10),"Yes","No")</f>
        <v>No</v>
      </c>
    </row>
    <row r="306" spans="2:55" x14ac:dyDescent="0.3">
      <c r="B306" s="2">
        <f>HS_DB[[#This Row],[Commodity Code]]</f>
        <v>170290</v>
      </c>
      <c r="C306" s="2">
        <f>IFERROR(INDEX(HS_MD!C:C,MATCH(B306,HS_MD!B:B,0),1),"")</f>
        <v>25</v>
      </c>
      <c r="D306" s="17" t="str">
        <f>IFERROR(INDEX(HS_MD!D:D,MATCH(B306,HS_MD!B:B,0),1),"")</f>
        <v>Other sugars incl. caramel</v>
      </c>
      <c r="E306" s="17" t="str">
        <f>IFERROR(INDEX(HS_MD!E:E,MATCH(B306,HS_MD!B:B,0),1),"")</f>
        <v>Caramel Color</v>
      </c>
      <c r="F306" s="17" t="str">
        <f>IFERROR(INDEX(HS_MD!F:F,MATCH(B306,HS_MD!B:B,0),1),"")</f>
        <v>Food Ingredients</v>
      </c>
      <c r="G306" s="17" t="str">
        <f>IFERROR(INDEX(HS_MD!G:G,MATCH(B306,HS_MD!B:B,0),1),"")</f>
        <v>Colors</v>
      </c>
      <c r="H306" s="17" t="str">
        <f>IFERROR(INDEX(HS_MD!H:H,MATCH(B306,HS_MD!B:B,0),1),"")</f>
        <v>Caramel Color (Class I-IV)</v>
      </c>
      <c r="I306" s="17" t="str">
        <f>IFERROR(INDEX(HS_MD!I:I,MATCH(B306,HS_MD!B:B,0),1),"")</f>
        <v>Beverages / Sauces</v>
      </c>
      <c r="J306" s="17">
        <f>IFERROR(INDEX(Heat_Map[Index],MATCH(HS_DB[[#This Row],[Reporter]],Heat_Map[Global],0),1),"")</f>
        <v>146</v>
      </c>
      <c r="K306" s="17" t="str">
        <f>IF(AND(HS_DB[[#This Row],[Origin Rank]]&gt;1,HS_DB[[#This Row],[Origin Rank]]&lt;=10),"Yes","No")</f>
        <v>Yes</v>
      </c>
      <c r="L306" s="2">
        <v>2024</v>
      </c>
      <c r="M306" s="2" t="s">
        <v>57</v>
      </c>
      <c r="N306" s="2" t="s">
        <v>27</v>
      </c>
      <c r="O306" s="2" t="s">
        <v>22</v>
      </c>
      <c r="P306" s="2" t="s">
        <v>23</v>
      </c>
      <c r="Q306" s="2" t="s">
        <v>24</v>
      </c>
      <c r="R306" s="2" t="s">
        <v>25</v>
      </c>
      <c r="S306" s="2">
        <v>170290</v>
      </c>
      <c r="T306" s="3">
        <v>26510</v>
      </c>
      <c r="U306" s="3">
        <v>47775</v>
      </c>
      <c r="V306" s="3">
        <v>0</v>
      </c>
      <c r="W306" s="3">
        <v>47775</v>
      </c>
      <c r="X306" s="3" t="s">
        <v>58</v>
      </c>
      <c r="Y306" s="3">
        <v>47775</v>
      </c>
      <c r="Z306" s="3" t="s">
        <v>58</v>
      </c>
      <c r="AA306" s="6">
        <f>SUMIFS(HS_DB[Trade Value - USD],HS_DB[Reporter],HS_DB[[#This Row],[Reporter]])/SUM(HS_DB[Trade Value - USD])</f>
        <v>9.709938116315122E-3</v>
      </c>
      <c r="AB306" s="8" cm="1">
        <f t="array" ref="AB306">SUMPRODUCT(
(HS_DB[Reporter]=HS_DB[[#This Row],[Reporter]])*
(HS_DB[Trade Value - USD]&gt;HS_DB[[#This Row],[Trade Value - USD]])
)+1</f>
        <v>9</v>
      </c>
      <c r="AC306" s="8" t="str">
        <f>IFERROR(IF(INDEX(Heat_Map[Crisis Impact %],MATCH(HS_DB[[#This Row],[Reporter]],Heat_Map[Global],0),1)&gt;0,"Yes","No"),"No")</f>
        <v>No</v>
      </c>
      <c r="AD306" s="6">
        <f>IFERROR(INDEX(Heat_Map[Crisis Impact %],MATCH(HS_DB[[#This Row],[Reporter]],Heat_Map[Global],0),1),0)</f>
        <v>0</v>
      </c>
      <c r="AE306" s="8">
        <f>HS_DB[[#This Row],[Crisis Impact%]]*HS_DB[[#This Row],[Trade Value - USD]]</f>
        <v>0</v>
      </c>
      <c r="AF306" s="8">
        <f>HS_DB[[#This Row],[Crisis Impact%]]*HS_DB[[#This Row],[Net Weight -KG]]</f>
        <v>0</v>
      </c>
      <c r="AG306" s="6">
        <f>SUMIFS(HS_DB[Trade Value - USD],HS_DB[Products],HS_DB[[#This Row],[Products]])/SUM(HS_DB[Trade Value - USD])</f>
        <v>6.2244850394839587E-3</v>
      </c>
      <c r="AH306" s="8">
        <f>_xlfn.RANK.EQ(HS_DB[[#This Row],[Trade Value - USD]], HS_DB[Trade Value - USD], 0)
 + COUNTIFS(HS_DB[Trade Value - USD],HS_DB[[#This Row],[Trade Value - USD]],
            HS_DB[HS Code],"&lt;"&amp;HS_DB[[#This Row],[HS Code]])</f>
        <v>364</v>
      </c>
      <c r="AI306" s="9">
        <f>IFERROR(HS_DB[[#This Row],[Trade Value - USD]]/HS_DB[[#This Row],[Net Weight -KG]],0)</f>
        <v>0.55489272632129771</v>
      </c>
      <c r="AJ306" s="17" cm="1">
        <f t="array" ref="AJ306">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06" s="17" t="str">
        <f>IF(HS_DB[[#This Row],[HS Code Risk Score]]&gt;=40,"High",
 IF(HS_DB[[#This Row],[HS Code Risk Score]]&gt;=25,"Medium","Low"))</f>
        <v>Medium</v>
      </c>
      <c r="AL306" s="17" t="str">
        <f>IF(RANK(HS_DB[[#This Row],[HS Code Risk Score]],HS_DB[HS Code Risk Score])&lt;=10,"Yes","No")</f>
        <v>No</v>
      </c>
      <c r="AM306" s="8">
        <f>SUMIFS(HS_DB[Net Weight -KG],HS_DB[HS Code],HS_DB[[#This Row],[HS Code]])</f>
        <v>12365742.6</v>
      </c>
      <c r="AN306" s="8">
        <f>SUMIFS(HS_DB[Trade Value - USD],HS_DB[HS Code],HS_DB[[#This Row],[HS Code]])</f>
        <v>11733206</v>
      </c>
      <c r="AO306" s="6">
        <f>_xlfn.MAXIFS(HS_DB[Origin Share%],HS_DB[HS Code],HS_DB[[#This Row],[HS Code]])</f>
        <v>0.25769345655074266</v>
      </c>
      <c r="AP306" s="8" cm="1">
        <f t="array" ref="AP306">_xlfn.LET(
_xlpm.hs,HS_DB[[#This Row],[HS Code]],
COUNTA(_xlfn.UNIQUE(_xlfn._xlws.FILTER(HS_DB[Reporter],HS_DB[HS Code]=_xlpm.hs)))
)</f>
        <v>20</v>
      </c>
      <c r="AQ306" s="17" t="str">
        <f>IF(HS_DB[[#This Row],[Origin Count]]=1,"Single Source","Multiple Sources")</f>
        <v>Multiple Sources</v>
      </c>
      <c r="AR306" s="8">
        <f>HS_DB[[#This Row],[Annual Spend - USD]]*(HS_DB[[#This Row],[HS Code Risk Score]]/100)</f>
        <v>3989290.0400000005</v>
      </c>
      <c r="AS306" s="8">
        <f>RANK(HS_DB[[#This Row],[Risk Exposure - USD]],HS_DB[Risk Exposure - USD],0)</f>
        <v>241</v>
      </c>
      <c r="AT306" s="8" t="str">
        <f>IF(HS_DB[[#This Row],[Risk Exposure Rank]]&lt;=10,"High",
 IF(HS_DB[[#This Row],[Risk Exposure Rank]]&lt;=30,"Medium",
 "Low"))</f>
        <v>Low</v>
      </c>
      <c r="AU306" s="8" t="str">
        <f>IF(HS_DB[[#This Row],[Risk Exposure Rank]]&lt;=5,"Immediate Action",
 IF(HS_DB[[#This Row],[Risk Exposure Rank]]&lt;=15,"Monitor Closely",
 "Routine Control"))</f>
        <v>Routine Control</v>
      </c>
      <c r="AV306" s="8">
        <f>SUMIFS(HS_DB[Trade Value - USD],HS_DB[HS Code],HS_DB[[#This Row],[HS Code]])</f>
        <v>11733206</v>
      </c>
      <c r="AW306" s="6">
        <f>HS_DB[[#This Row],[Annual Spend - USD]]/HS_DB[[#This Row],[Total Market Size - USD]]</f>
        <v>1</v>
      </c>
      <c r="AX306" s="6" cm="1">
        <f t="array" ref="AX306">COUNTA(_xlfn.UNIQUE(_xlfn._xlws.FILTER(HS_DB[Partner],HS_DB[HS Code]=HS_DB[[#This Row],[HS Code]])))</f>
        <v>1</v>
      </c>
      <c r="AY306" s="8" t="str">
        <f>IF(HS_DB[[#This Row],[Competition Intensity]]&lt;=2,"Highly Concentrated",
 IF(HS_DB[[#This Row],[Competition Intensity]]&lt;=5,"Moderate",
 "Highly Competitive"))</f>
        <v>Highly Concentrated</v>
      </c>
      <c r="AZ306" s="8">
        <f>HS_DB[[#This Row],[Total Market Size - USD]]
*
(1+IFERROR(#REF!,0))
/
HS_DB[[#This Row],[Competition Intensity]]</f>
        <v>11733206</v>
      </c>
      <c r="BA306" s="8" t="str">
        <f>IF(HS_DB[[#This Row],[Commercial Opportunity Score]]&gt;=PERCENTILE(HS_DB[Commercial Opportunity Score],0.9),"High Opportunity",
 IF(HS_DB[[#This Row],[Commercial Opportunity Score]]&gt;=PERCENTILE(HS_DB[Commercial Opportunity Score],0.6),"Medium Opportunity",
 "Routine Market"))</f>
        <v>Routine Market</v>
      </c>
      <c r="BB306" s="3" t="str">
        <f>IF(AND(HS_DB[[#This Row],[Product Rank]]&gt;0,HS_DB[[#This Row],[Product Rank]]&lt;=10),"Yes","No")</f>
        <v>No</v>
      </c>
      <c r="BC306" s="3" t="str">
        <f>IF(AND(HS_DB[[#This Row],[Origin Rank]]&gt;0,HS_DB[[#This Row],[Origin Rank]]&lt;=10),"Yes","No")</f>
        <v>Yes</v>
      </c>
    </row>
    <row r="307" spans="2:55" x14ac:dyDescent="0.3">
      <c r="B307" s="2">
        <f>HS_DB[[#This Row],[Commodity Code]]</f>
        <v>170290</v>
      </c>
      <c r="C307" s="2">
        <f>IFERROR(INDEX(HS_MD!C:C,MATCH(B307,HS_MD!B:B,0),1),"")</f>
        <v>25</v>
      </c>
      <c r="D307" s="17" t="str">
        <f>IFERROR(INDEX(HS_MD!D:D,MATCH(B307,HS_MD!B:B,0),1),"")</f>
        <v>Other sugars incl. caramel</v>
      </c>
      <c r="E307" s="17" t="str">
        <f>IFERROR(INDEX(HS_MD!E:E,MATCH(B307,HS_MD!B:B,0),1),"")</f>
        <v>Caramel Color</v>
      </c>
      <c r="F307" s="17" t="str">
        <f>IFERROR(INDEX(HS_MD!F:F,MATCH(B307,HS_MD!B:B,0),1),"")</f>
        <v>Food Ingredients</v>
      </c>
      <c r="G307" s="17" t="str">
        <f>IFERROR(INDEX(HS_MD!G:G,MATCH(B307,HS_MD!B:B,0),1),"")</f>
        <v>Colors</v>
      </c>
      <c r="H307" s="17" t="str">
        <f>IFERROR(INDEX(HS_MD!H:H,MATCH(B307,HS_MD!B:B,0),1),"")</f>
        <v>Caramel Color (Class I-IV)</v>
      </c>
      <c r="I307" s="17" t="str">
        <f>IFERROR(INDEX(HS_MD!I:I,MATCH(B307,HS_MD!B:B,0),1),"")</f>
        <v>Beverages / Sauces</v>
      </c>
      <c r="J307" s="17">
        <f>IFERROR(INDEX(Heat_Map[Index],MATCH(HS_DB[[#This Row],[Reporter]],Heat_Map[Global],0),1),"")</f>
        <v>75</v>
      </c>
      <c r="K307" s="17" t="str">
        <f>IF(AND(HS_DB[[#This Row],[Origin Rank]]&gt;1,HS_DB[[#This Row],[Origin Rank]]&lt;=10),"Yes","No")</f>
        <v>No</v>
      </c>
      <c r="L307" s="2">
        <v>2024</v>
      </c>
      <c r="M307" s="2" t="s">
        <v>57</v>
      </c>
      <c r="N307" s="2" t="s">
        <v>8</v>
      </c>
      <c r="O307" s="2" t="s">
        <v>22</v>
      </c>
      <c r="P307" s="2" t="s">
        <v>23</v>
      </c>
      <c r="Q307" s="2" t="s">
        <v>24</v>
      </c>
      <c r="R307" s="2" t="s">
        <v>25</v>
      </c>
      <c r="S307" s="2">
        <v>170290</v>
      </c>
      <c r="T307" s="3">
        <v>572542</v>
      </c>
      <c r="U307" s="3">
        <v>792450</v>
      </c>
      <c r="V307" s="3">
        <v>0</v>
      </c>
      <c r="W307" s="3">
        <v>792450</v>
      </c>
      <c r="X307" s="3" t="s">
        <v>58</v>
      </c>
      <c r="Y307" s="3">
        <v>792450</v>
      </c>
      <c r="Z307" s="3" t="s">
        <v>58</v>
      </c>
      <c r="AA307" s="6">
        <f>SUMIFS(HS_DB[Trade Value - USD],HS_DB[Reporter],HS_DB[[#This Row],[Reporter]])/SUM(HS_DB[Trade Value - USD])</f>
        <v>2.2441761060335613E-2</v>
      </c>
      <c r="AB307" s="8" cm="1">
        <f t="array" ref="AB307">SUMPRODUCT(
(HS_DB[Reporter]=HS_DB[[#This Row],[Reporter]])*
(HS_DB[Trade Value - USD]&gt;HS_DB[[#This Row],[Trade Value - USD]])
)+1</f>
        <v>15</v>
      </c>
      <c r="AC307" s="8" t="str">
        <f>IFERROR(IF(INDEX(Heat_Map[Crisis Impact %],MATCH(HS_DB[[#This Row],[Reporter]],Heat_Map[Global],0),1)&gt;0,"Yes","No"),"No")</f>
        <v>No</v>
      </c>
      <c r="AD307" s="6">
        <f>IFERROR(INDEX(Heat_Map[Crisis Impact %],MATCH(HS_DB[[#This Row],[Reporter]],Heat_Map[Global],0),1),0)</f>
        <v>0</v>
      </c>
      <c r="AE307" s="8">
        <f>HS_DB[[#This Row],[Crisis Impact%]]*HS_DB[[#This Row],[Trade Value - USD]]</f>
        <v>0</v>
      </c>
      <c r="AF307" s="8">
        <f>HS_DB[[#This Row],[Crisis Impact%]]*HS_DB[[#This Row],[Net Weight -KG]]</f>
        <v>0</v>
      </c>
      <c r="AG307" s="6">
        <f>SUMIFS(HS_DB[Trade Value - USD],HS_DB[Products],HS_DB[[#This Row],[Products]])/SUM(HS_DB[Trade Value - USD])</f>
        <v>6.2244850394839587E-3</v>
      </c>
      <c r="AH307" s="8">
        <f>_xlfn.RANK.EQ(HS_DB[[#This Row],[Trade Value - USD]], HS_DB[Trade Value - USD], 0)
 + COUNTIFS(HS_DB[Trade Value - USD],HS_DB[[#This Row],[Trade Value - USD]],
            HS_DB[HS Code],"&lt;"&amp;HS_DB[[#This Row],[HS Code]])</f>
        <v>139</v>
      </c>
      <c r="AI307" s="9">
        <f>IFERROR(HS_DB[[#This Row],[Trade Value - USD]]/HS_DB[[#This Row],[Net Weight -KG]],0)</f>
        <v>0.72249605653353521</v>
      </c>
      <c r="AJ307" s="17" cm="1">
        <f t="array" ref="AJ307">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07" s="17" t="str">
        <f>IF(HS_DB[[#This Row],[HS Code Risk Score]]&gt;=40,"High",
 IF(HS_DB[[#This Row],[HS Code Risk Score]]&gt;=25,"Medium","Low"))</f>
        <v>Medium</v>
      </c>
      <c r="AL307" s="17" t="str">
        <f>IF(RANK(HS_DB[[#This Row],[HS Code Risk Score]],HS_DB[HS Code Risk Score])&lt;=10,"Yes","No")</f>
        <v>No</v>
      </c>
      <c r="AM307" s="8">
        <f>SUMIFS(HS_DB[Net Weight -KG],HS_DB[HS Code],HS_DB[[#This Row],[HS Code]])</f>
        <v>12365742.6</v>
      </c>
      <c r="AN307" s="8">
        <f>SUMIFS(HS_DB[Trade Value - USD],HS_DB[HS Code],HS_DB[[#This Row],[HS Code]])</f>
        <v>11733206</v>
      </c>
      <c r="AO307" s="6">
        <f>_xlfn.MAXIFS(HS_DB[Origin Share%],HS_DB[HS Code],HS_DB[[#This Row],[HS Code]])</f>
        <v>0.25769345655074266</v>
      </c>
      <c r="AP307" s="8" cm="1">
        <f t="array" ref="AP307">_xlfn.LET(
_xlpm.hs,HS_DB[[#This Row],[HS Code]],
COUNTA(_xlfn.UNIQUE(_xlfn._xlws.FILTER(HS_DB[Reporter],HS_DB[HS Code]=_xlpm.hs)))
)</f>
        <v>20</v>
      </c>
      <c r="AQ307" s="17" t="str">
        <f>IF(HS_DB[[#This Row],[Origin Count]]=1,"Single Source","Multiple Sources")</f>
        <v>Multiple Sources</v>
      </c>
      <c r="AR307" s="8">
        <f>HS_DB[[#This Row],[Annual Spend - USD]]*(HS_DB[[#This Row],[HS Code Risk Score]]/100)</f>
        <v>3989290.0400000005</v>
      </c>
      <c r="AS307" s="8">
        <f>RANK(HS_DB[[#This Row],[Risk Exposure - USD]],HS_DB[Risk Exposure - USD],0)</f>
        <v>241</v>
      </c>
      <c r="AT307" s="8" t="str">
        <f>IF(HS_DB[[#This Row],[Risk Exposure Rank]]&lt;=10,"High",
 IF(HS_DB[[#This Row],[Risk Exposure Rank]]&lt;=30,"Medium",
 "Low"))</f>
        <v>Low</v>
      </c>
      <c r="AU307" s="8" t="str">
        <f>IF(HS_DB[[#This Row],[Risk Exposure Rank]]&lt;=5,"Immediate Action",
 IF(HS_DB[[#This Row],[Risk Exposure Rank]]&lt;=15,"Monitor Closely",
 "Routine Control"))</f>
        <v>Routine Control</v>
      </c>
      <c r="AV307" s="8">
        <f>SUMIFS(HS_DB[Trade Value - USD],HS_DB[HS Code],HS_DB[[#This Row],[HS Code]])</f>
        <v>11733206</v>
      </c>
      <c r="AW307" s="6">
        <f>HS_DB[[#This Row],[Annual Spend - USD]]/HS_DB[[#This Row],[Total Market Size - USD]]</f>
        <v>1</v>
      </c>
      <c r="AX307" s="6" cm="1">
        <f t="array" ref="AX307">COUNTA(_xlfn.UNIQUE(_xlfn._xlws.FILTER(HS_DB[Partner],HS_DB[HS Code]=HS_DB[[#This Row],[HS Code]])))</f>
        <v>1</v>
      </c>
      <c r="AY307" s="8" t="str">
        <f>IF(HS_DB[[#This Row],[Competition Intensity]]&lt;=2,"Highly Concentrated",
 IF(HS_DB[[#This Row],[Competition Intensity]]&lt;=5,"Moderate",
 "Highly Competitive"))</f>
        <v>Highly Concentrated</v>
      </c>
      <c r="AZ307" s="8">
        <f>HS_DB[[#This Row],[Total Market Size - USD]]
*
(1+IFERROR(#REF!,0))
/
HS_DB[[#This Row],[Competition Intensity]]</f>
        <v>11733206</v>
      </c>
      <c r="BA307" s="8" t="str">
        <f>IF(HS_DB[[#This Row],[Commercial Opportunity Score]]&gt;=PERCENTILE(HS_DB[Commercial Opportunity Score],0.9),"High Opportunity",
 IF(HS_DB[[#This Row],[Commercial Opportunity Score]]&gt;=PERCENTILE(HS_DB[Commercial Opportunity Score],0.6),"Medium Opportunity",
 "Routine Market"))</f>
        <v>Routine Market</v>
      </c>
      <c r="BB307" s="3" t="str">
        <f>IF(AND(HS_DB[[#This Row],[Product Rank]]&gt;0,HS_DB[[#This Row],[Product Rank]]&lt;=10),"Yes","No")</f>
        <v>No</v>
      </c>
      <c r="BC307" s="3" t="str">
        <f>IF(AND(HS_DB[[#This Row],[Origin Rank]]&gt;0,HS_DB[[#This Row],[Origin Rank]]&lt;=10),"Yes","No")</f>
        <v>No</v>
      </c>
    </row>
    <row r="308" spans="2:55" x14ac:dyDescent="0.3">
      <c r="B308" s="2">
        <f>HS_DB[[#This Row],[Commodity Code]]</f>
        <v>170290</v>
      </c>
      <c r="C308" s="2">
        <f>IFERROR(INDEX(HS_MD!C:C,MATCH(B308,HS_MD!B:B,0),1),"")</f>
        <v>25</v>
      </c>
      <c r="D308" s="17" t="str">
        <f>IFERROR(INDEX(HS_MD!D:D,MATCH(B308,HS_MD!B:B,0),1),"")</f>
        <v>Other sugars incl. caramel</v>
      </c>
      <c r="E308" s="17" t="str">
        <f>IFERROR(INDEX(HS_MD!E:E,MATCH(B308,HS_MD!B:B,0),1),"")</f>
        <v>Caramel Color</v>
      </c>
      <c r="F308" s="17" t="str">
        <f>IFERROR(INDEX(HS_MD!F:F,MATCH(B308,HS_MD!B:B,0),1),"")</f>
        <v>Food Ingredients</v>
      </c>
      <c r="G308" s="17" t="str">
        <f>IFERROR(INDEX(HS_MD!G:G,MATCH(B308,HS_MD!B:B,0),1),"")</f>
        <v>Colors</v>
      </c>
      <c r="H308" s="17" t="str">
        <f>IFERROR(INDEX(HS_MD!H:H,MATCH(B308,HS_MD!B:B,0),1),"")</f>
        <v>Caramel Color (Class I-IV)</v>
      </c>
      <c r="I308" s="17" t="str">
        <f>IFERROR(INDEX(HS_MD!I:I,MATCH(B308,HS_MD!B:B,0),1),"")</f>
        <v>Beverages / Sauces</v>
      </c>
      <c r="J308" s="17">
        <f>IFERROR(INDEX(Heat_Map[Index],MATCH(HS_DB[[#This Row],[Reporter]],Heat_Map[Global],0),1),"")</f>
        <v>152</v>
      </c>
      <c r="K308" s="17" t="str">
        <f>IF(AND(HS_DB[[#This Row],[Origin Rank]]&gt;1,HS_DB[[#This Row],[Origin Rank]]&lt;=10),"Yes","No")</f>
        <v>No</v>
      </c>
      <c r="L308" s="2">
        <v>2024</v>
      </c>
      <c r="M308" s="2" t="s">
        <v>57</v>
      </c>
      <c r="N308" s="2" t="s">
        <v>153</v>
      </c>
      <c r="O308" s="2" t="s">
        <v>22</v>
      </c>
      <c r="P308" s="2" t="s">
        <v>23</v>
      </c>
      <c r="Q308" s="2" t="s">
        <v>24</v>
      </c>
      <c r="R308" s="2" t="s">
        <v>25</v>
      </c>
      <c r="S308" s="2">
        <v>170290</v>
      </c>
      <c r="T308" s="3">
        <v>549822</v>
      </c>
      <c r="U308" s="3">
        <v>585750</v>
      </c>
      <c r="V308" s="3">
        <v>0</v>
      </c>
      <c r="W308" s="3">
        <v>585750</v>
      </c>
      <c r="X308" s="3" t="s">
        <v>58</v>
      </c>
      <c r="Y308" s="3">
        <v>585750</v>
      </c>
      <c r="Z308" s="3" t="s">
        <v>58</v>
      </c>
      <c r="AA308" s="6">
        <f>SUMIFS(HS_DB[Trade Value - USD],HS_DB[Reporter],HS_DB[[#This Row],[Reporter]])/SUM(HS_DB[Trade Value - USD])</f>
        <v>3.4112051281327349E-4</v>
      </c>
      <c r="AB308" s="8" cm="1">
        <f t="array" ref="AB308">SUMPRODUCT(
(HS_DB[Reporter]=HS_DB[[#This Row],[Reporter]])*
(HS_DB[Trade Value - USD]&gt;HS_DB[[#This Row],[Trade Value - USD]])
)+1</f>
        <v>1</v>
      </c>
      <c r="AC308" s="8" t="str">
        <f>IFERROR(IF(INDEX(Heat_Map[Crisis Impact %],MATCH(HS_DB[[#This Row],[Reporter]],Heat_Map[Global],0),1)&gt;0,"Yes","No"),"No")</f>
        <v>No</v>
      </c>
      <c r="AD308" s="6">
        <f>IFERROR(INDEX(Heat_Map[Crisis Impact %],MATCH(HS_DB[[#This Row],[Reporter]],Heat_Map[Global],0),1),0)</f>
        <v>0</v>
      </c>
      <c r="AE308" s="8">
        <f>HS_DB[[#This Row],[Crisis Impact%]]*HS_DB[[#This Row],[Trade Value - USD]]</f>
        <v>0</v>
      </c>
      <c r="AF308" s="8">
        <f>HS_DB[[#This Row],[Crisis Impact%]]*HS_DB[[#This Row],[Net Weight -KG]]</f>
        <v>0</v>
      </c>
      <c r="AG308" s="6">
        <f>SUMIFS(HS_DB[Trade Value - USD],HS_DB[Products],HS_DB[[#This Row],[Products]])/SUM(HS_DB[Trade Value - USD])</f>
        <v>6.2244850394839587E-3</v>
      </c>
      <c r="AH308" s="8">
        <f>_xlfn.RANK.EQ(HS_DB[[#This Row],[Trade Value - USD]], HS_DB[Trade Value - USD], 0)
 + COUNTIFS(HS_DB[Trade Value - USD],HS_DB[[#This Row],[Trade Value - USD]],
            HS_DB[HS Code],"&lt;"&amp;HS_DB[[#This Row],[HS Code]])</f>
        <v>141</v>
      </c>
      <c r="AI308" s="9">
        <f>IFERROR(HS_DB[[#This Row],[Trade Value - USD]]/HS_DB[[#This Row],[Net Weight -KG]],0)</f>
        <v>0.93866325224071701</v>
      </c>
      <c r="AJ308" s="17" cm="1">
        <f t="array" ref="AJ308">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08" s="17" t="str">
        <f>IF(HS_DB[[#This Row],[HS Code Risk Score]]&gt;=40,"High",
 IF(HS_DB[[#This Row],[HS Code Risk Score]]&gt;=25,"Medium","Low"))</f>
        <v>Medium</v>
      </c>
      <c r="AL308" s="17" t="str">
        <f>IF(RANK(HS_DB[[#This Row],[HS Code Risk Score]],HS_DB[HS Code Risk Score])&lt;=10,"Yes","No")</f>
        <v>No</v>
      </c>
      <c r="AM308" s="8">
        <f>SUMIFS(HS_DB[Net Weight -KG],HS_DB[HS Code],HS_DB[[#This Row],[HS Code]])</f>
        <v>12365742.6</v>
      </c>
      <c r="AN308" s="8">
        <f>SUMIFS(HS_DB[Trade Value - USD],HS_DB[HS Code],HS_DB[[#This Row],[HS Code]])</f>
        <v>11733206</v>
      </c>
      <c r="AO308" s="6">
        <f>_xlfn.MAXIFS(HS_DB[Origin Share%],HS_DB[HS Code],HS_DB[[#This Row],[HS Code]])</f>
        <v>0.25769345655074266</v>
      </c>
      <c r="AP308" s="8" cm="1">
        <f t="array" ref="AP308">_xlfn.LET(
_xlpm.hs,HS_DB[[#This Row],[HS Code]],
COUNTA(_xlfn.UNIQUE(_xlfn._xlws.FILTER(HS_DB[Reporter],HS_DB[HS Code]=_xlpm.hs)))
)</f>
        <v>20</v>
      </c>
      <c r="AQ308" s="17" t="str">
        <f>IF(HS_DB[[#This Row],[Origin Count]]=1,"Single Source","Multiple Sources")</f>
        <v>Multiple Sources</v>
      </c>
      <c r="AR308" s="8">
        <f>HS_DB[[#This Row],[Annual Spend - USD]]*(HS_DB[[#This Row],[HS Code Risk Score]]/100)</f>
        <v>3989290.0400000005</v>
      </c>
      <c r="AS308" s="8">
        <f>RANK(HS_DB[[#This Row],[Risk Exposure - USD]],HS_DB[Risk Exposure - USD],0)</f>
        <v>241</v>
      </c>
      <c r="AT308" s="8" t="str">
        <f>IF(HS_DB[[#This Row],[Risk Exposure Rank]]&lt;=10,"High",
 IF(HS_DB[[#This Row],[Risk Exposure Rank]]&lt;=30,"Medium",
 "Low"))</f>
        <v>Low</v>
      </c>
      <c r="AU308" s="8" t="str">
        <f>IF(HS_DB[[#This Row],[Risk Exposure Rank]]&lt;=5,"Immediate Action",
 IF(HS_DB[[#This Row],[Risk Exposure Rank]]&lt;=15,"Monitor Closely",
 "Routine Control"))</f>
        <v>Routine Control</v>
      </c>
      <c r="AV308" s="8">
        <f>SUMIFS(HS_DB[Trade Value - USD],HS_DB[HS Code],HS_DB[[#This Row],[HS Code]])</f>
        <v>11733206</v>
      </c>
      <c r="AW308" s="6">
        <f>HS_DB[[#This Row],[Annual Spend - USD]]/HS_DB[[#This Row],[Total Market Size - USD]]</f>
        <v>1</v>
      </c>
      <c r="AX308" s="6" cm="1">
        <f t="array" ref="AX308">COUNTA(_xlfn.UNIQUE(_xlfn._xlws.FILTER(HS_DB[Partner],HS_DB[HS Code]=HS_DB[[#This Row],[HS Code]])))</f>
        <v>1</v>
      </c>
      <c r="AY308" s="8" t="str">
        <f>IF(HS_DB[[#This Row],[Competition Intensity]]&lt;=2,"Highly Concentrated",
 IF(HS_DB[[#This Row],[Competition Intensity]]&lt;=5,"Moderate",
 "Highly Competitive"))</f>
        <v>Highly Concentrated</v>
      </c>
      <c r="AZ308" s="8">
        <f>HS_DB[[#This Row],[Total Market Size - USD]]
*
(1+IFERROR(#REF!,0))
/
HS_DB[[#This Row],[Competition Intensity]]</f>
        <v>11733206</v>
      </c>
      <c r="BA308" s="8" t="str">
        <f>IF(HS_DB[[#This Row],[Commercial Opportunity Score]]&gt;=PERCENTILE(HS_DB[Commercial Opportunity Score],0.9),"High Opportunity",
 IF(HS_DB[[#This Row],[Commercial Opportunity Score]]&gt;=PERCENTILE(HS_DB[Commercial Opportunity Score],0.6),"Medium Opportunity",
 "Routine Market"))</f>
        <v>Routine Market</v>
      </c>
      <c r="BB308" s="3" t="str">
        <f>IF(AND(HS_DB[[#This Row],[Product Rank]]&gt;0,HS_DB[[#This Row],[Product Rank]]&lt;=10),"Yes","No")</f>
        <v>No</v>
      </c>
      <c r="BC308" s="3" t="str">
        <f>IF(AND(HS_DB[[#This Row],[Origin Rank]]&gt;0,HS_DB[[#This Row],[Origin Rank]]&lt;=10),"Yes","No")</f>
        <v>Yes</v>
      </c>
    </row>
    <row r="309" spans="2:55" x14ac:dyDescent="0.3">
      <c r="B309" s="2">
        <f>HS_DB[[#This Row],[Commodity Code]]</f>
        <v>170290</v>
      </c>
      <c r="C309" s="2">
        <f>IFERROR(INDEX(HS_MD!C:C,MATCH(B309,HS_MD!B:B,0),1),"")</f>
        <v>25</v>
      </c>
      <c r="D309" s="17" t="str">
        <f>IFERROR(INDEX(HS_MD!D:D,MATCH(B309,HS_MD!B:B,0),1),"")</f>
        <v>Other sugars incl. caramel</v>
      </c>
      <c r="E309" s="17" t="str">
        <f>IFERROR(INDEX(HS_MD!E:E,MATCH(B309,HS_MD!B:B,0),1),"")</f>
        <v>Caramel Color</v>
      </c>
      <c r="F309" s="17" t="str">
        <f>IFERROR(INDEX(HS_MD!F:F,MATCH(B309,HS_MD!B:B,0),1),"")</f>
        <v>Food Ingredients</v>
      </c>
      <c r="G309" s="17" t="str">
        <f>IFERROR(INDEX(HS_MD!G:G,MATCH(B309,HS_MD!B:B,0),1),"")</f>
        <v>Colors</v>
      </c>
      <c r="H309" s="17" t="str">
        <f>IFERROR(INDEX(HS_MD!H:H,MATCH(B309,HS_MD!B:B,0),1),"")</f>
        <v>Caramel Color (Class I-IV)</v>
      </c>
      <c r="I309" s="17" t="str">
        <f>IFERROR(INDEX(HS_MD!I:I,MATCH(B309,HS_MD!B:B,0),1),"")</f>
        <v>Beverages / Sauces</v>
      </c>
      <c r="J309" s="17">
        <f>IFERROR(INDEX(Heat_Map[Index],MATCH(HS_DB[[#This Row],[Reporter]],Heat_Map[Global],0),1),"")</f>
        <v>159</v>
      </c>
      <c r="K309" s="17" t="str">
        <f>IF(AND(HS_DB[[#This Row],[Origin Rank]]&gt;1,HS_DB[[#This Row],[Origin Rank]]&lt;=10),"Yes","No")</f>
        <v>Yes</v>
      </c>
      <c r="L309" s="2">
        <v>2024</v>
      </c>
      <c r="M309" s="2" t="s">
        <v>57</v>
      </c>
      <c r="N309" s="2" t="s">
        <v>30</v>
      </c>
      <c r="O309" s="2" t="s">
        <v>22</v>
      </c>
      <c r="P309" s="2" t="s">
        <v>23</v>
      </c>
      <c r="Q309" s="2" t="s">
        <v>24</v>
      </c>
      <c r="R309" s="2" t="s">
        <v>25</v>
      </c>
      <c r="S309" s="2">
        <v>170290</v>
      </c>
      <c r="T309" s="3">
        <v>1002413</v>
      </c>
      <c r="U309" s="3">
        <v>589050</v>
      </c>
      <c r="V309" s="3">
        <v>0</v>
      </c>
      <c r="W309" s="3">
        <v>589050</v>
      </c>
      <c r="X309" s="3" t="s">
        <v>58</v>
      </c>
      <c r="Y309" s="3">
        <v>589050</v>
      </c>
      <c r="Z309" s="3" t="s">
        <v>58</v>
      </c>
      <c r="AA309" s="6">
        <f>SUMIFS(HS_DB[Trade Value - USD],HS_DB[Reporter],HS_DB[[#This Row],[Reporter]])/SUM(HS_DB[Trade Value - USD])</f>
        <v>6.110186869383482E-3</v>
      </c>
      <c r="AB309" s="8" cm="1">
        <f t="array" ref="AB309">SUMPRODUCT(
(HS_DB[Reporter]=HS_DB[[#This Row],[Reporter]])*
(HS_DB[Trade Value - USD]&gt;HS_DB[[#This Row],[Trade Value - USD]])
)+1</f>
        <v>5</v>
      </c>
      <c r="AC309" s="8" t="str">
        <f>IFERROR(IF(INDEX(Heat_Map[Crisis Impact %],MATCH(HS_DB[[#This Row],[Reporter]],Heat_Map[Global],0),1)&gt;0,"Yes","No"),"No")</f>
        <v>No</v>
      </c>
      <c r="AD309" s="6">
        <f>IFERROR(INDEX(Heat_Map[Crisis Impact %],MATCH(HS_DB[[#This Row],[Reporter]],Heat_Map[Global],0),1),0)</f>
        <v>0</v>
      </c>
      <c r="AE309" s="8">
        <f>HS_DB[[#This Row],[Crisis Impact%]]*HS_DB[[#This Row],[Trade Value - USD]]</f>
        <v>0</v>
      </c>
      <c r="AF309" s="8">
        <f>HS_DB[[#This Row],[Crisis Impact%]]*HS_DB[[#This Row],[Net Weight -KG]]</f>
        <v>0</v>
      </c>
      <c r="AG309" s="6">
        <f>SUMIFS(HS_DB[Trade Value - USD],HS_DB[Products],HS_DB[[#This Row],[Products]])/SUM(HS_DB[Trade Value - USD])</f>
        <v>6.2244850394839587E-3</v>
      </c>
      <c r="AH309" s="8">
        <f>_xlfn.RANK.EQ(HS_DB[[#This Row],[Trade Value - USD]], HS_DB[Trade Value - USD], 0)
 + COUNTIFS(HS_DB[Trade Value - USD],HS_DB[[#This Row],[Trade Value - USD]],
            HS_DB[HS Code],"&lt;"&amp;HS_DB[[#This Row],[HS Code]])</f>
        <v>108</v>
      </c>
      <c r="AI309" s="9">
        <f>IFERROR(HS_DB[[#This Row],[Trade Value - USD]]/HS_DB[[#This Row],[Net Weight -KG]],0)</f>
        <v>1.7017451829216534</v>
      </c>
      <c r="AJ309" s="17" cm="1">
        <f t="array" ref="AJ309">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09" s="17" t="str">
        <f>IF(HS_DB[[#This Row],[HS Code Risk Score]]&gt;=40,"High",
 IF(HS_DB[[#This Row],[HS Code Risk Score]]&gt;=25,"Medium","Low"))</f>
        <v>Medium</v>
      </c>
      <c r="AL309" s="17" t="str">
        <f>IF(RANK(HS_DB[[#This Row],[HS Code Risk Score]],HS_DB[HS Code Risk Score])&lt;=10,"Yes","No")</f>
        <v>No</v>
      </c>
      <c r="AM309" s="8">
        <f>SUMIFS(HS_DB[Net Weight -KG],HS_DB[HS Code],HS_DB[[#This Row],[HS Code]])</f>
        <v>12365742.6</v>
      </c>
      <c r="AN309" s="8">
        <f>SUMIFS(HS_DB[Trade Value - USD],HS_DB[HS Code],HS_DB[[#This Row],[HS Code]])</f>
        <v>11733206</v>
      </c>
      <c r="AO309" s="6">
        <f>_xlfn.MAXIFS(HS_DB[Origin Share%],HS_DB[HS Code],HS_DB[[#This Row],[HS Code]])</f>
        <v>0.25769345655074266</v>
      </c>
      <c r="AP309" s="8" cm="1">
        <f t="array" ref="AP309">_xlfn.LET(
_xlpm.hs,HS_DB[[#This Row],[HS Code]],
COUNTA(_xlfn.UNIQUE(_xlfn._xlws.FILTER(HS_DB[Reporter],HS_DB[HS Code]=_xlpm.hs)))
)</f>
        <v>20</v>
      </c>
      <c r="AQ309" s="17" t="str">
        <f>IF(HS_DB[[#This Row],[Origin Count]]=1,"Single Source","Multiple Sources")</f>
        <v>Multiple Sources</v>
      </c>
      <c r="AR309" s="8">
        <f>HS_DB[[#This Row],[Annual Spend - USD]]*(HS_DB[[#This Row],[HS Code Risk Score]]/100)</f>
        <v>3989290.0400000005</v>
      </c>
      <c r="AS309" s="8">
        <f>RANK(HS_DB[[#This Row],[Risk Exposure - USD]],HS_DB[Risk Exposure - USD],0)</f>
        <v>241</v>
      </c>
      <c r="AT309" s="8" t="str">
        <f>IF(HS_DB[[#This Row],[Risk Exposure Rank]]&lt;=10,"High",
 IF(HS_DB[[#This Row],[Risk Exposure Rank]]&lt;=30,"Medium",
 "Low"))</f>
        <v>Low</v>
      </c>
      <c r="AU309" s="8" t="str">
        <f>IF(HS_DB[[#This Row],[Risk Exposure Rank]]&lt;=5,"Immediate Action",
 IF(HS_DB[[#This Row],[Risk Exposure Rank]]&lt;=15,"Monitor Closely",
 "Routine Control"))</f>
        <v>Routine Control</v>
      </c>
      <c r="AV309" s="8">
        <f>SUMIFS(HS_DB[Trade Value - USD],HS_DB[HS Code],HS_DB[[#This Row],[HS Code]])</f>
        <v>11733206</v>
      </c>
      <c r="AW309" s="6">
        <f>HS_DB[[#This Row],[Annual Spend - USD]]/HS_DB[[#This Row],[Total Market Size - USD]]</f>
        <v>1</v>
      </c>
      <c r="AX309" s="6" cm="1">
        <f t="array" ref="AX309">COUNTA(_xlfn.UNIQUE(_xlfn._xlws.FILTER(HS_DB[Partner],HS_DB[HS Code]=HS_DB[[#This Row],[HS Code]])))</f>
        <v>1</v>
      </c>
      <c r="AY309" s="8" t="str">
        <f>IF(HS_DB[[#This Row],[Competition Intensity]]&lt;=2,"Highly Concentrated",
 IF(HS_DB[[#This Row],[Competition Intensity]]&lt;=5,"Moderate",
 "Highly Competitive"))</f>
        <v>Highly Concentrated</v>
      </c>
      <c r="AZ309" s="8">
        <f>HS_DB[[#This Row],[Total Market Size - USD]]
*
(1+IFERROR(#REF!,0))
/
HS_DB[[#This Row],[Competition Intensity]]</f>
        <v>11733206</v>
      </c>
      <c r="BA309" s="8" t="str">
        <f>IF(HS_DB[[#This Row],[Commercial Opportunity Score]]&gt;=PERCENTILE(HS_DB[Commercial Opportunity Score],0.9),"High Opportunity",
 IF(HS_DB[[#This Row],[Commercial Opportunity Score]]&gt;=PERCENTILE(HS_DB[Commercial Opportunity Score],0.6),"Medium Opportunity",
 "Routine Market"))</f>
        <v>Routine Market</v>
      </c>
      <c r="BB309" s="3" t="str">
        <f>IF(AND(HS_DB[[#This Row],[Product Rank]]&gt;0,HS_DB[[#This Row],[Product Rank]]&lt;=10),"Yes","No")</f>
        <v>No</v>
      </c>
      <c r="BC309" s="3" t="str">
        <f>IF(AND(HS_DB[[#This Row],[Origin Rank]]&gt;0,HS_DB[[#This Row],[Origin Rank]]&lt;=10),"Yes","No")</f>
        <v>Yes</v>
      </c>
    </row>
    <row r="310" spans="2:55" x14ac:dyDescent="0.3">
      <c r="B310" s="2">
        <f>HS_DB[[#This Row],[Commodity Code]]</f>
        <v>170290</v>
      </c>
      <c r="C310" s="2">
        <f>IFERROR(INDEX(HS_MD!C:C,MATCH(B310,HS_MD!B:B,0),1),"")</f>
        <v>25</v>
      </c>
      <c r="D310" s="17" t="str">
        <f>IFERROR(INDEX(HS_MD!D:D,MATCH(B310,HS_MD!B:B,0),1),"")</f>
        <v>Other sugars incl. caramel</v>
      </c>
      <c r="E310" s="17" t="str">
        <f>IFERROR(INDEX(HS_MD!E:E,MATCH(B310,HS_MD!B:B,0),1),"")</f>
        <v>Caramel Color</v>
      </c>
      <c r="F310" s="17" t="str">
        <f>IFERROR(INDEX(HS_MD!F:F,MATCH(B310,HS_MD!B:B,0),1),"")</f>
        <v>Food Ingredients</v>
      </c>
      <c r="G310" s="17" t="str">
        <f>IFERROR(INDEX(HS_MD!G:G,MATCH(B310,HS_MD!B:B,0),1),"")</f>
        <v>Colors</v>
      </c>
      <c r="H310" s="17" t="str">
        <f>IFERROR(INDEX(HS_MD!H:H,MATCH(B310,HS_MD!B:B,0),1),"")</f>
        <v>Caramel Color (Class I-IV)</v>
      </c>
      <c r="I310" s="17" t="str">
        <f>IFERROR(INDEX(HS_MD!I:I,MATCH(B310,HS_MD!B:B,0),1),"")</f>
        <v>Beverages / Sauces</v>
      </c>
      <c r="J310" s="17">
        <f>IFERROR(INDEX(Heat_Map[Index],MATCH(HS_DB[[#This Row],[Reporter]],Heat_Map[Global],0),1),"")</f>
        <v>175</v>
      </c>
      <c r="K310" s="17" t="str">
        <f>IF(AND(HS_DB[[#This Row],[Origin Rank]]&gt;1,HS_DB[[#This Row],[Origin Rank]]&lt;=10),"Yes","No")</f>
        <v>No</v>
      </c>
      <c r="L310" s="2">
        <v>2024</v>
      </c>
      <c r="M310" s="2" t="s">
        <v>57</v>
      </c>
      <c r="N310" s="2" t="s">
        <v>34</v>
      </c>
      <c r="O310" s="2" t="s">
        <v>22</v>
      </c>
      <c r="P310" s="2" t="s">
        <v>23</v>
      </c>
      <c r="Q310" s="2" t="s">
        <v>24</v>
      </c>
      <c r="R310" s="2" t="s">
        <v>25</v>
      </c>
      <c r="S310" s="2">
        <v>170290</v>
      </c>
      <c r="T310" s="3">
        <v>725205</v>
      </c>
      <c r="U310" s="3">
        <v>933590</v>
      </c>
      <c r="V310" s="3">
        <v>0</v>
      </c>
      <c r="W310" s="3">
        <v>933590</v>
      </c>
      <c r="X310" s="3" t="s">
        <v>58</v>
      </c>
      <c r="Y310" s="3">
        <v>933590</v>
      </c>
      <c r="Z310" s="3" t="s">
        <v>58</v>
      </c>
      <c r="AA310" s="6">
        <f>SUMIFS(HS_DB[Trade Value - USD],HS_DB[Reporter],HS_DB[[#This Row],[Reporter]])/SUM(HS_DB[Trade Value - USD])</f>
        <v>4.7522902002533667E-2</v>
      </c>
      <c r="AB310" s="8" cm="1">
        <f t="array" ref="AB310">SUMPRODUCT(
(HS_DB[Reporter]=HS_DB[[#This Row],[Reporter]])*
(HS_DB[Trade Value - USD]&gt;HS_DB[[#This Row],[Trade Value - USD]])
)+1</f>
        <v>12</v>
      </c>
      <c r="AC310" s="8" t="str">
        <f>IFERROR(IF(INDEX(Heat_Map[Crisis Impact %],MATCH(HS_DB[[#This Row],[Reporter]],Heat_Map[Global],0),1)&gt;0,"Yes","No"),"No")</f>
        <v>Yes</v>
      </c>
      <c r="AD310" s="6">
        <f>IFERROR(INDEX(Heat_Map[Crisis Impact %],MATCH(HS_DB[[#This Row],[Reporter]],Heat_Map[Global],0),1),0)</f>
        <v>0.1</v>
      </c>
      <c r="AE310" s="8">
        <f>HS_DB[[#This Row],[Crisis Impact%]]*HS_DB[[#This Row],[Trade Value - USD]]</f>
        <v>72520.5</v>
      </c>
      <c r="AF310" s="8">
        <f>HS_DB[[#This Row],[Crisis Impact%]]*HS_DB[[#This Row],[Net Weight -KG]]</f>
        <v>93359</v>
      </c>
      <c r="AG310" s="6">
        <f>SUMIFS(HS_DB[Trade Value - USD],HS_DB[Products],HS_DB[[#This Row],[Products]])/SUM(HS_DB[Trade Value - USD])</f>
        <v>6.2244850394839587E-3</v>
      </c>
      <c r="AH310" s="8">
        <f>_xlfn.RANK.EQ(HS_DB[[#This Row],[Trade Value - USD]], HS_DB[Trade Value - USD], 0)
 + COUNTIFS(HS_DB[Trade Value - USD],HS_DB[[#This Row],[Trade Value - USD]],
            HS_DB[HS Code],"&lt;"&amp;HS_DB[[#This Row],[HS Code]])</f>
        <v>122</v>
      </c>
      <c r="AI310" s="9">
        <f>IFERROR(HS_DB[[#This Row],[Trade Value - USD]]/HS_DB[[#This Row],[Net Weight -KG]],0)</f>
        <v>0.77679173941451818</v>
      </c>
      <c r="AJ310" s="17" cm="1">
        <f t="array" ref="AJ310">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10" s="17" t="str">
        <f>IF(HS_DB[[#This Row],[HS Code Risk Score]]&gt;=40,"High",
 IF(HS_DB[[#This Row],[HS Code Risk Score]]&gt;=25,"Medium","Low"))</f>
        <v>Medium</v>
      </c>
      <c r="AL310" s="17" t="str">
        <f>IF(RANK(HS_DB[[#This Row],[HS Code Risk Score]],HS_DB[HS Code Risk Score])&lt;=10,"Yes","No")</f>
        <v>No</v>
      </c>
      <c r="AM310" s="8">
        <f>SUMIFS(HS_DB[Net Weight -KG],HS_DB[HS Code],HS_DB[[#This Row],[HS Code]])</f>
        <v>12365742.6</v>
      </c>
      <c r="AN310" s="8">
        <f>SUMIFS(HS_DB[Trade Value - USD],HS_DB[HS Code],HS_DB[[#This Row],[HS Code]])</f>
        <v>11733206</v>
      </c>
      <c r="AO310" s="6">
        <f>_xlfn.MAXIFS(HS_DB[Origin Share%],HS_DB[HS Code],HS_DB[[#This Row],[HS Code]])</f>
        <v>0.25769345655074266</v>
      </c>
      <c r="AP310" s="8" cm="1">
        <f t="array" ref="AP310">_xlfn.LET(
_xlpm.hs,HS_DB[[#This Row],[HS Code]],
COUNTA(_xlfn.UNIQUE(_xlfn._xlws.FILTER(HS_DB[Reporter],HS_DB[HS Code]=_xlpm.hs)))
)</f>
        <v>20</v>
      </c>
      <c r="AQ310" s="17" t="str">
        <f>IF(HS_DB[[#This Row],[Origin Count]]=1,"Single Source","Multiple Sources")</f>
        <v>Multiple Sources</v>
      </c>
      <c r="AR310" s="8">
        <f>HS_DB[[#This Row],[Annual Spend - USD]]*(HS_DB[[#This Row],[HS Code Risk Score]]/100)</f>
        <v>3989290.0400000005</v>
      </c>
      <c r="AS310" s="8">
        <f>RANK(HS_DB[[#This Row],[Risk Exposure - USD]],HS_DB[Risk Exposure - USD],0)</f>
        <v>241</v>
      </c>
      <c r="AT310" s="8" t="str">
        <f>IF(HS_DB[[#This Row],[Risk Exposure Rank]]&lt;=10,"High",
 IF(HS_DB[[#This Row],[Risk Exposure Rank]]&lt;=30,"Medium",
 "Low"))</f>
        <v>Low</v>
      </c>
      <c r="AU310" s="8" t="str">
        <f>IF(HS_DB[[#This Row],[Risk Exposure Rank]]&lt;=5,"Immediate Action",
 IF(HS_DB[[#This Row],[Risk Exposure Rank]]&lt;=15,"Monitor Closely",
 "Routine Control"))</f>
        <v>Routine Control</v>
      </c>
      <c r="AV310" s="8">
        <f>SUMIFS(HS_DB[Trade Value - USD],HS_DB[HS Code],HS_DB[[#This Row],[HS Code]])</f>
        <v>11733206</v>
      </c>
      <c r="AW310" s="6">
        <f>HS_DB[[#This Row],[Annual Spend - USD]]/HS_DB[[#This Row],[Total Market Size - USD]]</f>
        <v>1</v>
      </c>
      <c r="AX310" s="6" cm="1">
        <f t="array" ref="AX310">COUNTA(_xlfn.UNIQUE(_xlfn._xlws.FILTER(HS_DB[Partner],HS_DB[HS Code]=HS_DB[[#This Row],[HS Code]])))</f>
        <v>1</v>
      </c>
      <c r="AY310" s="8" t="str">
        <f>IF(HS_DB[[#This Row],[Competition Intensity]]&lt;=2,"Highly Concentrated",
 IF(HS_DB[[#This Row],[Competition Intensity]]&lt;=5,"Moderate",
 "Highly Competitive"))</f>
        <v>Highly Concentrated</v>
      </c>
      <c r="AZ310" s="8">
        <f>HS_DB[[#This Row],[Total Market Size - USD]]
*
(1+IFERROR(#REF!,0))
/
HS_DB[[#This Row],[Competition Intensity]]</f>
        <v>11733206</v>
      </c>
      <c r="BA310" s="8" t="str">
        <f>IF(HS_DB[[#This Row],[Commercial Opportunity Score]]&gt;=PERCENTILE(HS_DB[Commercial Opportunity Score],0.9),"High Opportunity",
 IF(HS_DB[[#This Row],[Commercial Opportunity Score]]&gt;=PERCENTILE(HS_DB[Commercial Opportunity Score],0.6),"Medium Opportunity",
 "Routine Market"))</f>
        <v>Routine Market</v>
      </c>
      <c r="BB310" s="3" t="str">
        <f>IF(AND(HS_DB[[#This Row],[Product Rank]]&gt;0,HS_DB[[#This Row],[Product Rank]]&lt;=10),"Yes","No")</f>
        <v>No</v>
      </c>
      <c r="BC310" s="3" t="str">
        <f>IF(AND(HS_DB[[#This Row],[Origin Rank]]&gt;0,HS_DB[[#This Row],[Origin Rank]]&lt;=10),"Yes","No")</f>
        <v>No</v>
      </c>
    </row>
    <row r="311" spans="2:55" x14ac:dyDescent="0.3">
      <c r="B311" s="2">
        <f>HS_DB[[#This Row],[Commodity Code]]</f>
        <v>170290</v>
      </c>
      <c r="C311" s="2">
        <f>IFERROR(INDEX(HS_MD!C:C,MATCH(B311,HS_MD!B:B,0),1),"")</f>
        <v>25</v>
      </c>
      <c r="D311" s="17" t="str">
        <f>IFERROR(INDEX(HS_MD!D:D,MATCH(B311,HS_MD!B:B,0),1),"")</f>
        <v>Other sugars incl. caramel</v>
      </c>
      <c r="E311" s="17" t="str">
        <f>IFERROR(INDEX(HS_MD!E:E,MATCH(B311,HS_MD!B:B,0),1),"")</f>
        <v>Caramel Color</v>
      </c>
      <c r="F311" s="17" t="str">
        <f>IFERROR(INDEX(HS_MD!F:F,MATCH(B311,HS_MD!B:B,0),1),"")</f>
        <v>Food Ingredients</v>
      </c>
      <c r="G311" s="17" t="str">
        <f>IFERROR(INDEX(HS_MD!G:G,MATCH(B311,HS_MD!B:B,0),1),"")</f>
        <v>Colors</v>
      </c>
      <c r="H311" s="17" t="str">
        <f>IFERROR(INDEX(HS_MD!H:H,MATCH(B311,HS_MD!B:B,0),1),"")</f>
        <v>Caramel Color (Class I-IV)</v>
      </c>
      <c r="I311" s="17" t="str">
        <f>IFERROR(INDEX(HS_MD!I:I,MATCH(B311,HS_MD!B:B,0),1),"")</f>
        <v>Beverages / Sauces</v>
      </c>
      <c r="J311" s="17">
        <f>IFERROR(INDEX(Heat_Map[Index],MATCH(HS_DB[[#This Row],[Reporter]],Heat_Map[Global],0),1),"")</f>
        <v>179</v>
      </c>
      <c r="K311" s="17" t="str">
        <f>IF(AND(HS_DB[[#This Row],[Origin Rank]]&gt;1,HS_DB[[#This Row],[Origin Rank]]&lt;=10),"Yes","No")</f>
        <v>Yes</v>
      </c>
      <c r="L311" s="2">
        <v>2024</v>
      </c>
      <c r="M311" s="2" t="s">
        <v>57</v>
      </c>
      <c r="N311" s="2" t="s">
        <v>35</v>
      </c>
      <c r="O311" s="2" t="s">
        <v>22</v>
      </c>
      <c r="P311" s="2" t="s">
        <v>23</v>
      </c>
      <c r="Q311" s="2" t="s">
        <v>24</v>
      </c>
      <c r="R311" s="2" t="s">
        <v>25</v>
      </c>
      <c r="S311" s="2">
        <v>170290</v>
      </c>
      <c r="T311" s="3">
        <v>80850</v>
      </c>
      <c r="U311" s="3">
        <v>110000</v>
      </c>
      <c r="V311" s="3">
        <v>0</v>
      </c>
      <c r="W311" s="3">
        <v>110000</v>
      </c>
      <c r="X311" s="3" t="s">
        <v>58</v>
      </c>
      <c r="Y311" s="3">
        <v>110000</v>
      </c>
      <c r="Z311" s="3" t="s">
        <v>58</v>
      </c>
      <c r="AA311" s="6">
        <f>SUMIFS(HS_DB[Trade Value - USD],HS_DB[Reporter],HS_DB[[#This Row],[Reporter]])/SUM(HS_DB[Trade Value - USD])</f>
        <v>7.6648679233989533E-2</v>
      </c>
      <c r="AB311" s="8" cm="1">
        <f t="array" ref="AB311">SUMPRODUCT(
(HS_DB[Reporter]=HS_DB[[#This Row],[Reporter]])*
(HS_DB[Trade Value - USD]&gt;HS_DB[[#This Row],[Trade Value - USD]])
)+1</f>
        <v>6</v>
      </c>
      <c r="AC311" s="8" t="str">
        <f>IFERROR(IF(INDEX(Heat_Map[Crisis Impact %],MATCH(HS_DB[[#This Row],[Reporter]],Heat_Map[Global],0),1)&gt;0,"Yes","No"),"No")</f>
        <v>Yes</v>
      </c>
      <c r="AD311" s="6">
        <f>IFERROR(INDEX(Heat_Map[Crisis Impact %],MATCH(HS_DB[[#This Row],[Reporter]],Heat_Map[Global],0),1),0)</f>
        <v>0.44999999999999996</v>
      </c>
      <c r="AE311" s="8">
        <f>HS_DB[[#This Row],[Crisis Impact%]]*HS_DB[[#This Row],[Trade Value - USD]]</f>
        <v>36382.5</v>
      </c>
      <c r="AF311" s="8">
        <f>HS_DB[[#This Row],[Crisis Impact%]]*HS_DB[[#This Row],[Net Weight -KG]]</f>
        <v>49499.999999999993</v>
      </c>
      <c r="AG311" s="6">
        <f>SUMIFS(HS_DB[Trade Value - USD],HS_DB[Products],HS_DB[[#This Row],[Products]])/SUM(HS_DB[Trade Value - USD])</f>
        <v>6.2244850394839587E-3</v>
      </c>
      <c r="AH311" s="8">
        <f>_xlfn.RANK.EQ(HS_DB[[#This Row],[Trade Value - USD]], HS_DB[Trade Value - USD], 0)
 + COUNTIFS(HS_DB[Trade Value - USD],HS_DB[[#This Row],[Trade Value - USD]],
            HS_DB[HS Code],"&lt;"&amp;HS_DB[[#This Row],[HS Code]])</f>
        <v>292</v>
      </c>
      <c r="AI311" s="9">
        <f>IFERROR(HS_DB[[#This Row],[Trade Value - USD]]/HS_DB[[#This Row],[Net Weight -KG]],0)</f>
        <v>0.73499999999999999</v>
      </c>
      <c r="AJ311" s="17" cm="1">
        <f t="array" ref="AJ311">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11" s="17" t="str">
        <f>IF(HS_DB[[#This Row],[HS Code Risk Score]]&gt;=40,"High",
 IF(HS_DB[[#This Row],[HS Code Risk Score]]&gt;=25,"Medium","Low"))</f>
        <v>Medium</v>
      </c>
      <c r="AL311" s="17" t="str">
        <f>IF(RANK(HS_DB[[#This Row],[HS Code Risk Score]],HS_DB[HS Code Risk Score])&lt;=10,"Yes","No")</f>
        <v>No</v>
      </c>
      <c r="AM311" s="8">
        <f>SUMIFS(HS_DB[Net Weight -KG],HS_DB[HS Code],HS_DB[[#This Row],[HS Code]])</f>
        <v>12365742.6</v>
      </c>
      <c r="AN311" s="8">
        <f>SUMIFS(HS_DB[Trade Value - USD],HS_DB[HS Code],HS_DB[[#This Row],[HS Code]])</f>
        <v>11733206</v>
      </c>
      <c r="AO311" s="6">
        <f>_xlfn.MAXIFS(HS_DB[Origin Share%],HS_DB[HS Code],HS_DB[[#This Row],[HS Code]])</f>
        <v>0.25769345655074266</v>
      </c>
      <c r="AP311" s="8" cm="1">
        <f t="array" ref="AP311">_xlfn.LET(
_xlpm.hs,HS_DB[[#This Row],[HS Code]],
COUNTA(_xlfn.UNIQUE(_xlfn._xlws.FILTER(HS_DB[Reporter],HS_DB[HS Code]=_xlpm.hs)))
)</f>
        <v>20</v>
      </c>
      <c r="AQ311" s="17" t="str">
        <f>IF(HS_DB[[#This Row],[Origin Count]]=1,"Single Source","Multiple Sources")</f>
        <v>Multiple Sources</v>
      </c>
      <c r="AR311" s="8">
        <f>HS_DB[[#This Row],[Annual Spend - USD]]*(HS_DB[[#This Row],[HS Code Risk Score]]/100)</f>
        <v>3989290.0400000005</v>
      </c>
      <c r="AS311" s="8">
        <f>RANK(HS_DB[[#This Row],[Risk Exposure - USD]],HS_DB[Risk Exposure - USD],0)</f>
        <v>241</v>
      </c>
      <c r="AT311" s="8" t="str">
        <f>IF(HS_DB[[#This Row],[Risk Exposure Rank]]&lt;=10,"High",
 IF(HS_DB[[#This Row],[Risk Exposure Rank]]&lt;=30,"Medium",
 "Low"))</f>
        <v>Low</v>
      </c>
      <c r="AU311" s="8" t="str">
        <f>IF(HS_DB[[#This Row],[Risk Exposure Rank]]&lt;=5,"Immediate Action",
 IF(HS_DB[[#This Row],[Risk Exposure Rank]]&lt;=15,"Monitor Closely",
 "Routine Control"))</f>
        <v>Routine Control</v>
      </c>
      <c r="AV311" s="8">
        <f>SUMIFS(HS_DB[Trade Value - USD],HS_DB[HS Code],HS_DB[[#This Row],[HS Code]])</f>
        <v>11733206</v>
      </c>
      <c r="AW311" s="6">
        <f>HS_DB[[#This Row],[Annual Spend - USD]]/HS_DB[[#This Row],[Total Market Size - USD]]</f>
        <v>1</v>
      </c>
      <c r="AX311" s="6" cm="1">
        <f t="array" ref="AX311">COUNTA(_xlfn.UNIQUE(_xlfn._xlws.FILTER(HS_DB[Partner],HS_DB[HS Code]=HS_DB[[#This Row],[HS Code]])))</f>
        <v>1</v>
      </c>
      <c r="AY311" s="8" t="str">
        <f>IF(HS_DB[[#This Row],[Competition Intensity]]&lt;=2,"Highly Concentrated",
 IF(HS_DB[[#This Row],[Competition Intensity]]&lt;=5,"Moderate",
 "Highly Competitive"))</f>
        <v>Highly Concentrated</v>
      </c>
      <c r="AZ311" s="8">
        <f>HS_DB[[#This Row],[Total Market Size - USD]]
*
(1+IFERROR(#REF!,0))
/
HS_DB[[#This Row],[Competition Intensity]]</f>
        <v>11733206</v>
      </c>
      <c r="BA311" s="8" t="str">
        <f>IF(HS_DB[[#This Row],[Commercial Opportunity Score]]&gt;=PERCENTILE(HS_DB[Commercial Opportunity Score],0.9),"High Opportunity",
 IF(HS_DB[[#This Row],[Commercial Opportunity Score]]&gt;=PERCENTILE(HS_DB[Commercial Opportunity Score],0.6),"Medium Opportunity",
 "Routine Market"))</f>
        <v>Routine Market</v>
      </c>
      <c r="BB311" s="3" t="str">
        <f>IF(AND(HS_DB[[#This Row],[Product Rank]]&gt;0,HS_DB[[#This Row],[Product Rank]]&lt;=10),"Yes","No")</f>
        <v>No</v>
      </c>
      <c r="BC311" s="3" t="str">
        <f>IF(AND(HS_DB[[#This Row],[Origin Rank]]&gt;0,HS_DB[[#This Row],[Origin Rank]]&lt;=10),"Yes","No")</f>
        <v>Yes</v>
      </c>
    </row>
    <row r="312" spans="2:55" x14ac:dyDescent="0.3">
      <c r="B312" s="2">
        <f>HS_DB[[#This Row],[Commodity Code]]</f>
        <v>170290</v>
      </c>
      <c r="C312" s="2">
        <f>IFERROR(INDEX(HS_MD!C:C,MATCH(B312,HS_MD!B:B,0),1),"")</f>
        <v>25</v>
      </c>
      <c r="D312" s="17" t="str">
        <f>IFERROR(INDEX(HS_MD!D:D,MATCH(B312,HS_MD!B:B,0),1),"")</f>
        <v>Other sugars incl. caramel</v>
      </c>
      <c r="E312" s="17" t="str">
        <f>IFERROR(INDEX(HS_MD!E:E,MATCH(B312,HS_MD!B:B,0),1),"")</f>
        <v>Caramel Color</v>
      </c>
      <c r="F312" s="17" t="str">
        <f>IFERROR(INDEX(HS_MD!F:F,MATCH(B312,HS_MD!B:B,0),1),"")</f>
        <v>Food Ingredients</v>
      </c>
      <c r="G312" s="17" t="str">
        <f>IFERROR(INDEX(HS_MD!G:G,MATCH(B312,HS_MD!B:B,0),1),"")</f>
        <v>Colors</v>
      </c>
      <c r="H312" s="17" t="str">
        <f>IFERROR(INDEX(HS_MD!H:H,MATCH(B312,HS_MD!B:B,0),1),"")</f>
        <v>Caramel Color (Class I-IV)</v>
      </c>
      <c r="I312" s="17" t="str">
        <f>IFERROR(INDEX(HS_MD!I:I,MATCH(B312,HS_MD!B:B,0),1),"")</f>
        <v>Beverages / Sauces</v>
      </c>
      <c r="J312" s="17">
        <f>IFERROR(INDEX(Heat_Map[Index],MATCH(HS_DB[[#This Row],[Reporter]],Heat_Map[Global],0),1),"")</f>
        <v>181</v>
      </c>
      <c r="K312" s="17" t="str">
        <f>IF(AND(HS_DB[[#This Row],[Origin Rank]]&gt;1,HS_DB[[#This Row],[Origin Rank]]&lt;=10),"Yes","No")</f>
        <v>No</v>
      </c>
      <c r="L312" s="2">
        <v>2024</v>
      </c>
      <c r="M312" s="2" t="s">
        <v>57</v>
      </c>
      <c r="N312" s="2" t="s">
        <v>36</v>
      </c>
      <c r="O312" s="2" t="s">
        <v>22</v>
      </c>
      <c r="P312" s="2" t="s">
        <v>23</v>
      </c>
      <c r="Q312" s="2" t="s">
        <v>24</v>
      </c>
      <c r="R312" s="2" t="s">
        <v>25</v>
      </c>
      <c r="S312" s="2">
        <v>170290</v>
      </c>
      <c r="T312" s="3">
        <v>758891</v>
      </c>
      <c r="U312" s="3">
        <v>307382</v>
      </c>
      <c r="V312" s="3">
        <v>0</v>
      </c>
      <c r="W312" s="3">
        <v>307382</v>
      </c>
      <c r="X312" s="3" t="s">
        <v>58</v>
      </c>
      <c r="Y312" s="3">
        <v>307382</v>
      </c>
      <c r="Z312" s="3" t="s">
        <v>58</v>
      </c>
      <c r="AA312" s="6">
        <f>SUMIFS(HS_DB[Trade Value - USD],HS_DB[Reporter],HS_DB[[#This Row],[Reporter]])/SUM(HS_DB[Trade Value - USD])</f>
        <v>1.3104801671892474E-3</v>
      </c>
      <c r="AB312" s="8" cm="1">
        <f t="array" ref="AB312">SUMPRODUCT(
(HS_DB[Reporter]=HS_DB[[#This Row],[Reporter]])*
(HS_DB[Trade Value - USD]&gt;HS_DB[[#This Row],[Trade Value - USD]])
)+1</f>
        <v>1</v>
      </c>
      <c r="AC312" s="8" t="str">
        <f>IFERROR(IF(INDEX(Heat_Map[Crisis Impact %],MATCH(HS_DB[[#This Row],[Reporter]],Heat_Map[Global],0),1)&gt;0,"Yes","No"),"No")</f>
        <v>No</v>
      </c>
      <c r="AD312" s="6">
        <f>IFERROR(INDEX(Heat_Map[Crisis Impact %],MATCH(HS_DB[[#This Row],[Reporter]],Heat_Map[Global],0),1),0)</f>
        <v>0</v>
      </c>
      <c r="AE312" s="8">
        <f>HS_DB[[#This Row],[Crisis Impact%]]*HS_DB[[#This Row],[Trade Value - USD]]</f>
        <v>0</v>
      </c>
      <c r="AF312" s="8">
        <f>HS_DB[[#This Row],[Crisis Impact%]]*HS_DB[[#This Row],[Net Weight -KG]]</f>
        <v>0</v>
      </c>
      <c r="AG312" s="6">
        <f>SUMIFS(HS_DB[Trade Value - USD],HS_DB[Products],HS_DB[[#This Row],[Products]])/SUM(HS_DB[Trade Value - USD])</f>
        <v>6.2244850394839587E-3</v>
      </c>
      <c r="AH312" s="8">
        <f>_xlfn.RANK.EQ(HS_DB[[#This Row],[Trade Value - USD]], HS_DB[Trade Value - USD], 0)
 + COUNTIFS(HS_DB[Trade Value - USD],HS_DB[[#This Row],[Trade Value - USD]],
            HS_DB[HS Code],"&lt;"&amp;HS_DB[[#This Row],[HS Code]])</f>
        <v>116</v>
      </c>
      <c r="AI312" s="9">
        <f>IFERROR(HS_DB[[#This Row],[Trade Value - USD]]/HS_DB[[#This Row],[Net Weight -KG]],0)</f>
        <v>2.4688856211489285</v>
      </c>
      <c r="AJ312" s="17" cm="1">
        <f t="array" ref="AJ312">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12" s="17" t="str">
        <f>IF(HS_DB[[#This Row],[HS Code Risk Score]]&gt;=40,"High",
 IF(HS_DB[[#This Row],[HS Code Risk Score]]&gt;=25,"Medium","Low"))</f>
        <v>Medium</v>
      </c>
      <c r="AL312" s="17" t="str">
        <f>IF(RANK(HS_DB[[#This Row],[HS Code Risk Score]],HS_DB[HS Code Risk Score])&lt;=10,"Yes","No")</f>
        <v>No</v>
      </c>
      <c r="AM312" s="8">
        <f>SUMIFS(HS_DB[Net Weight -KG],HS_DB[HS Code],HS_DB[[#This Row],[HS Code]])</f>
        <v>12365742.6</v>
      </c>
      <c r="AN312" s="8">
        <f>SUMIFS(HS_DB[Trade Value - USD],HS_DB[HS Code],HS_DB[[#This Row],[HS Code]])</f>
        <v>11733206</v>
      </c>
      <c r="AO312" s="6">
        <f>_xlfn.MAXIFS(HS_DB[Origin Share%],HS_DB[HS Code],HS_DB[[#This Row],[HS Code]])</f>
        <v>0.25769345655074266</v>
      </c>
      <c r="AP312" s="8" cm="1">
        <f t="array" ref="AP312">_xlfn.LET(
_xlpm.hs,HS_DB[[#This Row],[HS Code]],
COUNTA(_xlfn.UNIQUE(_xlfn._xlws.FILTER(HS_DB[Reporter],HS_DB[HS Code]=_xlpm.hs)))
)</f>
        <v>20</v>
      </c>
      <c r="AQ312" s="17" t="str">
        <f>IF(HS_DB[[#This Row],[Origin Count]]=1,"Single Source","Multiple Sources")</f>
        <v>Multiple Sources</v>
      </c>
      <c r="AR312" s="8">
        <f>HS_DB[[#This Row],[Annual Spend - USD]]*(HS_DB[[#This Row],[HS Code Risk Score]]/100)</f>
        <v>3989290.0400000005</v>
      </c>
      <c r="AS312" s="8">
        <f>RANK(HS_DB[[#This Row],[Risk Exposure - USD]],HS_DB[Risk Exposure - USD],0)</f>
        <v>241</v>
      </c>
      <c r="AT312" s="8" t="str">
        <f>IF(HS_DB[[#This Row],[Risk Exposure Rank]]&lt;=10,"High",
 IF(HS_DB[[#This Row],[Risk Exposure Rank]]&lt;=30,"Medium",
 "Low"))</f>
        <v>Low</v>
      </c>
      <c r="AU312" s="8" t="str">
        <f>IF(HS_DB[[#This Row],[Risk Exposure Rank]]&lt;=5,"Immediate Action",
 IF(HS_DB[[#This Row],[Risk Exposure Rank]]&lt;=15,"Monitor Closely",
 "Routine Control"))</f>
        <v>Routine Control</v>
      </c>
      <c r="AV312" s="8">
        <f>SUMIFS(HS_DB[Trade Value - USD],HS_DB[HS Code],HS_DB[[#This Row],[HS Code]])</f>
        <v>11733206</v>
      </c>
      <c r="AW312" s="6">
        <f>HS_DB[[#This Row],[Annual Spend - USD]]/HS_DB[[#This Row],[Total Market Size - USD]]</f>
        <v>1</v>
      </c>
      <c r="AX312" s="6" cm="1">
        <f t="array" ref="AX312">COUNTA(_xlfn.UNIQUE(_xlfn._xlws.FILTER(HS_DB[Partner],HS_DB[HS Code]=HS_DB[[#This Row],[HS Code]])))</f>
        <v>1</v>
      </c>
      <c r="AY312" s="8" t="str">
        <f>IF(HS_DB[[#This Row],[Competition Intensity]]&lt;=2,"Highly Concentrated",
 IF(HS_DB[[#This Row],[Competition Intensity]]&lt;=5,"Moderate",
 "Highly Competitive"))</f>
        <v>Highly Concentrated</v>
      </c>
      <c r="AZ312" s="8">
        <f>HS_DB[[#This Row],[Total Market Size - USD]]
*
(1+IFERROR(#REF!,0))
/
HS_DB[[#This Row],[Competition Intensity]]</f>
        <v>11733206</v>
      </c>
      <c r="BA312" s="8" t="str">
        <f>IF(HS_DB[[#This Row],[Commercial Opportunity Score]]&gt;=PERCENTILE(HS_DB[Commercial Opportunity Score],0.9),"High Opportunity",
 IF(HS_DB[[#This Row],[Commercial Opportunity Score]]&gt;=PERCENTILE(HS_DB[Commercial Opportunity Score],0.6),"Medium Opportunity",
 "Routine Market"))</f>
        <v>Routine Market</v>
      </c>
      <c r="BB312" s="3" t="str">
        <f>IF(AND(HS_DB[[#This Row],[Product Rank]]&gt;0,HS_DB[[#This Row],[Product Rank]]&lt;=10),"Yes","No")</f>
        <v>No</v>
      </c>
      <c r="BC312" s="3" t="str">
        <f>IF(AND(HS_DB[[#This Row],[Origin Rank]]&gt;0,HS_DB[[#This Row],[Origin Rank]]&lt;=10),"Yes","No")</f>
        <v>Yes</v>
      </c>
    </row>
    <row r="313" spans="2:55" x14ac:dyDescent="0.3">
      <c r="B313" s="2">
        <f>HS_DB[[#This Row],[Commodity Code]]</f>
        <v>170290</v>
      </c>
      <c r="C313" s="2">
        <f>IFERROR(INDEX(HS_MD!C:C,MATCH(B313,HS_MD!B:B,0),1),"")</f>
        <v>25</v>
      </c>
      <c r="D313" s="17" t="str">
        <f>IFERROR(INDEX(HS_MD!D:D,MATCH(B313,HS_MD!B:B,0),1),"")</f>
        <v>Other sugars incl. caramel</v>
      </c>
      <c r="E313" s="17" t="str">
        <f>IFERROR(INDEX(HS_MD!E:E,MATCH(B313,HS_MD!B:B,0),1),"")</f>
        <v>Caramel Color</v>
      </c>
      <c r="F313" s="17" t="str">
        <f>IFERROR(INDEX(HS_MD!F:F,MATCH(B313,HS_MD!B:B,0),1),"")</f>
        <v>Food Ingredients</v>
      </c>
      <c r="G313" s="17" t="str">
        <f>IFERROR(INDEX(HS_MD!G:G,MATCH(B313,HS_MD!B:B,0),1),"")</f>
        <v>Colors</v>
      </c>
      <c r="H313" s="17" t="str">
        <f>IFERROR(INDEX(HS_MD!H:H,MATCH(B313,HS_MD!B:B,0),1),"")</f>
        <v>Caramel Color (Class I-IV)</v>
      </c>
      <c r="I313" s="17" t="str">
        <f>IFERROR(INDEX(HS_MD!I:I,MATCH(B313,HS_MD!B:B,0),1),"")</f>
        <v>Beverages / Sauces</v>
      </c>
      <c r="J313" s="17">
        <f>IFERROR(INDEX(Heat_Map[Index],MATCH(HS_DB[[#This Row],[Reporter]],Heat_Map[Global],0),1),"")</f>
        <v>182</v>
      </c>
      <c r="K313" s="17" t="str">
        <f>IF(AND(HS_DB[[#This Row],[Origin Rank]]&gt;1,HS_DB[[#This Row],[Origin Rank]]&lt;=10),"Yes","No")</f>
        <v>No</v>
      </c>
      <c r="L313" s="2">
        <v>2024</v>
      </c>
      <c r="M313" s="2" t="s">
        <v>57</v>
      </c>
      <c r="N313" s="2" t="s">
        <v>56</v>
      </c>
      <c r="O313" s="2" t="s">
        <v>22</v>
      </c>
      <c r="P313" s="2" t="s">
        <v>23</v>
      </c>
      <c r="Q313" s="2" t="s">
        <v>24</v>
      </c>
      <c r="R313" s="2" t="s">
        <v>25</v>
      </c>
      <c r="S313" s="2">
        <v>170290</v>
      </c>
      <c r="T313" s="3">
        <v>17016</v>
      </c>
      <c r="U313" s="3">
        <v>3062</v>
      </c>
      <c r="V313" s="3">
        <v>0</v>
      </c>
      <c r="W313" s="3">
        <v>3062</v>
      </c>
      <c r="X313" s="3" t="s">
        <v>58</v>
      </c>
      <c r="Y313" s="3">
        <v>3062</v>
      </c>
      <c r="Z313" s="3" t="s">
        <v>58</v>
      </c>
      <c r="AA313" s="6">
        <f>SUMIFS(HS_DB[Trade Value - USD],HS_DB[Reporter],HS_DB[[#This Row],[Reporter]])/SUM(HS_DB[Trade Value - USD])</f>
        <v>9.425427433633813E-3</v>
      </c>
      <c r="AB313" s="8" cm="1">
        <f t="array" ref="AB313">SUMPRODUCT(
(HS_DB[Reporter]=HS_DB[[#This Row],[Reporter]])*
(HS_DB[Trade Value - USD]&gt;HS_DB[[#This Row],[Trade Value - USD]])
)+1</f>
        <v>21</v>
      </c>
      <c r="AC313" s="8" t="str">
        <f>IFERROR(IF(INDEX(Heat_Map[Crisis Impact %],MATCH(HS_DB[[#This Row],[Reporter]],Heat_Map[Global],0),1)&gt;0,"Yes","No"),"No")</f>
        <v>Yes</v>
      </c>
      <c r="AD313" s="6">
        <f>IFERROR(INDEX(Heat_Map[Crisis Impact %],MATCH(HS_DB[[#This Row],[Reporter]],Heat_Map[Global],0),1),0)</f>
        <v>4.0000000000000008E-2</v>
      </c>
      <c r="AE313" s="8">
        <f>HS_DB[[#This Row],[Crisis Impact%]]*HS_DB[[#This Row],[Trade Value - USD]]</f>
        <v>680.6400000000001</v>
      </c>
      <c r="AF313" s="8">
        <f>HS_DB[[#This Row],[Crisis Impact%]]*HS_DB[[#This Row],[Net Weight -KG]]</f>
        <v>122.48000000000002</v>
      </c>
      <c r="AG313" s="6">
        <f>SUMIFS(HS_DB[Trade Value - USD],HS_DB[Products],HS_DB[[#This Row],[Products]])/SUM(HS_DB[Trade Value - USD])</f>
        <v>6.2244850394839587E-3</v>
      </c>
      <c r="AH313" s="8">
        <f>_xlfn.RANK.EQ(HS_DB[[#This Row],[Trade Value - USD]], HS_DB[Trade Value - USD], 0)
 + COUNTIFS(HS_DB[Trade Value - USD],HS_DB[[#This Row],[Trade Value - USD]],
            HS_DB[HS Code],"&lt;"&amp;HS_DB[[#This Row],[HS Code]])</f>
        <v>388</v>
      </c>
      <c r="AI313" s="9">
        <f>IFERROR(HS_DB[[#This Row],[Trade Value - USD]]/HS_DB[[#This Row],[Net Weight -KG]],0)</f>
        <v>5.5571521881123447</v>
      </c>
      <c r="AJ313" s="17" cm="1">
        <f t="array" ref="AJ313">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13" s="17" t="str">
        <f>IF(HS_DB[[#This Row],[HS Code Risk Score]]&gt;=40,"High",
 IF(HS_DB[[#This Row],[HS Code Risk Score]]&gt;=25,"Medium","Low"))</f>
        <v>Medium</v>
      </c>
      <c r="AL313" s="17" t="str">
        <f>IF(RANK(HS_DB[[#This Row],[HS Code Risk Score]],HS_DB[HS Code Risk Score])&lt;=10,"Yes","No")</f>
        <v>No</v>
      </c>
      <c r="AM313" s="8">
        <f>SUMIFS(HS_DB[Net Weight -KG],HS_DB[HS Code],HS_DB[[#This Row],[HS Code]])</f>
        <v>12365742.6</v>
      </c>
      <c r="AN313" s="8">
        <f>SUMIFS(HS_DB[Trade Value - USD],HS_DB[HS Code],HS_DB[[#This Row],[HS Code]])</f>
        <v>11733206</v>
      </c>
      <c r="AO313" s="6">
        <f>_xlfn.MAXIFS(HS_DB[Origin Share%],HS_DB[HS Code],HS_DB[[#This Row],[HS Code]])</f>
        <v>0.25769345655074266</v>
      </c>
      <c r="AP313" s="8" cm="1">
        <f t="array" ref="AP313">_xlfn.LET(
_xlpm.hs,HS_DB[[#This Row],[HS Code]],
COUNTA(_xlfn.UNIQUE(_xlfn._xlws.FILTER(HS_DB[Reporter],HS_DB[HS Code]=_xlpm.hs)))
)</f>
        <v>20</v>
      </c>
      <c r="AQ313" s="17" t="str">
        <f>IF(HS_DB[[#This Row],[Origin Count]]=1,"Single Source","Multiple Sources")</f>
        <v>Multiple Sources</v>
      </c>
      <c r="AR313" s="8">
        <f>HS_DB[[#This Row],[Annual Spend - USD]]*(HS_DB[[#This Row],[HS Code Risk Score]]/100)</f>
        <v>3989290.0400000005</v>
      </c>
      <c r="AS313" s="8">
        <f>RANK(HS_DB[[#This Row],[Risk Exposure - USD]],HS_DB[Risk Exposure - USD],0)</f>
        <v>241</v>
      </c>
      <c r="AT313" s="8" t="str">
        <f>IF(HS_DB[[#This Row],[Risk Exposure Rank]]&lt;=10,"High",
 IF(HS_DB[[#This Row],[Risk Exposure Rank]]&lt;=30,"Medium",
 "Low"))</f>
        <v>Low</v>
      </c>
      <c r="AU313" s="8" t="str">
        <f>IF(HS_DB[[#This Row],[Risk Exposure Rank]]&lt;=5,"Immediate Action",
 IF(HS_DB[[#This Row],[Risk Exposure Rank]]&lt;=15,"Monitor Closely",
 "Routine Control"))</f>
        <v>Routine Control</v>
      </c>
      <c r="AV313" s="8">
        <f>SUMIFS(HS_DB[Trade Value - USD],HS_DB[HS Code],HS_DB[[#This Row],[HS Code]])</f>
        <v>11733206</v>
      </c>
      <c r="AW313" s="6">
        <f>HS_DB[[#This Row],[Annual Spend - USD]]/HS_DB[[#This Row],[Total Market Size - USD]]</f>
        <v>1</v>
      </c>
      <c r="AX313" s="6" cm="1">
        <f t="array" ref="AX313">COUNTA(_xlfn.UNIQUE(_xlfn._xlws.FILTER(HS_DB[Partner],HS_DB[HS Code]=HS_DB[[#This Row],[HS Code]])))</f>
        <v>1</v>
      </c>
      <c r="AY313" s="8" t="str">
        <f>IF(HS_DB[[#This Row],[Competition Intensity]]&lt;=2,"Highly Concentrated",
 IF(HS_DB[[#This Row],[Competition Intensity]]&lt;=5,"Moderate",
 "Highly Competitive"))</f>
        <v>Highly Concentrated</v>
      </c>
      <c r="AZ313" s="8">
        <f>HS_DB[[#This Row],[Total Market Size - USD]]
*
(1+IFERROR(#REF!,0))
/
HS_DB[[#This Row],[Competition Intensity]]</f>
        <v>11733206</v>
      </c>
      <c r="BA313" s="8" t="str">
        <f>IF(HS_DB[[#This Row],[Commercial Opportunity Score]]&gt;=PERCENTILE(HS_DB[Commercial Opportunity Score],0.9),"High Opportunity",
 IF(HS_DB[[#This Row],[Commercial Opportunity Score]]&gt;=PERCENTILE(HS_DB[Commercial Opportunity Score],0.6),"Medium Opportunity",
 "Routine Market"))</f>
        <v>Routine Market</v>
      </c>
      <c r="BB313" s="3" t="str">
        <f>IF(AND(HS_DB[[#This Row],[Product Rank]]&gt;0,HS_DB[[#This Row],[Product Rank]]&lt;=10),"Yes","No")</f>
        <v>No</v>
      </c>
      <c r="BC313" s="3" t="str">
        <f>IF(AND(HS_DB[[#This Row],[Origin Rank]]&gt;0,HS_DB[[#This Row],[Origin Rank]]&lt;=10),"Yes","No")</f>
        <v>No</v>
      </c>
    </row>
    <row r="314" spans="2:55" x14ac:dyDescent="0.3">
      <c r="B314" s="2">
        <f>HS_DB[[#This Row],[Commodity Code]]</f>
        <v>320419</v>
      </c>
      <c r="C314" s="2">
        <f>IFERROR(INDEX(HS_MD!C:C,MATCH(B314,HS_MD!B:B,0),1),"")</f>
        <v>26</v>
      </c>
      <c r="D314" s="17" t="str">
        <f>IFERROR(INDEX(HS_MD!D:D,MATCH(B314,HS_MD!B:B,0),1),"")</f>
        <v>Synthetic organic coloring matter</v>
      </c>
      <c r="E314" s="17" t="str">
        <f>IFERROR(INDEX(HS_MD!E:E,MATCH(B314,HS_MD!B:B,0),1),"")</f>
        <v>Beta Carotene</v>
      </c>
      <c r="F314" s="17" t="str">
        <f>IFERROR(INDEX(HS_MD!F:F,MATCH(B314,HS_MD!B:B,0),1),"")</f>
        <v>Food Ingredients</v>
      </c>
      <c r="G314" s="17" t="str">
        <f>IFERROR(INDEX(HS_MD!G:G,MATCH(B314,HS_MD!B:B,0),1),"")</f>
        <v>Colors</v>
      </c>
      <c r="H314" s="17" t="str">
        <f>IFERROR(INDEX(HS_MD!H:H,MATCH(B314,HS_MD!B:B,0),1),"")</f>
        <v>Synthetic / Nature-Identical Colors</v>
      </c>
      <c r="I314" s="17" t="str">
        <f>IFERROR(INDEX(HS_MD!I:I,MATCH(B314,HS_MD!B:B,0),1),"")</f>
        <v>Beverages / Dairy</v>
      </c>
      <c r="J314" s="17">
        <f>IFERROR(INDEX(Heat_Map[Index],MATCH(HS_DB[[#This Row],[Reporter]],Heat_Map[Global],0),1),"")</f>
        <v>17</v>
      </c>
      <c r="K314" s="17" t="str">
        <f>IF(AND(HS_DB[[#This Row],[Origin Rank]]&gt;1,HS_DB[[#This Row],[Origin Rank]]&lt;=10),"Yes","No")</f>
        <v>Yes</v>
      </c>
      <c r="L314" s="2">
        <v>2024</v>
      </c>
      <c r="M314" s="2" t="s">
        <v>57</v>
      </c>
      <c r="N314" s="2" t="s">
        <v>5</v>
      </c>
      <c r="O314" s="2" t="s">
        <v>22</v>
      </c>
      <c r="P314" s="2" t="s">
        <v>23</v>
      </c>
      <c r="Q314" s="2" t="s">
        <v>24</v>
      </c>
      <c r="R314" s="2" t="s">
        <v>25</v>
      </c>
      <c r="S314" s="2">
        <v>320419</v>
      </c>
      <c r="T314" s="3">
        <v>574786</v>
      </c>
      <c r="U314" s="3">
        <v>63854.1</v>
      </c>
      <c r="V314" s="3">
        <v>0</v>
      </c>
      <c r="W314" s="3">
        <v>63854</v>
      </c>
      <c r="X314" s="3" t="s">
        <v>58</v>
      </c>
      <c r="Y314" s="3">
        <v>63854</v>
      </c>
      <c r="Z314" s="3" t="s">
        <v>58</v>
      </c>
      <c r="AA314" s="6">
        <f>SUMIFS(HS_DB[Trade Value - USD],HS_DB[Reporter],HS_DB[[#This Row],[Reporter]])/SUM(HS_DB[Trade Value - USD])</f>
        <v>5.3992075088500962E-3</v>
      </c>
      <c r="AB314" s="8" cm="1">
        <f t="array" ref="AB314">SUMPRODUCT(
(HS_DB[Reporter]=HS_DB[[#This Row],[Reporter]])*
(HS_DB[Trade Value - USD]&gt;HS_DB[[#This Row],[Trade Value - USD]])
)+1</f>
        <v>5</v>
      </c>
      <c r="AC314" s="8" t="str">
        <f>IFERROR(IF(INDEX(Heat_Map[Crisis Impact %],MATCH(HS_DB[[#This Row],[Reporter]],Heat_Map[Global],0),1)&gt;0,"Yes","No"),"No")</f>
        <v>No</v>
      </c>
      <c r="AD314" s="6">
        <f>IFERROR(INDEX(Heat_Map[Crisis Impact %],MATCH(HS_DB[[#This Row],[Reporter]],Heat_Map[Global],0),1),0)</f>
        <v>0</v>
      </c>
      <c r="AE314" s="8">
        <f>HS_DB[[#This Row],[Crisis Impact%]]*HS_DB[[#This Row],[Trade Value - USD]]</f>
        <v>0</v>
      </c>
      <c r="AF314" s="8">
        <f>HS_DB[[#This Row],[Crisis Impact%]]*HS_DB[[#This Row],[Net Weight -KG]]</f>
        <v>0</v>
      </c>
      <c r="AG314" s="6">
        <f>SUMIFS(HS_DB[Trade Value - USD],HS_DB[Products],HS_DB[[#This Row],[Products]])/SUM(HS_DB[Trade Value - USD])</f>
        <v>7.9111635490056037E-3</v>
      </c>
      <c r="AH314" s="8">
        <f>_xlfn.RANK.EQ(HS_DB[[#This Row],[Trade Value - USD]], HS_DB[Trade Value - USD], 0)
 + COUNTIFS(HS_DB[Trade Value - USD],HS_DB[[#This Row],[Trade Value - USD]],
            HS_DB[HS Code],"&lt;"&amp;HS_DB[[#This Row],[HS Code]])</f>
        <v>138</v>
      </c>
      <c r="AI314" s="9">
        <f>IFERROR(HS_DB[[#This Row],[Trade Value - USD]]/HS_DB[[#This Row],[Net Weight -KG]],0)</f>
        <v>9.0015519755191917</v>
      </c>
      <c r="AJ314" s="17" cm="1">
        <f t="array" ref="AJ314">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14" s="17" t="str">
        <f>IF(HS_DB[[#This Row],[HS Code Risk Score]]&gt;=40,"High",
 IF(HS_DB[[#This Row],[HS Code Risk Score]]&gt;=25,"Medium","Low"))</f>
        <v>Medium</v>
      </c>
      <c r="AL314" s="17" t="str">
        <f>IF(RANK(HS_DB[[#This Row],[HS Code Risk Score]],HS_DB[HS Code Risk Score])&lt;=10,"Yes","No")</f>
        <v>No</v>
      </c>
      <c r="AM314" s="8">
        <f>SUMIFS(HS_DB[Net Weight -KG],HS_DB[HS Code],HS_DB[[#This Row],[HS Code]])</f>
        <v>6791623.4000000004</v>
      </c>
      <c r="AN314" s="8">
        <f>SUMIFS(HS_DB[Trade Value - USD],HS_DB[HS Code],HS_DB[[#This Row],[HS Code]])</f>
        <v>14912609</v>
      </c>
      <c r="AO314" s="6">
        <f>_xlfn.MAXIFS(HS_DB[Origin Share%],HS_DB[HS Code],HS_DB[[#This Row],[HS Code]])</f>
        <v>6.321329281187793E-2</v>
      </c>
      <c r="AP314" s="8" cm="1">
        <f t="array" ref="AP314">_xlfn.LET(
_xlpm.hs,HS_DB[[#This Row],[HS Code]],
COUNTA(_xlfn.UNIQUE(_xlfn._xlws.FILTER(HS_DB[Reporter],HS_DB[HS Code]=_xlpm.hs)))
)</f>
        <v>20</v>
      </c>
      <c r="AQ314" s="17" t="str">
        <f>IF(HS_DB[[#This Row],[Origin Count]]=1,"Single Source","Multiple Sources")</f>
        <v>Multiple Sources</v>
      </c>
      <c r="AR314" s="8">
        <f>HS_DB[[#This Row],[Annual Spend - USD]]*(HS_DB[[#This Row],[HS Code Risk Score]]/100)</f>
        <v>5070287.0600000005</v>
      </c>
      <c r="AS314" s="8">
        <f>RANK(HS_DB[[#This Row],[Risk Exposure - USD]],HS_DB[Risk Exposure - USD],0)</f>
        <v>161</v>
      </c>
      <c r="AT314" s="8" t="str">
        <f>IF(HS_DB[[#This Row],[Risk Exposure Rank]]&lt;=10,"High",
 IF(HS_DB[[#This Row],[Risk Exposure Rank]]&lt;=30,"Medium",
 "Low"))</f>
        <v>Low</v>
      </c>
      <c r="AU314" s="8" t="str">
        <f>IF(HS_DB[[#This Row],[Risk Exposure Rank]]&lt;=5,"Immediate Action",
 IF(HS_DB[[#This Row],[Risk Exposure Rank]]&lt;=15,"Monitor Closely",
 "Routine Control"))</f>
        <v>Routine Control</v>
      </c>
      <c r="AV314" s="8">
        <f>SUMIFS(HS_DB[Trade Value - USD],HS_DB[HS Code],HS_DB[[#This Row],[HS Code]])</f>
        <v>14912609</v>
      </c>
      <c r="AW314" s="6">
        <f>HS_DB[[#This Row],[Annual Spend - USD]]/HS_DB[[#This Row],[Total Market Size - USD]]</f>
        <v>1</v>
      </c>
      <c r="AX314" s="6" cm="1">
        <f t="array" ref="AX314">COUNTA(_xlfn.UNIQUE(_xlfn._xlws.FILTER(HS_DB[Partner],HS_DB[HS Code]=HS_DB[[#This Row],[HS Code]])))</f>
        <v>1</v>
      </c>
      <c r="AY314" s="8" t="str">
        <f>IF(HS_DB[[#This Row],[Competition Intensity]]&lt;=2,"Highly Concentrated",
 IF(HS_DB[[#This Row],[Competition Intensity]]&lt;=5,"Moderate",
 "Highly Competitive"))</f>
        <v>Highly Concentrated</v>
      </c>
      <c r="AZ314" s="8">
        <f>HS_DB[[#This Row],[Total Market Size - USD]]
*
(1+IFERROR(#REF!,0))
/
HS_DB[[#This Row],[Competition Intensity]]</f>
        <v>14912609</v>
      </c>
      <c r="BA314" s="8" t="str">
        <f>IF(HS_DB[[#This Row],[Commercial Opportunity Score]]&gt;=PERCENTILE(HS_DB[Commercial Opportunity Score],0.9),"High Opportunity",
 IF(HS_DB[[#This Row],[Commercial Opportunity Score]]&gt;=PERCENTILE(HS_DB[Commercial Opportunity Score],0.6),"Medium Opportunity",
 "Routine Market"))</f>
        <v>Medium Opportunity</v>
      </c>
      <c r="BB314" s="3" t="str">
        <f>IF(AND(HS_DB[[#This Row],[Product Rank]]&gt;0,HS_DB[[#This Row],[Product Rank]]&lt;=10),"Yes","No")</f>
        <v>No</v>
      </c>
      <c r="BC314" s="3" t="str">
        <f>IF(AND(HS_DB[[#This Row],[Origin Rank]]&gt;0,HS_DB[[#This Row],[Origin Rank]]&lt;=10),"Yes","No")</f>
        <v>Yes</v>
      </c>
    </row>
    <row r="315" spans="2:55" x14ac:dyDescent="0.3">
      <c r="B315" s="2">
        <f>HS_DB[[#This Row],[Commodity Code]]</f>
        <v>320419</v>
      </c>
      <c r="C315" s="2">
        <f>IFERROR(INDEX(HS_MD!C:C,MATCH(B315,HS_MD!B:B,0),1),"")</f>
        <v>26</v>
      </c>
      <c r="D315" s="17" t="str">
        <f>IFERROR(INDEX(HS_MD!D:D,MATCH(B315,HS_MD!B:B,0),1),"")</f>
        <v>Synthetic organic coloring matter</v>
      </c>
      <c r="E315" s="17" t="str">
        <f>IFERROR(INDEX(HS_MD!E:E,MATCH(B315,HS_MD!B:B,0),1),"")</f>
        <v>Beta Carotene</v>
      </c>
      <c r="F315" s="17" t="str">
        <f>IFERROR(INDEX(HS_MD!F:F,MATCH(B315,HS_MD!B:B,0),1),"")</f>
        <v>Food Ingredients</v>
      </c>
      <c r="G315" s="17" t="str">
        <f>IFERROR(INDEX(HS_MD!G:G,MATCH(B315,HS_MD!B:B,0),1),"")</f>
        <v>Colors</v>
      </c>
      <c r="H315" s="17" t="str">
        <f>IFERROR(INDEX(HS_MD!H:H,MATCH(B315,HS_MD!B:B,0),1),"")</f>
        <v>Synthetic / Nature-Identical Colors</v>
      </c>
      <c r="I315" s="17" t="str">
        <f>IFERROR(INDEX(HS_MD!I:I,MATCH(B315,HS_MD!B:B,0),1),"")</f>
        <v>Beverages / Dairy</v>
      </c>
      <c r="J315" s="17">
        <f>IFERROR(INDEX(Heat_Map[Index],MATCH(HS_DB[[#This Row],[Reporter]],Heat_Map[Global],0),1),"")</f>
        <v>36</v>
      </c>
      <c r="K315" s="17" t="str">
        <f>IF(AND(HS_DB[[#This Row],[Origin Rank]]&gt;1,HS_DB[[#This Row],[Origin Rank]]&lt;=10),"Yes","No")</f>
        <v>No</v>
      </c>
      <c r="L315" s="2">
        <v>2024</v>
      </c>
      <c r="M315" s="2" t="s">
        <v>57</v>
      </c>
      <c r="N315" s="2" t="s">
        <v>1</v>
      </c>
      <c r="O315" s="2" t="s">
        <v>22</v>
      </c>
      <c r="P315" s="2" t="s">
        <v>23</v>
      </c>
      <c r="Q315" s="2" t="s">
        <v>24</v>
      </c>
      <c r="R315" s="2" t="s">
        <v>25</v>
      </c>
      <c r="S315" s="2">
        <v>320419</v>
      </c>
      <c r="T315" s="3">
        <v>1162152</v>
      </c>
      <c r="U315" s="3">
        <v>886155</v>
      </c>
      <c r="V315" s="3">
        <v>0</v>
      </c>
      <c r="W315" s="3">
        <v>886155</v>
      </c>
      <c r="X315" s="3" t="s">
        <v>58</v>
      </c>
      <c r="Y315" s="3">
        <v>886155</v>
      </c>
      <c r="Z315" s="3" t="s">
        <v>58</v>
      </c>
      <c r="AA315" s="6">
        <f>SUMIFS(HS_DB[Trade Value - USD],HS_DB[Reporter],HS_DB[[#This Row],[Reporter]])/SUM(HS_DB[Trade Value - USD])</f>
        <v>6.321329281187793E-2</v>
      </c>
      <c r="AB315" s="8" cm="1">
        <f t="array" ref="AB315">SUMPRODUCT(
(HS_DB[Reporter]=HS_DB[[#This Row],[Reporter]])*
(HS_DB[Trade Value - USD]&gt;HS_DB[[#This Row],[Trade Value - USD]])
)+1</f>
        <v>20</v>
      </c>
      <c r="AC315" s="8" t="str">
        <f>IFERROR(IF(INDEX(Heat_Map[Crisis Impact %],MATCH(HS_DB[[#This Row],[Reporter]],Heat_Map[Global],0),1)&gt;0,"Yes","No"),"No")</f>
        <v>Yes</v>
      </c>
      <c r="AD315" s="6">
        <f>IFERROR(INDEX(Heat_Map[Crisis Impact %],MATCH(HS_DB[[#This Row],[Reporter]],Heat_Map[Global],0),1),0)</f>
        <v>0.14000000000000001</v>
      </c>
      <c r="AE315" s="8">
        <f>HS_DB[[#This Row],[Crisis Impact%]]*HS_DB[[#This Row],[Trade Value - USD]]</f>
        <v>162701.28000000003</v>
      </c>
      <c r="AF315" s="8">
        <f>HS_DB[[#This Row],[Crisis Impact%]]*HS_DB[[#This Row],[Net Weight -KG]]</f>
        <v>124061.70000000001</v>
      </c>
      <c r="AG315" s="6">
        <f>SUMIFS(HS_DB[Trade Value - USD],HS_DB[Products],HS_DB[[#This Row],[Products]])/SUM(HS_DB[Trade Value - USD])</f>
        <v>7.9111635490056037E-3</v>
      </c>
      <c r="AH315" s="8">
        <f>_xlfn.RANK.EQ(HS_DB[[#This Row],[Trade Value - USD]], HS_DB[Trade Value - USD], 0)
 + COUNTIFS(HS_DB[Trade Value - USD],HS_DB[[#This Row],[Trade Value - USD]],
            HS_DB[HS Code],"&lt;"&amp;HS_DB[[#This Row],[HS Code]])</f>
        <v>97</v>
      </c>
      <c r="AI315" s="9">
        <f>IFERROR(HS_DB[[#This Row],[Trade Value - USD]]/HS_DB[[#This Row],[Net Weight -KG]],0)</f>
        <v>1.311454542376898</v>
      </c>
      <c r="AJ315" s="17" cm="1">
        <f t="array" ref="AJ315">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15" s="17" t="str">
        <f>IF(HS_DB[[#This Row],[HS Code Risk Score]]&gt;=40,"High",
 IF(HS_DB[[#This Row],[HS Code Risk Score]]&gt;=25,"Medium","Low"))</f>
        <v>Medium</v>
      </c>
      <c r="AL315" s="17" t="str">
        <f>IF(RANK(HS_DB[[#This Row],[HS Code Risk Score]],HS_DB[HS Code Risk Score])&lt;=10,"Yes","No")</f>
        <v>No</v>
      </c>
      <c r="AM315" s="8">
        <f>SUMIFS(HS_DB[Net Weight -KG],HS_DB[HS Code],HS_DB[[#This Row],[HS Code]])</f>
        <v>6791623.4000000004</v>
      </c>
      <c r="AN315" s="8">
        <f>SUMIFS(HS_DB[Trade Value - USD],HS_DB[HS Code],HS_DB[[#This Row],[HS Code]])</f>
        <v>14912609</v>
      </c>
      <c r="AO315" s="6">
        <f>_xlfn.MAXIFS(HS_DB[Origin Share%],HS_DB[HS Code],HS_DB[[#This Row],[HS Code]])</f>
        <v>6.321329281187793E-2</v>
      </c>
      <c r="AP315" s="8" cm="1">
        <f t="array" ref="AP315">_xlfn.LET(
_xlpm.hs,HS_DB[[#This Row],[HS Code]],
COUNTA(_xlfn.UNIQUE(_xlfn._xlws.FILTER(HS_DB[Reporter],HS_DB[HS Code]=_xlpm.hs)))
)</f>
        <v>20</v>
      </c>
      <c r="AQ315" s="17" t="str">
        <f>IF(HS_DB[[#This Row],[Origin Count]]=1,"Single Source","Multiple Sources")</f>
        <v>Multiple Sources</v>
      </c>
      <c r="AR315" s="8">
        <f>HS_DB[[#This Row],[Annual Spend - USD]]*(HS_DB[[#This Row],[HS Code Risk Score]]/100)</f>
        <v>5070287.0600000005</v>
      </c>
      <c r="AS315" s="8">
        <f>RANK(HS_DB[[#This Row],[Risk Exposure - USD]],HS_DB[Risk Exposure - USD],0)</f>
        <v>161</v>
      </c>
      <c r="AT315" s="8" t="str">
        <f>IF(HS_DB[[#This Row],[Risk Exposure Rank]]&lt;=10,"High",
 IF(HS_DB[[#This Row],[Risk Exposure Rank]]&lt;=30,"Medium",
 "Low"))</f>
        <v>Low</v>
      </c>
      <c r="AU315" s="8" t="str">
        <f>IF(HS_DB[[#This Row],[Risk Exposure Rank]]&lt;=5,"Immediate Action",
 IF(HS_DB[[#This Row],[Risk Exposure Rank]]&lt;=15,"Monitor Closely",
 "Routine Control"))</f>
        <v>Routine Control</v>
      </c>
      <c r="AV315" s="8">
        <f>SUMIFS(HS_DB[Trade Value - USD],HS_DB[HS Code],HS_DB[[#This Row],[HS Code]])</f>
        <v>14912609</v>
      </c>
      <c r="AW315" s="6">
        <f>HS_DB[[#This Row],[Annual Spend - USD]]/HS_DB[[#This Row],[Total Market Size - USD]]</f>
        <v>1</v>
      </c>
      <c r="AX315" s="6" cm="1">
        <f t="array" ref="AX315">COUNTA(_xlfn.UNIQUE(_xlfn._xlws.FILTER(HS_DB[Partner],HS_DB[HS Code]=HS_DB[[#This Row],[HS Code]])))</f>
        <v>1</v>
      </c>
      <c r="AY315" s="8" t="str">
        <f>IF(HS_DB[[#This Row],[Competition Intensity]]&lt;=2,"Highly Concentrated",
 IF(HS_DB[[#This Row],[Competition Intensity]]&lt;=5,"Moderate",
 "Highly Competitive"))</f>
        <v>Highly Concentrated</v>
      </c>
      <c r="AZ315" s="8">
        <f>HS_DB[[#This Row],[Total Market Size - USD]]
*
(1+IFERROR(#REF!,0))
/
HS_DB[[#This Row],[Competition Intensity]]</f>
        <v>14912609</v>
      </c>
      <c r="BA315" s="8" t="str">
        <f>IF(HS_DB[[#This Row],[Commercial Opportunity Score]]&gt;=PERCENTILE(HS_DB[Commercial Opportunity Score],0.9),"High Opportunity",
 IF(HS_DB[[#This Row],[Commercial Opportunity Score]]&gt;=PERCENTILE(HS_DB[Commercial Opportunity Score],0.6),"Medium Opportunity",
 "Routine Market"))</f>
        <v>Medium Opportunity</v>
      </c>
      <c r="BB315" s="3" t="str">
        <f>IF(AND(HS_DB[[#This Row],[Product Rank]]&gt;0,HS_DB[[#This Row],[Product Rank]]&lt;=10),"Yes","No")</f>
        <v>No</v>
      </c>
      <c r="BC315" s="3" t="str">
        <f>IF(AND(HS_DB[[#This Row],[Origin Rank]]&gt;0,HS_DB[[#This Row],[Origin Rank]]&lt;=10),"Yes","No")</f>
        <v>No</v>
      </c>
    </row>
    <row r="316" spans="2:55" x14ac:dyDescent="0.3">
      <c r="B316" s="2">
        <f>HS_DB[[#This Row],[Commodity Code]]</f>
        <v>320419</v>
      </c>
      <c r="C316" s="2">
        <f>IFERROR(INDEX(HS_MD!C:C,MATCH(B316,HS_MD!B:B,0),1),"")</f>
        <v>26</v>
      </c>
      <c r="D316" s="17" t="str">
        <f>IFERROR(INDEX(HS_MD!D:D,MATCH(B316,HS_MD!B:B,0),1),"")</f>
        <v>Synthetic organic coloring matter</v>
      </c>
      <c r="E316" s="17" t="str">
        <f>IFERROR(INDEX(HS_MD!E:E,MATCH(B316,HS_MD!B:B,0),1),"")</f>
        <v>Beta Carotene</v>
      </c>
      <c r="F316" s="17" t="str">
        <f>IFERROR(INDEX(HS_MD!F:F,MATCH(B316,HS_MD!B:B,0),1),"")</f>
        <v>Food Ingredients</v>
      </c>
      <c r="G316" s="17" t="str">
        <f>IFERROR(INDEX(HS_MD!G:G,MATCH(B316,HS_MD!B:B,0),1),"")</f>
        <v>Colors</v>
      </c>
      <c r="H316" s="17" t="str">
        <f>IFERROR(INDEX(HS_MD!H:H,MATCH(B316,HS_MD!B:B,0),1),"")</f>
        <v>Synthetic / Nature-Identical Colors</v>
      </c>
      <c r="I316" s="17" t="str">
        <f>IFERROR(INDEX(HS_MD!I:I,MATCH(B316,HS_MD!B:B,0),1),"")</f>
        <v>Beverages / Dairy</v>
      </c>
      <c r="J316" s="17">
        <f>IFERROR(INDEX(Heat_Map[Index],MATCH(HS_DB[[#This Row],[Reporter]],Heat_Map[Global],0),1),"")</f>
        <v>44</v>
      </c>
      <c r="K316" s="17" t="str">
        <f>IF(AND(HS_DB[[#This Row],[Origin Rank]]&gt;1,HS_DB[[#This Row],[Origin Rank]]&lt;=10),"Yes","No")</f>
        <v>Yes</v>
      </c>
      <c r="L316" s="2">
        <v>2024</v>
      </c>
      <c r="M316" s="2" t="s">
        <v>57</v>
      </c>
      <c r="N316" s="2" t="s">
        <v>41</v>
      </c>
      <c r="O316" s="2" t="s">
        <v>22</v>
      </c>
      <c r="P316" s="2" t="s">
        <v>23</v>
      </c>
      <c r="Q316" s="2" t="s">
        <v>24</v>
      </c>
      <c r="R316" s="2" t="s">
        <v>25</v>
      </c>
      <c r="S316" s="2">
        <v>320419</v>
      </c>
      <c r="T316" s="3">
        <v>15864</v>
      </c>
      <c r="U316" s="3">
        <v>2100</v>
      </c>
      <c r="V316" s="3">
        <v>0</v>
      </c>
      <c r="W316" s="3">
        <v>2100</v>
      </c>
      <c r="X316" s="3" t="s">
        <v>58</v>
      </c>
      <c r="Y316" s="3">
        <v>2100</v>
      </c>
      <c r="Z316" s="3" t="s">
        <v>58</v>
      </c>
      <c r="AA316" s="6">
        <f>SUMIFS(HS_DB[Trade Value - USD],HS_DB[Reporter],HS_DB[[#This Row],[Reporter]])/SUM(HS_DB[Trade Value - USD])</f>
        <v>4.2641562768795568E-4</v>
      </c>
      <c r="AB316" s="8" cm="1">
        <f t="array" ref="AB316">SUMPRODUCT(
(HS_DB[Reporter]=HS_DB[[#This Row],[Reporter]])*
(HS_DB[Trade Value - USD]&gt;HS_DB[[#This Row],[Trade Value - USD]])
)+1</f>
        <v>5</v>
      </c>
      <c r="AC316" s="8" t="str">
        <f>IFERROR(IF(INDEX(Heat_Map[Crisis Impact %],MATCH(HS_DB[[#This Row],[Reporter]],Heat_Map[Global],0),1)&gt;0,"Yes","No"),"No")</f>
        <v>No</v>
      </c>
      <c r="AD316" s="6">
        <f>IFERROR(INDEX(Heat_Map[Crisis Impact %],MATCH(HS_DB[[#This Row],[Reporter]],Heat_Map[Global],0),1),0)</f>
        <v>0</v>
      </c>
      <c r="AE316" s="8">
        <f>HS_DB[[#This Row],[Crisis Impact%]]*HS_DB[[#This Row],[Trade Value - USD]]</f>
        <v>0</v>
      </c>
      <c r="AF316" s="8">
        <f>HS_DB[[#This Row],[Crisis Impact%]]*HS_DB[[#This Row],[Net Weight -KG]]</f>
        <v>0</v>
      </c>
      <c r="AG316" s="6">
        <f>SUMIFS(HS_DB[Trade Value - USD],HS_DB[Products],HS_DB[[#This Row],[Products]])/SUM(HS_DB[Trade Value - USD])</f>
        <v>7.9111635490056037E-3</v>
      </c>
      <c r="AH316" s="8">
        <f>_xlfn.RANK.EQ(HS_DB[[#This Row],[Trade Value - USD]], HS_DB[Trade Value - USD], 0)
 + COUNTIFS(HS_DB[Trade Value - USD],HS_DB[[#This Row],[Trade Value - USD]],
            HS_DB[HS Code],"&lt;"&amp;HS_DB[[#This Row],[HS Code]])</f>
        <v>390</v>
      </c>
      <c r="AI316" s="9">
        <f>IFERROR(HS_DB[[#This Row],[Trade Value - USD]]/HS_DB[[#This Row],[Net Weight -KG]],0)</f>
        <v>7.5542857142857143</v>
      </c>
      <c r="AJ316" s="17" cm="1">
        <f t="array" ref="AJ316">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16" s="17" t="str">
        <f>IF(HS_DB[[#This Row],[HS Code Risk Score]]&gt;=40,"High",
 IF(HS_DB[[#This Row],[HS Code Risk Score]]&gt;=25,"Medium","Low"))</f>
        <v>Medium</v>
      </c>
      <c r="AL316" s="17" t="str">
        <f>IF(RANK(HS_DB[[#This Row],[HS Code Risk Score]],HS_DB[HS Code Risk Score])&lt;=10,"Yes","No")</f>
        <v>No</v>
      </c>
      <c r="AM316" s="8">
        <f>SUMIFS(HS_DB[Net Weight -KG],HS_DB[HS Code],HS_DB[[#This Row],[HS Code]])</f>
        <v>6791623.4000000004</v>
      </c>
      <c r="AN316" s="8">
        <f>SUMIFS(HS_DB[Trade Value - USD],HS_DB[HS Code],HS_DB[[#This Row],[HS Code]])</f>
        <v>14912609</v>
      </c>
      <c r="AO316" s="6">
        <f>_xlfn.MAXIFS(HS_DB[Origin Share%],HS_DB[HS Code],HS_DB[[#This Row],[HS Code]])</f>
        <v>6.321329281187793E-2</v>
      </c>
      <c r="AP316" s="8" cm="1">
        <f t="array" ref="AP316">_xlfn.LET(
_xlpm.hs,HS_DB[[#This Row],[HS Code]],
COUNTA(_xlfn.UNIQUE(_xlfn._xlws.FILTER(HS_DB[Reporter],HS_DB[HS Code]=_xlpm.hs)))
)</f>
        <v>20</v>
      </c>
      <c r="AQ316" s="17" t="str">
        <f>IF(HS_DB[[#This Row],[Origin Count]]=1,"Single Source","Multiple Sources")</f>
        <v>Multiple Sources</v>
      </c>
      <c r="AR316" s="8">
        <f>HS_DB[[#This Row],[Annual Spend - USD]]*(HS_DB[[#This Row],[HS Code Risk Score]]/100)</f>
        <v>5070287.0600000005</v>
      </c>
      <c r="AS316" s="8">
        <f>RANK(HS_DB[[#This Row],[Risk Exposure - USD]],HS_DB[Risk Exposure - USD],0)</f>
        <v>161</v>
      </c>
      <c r="AT316" s="8" t="str">
        <f>IF(HS_DB[[#This Row],[Risk Exposure Rank]]&lt;=10,"High",
 IF(HS_DB[[#This Row],[Risk Exposure Rank]]&lt;=30,"Medium",
 "Low"))</f>
        <v>Low</v>
      </c>
      <c r="AU316" s="8" t="str">
        <f>IF(HS_DB[[#This Row],[Risk Exposure Rank]]&lt;=5,"Immediate Action",
 IF(HS_DB[[#This Row],[Risk Exposure Rank]]&lt;=15,"Monitor Closely",
 "Routine Control"))</f>
        <v>Routine Control</v>
      </c>
      <c r="AV316" s="8">
        <f>SUMIFS(HS_DB[Trade Value - USD],HS_DB[HS Code],HS_DB[[#This Row],[HS Code]])</f>
        <v>14912609</v>
      </c>
      <c r="AW316" s="6">
        <f>HS_DB[[#This Row],[Annual Spend - USD]]/HS_DB[[#This Row],[Total Market Size - USD]]</f>
        <v>1</v>
      </c>
      <c r="AX316" s="6" cm="1">
        <f t="array" ref="AX316">COUNTA(_xlfn.UNIQUE(_xlfn._xlws.FILTER(HS_DB[Partner],HS_DB[HS Code]=HS_DB[[#This Row],[HS Code]])))</f>
        <v>1</v>
      </c>
      <c r="AY316" s="8" t="str">
        <f>IF(HS_DB[[#This Row],[Competition Intensity]]&lt;=2,"Highly Concentrated",
 IF(HS_DB[[#This Row],[Competition Intensity]]&lt;=5,"Moderate",
 "Highly Competitive"))</f>
        <v>Highly Concentrated</v>
      </c>
      <c r="AZ316" s="8">
        <f>HS_DB[[#This Row],[Total Market Size - USD]]
*
(1+IFERROR(#REF!,0))
/
HS_DB[[#This Row],[Competition Intensity]]</f>
        <v>14912609</v>
      </c>
      <c r="BA316" s="8" t="str">
        <f>IF(HS_DB[[#This Row],[Commercial Opportunity Score]]&gt;=PERCENTILE(HS_DB[Commercial Opportunity Score],0.9),"High Opportunity",
 IF(HS_DB[[#This Row],[Commercial Opportunity Score]]&gt;=PERCENTILE(HS_DB[Commercial Opportunity Score],0.6),"Medium Opportunity",
 "Routine Market"))</f>
        <v>Medium Opportunity</v>
      </c>
      <c r="BB316" s="3" t="str">
        <f>IF(AND(HS_DB[[#This Row],[Product Rank]]&gt;0,HS_DB[[#This Row],[Product Rank]]&lt;=10),"Yes","No")</f>
        <v>No</v>
      </c>
      <c r="BC316" s="3" t="str">
        <f>IF(AND(HS_DB[[#This Row],[Origin Rank]]&gt;0,HS_DB[[#This Row],[Origin Rank]]&lt;=10),"Yes","No")</f>
        <v>Yes</v>
      </c>
    </row>
    <row r="317" spans="2:55" x14ac:dyDescent="0.3">
      <c r="B317" s="2">
        <f>HS_DB[[#This Row],[Commodity Code]]</f>
        <v>320419</v>
      </c>
      <c r="C317" s="2">
        <f>IFERROR(INDEX(HS_MD!C:C,MATCH(B317,HS_MD!B:B,0),1),"")</f>
        <v>26</v>
      </c>
      <c r="D317" s="17" t="str">
        <f>IFERROR(INDEX(HS_MD!D:D,MATCH(B317,HS_MD!B:B,0),1),"")</f>
        <v>Synthetic organic coloring matter</v>
      </c>
      <c r="E317" s="17" t="str">
        <f>IFERROR(INDEX(HS_MD!E:E,MATCH(B317,HS_MD!B:B,0),1),"")</f>
        <v>Beta Carotene</v>
      </c>
      <c r="F317" s="17" t="str">
        <f>IFERROR(INDEX(HS_MD!F:F,MATCH(B317,HS_MD!B:B,0),1),"")</f>
        <v>Food Ingredients</v>
      </c>
      <c r="G317" s="17" t="str">
        <f>IFERROR(INDEX(HS_MD!G:G,MATCH(B317,HS_MD!B:B,0),1),"")</f>
        <v>Colors</v>
      </c>
      <c r="H317" s="17" t="str">
        <f>IFERROR(INDEX(HS_MD!H:H,MATCH(B317,HS_MD!B:B,0),1),"")</f>
        <v>Synthetic / Nature-Identical Colors</v>
      </c>
      <c r="I317" s="17" t="str">
        <f>IFERROR(INDEX(HS_MD!I:I,MATCH(B317,HS_MD!B:B,0),1),"")</f>
        <v>Beverages / Dairy</v>
      </c>
      <c r="J317" s="17">
        <f>IFERROR(INDEX(Heat_Map[Index],MATCH(HS_DB[[#This Row],[Reporter]],Heat_Map[Global],0),1),"")</f>
        <v>45</v>
      </c>
      <c r="K317" s="17" t="str">
        <f>IF(AND(HS_DB[[#This Row],[Origin Rank]]&gt;1,HS_DB[[#This Row],[Origin Rank]]&lt;=10),"Yes","No")</f>
        <v>Yes</v>
      </c>
      <c r="L317" s="2">
        <v>2024</v>
      </c>
      <c r="M317" s="2" t="s">
        <v>57</v>
      </c>
      <c r="N317" s="2" t="s">
        <v>42</v>
      </c>
      <c r="O317" s="2" t="s">
        <v>22</v>
      </c>
      <c r="P317" s="2" t="s">
        <v>23</v>
      </c>
      <c r="Q317" s="2" t="s">
        <v>24</v>
      </c>
      <c r="R317" s="2" t="s">
        <v>25</v>
      </c>
      <c r="S317" s="2">
        <v>320419</v>
      </c>
      <c r="T317" s="3">
        <v>160526</v>
      </c>
      <c r="U317" s="3">
        <v>4411</v>
      </c>
      <c r="V317" s="3">
        <v>0</v>
      </c>
      <c r="W317" s="3">
        <v>4411</v>
      </c>
      <c r="X317" s="3" t="s">
        <v>58</v>
      </c>
      <c r="Y317" s="3">
        <v>4411</v>
      </c>
      <c r="Z317" s="3" t="s">
        <v>58</v>
      </c>
      <c r="AA317" s="6">
        <f>SUMIFS(HS_DB[Trade Value - USD],HS_DB[Reporter],HS_DB[[#This Row],[Reporter]])/SUM(HS_DB[Trade Value - USD])</f>
        <v>4.8573207719329804E-4</v>
      </c>
      <c r="AB317" s="8" cm="1">
        <f t="array" ref="AB317">SUMPRODUCT(
(HS_DB[Reporter]=HS_DB[[#This Row],[Reporter]])*
(HS_DB[Trade Value - USD]&gt;HS_DB[[#This Row],[Trade Value - USD]])
)+1</f>
        <v>3</v>
      </c>
      <c r="AC317" s="8" t="str">
        <f>IFERROR(IF(INDEX(Heat_Map[Crisis Impact %],MATCH(HS_DB[[#This Row],[Reporter]],Heat_Map[Global],0),1)&gt;0,"Yes","No"),"No")</f>
        <v>No</v>
      </c>
      <c r="AD317" s="6">
        <f>IFERROR(INDEX(Heat_Map[Crisis Impact %],MATCH(HS_DB[[#This Row],[Reporter]],Heat_Map[Global],0),1),0)</f>
        <v>0</v>
      </c>
      <c r="AE317" s="8">
        <f>HS_DB[[#This Row],[Crisis Impact%]]*HS_DB[[#This Row],[Trade Value - USD]]</f>
        <v>0</v>
      </c>
      <c r="AF317" s="8">
        <f>HS_DB[[#This Row],[Crisis Impact%]]*HS_DB[[#This Row],[Net Weight -KG]]</f>
        <v>0</v>
      </c>
      <c r="AG317" s="6">
        <f>SUMIFS(HS_DB[Trade Value - USD],HS_DB[Products],HS_DB[[#This Row],[Products]])/SUM(HS_DB[Trade Value - USD])</f>
        <v>7.9111635490056037E-3</v>
      </c>
      <c r="AH317" s="8">
        <f>_xlfn.RANK.EQ(HS_DB[[#This Row],[Trade Value - USD]], HS_DB[Trade Value - USD], 0)
 + COUNTIFS(HS_DB[Trade Value - USD],HS_DB[[#This Row],[Trade Value - USD]],
            HS_DB[HS Code],"&lt;"&amp;HS_DB[[#This Row],[HS Code]])</f>
        <v>237</v>
      </c>
      <c r="AI317" s="9">
        <f>IFERROR(HS_DB[[#This Row],[Trade Value - USD]]/HS_DB[[#This Row],[Net Weight -KG]],0)</f>
        <v>36.392201314894585</v>
      </c>
      <c r="AJ317" s="17" cm="1">
        <f t="array" ref="AJ317">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17" s="17" t="str">
        <f>IF(HS_DB[[#This Row],[HS Code Risk Score]]&gt;=40,"High",
 IF(HS_DB[[#This Row],[HS Code Risk Score]]&gt;=25,"Medium","Low"))</f>
        <v>Medium</v>
      </c>
      <c r="AL317" s="17" t="str">
        <f>IF(RANK(HS_DB[[#This Row],[HS Code Risk Score]],HS_DB[HS Code Risk Score])&lt;=10,"Yes","No")</f>
        <v>No</v>
      </c>
      <c r="AM317" s="8">
        <f>SUMIFS(HS_DB[Net Weight -KG],HS_DB[HS Code],HS_DB[[#This Row],[HS Code]])</f>
        <v>6791623.4000000004</v>
      </c>
      <c r="AN317" s="8">
        <f>SUMIFS(HS_DB[Trade Value - USD],HS_DB[HS Code],HS_DB[[#This Row],[HS Code]])</f>
        <v>14912609</v>
      </c>
      <c r="AO317" s="6">
        <f>_xlfn.MAXIFS(HS_DB[Origin Share%],HS_DB[HS Code],HS_DB[[#This Row],[HS Code]])</f>
        <v>6.321329281187793E-2</v>
      </c>
      <c r="AP317" s="8" cm="1">
        <f t="array" ref="AP317">_xlfn.LET(
_xlpm.hs,HS_DB[[#This Row],[HS Code]],
COUNTA(_xlfn.UNIQUE(_xlfn._xlws.FILTER(HS_DB[Reporter],HS_DB[HS Code]=_xlpm.hs)))
)</f>
        <v>20</v>
      </c>
      <c r="AQ317" s="17" t="str">
        <f>IF(HS_DB[[#This Row],[Origin Count]]=1,"Single Source","Multiple Sources")</f>
        <v>Multiple Sources</v>
      </c>
      <c r="AR317" s="8">
        <f>HS_DB[[#This Row],[Annual Spend - USD]]*(HS_DB[[#This Row],[HS Code Risk Score]]/100)</f>
        <v>5070287.0600000005</v>
      </c>
      <c r="AS317" s="8">
        <f>RANK(HS_DB[[#This Row],[Risk Exposure - USD]],HS_DB[Risk Exposure - USD],0)</f>
        <v>161</v>
      </c>
      <c r="AT317" s="8" t="str">
        <f>IF(HS_DB[[#This Row],[Risk Exposure Rank]]&lt;=10,"High",
 IF(HS_DB[[#This Row],[Risk Exposure Rank]]&lt;=30,"Medium",
 "Low"))</f>
        <v>Low</v>
      </c>
      <c r="AU317" s="8" t="str">
        <f>IF(HS_DB[[#This Row],[Risk Exposure Rank]]&lt;=5,"Immediate Action",
 IF(HS_DB[[#This Row],[Risk Exposure Rank]]&lt;=15,"Monitor Closely",
 "Routine Control"))</f>
        <v>Routine Control</v>
      </c>
      <c r="AV317" s="8">
        <f>SUMIFS(HS_DB[Trade Value - USD],HS_DB[HS Code],HS_DB[[#This Row],[HS Code]])</f>
        <v>14912609</v>
      </c>
      <c r="AW317" s="6">
        <f>HS_DB[[#This Row],[Annual Spend - USD]]/HS_DB[[#This Row],[Total Market Size - USD]]</f>
        <v>1</v>
      </c>
      <c r="AX317" s="6" cm="1">
        <f t="array" ref="AX317">COUNTA(_xlfn.UNIQUE(_xlfn._xlws.FILTER(HS_DB[Partner],HS_DB[HS Code]=HS_DB[[#This Row],[HS Code]])))</f>
        <v>1</v>
      </c>
      <c r="AY317" s="8" t="str">
        <f>IF(HS_DB[[#This Row],[Competition Intensity]]&lt;=2,"Highly Concentrated",
 IF(HS_DB[[#This Row],[Competition Intensity]]&lt;=5,"Moderate",
 "Highly Competitive"))</f>
        <v>Highly Concentrated</v>
      </c>
      <c r="AZ317" s="8">
        <f>HS_DB[[#This Row],[Total Market Size - USD]]
*
(1+IFERROR(#REF!,0))
/
HS_DB[[#This Row],[Competition Intensity]]</f>
        <v>14912609</v>
      </c>
      <c r="BA317" s="8" t="str">
        <f>IF(HS_DB[[#This Row],[Commercial Opportunity Score]]&gt;=PERCENTILE(HS_DB[Commercial Opportunity Score],0.9),"High Opportunity",
 IF(HS_DB[[#This Row],[Commercial Opportunity Score]]&gt;=PERCENTILE(HS_DB[Commercial Opportunity Score],0.6),"Medium Opportunity",
 "Routine Market"))</f>
        <v>Medium Opportunity</v>
      </c>
      <c r="BB317" s="3" t="str">
        <f>IF(AND(HS_DB[[#This Row],[Product Rank]]&gt;0,HS_DB[[#This Row],[Product Rank]]&lt;=10),"Yes","No")</f>
        <v>No</v>
      </c>
      <c r="BC317" s="3" t="str">
        <f>IF(AND(HS_DB[[#This Row],[Origin Rank]]&gt;0,HS_DB[[#This Row],[Origin Rank]]&lt;=10),"Yes","No")</f>
        <v>Yes</v>
      </c>
    </row>
    <row r="318" spans="2:55" x14ac:dyDescent="0.3">
      <c r="B318" s="2">
        <f>HS_DB[[#This Row],[Commodity Code]]</f>
        <v>320419</v>
      </c>
      <c r="C318" s="2">
        <f>IFERROR(INDEX(HS_MD!C:C,MATCH(B318,HS_MD!B:B,0),1),"")</f>
        <v>26</v>
      </c>
      <c r="D318" s="17" t="str">
        <f>IFERROR(INDEX(HS_MD!D:D,MATCH(B318,HS_MD!B:B,0),1),"")</f>
        <v>Synthetic organic coloring matter</v>
      </c>
      <c r="E318" s="17" t="str">
        <f>IFERROR(INDEX(HS_MD!E:E,MATCH(B318,HS_MD!B:B,0),1),"")</f>
        <v>Beta Carotene</v>
      </c>
      <c r="F318" s="17" t="str">
        <f>IFERROR(INDEX(HS_MD!F:F,MATCH(B318,HS_MD!B:B,0),1),"")</f>
        <v>Food Ingredients</v>
      </c>
      <c r="G318" s="17" t="str">
        <f>IFERROR(INDEX(HS_MD!G:G,MATCH(B318,HS_MD!B:B,0),1),"")</f>
        <v>Colors</v>
      </c>
      <c r="H318" s="17" t="str">
        <f>IFERROR(INDEX(HS_MD!H:H,MATCH(B318,HS_MD!B:B,0),1),"")</f>
        <v>Synthetic / Nature-Identical Colors</v>
      </c>
      <c r="I318" s="17" t="str">
        <f>IFERROR(INDEX(HS_MD!I:I,MATCH(B318,HS_MD!B:B,0),1),"")</f>
        <v>Beverages / Dairy</v>
      </c>
      <c r="J318" s="17">
        <f>IFERROR(INDEX(Heat_Map[Index],MATCH(HS_DB[[#This Row],[Reporter]],Heat_Map[Global],0),1),"")</f>
        <v>59</v>
      </c>
      <c r="K318" s="17" t="str">
        <f>IF(AND(HS_DB[[#This Row],[Origin Rank]]&gt;1,HS_DB[[#This Row],[Origin Rank]]&lt;=10),"Yes","No")</f>
        <v>No</v>
      </c>
      <c r="L318" s="2">
        <v>2024</v>
      </c>
      <c r="M318" s="2" t="s">
        <v>57</v>
      </c>
      <c r="N318" s="2" t="s">
        <v>44</v>
      </c>
      <c r="O318" s="2" t="s">
        <v>22</v>
      </c>
      <c r="P318" s="2" t="s">
        <v>23</v>
      </c>
      <c r="Q318" s="2" t="s">
        <v>24</v>
      </c>
      <c r="R318" s="2" t="s">
        <v>25</v>
      </c>
      <c r="S318" s="2">
        <v>320419</v>
      </c>
      <c r="T318" s="3">
        <v>26282</v>
      </c>
      <c r="U318" s="3">
        <v>168</v>
      </c>
      <c r="V318" s="3">
        <v>0</v>
      </c>
      <c r="W318" s="3">
        <v>168</v>
      </c>
      <c r="X318" s="3" t="s">
        <v>58</v>
      </c>
      <c r="Y318" s="3">
        <v>168</v>
      </c>
      <c r="Z318" s="3" t="s">
        <v>58</v>
      </c>
      <c r="AA318" s="6">
        <f>SUMIFS(HS_DB[Trade Value - USD],HS_DB[Reporter],HS_DB[[#This Row],[Reporter]])/SUM(HS_DB[Trade Value - USD])</f>
        <v>1.6951290293147386E-2</v>
      </c>
      <c r="AB318" s="8" cm="1">
        <f t="array" ref="AB318">SUMPRODUCT(
(HS_DB[Reporter]=HS_DB[[#This Row],[Reporter]])*
(HS_DB[Trade Value - USD]&gt;HS_DB[[#This Row],[Trade Value - USD]])
)+1</f>
        <v>24</v>
      </c>
      <c r="AC318" s="8" t="str">
        <f>IFERROR(IF(INDEX(Heat_Map[Crisis Impact %],MATCH(HS_DB[[#This Row],[Reporter]],Heat_Map[Global],0),1)&gt;0,"Yes","No"),"No")</f>
        <v>No</v>
      </c>
      <c r="AD318" s="6">
        <f>IFERROR(INDEX(Heat_Map[Crisis Impact %],MATCH(HS_DB[[#This Row],[Reporter]],Heat_Map[Global],0),1),0)</f>
        <v>0</v>
      </c>
      <c r="AE318" s="8">
        <f>HS_DB[[#This Row],[Crisis Impact%]]*HS_DB[[#This Row],[Trade Value - USD]]</f>
        <v>0</v>
      </c>
      <c r="AF318" s="8">
        <f>HS_DB[[#This Row],[Crisis Impact%]]*HS_DB[[#This Row],[Net Weight -KG]]</f>
        <v>0</v>
      </c>
      <c r="AG318" s="6">
        <f>SUMIFS(HS_DB[Trade Value - USD],HS_DB[Products],HS_DB[[#This Row],[Products]])/SUM(HS_DB[Trade Value - USD])</f>
        <v>7.9111635490056037E-3</v>
      </c>
      <c r="AH318" s="8">
        <f>_xlfn.RANK.EQ(HS_DB[[#This Row],[Trade Value - USD]], HS_DB[Trade Value - USD], 0)
 + COUNTIFS(HS_DB[Trade Value - USD],HS_DB[[#This Row],[Trade Value - USD]],
            HS_DB[HS Code],"&lt;"&amp;HS_DB[[#This Row],[HS Code]])</f>
        <v>366</v>
      </c>
      <c r="AI318" s="9">
        <f>IFERROR(HS_DB[[#This Row],[Trade Value - USD]]/HS_DB[[#This Row],[Net Weight -KG]],0)</f>
        <v>156.4404761904762</v>
      </c>
      <c r="AJ318" s="17" cm="1">
        <f t="array" ref="AJ318">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18" s="17" t="str">
        <f>IF(HS_DB[[#This Row],[HS Code Risk Score]]&gt;=40,"High",
 IF(HS_DB[[#This Row],[HS Code Risk Score]]&gt;=25,"Medium","Low"))</f>
        <v>Medium</v>
      </c>
      <c r="AL318" s="17" t="str">
        <f>IF(RANK(HS_DB[[#This Row],[HS Code Risk Score]],HS_DB[HS Code Risk Score])&lt;=10,"Yes","No")</f>
        <v>No</v>
      </c>
      <c r="AM318" s="8">
        <f>SUMIFS(HS_DB[Net Weight -KG],HS_DB[HS Code],HS_DB[[#This Row],[HS Code]])</f>
        <v>6791623.4000000004</v>
      </c>
      <c r="AN318" s="8">
        <f>SUMIFS(HS_DB[Trade Value - USD],HS_DB[HS Code],HS_DB[[#This Row],[HS Code]])</f>
        <v>14912609</v>
      </c>
      <c r="AO318" s="6">
        <f>_xlfn.MAXIFS(HS_DB[Origin Share%],HS_DB[HS Code],HS_DB[[#This Row],[HS Code]])</f>
        <v>6.321329281187793E-2</v>
      </c>
      <c r="AP318" s="8" cm="1">
        <f t="array" ref="AP318">_xlfn.LET(
_xlpm.hs,HS_DB[[#This Row],[HS Code]],
COUNTA(_xlfn.UNIQUE(_xlfn._xlws.FILTER(HS_DB[Reporter],HS_DB[HS Code]=_xlpm.hs)))
)</f>
        <v>20</v>
      </c>
      <c r="AQ318" s="17" t="str">
        <f>IF(HS_DB[[#This Row],[Origin Count]]=1,"Single Source","Multiple Sources")</f>
        <v>Multiple Sources</v>
      </c>
      <c r="AR318" s="8">
        <f>HS_DB[[#This Row],[Annual Spend - USD]]*(HS_DB[[#This Row],[HS Code Risk Score]]/100)</f>
        <v>5070287.0600000005</v>
      </c>
      <c r="AS318" s="8">
        <f>RANK(HS_DB[[#This Row],[Risk Exposure - USD]],HS_DB[Risk Exposure - USD],0)</f>
        <v>161</v>
      </c>
      <c r="AT318" s="8" t="str">
        <f>IF(HS_DB[[#This Row],[Risk Exposure Rank]]&lt;=10,"High",
 IF(HS_DB[[#This Row],[Risk Exposure Rank]]&lt;=30,"Medium",
 "Low"))</f>
        <v>Low</v>
      </c>
      <c r="AU318" s="8" t="str">
        <f>IF(HS_DB[[#This Row],[Risk Exposure Rank]]&lt;=5,"Immediate Action",
 IF(HS_DB[[#This Row],[Risk Exposure Rank]]&lt;=15,"Monitor Closely",
 "Routine Control"))</f>
        <v>Routine Control</v>
      </c>
      <c r="AV318" s="8">
        <f>SUMIFS(HS_DB[Trade Value - USD],HS_DB[HS Code],HS_DB[[#This Row],[HS Code]])</f>
        <v>14912609</v>
      </c>
      <c r="AW318" s="6">
        <f>HS_DB[[#This Row],[Annual Spend - USD]]/HS_DB[[#This Row],[Total Market Size - USD]]</f>
        <v>1</v>
      </c>
      <c r="AX318" s="6" cm="1">
        <f t="array" ref="AX318">COUNTA(_xlfn.UNIQUE(_xlfn._xlws.FILTER(HS_DB[Partner],HS_DB[HS Code]=HS_DB[[#This Row],[HS Code]])))</f>
        <v>1</v>
      </c>
      <c r="AY318" s="8" t="str">
        <f>IF(HS_DB[[#This Row],[Competition Intensity]]&lt;=2,"Highly Concentrated",
 IF(HS_DB[[#This Row],[Competition Intensity]]&lt;=5,"Moderate",
 "Highly Competitive"))</f>
        <v>Highly Concentrated</v>
      </c>
      <c r="AZ318" s="8">
        <f>HS_DB[[#This Row],[Total Market Size - USD]]
*
(1+IFERROR(#REF!,0))
/
HS_DB[[#This Row],[Competition Intensity]]</f>
        <v>14912609</v>
      </c>
      <c r="BA318" s="8" t="str">
        <f>IF(HS_DB[[#This Row],[Commercial Opportunity Score]]&gt;=PERCENTILE(HS_DB[Commercial Opportunity Score],0.9),"High Opportunity",
 IF(HS_DB[[#This Row],[Commercial Opportunity Score]]&gt;=PERCENTILE(HS_DB[Commercial Opportunity Score],0.6),"Medium Opportunity",
 "Routine Market"))</f>
        <v>Medium Opportunity</v>
      </c>
      <c r="BB318" s="3" t="str">
        <f>IF(AND(HS_DB[[#This Row],[Product Rank]]&gt;0,HS_DB[[#This Row],[Product Rank]]&lt;=10),"Yes","No")</f>
        <v>No</v>
      </c>
      <c r="BC318" s="3" t="str">
        <f>IF(AND(HS_DB[[#This Row],[Origin Rank]]&gt;0,HS_DB[[#This Row],[Origin Rank]]&lt;=10),"Yes","No")</f>
        <v>No</v>
      </c>
    </row>
    <row r="319" spans="2:55" x14ac:dyDescent="0.3">
      <c r="B319" s="2">
        <f>HS_DB[[#This Row],[Commodity Code]]</f>
        <v>320419</v>
      </c>
      <c r="C319" s="2">
        <f>IFERROR(INDEX(HS_MD!C:C,MATCH(B319,HS_MD!B:B,0),1),"")</f>
        <v>26</v>
      </c>
      <c r="D319" s="17" t="str">
        <f>IFERROR(INDEX(HS_MD!D:D,MATCH(B319,HS_MD!B:B,0),1),"")</f>
        <v>Synthetic organic coloring matter</v>
      </c>
      <c r="E319" s="17" t="str">
        <f>IFERROR(INDEX(HS_MD!E:E,MATCH(B319,HS_MD!B:B,0),1),"")</f>
        <v>Beta Carotene</v>
      </c>
      <c r="F319" s="17" t="str">
        <f>IFERROR(INDEX(HS_MD!F:F,MATCH(B319,HS_MD!B:B,0),1),"")</f>
        <v>Food Ingredients</v>
      </c>
      <c r="G319" s="17" t="str">
        <f>IFERROR(INDEX(HS_MD!G:G,MATCH(B319,HS_MD!B:B,0),1),"")</f>
        <v>Colors</v>
      </c>
      <c r="H319" s="17" t="str">
        <f>IFERROR(INDEX(HS_MD!H:H,MATCH(B319,HS_MD!B:B,0),1),"")</f>
        <v>Synthetic / Nature-Identical Colors</v>
      </c>
      <c r="I319" s="17" t="str">
        <f>IFERROR(INDEX(HS_MD!I:I,MATCH(B319,HS_MD!B:B,0),1),"")</f>
        <v>Beverages / Dairy</v>
      </c>
      <c r="J319" s="17">
        <f>IFERROR(INDEX(Heat_Map[Index],MATCH(HS_DB[[#This Row],[Reporter]],Heat_Map[Global],0),1),"")</f>
        <v>63</v>
      </c>
      <c r="K319" s="17" t="str">
        <f>IF(AND(HS_DB[[#This Row],[Origin Rank]]&gt;1,HS_DB[[#This Row],[Origin Rank]]&lt;=10),"Yes","No")</f>
        <v>No</v>
      </c>
      <c r="L319" s="2">
        <v>2024</v>
      </c>
      <c r="M319" s="2" t="s">
        <v>57</v>
      </c>
      <c r="N319" s="2" t="s">
        <v>2</v>
      </c>
      <c r="O319" s="2" t="s">
        <v>22</v>
      </c>
      <c r="P319" s="2" t="s">
        <v>23</v>
      </c>
      <c r="Q319" s="2" t="s">
        <v>24</v>
      </c>
      <c r="R319" s="2" t="s">
        <v>25</v>
      </c>
      <c r="S319" s="2">
        <v>320419</v>
      </c>
      <c r="T319" s="3">
        <v>153610</v>
      </c>
      <c r="U319" s="3">
        <v>10663.3</v>
      </c>
      <c r="V319" s="3">
        <v>0</v>
      </c>
      <c r="W319" s="3">
        <v>10663</v>
      </c>
      <c r="X319" s="3" t="s">
        <v>58</v>
      </c>
      <c r="Y319" s="3">
        <v>0</v>
      </c>
      <c r="Z319" s="3" t="s">
        <v>26</v>
      </c>
      <c r="AA319" s="6">
        <f>SUMIFS(HS_DB[Trade Value - USD],HS_DB[Reporter],HS_DB[[#This Row],[Reporter]])/SUM(HS_DB[Trade Value - USD])</f>
        <v>1.1674623358397021E-2</v>
      </c>
      <c r="AB319" s="8" cm="1">
        <f t="array" ref="AB319">SUMPRODUCT(
(HS_DB[Reporter]=HS_DB[[#This Row],[Reporter]])*
(HS_DB[Trade Value - USD]&gt;HS_DB[[#This Row],[Trade Value - USD]])
)+1</f>
        <v>18</v>
      </c>
      <c r="AC319" s="8" t="str">
        <f>IFERROR(IF(INDEX(Heat_Map[Crisis Impact %],MATCH(HS_DB[[#This Row],[Reporter]],Heat_Map[Global],0),1)&gt;0,"Yes","No"),"No")</f>
        <v>No</v>
      </c>
      <c r="AD319" s="6">
        <f>IFERROR(INDEX(Heat_Map[Crisis Impact %],MATCH(HS_DB[[#This Row],[Reporter]],Heat_Map[Global],0),1),0)</f>
        <v>0</v>
      </c>
      <c r="AE319" s="8">
        <f>HS_DB[[#This Row],[Crisis Impact%]]*HS_DB[[#This Row],[Trade Value - USD]]</f>
        <v>0</v>
      </c>
      <c r="AF319" s="8">
        <f>HS_DB[[#This Row],[Crisis Impact%]]*HS_DB[[#This Row],[Net Weight -KG]]</f>
        <v>0</v>
      </c>
      <c r="AG319" s="6">
        <f>SUMIFS(HS_DB[Trade Value - USD],HS_DB[Products],HS_DB[[#This Row],[Products]])/SUM(HS_DB[Trade Value - USD])</f>
        <v>7.9111635490056037E-3</v>
      </c>
      <c r="AH319" s="8">
        <f>_xlfn.RANK.EQ(HS_DB[[#This Row],[Trade Value - USD]], HS_DB[Trade Value - USD], 0)
 + COUNTIFS(HS_DB[Trade Value - USD],HS_DB[[#This Row],[Trade Value - USD]],
            HS_DB[HS Code],"&lt;"&amp;HS_DB[[#This Row],[HS Code]])</f>
        <v>245</v>
      </c>
      <c r="AI319" s="9">
        <f>IFERROR(HS_DB[[#This Row],[Trade Value - USD]]/HS_DB[[#This Row],[Net Weight -KG]],0)</f>
        <v>14.405484230960397</v>
      </c>
      <c r="AJ319" s="17" cm="1">
        <f t="array" ref="AJ319">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19" s="17" t="str">
        <f>IF(HS_DB[[#This Row],[HS Code Risk Score]]&gt;=40,"High",
 IF(HS_DB[[#This Row],[HS Code Risk Score]]&gt;=25,"Medium","Low"))</f>
        <v>Medium</v>
      </c>
      <c r="AL319" s="17" t="str">
        <f>IF(RANK(HS_DB[[#This Row],[HS Code Risk Score]],HS_DB[HS Code Risk Score])&lt;=10,"Yes","No")</f>
        <v>No</v>
      </c>
      <c r="AM319" s="8">
        <f>SUMIFS(HS_DB[Net Weight -KG],HS_DB[HS Code],HS_DB[[#This Row],[HS Code]])</f>
        <v>6791623.4000000004</v>
      </c>
      <c r="AN319" s="8">
        <f>SUMIFS(HS_DB[Trade Value - USD],HS_DB[HS Code],HS_DB[[#This Row],[HS Code]])</f>
        <v>14912609</v>
      </c>
      <c r="AO319" s="6">
        <f>_xlfn.MAXIFS(HS_DB[Origin Share%],HS_DB[HS Code],HS_DB[[#This Row],[HS Code]])</f>
        <v>6.321329281187793E-2</v>
      </c>
      <c r="AP319" s="8" cm="1">
        <f t="array" ref="AP319">_xlfn.LET(
_xlpm.hs,HS_DB[[#This Row],[HS Code]],
COUNTA(_xlfn.UNIQUE(_xlfn._xlws.FILTER(HS_DB[Reporter],HS_DB[HS Code]=_xlpm.hs)))
)</f>
        <v>20</v>
      </c>
      <c r="AQ319" s="17" t="str">
        <f>IF(HS_DB[[#This Row],[Origin Count]]=1,"Single Source","Multiple Sources")</f>
        <v>Multiple Sources</v>
      </c>
      <c r="AR319" s="8">
        <f>HS_DB[[#This Row],[Annual Spend - USD]]*(HS_DB[[#This Row],[HS Code Risk Score]]/100)</f>
        <v>5070287.0600000005</v>
      </c>
      <c r="AS319" s="8">
        <f>RANK(HS_DB[[#This Row],[Risk Exposure - USD]],HS_DB[Risk Exposure - USD],0)</f>
        <v>161</v>
      </c>
      <c r="AT319" s="8" t="str">
        <f>IF(HS_DB[[#This Row],[Risk Exposure Rank]]&lt;=10,"High",
 IF(HS_DB[[#This Row],[Risk Exposure Rank]]&lt;=30,"Medium",
 "Low"))</f>
        <v>Low</v>
      </c>
      <c r="AU319" s="8" t="str">
        <f>IF(HS_DB[[#This Row],[Risk Exposure Rank]]&lt;=5,"Immediate Action",
 IF(HS_DB[[#This Row],[Risk Exposure Rank]]&lt;=15,"Monitor Closely",
 "Routine Control"))</f>
        <v>Routine Control</v>
      </c>
      <c r="AV319" s="8">
        <f>SUMIFS(HS_DB[Trade Value - USD],HS_DB[HS Code],HS_DB[[#This Row],[HS Code]])</f>
        <v>14912609</v>
      </c>
      <c r="AW319" s="6">
        <f>HS_DB[[#This Row],[Annual Spend - USD]]/HS_DB[[#This Row],[Total Market Size - USD]]</f>
        <v>1</v>
      </c>
      <c r="AX319" s="6" cm="1">
        <f t="array" ref="AX319">COUNTA(_xlfn.UNIQUE(_xlfn._xlws.FILTER(HS_DB[Partner],HS_DB[HS Code]=HS_DB[[#This Row],[HS Code]])))</f>
        <v>1</v>
      </c>
      <c r="AY319" s="8" t="str">
        <f>IF(HS_DB[[#This Row],[Competition Intensity]]&lt;=2,"Highly Concentrated",
 IF(HS_DB[[#This Row],[Competition Intensity]]&lt;=5,"Moderate",
 "Highly Competitive"))</f>
        <v>Highly Concentrated</v>
      </c>
      <c r="AZ319" s="8">
        <f>HS_DB[[#This Row],[Total Market Size - USD]]
*
(1+IFERROR(#REF!,0))
/
HS_DB[[#This Row],[Competition Intensity]]</f>
        <v>14912609</v>
      </c>
      <c r="BA319" s="8" t="str">
        <f>IF(HS_DB[[#This Row],[Commercial Opportunity Score]]&gt;=PERCENTILE(HS_DB[Commercial Opportunity Score],0.9),"High Opportunity",
 IF(HS_DB[[#This Row],[Commercial Opportunity Score]]&gt;=PERCENTILE(HS_DB[Commercial Opportunity Score],0.6),"Medium Opportunity",
 "Routine Market"))</f>
        <v>Medium Opportunity</v>
      </c>
      <c r="BB319" s="3" t="str">
        <f>IF(AND(HS_DB[[#This Row],[Product Rank]]&gt;0,HS_DB[[#This Row],[Product Rank]]&lt;=10),"Yes","No")</f>
        <v>No</v>
      </c>
      <c r="BC319" s="3" t="str">
        <f>IF(AND(HS_DB[[#This Row],[Origin Rank]]&gt;0,HS_DB[[#This Row],[Origin Rank]]&lt;=10),"Yes","No")</f>
        <v>No</v>
      </c>
    </row>
    <row r="320" spans="2:55" x14ac:dyDescent="0.3">
      <c r="B320" s="2">
        <f>HS_DB[[#This Row],[Commodity Code]]</f>
        <v>320419</v>
      </c>
      <c r="C320" s="2">
        <f>IFERROR(INDEX(HS_MD!C:C,MATCH(B320,HS_MD!B:B,0),1),"")</f>
        <v>26</v>
      </c>
      <c r="D320" s="17" t="str">
        <f>IFERROR(INDEX(HS_MD!D:D,MATCH(B320,HS_MD!B:B,0),1),"")</f>
        <v>Synthetic organic coloring matter</v>
      </c>
      <c r="E320" s="17" t="str">
        <f>IFERROR(INDEX(HS_MD!E:E,MATCH(B320,HS_MD!B:B,0),1),"")</f>
        <v>Beta Carotene</v>
      </c>
      <c r="F320" s="17" t="str">
        <f>IFERROR(INDEX(HS_MD!F:F,MATCH(B320,HS_MD!B:B,0),1),"")</f>
        <v>Food Ingredients</v>
      </c>
      <c r="G320" s="17" t="str">
        <f>IFERROR(INDEX(HS_MD!G:G,MATCH(B320,HS_MD!B:B,0),1),"")</f>
        <v>Colors</v>
      </c>
      <c r="H320" s="17" t="str">
        <f>IFERROR(INDEX(HS_MD!H:H,MATCH(B320,HS_MD!B:B,0),1),"")</f>
        <v>Synthetic / Nature-Identical Colors</v>
      </c>
      <c r="I320" s="17" t="str">
        <f>IFERROR(INDEX(HS_MD!I:I,MATCH(B320,HS_MD!B:B,0),1),"")</f>
        <v>Beverages / Dairy</v>
      </c>
      <c r="J320" s="17">
        <f>IFERROR(INDEX(Heat_Map[Index],MATCH(HS_DB[[#This Row],[Reporter]],Heat_Map[Global],0),1),"")</f>
        <v>65</v>
      </c>
      <c r="K320" s="17" t="str">
        <f>IF(AND(HS_DB[[#This Row],[Origin Rank]]&gt;1,HS_DB[[#This Row],[Origin Rank]]&lt;=10),"Yes","No")</f>
        <v>No</v>
      </c>
      <c r="L320" s="2">
        <v>2024</v>
      </c>
      <c r="M320" s="2" t="s">
        <v>57</v>
      </c>
      <c r="N320" s="2" t="s">
        <v>45</v>
      </c>
      <c r="O320" s="2" t="s">
        <v>22</v>
      </c>
      <c r="P320" s="2" t="s">
        <v>23</v>
      </c>
      <c r="Q320" s="2" t="s">
        <v>24</v>
      </c>
      <c r="R320" s="2" t="s">
        <v>25</v>
      </c>
      <c r="S320" s="2">
        <v>320419</v>
      </c>
      <c r="T320" s="3">
        <v>1177657</v>
      </c>
      <c r="U320" s="3">
        <v>401042</v>
      </c>
      <c r="V320" s="3">
        <v>0</v>
      </c>
      <c r="W320" s="3">
        <v>401042</v>
      </c>
      <c r="X320" s="3" t="s">
        <v>58</v>
      </c>
      <c r="Y320" s="3">
        <v>401042</v>
      </c>
      <c r="Z320" s="3" t="s">
        <v>58</v>
      </c>
      <c r="AA320" s="6">
        <f>SUMIFS(HS_DB[Trade Value - USD],HS_DB[Reporter],HS_DB[[#This Row],[Reporter]])/SUM(HS_DB[Trade Value - USD])</f>
        <v>7.8962835084717131E-4</v>
      </c>
      <c r="AB320" s="8" cm="1">
        <f t="array" ref="AB320">SUMPRODUCT(
(HS_DB[Reporter]=HS_DB[[#This Row],[Reporter]])*
(HS_DB[Trade Value - USD]&gt;HS_DB[[#This Row],[Trade Value - USD]])
)+1</f>
        <v>1</v>
      </c>
      <c r="AC320" s="8" t="str">
        <f>IFERROR(IF(INDEX(Heat_Map[Crisis Impact %],MATCH(HS_DB[[#This Row],[Reporter]],Heat_Map[Global],0),1)&gt;0,"Yes","No"),"No")</f>
        <v>No</v>
      </c>
      <c r="AD320" s="6">
        <f>IFERROR(INDEX(Heat_Map[Crisis Impact %],MATCH(HS_DB[[#This Row],[Reporter]],Heat_Map[Global],0),1),0)</f>
        <v>0</v>
      </c>
      <c r="AE320" s="8">
        <f>HS_DB[[#This Row],[Crisis Impact%]]*HS_DB[[#This Row],[Trade Value - USD]]</f>
        <v>0</v>
      </c>
      <c r="AF320" s="8">
        <f>HS_DB[[#This Row],[Crisis Impact%]]*HS_DB[[#This Row],[Net Weight -KG]]</f>
        <v>0</v>
      </c>
      <c r="AG320" s="6">
        <f>SUMIFS(HS_DB[Trade Value - USD],HS_DB[Products],HS_DB[[#This Row],[Products]])/SUM(HS_DB[Trade Value - USD])</f>
        <v>7.9111635490056037E-3</v>
      </c>
      <c r="AH320" s="8">
        <f>_xlfn.RANK.EQ(HS_DB[[#This Row],[Trade Value - USD]], HS_DB[Trade Value - USD], 0)
 + COUNTIFS(HS_DB[Trade Value - USD],HS_DB[[#This Row],[Trade Value - USD]],
            HS_DB[HS Code],"&lt;"&amp;HS_DB[[#This Row],[HS Code]])</f>
        <v>95</v>
      </c>
      <c r="AI320" s="9">
        <f>IFERROR(HS_DB[[#This Row],[Trade Value - USD]]/HS_DB[[#This Row],[Net Weight -KG]],0)</f>
        <v>2.9364929359019754</v>
      </c>
      <c r="AJ320" s="17" cm="1">
        <f t="array" ref="AJ320">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20" s="17" t="str">
        <f>IF(HS_DB[[#This Row],[HS Code Risk Score]]&gt;=40,"High",
 IF(HS_DB[[#This Row],[HS Code Risk Score]]&gt;=25,"Medium","Low"))</f>
        <v>Medium</v>
      </c>
      <c r="AL320" s="17" t="str">
        <f>IF(RANK(HS_DB[[#This Row],[HS Code Risk Score]],HS_DB[HS Code Risk Score])&lt;=10,"Yes","No")</f>
        <v>No</v>
      </c>
      <c r="AM320" s="8">
        <f>SUMIFS(HS_DB[Net Weight -KG],HS_DB[HS Code],HS_DB[[#This Row],[HS Code]])</f>
        <v>6791623.4000000004</v>
      </c>
      <c r="AN320" s="8">
        <f>SUMIFS(HS_DB[Trade Value - USD],HS_DB[HS Code],HS_DB[[#This Row],[HS Code]])</f>
        <v>14912609</v>
      </c>
      <c r="AO320" s="6">
        <f>_xlfn.MAXIFS(HS_DB[Origin Share%],HS_DB[HS Code],HS_DB[[#This Row],[HS Code]])</f>
        <v>6.321329281187793E-2</v>
      </c>
      <c r="AP320" s="8" cm="1">
        <f t="array" ref="AP320">_xlfn.LET(
_xlpm.hs,HS_DB[[#This Row],[HS Code]],
COUNTA(_xlfn.UNIQUE(_xlfn._xlws.FILTER(HS_DB[Reporter],HS_DB[HS Code]=_xlpm.hs)))
)</f>
        <v>20</v>
      </c>
      <c r="AQ320" s="17" t="str">
        <f>IF(HS_DB[[#This Row],[Origin Count]]=1,"Single Source","Multiple Sources")</f>
        <v>Multiple Sources</v>
      </c>
      <c r="AR320" s="8">
        <f>HS_DB[[#This Row],[Annual Spend - USD]]*(HS_DB[[#This Row],[HS Code Risk Score]]/100)</f>
        <v>5070287.0600000005</v>
      </c>
      <c r="AS320" s="8">
        <f>RANK(HS_DB[[#This Row],[Risk Exposure - USD]],HS_DB[Risk Exposure - USD],0)</f>
        <v>161</v>
      </c>
      <c r="AT320" s="8" t="str">
        <f>IF(HS_DB[[#This Row],[Risk Exposure Rank]]&lt;=10,"High",
 IF(HS_DB[[#This Row],[Risk Exposure Rank]]&lt;=30,"Medium",
 "Low"))</f>
        <v>Low</v>
      </c>
      <c r="AU320" s="8" t="str">
        <f>IF(HS_DB[[#This Row],[Risk Exposure Rank]]&lt;=5,"Immediate Action",
 IF(HS_DB[[#This Row],[Risk Exposure Rank]]&lt;=15,"Monitor Closely",
 "Routine Control"))</f>
        <v>Routine Control</v>
      </c>
      <c r="AV320" s="8">
        <f>SUMIFS(HS_DB[Trade Value - USD],HS_DB[HS Code],HS_DB[[#This Row],[HS Code]])</f>
        <v>14912609</v>
      </c>
      <c r="AW320" s="6">
        <f>HS_DB[[#This Row],[Annual Spend - USD]]/HS_DB[[#This Row],[Total Market Size - USD]]</f>
        <v>1</v>
      </c>
      <c r="AX320" s="6" cm="1">
        <f t="array" ref="AX320">COUNTA(_xlfn.UNIQUE(_xlfn._xlws.FILTER(HS_DB[Partner],HS_DB[HS Code]=HS_DB[[#This Row],[HS Code]])))</f>
        <v>1</v>
      </c>
      <c r="AY320" s="8" t="str">
        <f>IF(HS_DB[[#This Row],[Competition Intensity]]&lt;=2,"Highly Concentrated",
 IF(HS_DB[[#This Row],[Competition Intensity]]&lt;=5,"Moderate",
 "Highly Competitive"))</f>
        <v>Highly Concentrated</v>
      </c>
      <c r="AZ320" s="8">
        <f>HS_DB[[#This Row],[Total Market Size - USD]]
*
(1+IFERROR(#REF!,0))
/
HS_DB[[#This Row],[Competition Intensity]]</f>
        <v>14912609</v>
      </c>
      <c r="BA320" s="8" t="str">
        <f>IF(HS_DB[[#This Row],[Commercial Opportunity Score]]&gt;=PERCENTILE(HS_DB[Commercial Opportunity Score],0.9),"High Opportunity",
 IF(HS_DB[[#This Row],[Commercial Opportunity Score]]&gt;=PERCENTILE(HS_DB[Commercial Opportunity Score],0.6),"Medium Opportunity",
 "Routine Market"))</f>
        <v>Medium Opportunity</v>
      </c>
      <c r="BB320" s="3" t="str">
        <f>IF(AND(HS_DB[[#This Row],[Product Rank]]&gt;0,HS_DB[[#This Row],[Product Rank]]&lt;=10),"Yes","No")</f>
        <v>No</v>
      </c>
      <c r="BC320" s="3" t="str">
        <f>IF(AND(HS_DB[[#This Row],[Origin Rank]]&gt;0,HS_DB[[#This Row],[Origin Rank]]&lt;=10),"Yes","No")</f>
        <v>Yes</v>
      </c>
    </row>
    <row r="321" spans="2:55" x14ac:dyDescent="0.3">
      <c r="B321" s="2">
        <f>HS_DB[[#This Row],[Commodity Code]]</f>
        <v>320419</v>
      </c>
      <c r="C321" s="2">
        <f>IFERROR(INDEX(HS_MD!C:C,MATCH(B321,HS_MD!B:B,0),1),"")</f>
        <v>26</v>
      </c>
      <c r="D321" s="17" t="str">
        <f>IFERROR(INDEX(HS_MD!D:D,MATCH(B321,HS_MD!B:B,0),1),"")</f>
        <v>Synthetic organic coloring matter</v>
      </c>
      <c r="E321" s="17" t="str">
        <f>IFERROR(INDEX(HS_MD!E:E,MATCH(B321,HS_MD!B:B,0),1),"")</f>
        <v>Beta Carotene</v>
      </c>
      <c r="F321" s="17" t="str">
        <f>IFERROR(INDEX(HS_MD!F:F,MATCH(B321,HS_MD!B:B,0),1),"")</f>
        <v>Food Ingredients</v>
      </c>
      <c r="G321" s="17" t="str">
        <f>IFERROR(INDEX(HS_MD!G:G,MATCH(B321,HS_MD!B:B,0),1),"")</f>
        <v>Colors</v>
      </c>
      <c r="H321" s="17" t="str">
        <f>IFERROR(INDEX(HS_MD!H:H,MATCH(B321,HS_MD!B:B,0),1),"")</f>
        <v>Synthetic / Nature-Identical Colors</v>
      </c>
      <c r="I321" s="17" t="str">
        <f>IFERROR(INDEX(HS_MD!I:I,MATCH(B321,HS_MD!B:B,0),1),"")</f>
        <v>Beverages / Dairy</v>
      </c>
      <c r="J321" s="17">
        <f>IFERROR(INDEX(Heat_Map[Index],MATCH(HS_DB[[#This Row],[Reporter]],Heat_Map[Global],0),1),"")</f>
        <v>79</v>
      </c>
      <c r="K321" s="17" t="str">
        <f>IF(AND(HS_DB[[#This Row],[Origin Rank]]&gt;1,HS_DB[[#This Row],[Origin Rank]]&lt;=10),"Yes","No")</f>
        <v>No</v>
      </c>
      <c r="L321" s="2">
        <v>2024</v>
      </c>
      <c r="M321" s="2" t="s">
        <v>57</v>
      </c>
      <c r="N321" s="2" t="s">
        <v>48</v>
      </c>
      <c r="O321" s="2" t="s">
        <v>22</v>
      </c>
      <c r="P321" s="2" t="s">
        <v>23</v>
      </c>
      <c r="Q321" s="2" t="s">
        <v>24</v>
      </c>
      <c r="R321" s="2" t="s">
        <v>25</v>
      </c>
      <c r="S321" s="2">
        <v>320419</v>
      </c>
      <c r="T321" s="3">
        <v>253034</v>
      </c>
      <c r="U321" s="3">
        <v>8402</v>
      </c>
      <c r="V321" s="3">
        <v>0</v>
      </c>
      <c r="W321" s="3">
        <v>8402</v>
      </c>
      <c r="X321" s="3" t="s">
        <v>58</v>
      </c>
      <c r="Y321" s="3">
        <v>8402</v>
      </c>
      <c r="Z321" s="3" t="s">
        <v>58</v>
      </c>
      <c r="AA321" s="6">
        <f>SUMIFS(HS_DB[Trade Value - USD],HS_DB[Reporter],HS_DB[[#This Row],[Reporter]])/SUM(HS_DB[Trade Value - USD])</f>
        <v>4.9588465845200368E-3</v>
      </c>
      <c r="AB321" s="8" cm="1">
        <f t="array" ref="AB321">SUMPRODUCT(
(HS_DB[Reporter]=HS_DB[[#This Row],[Reporter]])*
(HS_DB[Trade Value - USD]&gt;HS_DB[[#This Row],[Trade Value - USD]])
)+1</f>
        <v>11</v>
      </c>
      <c r="AC321" s="8" t="str">
        <f>IFERROR(IF(INDEX(Heat_Map[Crisis Impact %],MATCH(HS_DB[[#This Row],[Reporter]],Heat_Map[Global],0),1)&gt;0,"Yes","No"),"No")</f>
        <v>No</v>
      </c>
      <c r="AD321" s="6">
        <f>IFERROR(INDEX(Heat_Map[Crisis Impact %],MATCH(HS_DB[[#This Row],[Reporter]],Heat_Map[Global],0),1),0)</f>
        <v>0</v>
      </c>
      <c r="AE321" s="8">
        <f>HS_DB[[#This Row],[Crisis Impact%]]*HS_DB[[#This Row],[Trade Value - USD]]</f>
        <v>0</v>
      </c>
      <c r="AF321" s="8">
        <f>HS_DB[[#This Row],[Crisis Impact%]]*HS_DB[[#This Row],[Net Weight -KG]]</f>
        <v>0</v>
      </c>
      <c r="AG321" s="6">
        <f>SUMIFS(HS_DB[Trade Value - USD],HS_DB[Products],HS_DB[[#This Row],[Products]])/SUM(HS_DB[Trade Value - USD])</f>
        <v>7.9111635490056037E-3</v>
      </c>
      <c r="AH321" s="8">
        <f>_xlfn.RANK.EQ(HS_DB[[#This Row],[Trade Value - USD]], HS_DB[Trade Value - USD], 0)
 + COUNTIFS(HS_DB[Trade Value - USD],HS_DB[[#This Row],[Trade Value - USD]],
            HS_DB[HS Code],"&lt;"&amp;HS_DB[[#This Row],[HS Code]])</f>
        <v>201</v>
      </c>
      <c r="AI321" s="9">
        <f>IFERROR(HS_DB[[#This Row],[Trade Value - USD]]/HS_DB[[#This Row],[Net Weight -KG]],0)</f>
        <v>30.115924779814328</v>
      </c>
      <c r="AJ321" s="17" cm="1">
        <f t="array" ref="AJ321">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21" s="17" t="str">
        <f>IF(HS_DB[[#This Row],[HS Code Risk Score]]&gt;=40,"High",
 IF(HS_DB[[#This Row],[HS Code Risk Score]]&gt;=25,"Medium","Low"))</f>
        <v>Medium</v>
      </c>
      <c r="AL321" s="17" t="str">
        <f>IF(RANK(HS_DB[[#This Row],[HS Code Risk Score]],HS_DB[HS Code Risk Score])&lt;=10,"Yes","No")</f>
        <v>No</v>
      </c>
      <c r="AM321" s="8">
        <f>SUMIFS(HS_DB[Net Weight -KG],HS_DB[HS Code],HS_DB[[#This Row],[HS Code]])</f>
        <v>6791623.4000000004</v>
      </c>
      <c r="AN321" s="8">
        <f>SUMIFS(HS_DB[Trade Value - USD],HS_DB[HS Code],HS_DB[[#This Row],[HS Code]])</f>
        <v>14912609</v>
      </c>
      <c r="AO321" s="6">
        <f>_xlfn.MAXIFS(HS_DB[Origin Share%],HS_DB[HS Code],HS_DB[[#This Row],[HS Code]])</f>
        <v>6.321329281187793E-2</v>
      </c>
      <c r="AP321" s="8" cm="1">
        <f t="array" ref="AP321">_xlfn.LET(
_xlpm.hs,HS_DB[[#This Row],[HS Code]],
COUNTA(_xlfn.UNIQUE(_xlfn._xlws.FILTER(HS_DB[Reporter],HS_DB[HS Code]=_xlpm.hs)))
)</f>
        <v>20</v>
      </c>
      <c r="AQ321" s="17" t="str">
        <f>IF(HS_DB[[#This Row],[Origin Count]]=1,"Single Source","Multiple Sources")</f>
        <v>Multiple Sources</v>
      </c>
      <c r="AR321" s="8">
        <f>HS_DB[[#This Row],[Annual Spend - USD]]*(HS_DB[[#This Row],[HS Code Risk Score]]/100)</f>
        <v>5070287.0600000005</v>
      </c>
      <c r="AS321" s="8">
        <f>RANK(HS_DB[[#This Row],[Risk Exposure - USD]],HS_DB[Risk Exposure - USD],0)</f>
        <v>161</v>
      </c>
      <c r="AT321" s="8" t="str">
        <f>IF(HS_DB[[#This Row],[Risk Exposure Rank]]&lt;=10,"High",
 IF(HS_DB[[#This Row],[Risk Exposure Rank]]&lt;=30,"Medium",
 "Low"))</f>
        <v>Low</v>
      </c>
      <c r="AU321" s="8" t="str">
        <f>IF(HS_DB[[#This Row],[Risk Exposure Rank]]&lt;=5,"Immediate Action",
 IF(HS_DB[[#This Row],[Risk Exposure Rank]]&lt;=15,"Monitor Closely",
 "Routine Control"))</f>
        <v>Routine Control</v>
      </c>
      <c r="AV321" s="8">
        <f>SUMIFS(HS_DB[Trade Value - USD],HS_DB[HS Code],HS_DB[[#This Row],[HS Code]])</f>
        <v>14912609</v>
      </c>
      <c r="AW321" s="6">
        <f>HS_DB[[#This Row],[Annual Spend - USD]]/HS_DB[[#This Row],[Total Market Size - USD]]</f>
        <v>1</v>
      </c>
      <c r="AX321" s="6" cm="1">
        <f t="array" ref="AX321">COUNTA(_xlfn.UNIQUE(_xlfn._xlws.FILTER(HS_DB[Partner],HS_DB[HS Code]=HS_DB[[#This Row],[HS Code]])))</f>
        <v>1</v>
      </c>
      <c r="AY321" s="8" t="str">
        <f>IF(HS_DB[[#This Row],[Competition Intensity]]&lt;=2,"Highly Concentrated",
 IF(HS_DB[[#This Row],[Competition Intensity]]&lt;=5,"Moderate",
 "Highly Competitive"))</f>
        <v>Highly Concentrated</v>
      </c>
      <c r="AZ321" s="8">
        <f>HS_DB[[#This Row],[Total Market Size - USD]]
*
(1+IFERROR(#REF!,0))
/
HS_DB[[#This Row],[Competition Intensity]]</f>
        <v>14912609</v>
      </c>
      <c r="BA321" s="8" t="str">
        <f>IF(HS_DB[[#This Row],[Commercial Opportunity Score]]&gt;=PERCENTILE(HS_DB[Commercial Opportunity Score],0.9),"High Opportunity",
 IF(HS_DB[[#This Row],[Commercial Opportunity Score]]&gt;=PERCENTILE(HS_DB[Commercial Opportunity Score],0.6),"Medium Opportunity",
 "Routine Market"))</f>
        <v>Medium Opportunity</v>
      </c>
      <c r="BB321" s="3" t="str">
        <f>IF(AND(HS_DB[[#This Row],[Product Rank]]&gt;0,HS_DB[[#This Row],[Product Rank]]&lt;=10),"Yes","No")</f>
        <v>No</v>
      </c>
      <c r="BC321" s="3" t="str">
        <f>IF(AND(HS_DB[[#This Row],[Origin Rank]]&gt;0,HS_DB[[#This Row],[Origin Rank]]&lt;=10),"Yes","No")</f>
        <v>No</v>
      </c>
    </row>
    <row r="322" spans="2:55" x14ac:dyDescent="0.3">
      <c r="B322" s="2">
        <f>HS_DB[[#This Row],[Commodity Code]]</f>
        <v>320419</v>
      </c>
      <c r="C322" s="2">
        <f>IFERROR(INDEX(HS_MD!C:C,MATCH(B322,HS_MD!B:B,0),1),"")</f>
        <v>26</v>
      </c>
      <c r="D322" s="17" t="str">
        <f>IFERROR(INDEX(HS_MD!D:D,MATCH(B322,HS_MD!B:B,0),1),"")</f>
        <v>Synthetic organic coloring matter</v>
      </c>
      <c r="E322" s="17" t="str">
        <f>IFERROR(INDEX(HS_MD!E:E,MATCH(B322,HS_MD!B:B,0),1),"")</f>
        <v>Beta Carotene</v>
      </c>
      <c r="F322" s="17" t="str">
        <f>IFERROR(INDEX(HS_MD!F:F,MATCH(B322,HS_MD!B:B,0),1),"")</f>
        <v>Food Ingredients</v>
      </c>
      <c r="G322" s="17" t="str">
        <f>IFERROR(INDEX(HS_MD!G:G,MATCH(B322,HS_MD!B:B,0),1),"")</f>
        <v>Colors</v>
      </c>
      <c r="H322" s="17" t="str">
        <f>IFERROR(INDEX(HS_MD!H:H,MATCH(B322,HS_MD!B:B,0),1),"")</f>
        <v>Synthetic / Nature-Identical Colors</v>
      </c>
      <c r="I322" s="17" t="str">
        <f>IFERROR(INDEX(HS_MD!I:I,MATCH(B322,HS_MD!B:B,0),1),"")</f>
        <v>Beverages / Dairy</v>
      </c>
      <c r="J322" s="17">
        <f>IFERROR(INDEX(Heat_Map[Index],MATCH(HS_DB[[#This Row],[Reporter]],Heat_Map[Global],0),1),"")</f>
        <v>81</v>
      </c>
      <c r="K322" s="17" t="str">
        <f>IF(AND(HS_DB[[#This Row],[Origin Rank]]&gt;1,HS_DB[[#This Row],[Origin Rank]]&lt;=10),"Yes","No")</f>
        <v>Yes</v>
      </c>
      <c r="L322" s="2">
        <v>2024</v>
      </c>
      <c r="M322" s="2" t="s">
        <v>57</v>
      </c>
      <c r="N322" s="2" t="s">
        <v>49</v>
      </c>
      <c r="O322" s="2" t="s">
        <v>22</v>
      </c>
      <c r="P322" s="2" t="s">
        <v>23</v>
      </c>
      <c r="Q322" s="2" t="s">
        <v>24</v>
      </c>
      <c r="R322" s="2" t="s">
        <v>25</v>
      </c>
      <c r="S322" s="2">
        <v>320419</v>
      </c>
      <c r="T322" s="3">
        <v>594756</v>
      </c>
      <c r="U322" s="3">
        <v>59550</v>
      </c>
      <c r="V322" s="3">
        <v>0</v>
      </c>
      <c r="W322" s="3">
        <v>59550</v>
      </c>
      <c r="X322" s="3" t="s">
        <v>58</v>
      </c>
      <c r="Y322" s="3">
        <v>59550</v>
      </c>
      <c r="Z322" s="3" t="s">
        <v>58</v>
      </c>
      <c r="AA322" s="6">
        <f>SUMIFS(HS_DB[Trade Value - USD],HS_DB[Reporter],HS_DB[[#This Row],[Reporter]])/SUM(HS_DB[Trade Value - USD])</f>
        <v>1.1178535358665947E-2</v>
      </c>
      <c r="AB322" s="8" cm="1">
        <f t="array" ref="AB322">SUMPRODUCT(
(HS_DB[Reporter]=HS_DB[[#This Row],[Reporter]])*
(HS_DB[Trade Value - USD]&gt;HS_DB[[#This Row],[Trade Value - USD]])
)+1</f>
        <v>6</v>
      </c>
      <c r="AC322" s="8" t="str">
        <f>IFERROR(IF(INDEX(Heat_Map[Crisis Impact %],MATCH(HS_DB[[#This Row],[Reporter]],Heat_Map[Global],0),1)&gt;0,"Yes","No"),"No")</f>
        <v>No</v>
      </c>
      <c r="AD322" s="6">
        <f>IFERROR(INDEX(Heat_Map[Crisis Impact %],MATCH(HS_DB[[#This Row],[Reporter]],Heat_Map[Global],0),1),0)</f>
        <v>0</v>
      </c>
      <c r="AE322" s="8">
        <f>HS_DB[[#This Row],[Crisis Impact%]]*HS_DB[[#This Row],[Trade Value - USD]]</f>
        <v>0</v>
      </c>
      <c r="AF322" s="8">
        <f>HS_DB[[#This Row],[Crisis Impact%]]*HS_DB[[#This Row],[Net Weight -KG]]</f>
        <v>0</v>
      </c>
      <c r="AG322" s="6">
        <f>SUMIFS(HS_DB[Trade Value - USD],HS_DB[Products],HS_DB[[#This Row],[Products]])/SUM(HS_DB[Trade Value - USD])</f>
        <v>7.9111635490056037E-3</v>
      </c>
      <c r="AH322" s="8">
        <f>_xlfn.RANK.EQ(HS_DB[[#This Row],[Trade Value - USD]], HS_DB[Trade Value - USD], 0)
 + COUNTIFS(HS_DB[Trade Value - USD],HS_DB[[#This Row],[Trade Value - USD]],
            HS_DB[HS Code],"&lt;"&amp;HS_DB[[#This Row],[HS Code]])</f>
        <v>133</v>
      </c>
      <c r="AI322" s="9">
        <f>IFERROR(HS_DB[[#This Row],[Trade Value - USD]]/HS_DB[[#This Row],[Net Weight -KG]],0)</f>
        <v>9.9875062972292188</v>
      </c>
      <c r="AJ322" s="17" cm="1">
        <f t="array" ref="AJ322">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22" s="17" t="str">
        <f>IF(HS_DB[[#This Row],[HS Code Risk Score]]&gt;=40,"High",
 IF(HS_DB[[#This Row],[HS Code Risk Score]]&gt;=25,"Medium","Low"))</f>
        <v>Medium</v>
      </c>
      <c r="AL322" s="17" t="str">
        <f>IF(RANK(HS_DB[[#This Row],[HS Code Risk Score]],HS_DB[HS Code Risk Score])&lt;=10,"Yes","No")</f>
        <v>No</v>
      </c>
      <c r="AM322" s="8">
        <f>SUMIFS(HS_DB[Net Weight -KG],HS_DB[HS Code],HS_DB[[#This Row],[HS Code]])</f>
        <v>6791623.4000000004</v>
      </c>
      <c r="AN322" s="8">
        <f>SUMIFS(HS_DB[Trade Value - USD],HS_DB[HS Code],HS_DB[[#This Row],[HS Code]])</f>
        <v>14912609</v>
      </c>
      <c r="AO322" s="6">
        <f>_xlfn.MAXIFS(HS_DB[Origin Share%],HS_DB[HS Code],HS_DB[[#This Row],[HS Code]])</f>
        <v>6.321329281187793E-2</v>
      </c>
      <c r="AP322" s="8" cm="1">
        <f t="array" ref="AP322">_xlfn.LET(
_xlpm.hs,HS_DB[[#This Row],[HS Code]],
COUNTA(_xlfn.UNIQUE(_xlfn._xlws.FILTER(HS_DB[Reporter],HS_DB[HS Code]=_xlpm.hs)))
)</f>
        <v>20</v>
      </c>
      <c r="AQ322" s="17" t="str">
        <f>IF(HS_DB[[#This Row],[Origin Count]]=1,"Single Source","Multiple Sources")</f>
        <v>Multiple Sources</v>
      </c>
      <c r="AR322" s="8">
        <f>HS_DB[[#This Row],[Annual Spend - USD]]*(HS_DB[[#This Row],[HS Code Risk Score]]/100)</f>
        <v>5070287.0600000005</v>
      </c>
      <c r="AS322" s="8">
        <f>RANK(HS_DB[[#This Row],[Risk Exposure - USD]],HS_DB[Risk Exposure - USD],0)</f>
        <v>161</v>
      </c>
      <c r="AT322" s="8" t="str">
        <f>IF(HS_DB[[#This Row],[Risk Exposure Rank]]&lt;=10,"High",
 IF(HS_DB[[#This Row],[Risk Exposure Rank]]&lt;=30,"Medium",
 "Low"))</f>
        <v>Low</v>
      </c>
      <c r="AU322" s="8" t="str">
        <f>IF(HS_DB[[#This Row],[Risk Exposure Rank]]&lt;=5,"Immediate Action",
 IF(HS_DB[[#This Row],[Risk Exposure Rank]]&lt;=15,"Monitor Closely",
 "Routine Control"))</f>
        <v>Routine Control</v>
      </c>
      <c r="AV322" s="8">
        <f>SUMIFS(HS_DB[Trade Value - USD],HS_DB[HS Code],HS_DB[[#This Row],[HS Code]])</f>
        <v>14912609</v>
      </c>
      <c r="AW322" s="6">
        <f>HS_DB[[#This Row],[Annual Spend - USD]]/HS_DB[[#This Row],[Total Market Size - USD]]</f>
        <v>1</v>
      </c>
      <c r="AX322" s="6" cm="1">
        <f t="array" ref="AX322">COUNTA(_xlfn.UNIQUE(_xlfn._xlws.FILTER(HS_DB[Partner],HS_DB[HS Code]=HS_DB[[#This Row],[HS Code]])))</f>
        <v>1</v>
      </c>
      <c r="AY322" s="8" t="str">
        <f>IF(HS_DB[[#This Row],[Competition Intensity]]&lt;=2,"Highly Concentrated",
 IF(HS_DB[[#This Row],[Competition Intensity]]&lt;=5,"Moderate",
 "Highly Competitive"))</f>
        <v>Highly Concentrated</v>
      </c>
      <c r="AZ322" s="8">
        <f>HS_DB[[#This Row],[Total Market Size - USD]]
*
(1+IFERROR(#REF!,0))
/
HS_DB[[#This Row],[Competition Intensity]]</f>
        <v>14912609</v>
      </c>
      <c r="BA322" s="8" t="str">
        <f>IF(HS_DB[[#This Row],[Commercial Opportunity Score]]&gt;=PERCENTILE(HS_DB[Commercial Opportunity Score],0.9),"High Opportunity",
 IF(HS_DB[[#This Row],[Commercial Opportunity Score]]&gt;=PERCENTILE(HS_DB[Commercial Opportunity Score],0.6),"Medium Opportunity",
 "Routine Market"))</f>
        <v>Medium Opportunity</v>
      </c>
      <c r="BB322" s="3" t="str">
        <f>IF(AND(HS_DB[[#This Row],[Product Rank]]&gt;0,HS_DB[[#This Row],[Product Rank]]&lt;=10),"Yes","No")</f>
        <v>No</v>
      </c>
      <c r="BC322" s="3" t="str">
        <f>IF(AND(HS_DB[[#This Row],[Origin Rank]]&gt;0,HS_DB[[#This Row],[Origin Rank]]&lt;=10),"Yes","No")</f>
        <v>Yes</v>
      </c>
    </row>
    <row r="323" spans="2:55" x14ac:dyDescent="0.3">
      <c r="B323" s="2">
        <f>HS_DB[[#This Row],[Commodity Code]]</f>
        <v>320419</v>
      </c>
      <c r="C323" s="2">
        <f>IFERROR(INDEX(HS_MD!C:C,MATCH(B323,HS_MD!B:B,0),1),"")</f>
        <v>26</v>
      </c>
      <c r="D323" s="17" t="str">
        <f>IFERROR(INDEX(HS_MD!D:D,MATCH(B323,HS_MD!B:B,0),1),"")</f>
        <v>Synthetic organic coloring matter</v>
      </c>
      <c r="E323" s="17" t="str">
        <f>IFERROR(INDEX(HS_MD!E:E,MATCH(B323,HS_MD!B:B,0),1),"")</f>
        <v>Beta Carotene</v>
      </c>
      <c r="F323" s="17" t="str">
        <f>IFERROR(INDEX(HS_MD!F:F,MATCH(B323,HS_MD!B:B,0),1),"")</f>
        <v>Food Ingredients</v>
      </c>
      <c r="G323" s="17" t="str">
        <f>IFERROR(INDEX(HS_MD!G:G,MATCH(B323,HS_MD!B:B,0),1),"")</f>
        <v>Colors</v>
      </c>
      <c r="H323" s="17" t="str">
        <f>IFERROR(INDEX(HS_MD!H:H,MATCH(B323,HS_MD!B:B,0),1),"")</f>
        <v>Synthetic / Nature-Identical Colors</v>
      </c>
      <c r="I323" s="17" t="str">
        <f>IFERROR(INDEX(HS_MD!I:I,MATCH(B323,HS_MD!B:B,0),1),"")</f>
        <v>Beverages / Dairy</v>
      </c>
      <c r="J323" s="17">
        <f>IFERROR(INDEX(Heat_Map[Index],MATCH(HS_DB[[#This Row],[Reporter]],Heat_Map[Global],0),1),"")</f>
        <v>84</v>
      </c>
      <c r="K323" s="17" t="str">
        <f>IF(AND(HS_DB[[#This Row],[Origin Rank]]&gt;1,HS_DB[[#This Row],[Origin Rank]]&lt;=10),"Yes","No")</f>
        <v>Yes</v>
      </c>
      <c r="L323" s="2">
        <v>2024</v>
      </c>
      <c r="M323" s="2" t="s">
        <v>57</v>
      </c>
      <c r="N323" s="2" t="s">
        <v>150</v>
      </c>
      <c r="O323" s="2" t="s">
        <v>22</v>
      </c>
      <c r="P323" s="2" t="s">
        <v>23</v>
      </c>
      <c r="Q323" s="2" t="s">
        <v>24</v>
      </c>
      <c r="R323" s="2" t="s">
        <v>25</v>
      </c>
      <c r="S323" s="2">
        <v>320419</v>
      </c>
      <c r="T323" s="3">
        <v>716</v>
      </c>
      <c r="U323" s="3">
        <v>30</v>
      </c>
      <c r="V323" s="3">
        <v>0</v>
      </c>
      <c r="W323" s="3">
        <v>30</v>
      </c>
      <c r="X323" s="3" t="s">
        <v>58</v>
      </c>
      <c r="Y323" s="3">
        <v>30</v>
      </c>
      <c r="Z323" s="3" t="s">
        <v>58</v>
      </c>
      <c r="AA323" s="6">
        <f>SUMIFS(HS_DB[Trade Value - USD],HS_DB[Reporter],HS_DB[[#This Row],[Reporter]])/SUM(HS_DB[Trade Value - USD])</f>
        <v>2.8246411344990648E-3</v>
      </c>
      <c r="AB323" s="8" cm="1">
        <f t="array" ref="AB323">SUMPRODUCT(
(HS_DB[Reporter]=HS_DB[[#This Row],[Reporter]])*
(HS_DB[Trade Value - USD]&gt;HS_DB[[#This Row],[Trade Value - USD]])
)+1</f>
        <v>3</v>
      </c>
      <c r="AC323" s="8" t="str">
        <f>IFERROR(IF(INDEX(Heat_Map[Crisis Impact %],MATCH(HS_DB[[#This Row],[Reporter]],Heat_Map[Global],0),1)&gt;0,"Yes","No"),"No")</f>
        <v>No</v>
      </c>
      <c r="AD323" s="6">
        <f>IFERROR(INDEX(Heat_Map[Crisis Impact %],MATCH(HS_DB[[#This Row],[Reporter]],Heat_Map[Global],0),1),0)</f>
        <v>0</v>
      </c>
      <c r="AE323" s="8">
        <f>HS_DB[[#This Row],[Crisis Impact%]]*HS_DB[[#This Row],[Trade Value - USD]]</f>
        <v>0</v>
      </c>
      <c r="AF323" s="8">
        <f>HS_DB[[#This Row],[Crisis Impact%]]*HS_DB[[#This Row],[Net Weight -KG]]</f>
        <v>0</v>
      </c>
      <c r="AG323" s="6">
        <f>SUMIFS(HS_DB[Trade Value - USD],HS_DB[Products],HS_DB[[#This Row],[Products]])/SUM(HS_DB[Trade Value - USD])</f>
        <v>7.9111635490056037E-3</v>
      </c>
      <c r="AH323" s="8">
        <f>_xlfn.RANK.EQ(HS_DB[[#This Row],[Trade Value - USD]], HS_DB[Trade Value - USD], 0)
 + COUNTIFS(HS_DB[Trade Value - USD],HS_DB[[#This Row],[Trade Value - USD]],
            HS_DB[HS Code],"&lt;"&amp;HS_DB[[#This Row],[HS Code]])</f>
        <v>490</v>
      </c>
      <c r="AI323" s="9">
        <f>IFERROR(HS_DB[[#This Row],[Trade Value - USD]]/HS_DB[[#This Row],[Net Weight -KG]],0)</f>
        <v>23.866666666666667</v>
      </c>
      <c r="AJ323" s="17" cm="1">
        <f t="array" ref="AJ323">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23" s="17" t="str">
        <f>IF(HS_DB[[#This Row],[HS Code Risk Score]]&gt;=40,"High",
 IF(HS_DB[[#This Row],[HS Code Risk Score]]&gt;=25,"Medium","Low"))</f>
        <v>Medium</v>
      </c>
      <c r="AL323" s="17" t="str">
        <f>IF(RANK(HS_DB[[#This Row],[HS Code Risk Score]],HS_DB[HS Code Risk Score])&lt;=10,"Yes","No")</f>
        <v>No</v>
      </c>
      <c r="AM323" s="8">
        <f>SUMIFS(HS_DB[Net Weight -KG],HS_DB[HS Code],HS_DB[[#This Row],[HS Code]])</f>
        <v>6791623.4000000004</v>
      </c>
      <c r="AN323" s="8">
        <f>SUMIFS(HS_DB[Trade Value - USD],HS_DB[HS Code],HS_DB[[#This Row],[HS Code]])</f>
        <v>14912609</v>
      </c>
      <c r="AO323" s="6">
        <f>_xlfn.MAXIFS(HS_DB[Origin Share%],HS_DB[HS Code],HS_DB[[#This Row],[HS Code]])</f>
        <v>6.321329281187793E-2</v>
      </c>
      <c r="AP323" s="8" cm="1">
        <f t="array" ref="AP323">_xlfn.LET(
_xlpm.hs,HS_DB[[#This Row],[HS Code]],
COUNTA(_xlfn.UNIQUE(_xlfn._xlws.FILTER(HS_DB[Reporter],HS_DB[HS Code]=_xlpm.hs)))
)</f>
        <v>20</v>
      </c>
      <c r="AQ323" s="17" t="str">
        <f>IF(HS_DB[[#This Row],[Origin Count]]=1,"Single Source","Multiple Sources")</f>
        <v>Multiple Sources</v>
      </c>
      <c r="AR323" s="8">
        <f>HS_DB[[#This Row],[Annual Spend - USD]]*(HS_DB[[#This Row],[HS Code Risk Score]]/100)</f>
        <v>5070287.0600000005</v>
      </c>
      <c r="AS323" s="8">
        <f>RANK(HS_DB[[#This Row],[Risk Exposure - USD]],HS_DB[Risk Exposure - USD],0)</f>
        <v>161</v>
      </c>
      <c r="AT323" s="8" t="str">
        <f>IF(HS_DB[[#This Row],[Risk Exposure Rank]]&lt;=10,"High",
 IF(HS_DB[[#This Row],[Risk Exposure Rank]]&lt;=30,"Medium",
 "Low"))</f>
        <v>Low</v>
      </c>
      <c r="AU323" s="8" t="str">
        <f>IF(HS_DB[[#This Row],[Risk Exposure Rank]]&lt;=5,"Immediate Action",
 IF(HS_DB[[#This Row],[Risk Exposure Rank]]&lt;=15,"Monitor Closely",
 "Routine Control"))</f>
        <v>Routine Control</v>
      </c>
      <c r="AV323" s="8">
        <f>SUMIFS(HS_DB[Trade Value - USD],HS_DB[HS Code],HS_DB[[#This Row],[HS Code]])</f>
        <v>14912609</v>
      </c>
      <c r="AW323" s="6">
        <f>HS_DB[[#This Row],[Annual Spend - USD]]/HS_DB[[#This Row],[Total Market Size - USD]]</f>
        <v>1</v>
      </c>
      <c r="AX323" s="6" cm="1">
        <f t="array" ref="AX323">COUNTA(_xlfn.UNIQUE(_xlfn._xlws.FILTER(HS_DB[Partner],HS_DB[HS Code]=HS_DB[[#This Row],[HS Code]])))</f>
        <v>1</v>
      </c>
      <c r="AY323" s="8" t="str">
        <f>IF(HS_DB[[#This Row],[Competition Intensity]]&lt;=2,"Highly Concentrated",
 IF(HS_DB[[#This Row],[Competition Intensity]]&lt;=5,"Moderate",
 "Highly Competitive"))</f>
        <v>Highly Concentrated</v>
      </c>
      <c r="AZ323" s="8">
        <f>HS_DB[[#This Row],[Total Market Size - USD]]
*
(1+IFERROR(#REF!,0))
/
HS_DB[[#This Row],[Competition Intensity]]</f>
        <v>14912609</v>
      </c>
      <c r="BA323" s="8" t="str">
        <f>IF(HS_DB[[#This Row],[Commercial Opportunity Score]]&gt;=PERCENTILE(HS_DB[Commercial Opportunity Score],0.9),"High Opportunity",
 IF(HS_DB[[#This Row],[Commercial Opportunity Score]]&gt;=PERCENTILE(HS_DB[Commercial Opportunity Score],0.6),"Medium Opportunity",
 "Routine Market"))</f>
        <v>Medium Opportunity</v>
      </c>
      <c r="BB323" s="3" t="str">
        <f>IF(AND(HS_DB[[#This Row],[Product Rank]]&gt;0,HS_DB[[#This Row],[Product Rank]]&lt;=10),"Yes","No")</f>
        <v>No</v>
      </c>
      <c r="BC323" s="3" t="str">
        <f>IF(AND(HS_DB[[#This Row],[Origin Rank]]&gt;0,HS_DB[[#This Row],[Origin Rank]]&lt;=10),"Yes","No")</f>
        <v>Yes</v>
      </c>
    </row>
    <row r="324" spans="2:55" x14ac:dyDescent="0.3">
      <c r="B324" s="2">
        <f>HS_DB[[#This Row],[Commodity Code]]</f>
        <v>320419</v>
      </c>
      <c r="C324" s="2">
        <f>IFERROR(INDEX(HS_MD!C:C,MATCH(B324,HS_MD!B:B,0),1),"")</f>
        <v>26</v>
      </c>
      <c r="D324" s="17" t="str">
        <f>IFERROR(INDEX(HS_MD!D:D,MATCH(B324,HS_MD!B:B,0),1),"")</f>
        <v>Synthetic organic coloring matter</v>
      </c>
      <c r="E324" s="17" t="str">
        <f>IFERROR(INDEX(HS_MD!E:E,MATCH(B324,HS_MD!B:B,0),1),"")</f>
        <v>Beta Carotene</v>
      </c>
      <c r="F324" s="17" t="str">
        <f>IFERROR(INDEX(HS_MD!F:F,MATCH(B324,HS_MD!B:B,0),1),"")</f>
        <v>Food Ingredients</v>
      </c>
      <c r="G324" s="17" t="str">
        <f>IFERROR(INDEX(HS_MD!G:G,MATCH(B324,HS_MD!B:B,0),1),"")</f>
        <v>Colors</v>
      </c>
      <c r="H324" s="17" t="str">
        <f>IFERROR(INDEX(HS_MD!H:H,MATCH(B324,HS_MD!B:B,0),1),"")</f>
        <v>Synthetic / Nature-Identical Colors</v>
      </c>
      <c r="I324" s="17" t="str">
        <f>IFERROR(INDEX(HS_MD!I:I,MATCH(B324,HS_MD!B:B,0),1),"")</f>
        <v>Beverages / Dairy</v>
      </c>
      <c r="J324" s="17">
        <f>IFERROR(INDEX(Heat_Map[Index],MATCH(HS_DB[[#This Row],[Reporter]],Heat_Map[Global],0),1),"")</f>
        <v>103</v>
      </c>
      <c r="K324" s="17" t="str">
        <f>IF(AND(HS_DB[[#This Row],[Origin Rank]]&gt;1,HS_DB[[#This Row],[Origin Rank]]&lt;=10),"Yes","No")</f>
        <v>No</v>
      </c>
      <c r="L324" s="2">
        <v>2024</v>
      </c>
      <c r="M324" s="2" t="s">
        <v>57</v>
      </c>
      <c r="N324" s="2" t="s">
        <v>154</v>
      </c>
      <c r="O324" s="2" t="s">
        <v>22</v>
      </c>
      <c r="P324" s="2" t="s">
        <v>23</v>
      </c>
      <c r="Q324" s="2" t="s">
        <v>24</v>
      </c>
      <c r="R324" s="2" t="s">
        <v>25</v>
      </c>
      <c r="S324" s="2">
        <v>320419</v>
      </c>
      <c r="T324" s="3">
        <v>35473</v>
      </c>
      <c r="U324" s="3">
        <v>883</v>
      </c>
      <c r="V324" s="3">
        <v>0</v>
      </c>
      <c r="W324" s="3">
        <v>883</v>
      </c>
      <c r="X324" s="3" t="s">
        <v>58</v>
      </c>
      <c r="Y324" s="3">
        <v>883</v>
      </c>
      <c r="Z324" s="3" t="s">
        <v>58</v>
      </c>
      <c r="AA324" s="6">
        <f>SUMIFS(HS_DB[Trade Value - USD],HS_DB[Reporter],HS_DB[[#This Row],[Reporter]])/SUM(HS_DB[Trade Value - USD])</f>
        <v>1.9736783059034436E-5</v>
      </c>
      <c r="AB324" s="8" cm="1">
        <f t="array" ref="AB324">SUMPRODUCT(
(HS_DB[Reporter]=HS_DB[[#This Row],[Reporter]])*
(HS_DB[Trade Value - USD]&gt;HS_DB[[#This Row],[Trade Value - USD]])
)+1</f>
        <v>1</v>
      </c>
      <c r="AC324" s="8" t="str">
        <f>IFERROR(IF(INDEX(Heat_Map[Crisis Impact %],MATCH(HS_DB[[#This Row],[Reporter]],Heat_Map[Global],0),1)&gt;0,"Yes","No"),"No")</f>
        <v>No</v>
      </c>
      <c r="AD324" s="6">
        <f>IFERROR(INDEX(Heat_Map[Crisis Impact %],MATCH(HS_DB[[#This Row],[Reporter]],Heat_Map[Global],0),1),0)</f>
        <v>0</v>
      </c>
      <c r="AE324" s="8">
        <f>HS_DB[[#This Row],[Crisis Impact%]]*HS_DB[[#This Row],[Trade Value - USD]]</f>
        <v>0</v>
      </c>
      <c r="AF324" s="8">
        <f>HS_DB[[#This Row],[Crisis Impact%]]*HS_DB[[#This Row],[Net Weight -KG]]</f>
        <v>0</v>
      </c>
      <c r="AG324" s="6">
        <f>SUMIFS(HS_DB[Trade Value - USD],HS_DB[Products],HS_DB[[#This Row],[Products]])/SUM(HS_DB[Trade Value - USD])</f>
        <v>7.9111635490056037E-3</v>
      </c>
      <c r="AH324" s="8">
        <f>_xlfn.RANK.EQ(HS_DB[[#This Row],[Trade Value - USD]], HS_DB[Trade Value - USD], 0)
 + COUNTIFS(HS_DB[Trade Value - USD],HS_DB[[#This Row],[Trade Value - USD]],
            HS_DB[HS Code],"&lt;"&amp;HS_DB[[#This Row],[HS Code]])</f>
        <v>342</v>
      </c>
      <c r="AI324" s="9">
        <f>IFERROR(HS_DB[[#This Row],[Trade Value - USD]]/HS_DB[[#This Row],[Net Weight -KG]],0)</f>
        <v>40.173272933182332</v>
      </c>
      <c r="AJ324" s="17" cm="1">
        <f t="array" ref="AJ324">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24" s="17" t="str">
        <f>IF(HS_DB[[#This Row],[HS Code Risk Score]]&gt;=40,"High",
 IF(HS_DB[[#This Row],[HS Code Risk Score]]&gt;=25,"Medium","Low"))</f>
        <v>Medium</v>
      </c>
      <c r="AL324" s="17" t="str">
        <f>IF(RANK(HS_DB[[#This Row],[HS Code Risk Score]],HS_DB[HS Code Risk Score])&lt;=10,"Yes","No")</f>
        <v>No</v>
      </c>
      <c r="AM324" s="8">
        <f>SUMIFS(HS_DB[Net Weight -KG],HS_DB[HS Code],HS_DB[[#This Row],[HS Code]])</f>
        <v>6791623.4000000004</v>
      </c>
      <c r="AN324" s="8">
        <f>SUMIFS(HS_DB[Trade Value - USD],HS_DB[HS Code],HS_DB[[#This Row],[HS Code]])</f>
        <v>14912609</v>
      </c>
      <c r="AO324" s="6">
        <f>_xlfn.MAXIFS(HS_DB[Origin Share%],HS_DB[HS Code],HS_DB[[#This Row],[HS Code]])</f>
        <v>6.321329281187793E-2</v>
      </c>
      <c r="AP324" s="8" cm="1">
        <f t="array" ref="AP324">_xlfn.LET(
_xlpm.hs,HS_DB[[#This Row],[HS Code]],
COUNTA(_xlfn.UNIQUE(_xlfn._xlws.FILTER(HS_DB[Reporter],HS_DB[HS Code]=_xlpm.hs)))
)</f>
        <v>20</v>
      </c>
      <c r="AQ324" s="17" t="str">
        <f>IF(HS_DB[[#This Row],[Origin Count]]=1,"Single Source","Multiple Sources")</f>
        <v>Multiple Sources</v>
      </c>
      <c r="AR324" s="8">
        <f>HS_DB[[#This Row],[Annual Spend - USD]]*(HS_DB[[#This Row],[HS Code Risk Score]]/100)</f>
        <v>5070287.0600000005</v>
      </c>
      <c r="AS324" s="8">
        <f>RANK(HS_DB[[#This Row],[Risk Exposure - USD]],HS_DB[Risk Exposure - USD],0)</f>
        <v>161</v>
      </c>
      <c r="AT324" s="8" t="str">
        <f>IF(HS_DB[[#This Row],[Risk Exposure Rank]]&lt;=10,"High",
 IF(HS_DB[[#This Row],[Risk Exposure Rank]]&lt;=30,"Medium",
 "Low"))</f>
        <v>Low</v>
      </c>
      <c r="AU324" s="8" t="str">
        <f>IF(HS_DB[[#This Row],[Risk Exposure Rank]]&lt;=5,"Immediate Action",
 IF(HS_DB[[#This Row],[Risk Exposure Rank]]&lt;=15,"Monitor Closely",
 "Routine Control"))</f>
        <v>Routine Control</v>
      </c>
      <c r="AV324" s="8">
        <f>SUMIFS(HS_DB[Trade Value - USD],HS_DB[HS Code],HS_DB[[#This Row],[HS Code]])</f>
        <v>14912609</v>
      </c>
      <c r="AW324" s="6">
        <f>HS_DB[[#This Row],[Annual Spend - USD]]/HS_DB[[#This Row],[Total Market Size - USD]]</f>
        <v>1</v>
      </c>
      <c r="AX324" s="6" cm="1">
        <f t="array" ref="AX324">COUNTA(_xlfn.UNIQUE(_xlfn._xlws.FILTER(HS_DB[Partner],HS_DB[HS Code]=HS_DB[[#This Row],[HS Code]])))</f>
        <v>1</v>
      </c>
      <c r="AY324" s="8" t="str">
        <f>IF(HS_DB[[#This Row],[Competition Intensity]]&lt;=2,"Highly Concentrated",
 IF(HS_DB[[#This Row],[Competition Intensity]]&lt;=5,"Moderate",
 "Highly Competitive"))</f>
        <v>Highly Concentrated</v>
      </c>
      <c r="AZ324" s="8">
        <f>HS_DB[[#This Row],[Total Market Size - USD]]
*
(1+IFERROR(#REF!,0))
/
HS_DB[[#This Row],[Competition Intensity]]</f>
        <v>14912609</v>
      </c>
      <c r="BA324" s="8" t="str">
        <f>IF(HS_DB[[#This Row],[Commercial Opportunity Score]]&gt;=PERCENTILE(HS_DB[Commercial Opportunity Score],0.9),"High Opportunity",
 IF(HS_DB[[#This Row],[Commercial Opportunity Score]]&gt;=PERCENTILE(HS_DB[Commercial Opportunity Score],0.6),"Medium Opportunity",
 "Routine Market"))</f>
        <v>Medium Opportunity</v>
      </c>
      <c r="BB324" s="3" t="str">
        <f>IF(AND(HS_DB[[#This Row],[Product Rank]]&gt;0,HS_DB[[#This Row],[Product Rank]]&lt;=10),"Yes","No")</f>
        <v>No</v>
      </c>
      <c r="BC324" s="3" t="str">
        <f>IF(AND(HS_DB[[#This Row],[Origin Rank]]&gt;0,HS_DB[[#This Row],[Origin Rank]]&lt;=10),"Yes","No")</f>
        <v>Yes</v>
      </c>
    </row>
    <row r="325" spans="2:55" x14ac:dyDescent="0.3">
      <c r="B325" s="2">
        <f>HS_DB[[#This Row],[Commodity Code]]</f>
        <v>320419</v>
      </c>
      <c r="C325" s="2">
        <f>IFERROR(INDEX(HS_MD!C:C,MATCH(B325,HS_MD!B:B,0),1),"")</f>
        <v>26</v>
      </c>
      <c r="D325" s="17" t="str">
        <f>IFERROR(INDEX(HS_MD!D:D,MATCH(B325,HS_MD!B:B,0),1),"")</f>
        <v>Synthetic organic coloring matter</v>
      </c>
      <c r="E325" s="17" t="str">
        <f>IFERROR(INDEX(HS_MD!E:E,MATCH(B325,HS_MD!B:B,0),1),"")</f>
        <v>Beta Carotene</v>
      </c>
      <c r="F325" s="17" t="str">
        <f>IFERROR(INDEX(HS_MD!F:F,MATCH(B325,HS_MD!B:B,0),1),"")</f>
        <v>Food Ingredients</v>
      </c>
      <c r="G325" s="17" t="str">
        <f>IFERROR(INDEX(HS_MD!G:G,MATCH(B325,HS_MD!B:B,0),1),"")</f>
        <v>Colors</v>
      </c>
      <c r="H325" s="17" t="str">
        <f>IFERROR(INDEX(HS_MD!H:H,MATCH(B325,HS_MD!B:B,0),1),"")</f>
        <v>Synthetic / Nature-Identical Colors</v>
      </c>
      <c r="I325" s="17" t="str">
        <f>IFERROR(INDEX(HS_MD!I:I,MATCH(B325,HS_MD!B:B,0),1),"")</f>
        <v>Beverages / Dairy</v>
      </c>
      <c r="J325" s="17">
        <f>IFERROR(INDEX(Heat_Map[Index],MATCH(HS_DB[[#This Row],[Reporter]],Heat_Map[Global],0),1),"")</f>
        <v>112</v>
      </c>
      <c r="K325" s="17" t="str">
        <f>IF(AND(HS_DB[[#This Row],[Origin Rank]]&gt;1,HS_DB[[#This Row],[Origin Rank]]&lt;=10),"Yes","No")</f>
        <v>Yes</v>
      </c>
      <c r="L325" s="2">
        <v>2024</v>
      </c>
      <c r="M325" s="2" t="s">
        <v>57</v>
      </c>
      <c r="N325" s="2" t="s">
        <v>52</v>
      </c>
      <c r="O325" s="2" t="s">
        <v>22</v>
      </c>
      <c r="P325" s="2" t="s">
        <v>23</v>
      </c>
      <c r="Q325" s="2" t="s">
        <v>24</v>
      </c>
      <c r="R325" s="2" t="s">
        <v>25</v>
      </c>
      <c r="S325" s="2">
        <v>320419</v>
      </c>
      <c r="T325" s="3">
        <v>336227</v>
      </c>
      <c r="U325" s="3">
        <v>187240</v>
      </c>
      <c r="V325" s="3">
        <v>0</v>
      </c>
      <c r="W325" s="3">
        <v>187240</v>
      </c>
      <c r="X325" s="3" t="s">
        <v>58</v>
      </c>
      <c r="Y325" s="3">
        <v>187240</v>
      </c>
      <c r="Z325" s="3" t="s">
        <v>58</v>
      </c>
      <c r="AA325" s="6">
        <f>SUMIFS(HS_DB[Trade Value - USD],HS_DB[Reporter],HS_DB[[#This Row],[Reporter]])/SUM(HS_DB[Trade Value - USD])</f>
        <v>1.4429559760252854E-3</v>
      </c>
      <c r="AB325" s="8" cm="1">
        <f t="array" ref="AB325">SUMPRODUCT(
(HS_DB[Reporter]=HS_DB[[#This Row],[Reporter]])*
(HS_DB[Trade Value - USD]&gt;HS_DB[[#This Row],[Trade Value - USD]])
)+1</f>
        <v>3</v>
      </c>
      <c r="AC325" s="8" t="str">
        <f>IFERROR(IF(INDEX(Heat_Map[Crisis Impact %],MATCH(HS_DB[[#This Row],[Reporter]],Heat_Map[Global],0),1)&gt;0,"Yes","No"),"No")</f>
        <v>No</v>
      </c>
      <c r="AD325" s="6">
        <f>IFERROR(INDEX(Heat_Map[Crisis Impact %],MATCH(HS_DB[[#This Row],[Reporter]],Heat_Map[Global],0),1),0)</f>
        <v>0</v>
      </c>
      <c r="AE325" s="8">
        <f>HS_DB[[#This Row],[Crisis Impact%]]*HS_DB[[#This Row],[Trade Value - USD]]</f>
        <v>0</v>
      </c>
      <c r="AF325" s="8">
        <f>HS_DB[[#This Row],[Crisis Impact%]]*HS_DB[[#This Row],[Net Weight -KG]]</f>
        <v>0</v>
      </c>
      <c r="AG325" s="6">
        <f>SUMIFS(HS_DB[Trade Value - USD],HS_DB[Products],HS_DB[[#This Row],[Products]])/SUM(HS_DB[Trade Value - USD])</f>
        <v>7.9111635490056037E-3</v>
      </c>
      <c r="AH325" s="8">
        <f>_xlfn.RANK.EQ(HS_DB[[#This Row],[Trade Value - USD]], HS_DB[Trade Value - USD], 0)
 + COUNTIFS(HS_DB[Trade Value - USD],HS_DB[[#This Row],[Trade Value - USD]],
            HS_DB[HS Code],"&lt;"&amp;HS_DB[[#This Row],[HS Code]])</f>
        <v>179</v>
      </c>
      <c r="AI325" s="9">
        <f>IFERROR(HS_DB[[#This Row],[Trade Value - USD]]/HS_DB[[#This Row],[Net Weight -KG]],0)</f>
        <v>1.7957007049775688</v>
      </c>
      <c r="AJ325" s="17" cm="1">
        <f t="array" ref="AJ325">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25" s="17" t="str">
        <f>IF(HS_DB[[#This Row],[HS Code Risk Score]]&gt;=40,"High",
 IF(HS_DB[[#This Row],[HS Code Risk Score]]&gt;=25,"Medium","Low"))</f>
        <v>Medium</v>
      </c>
      <c r="AL325" s="17" t="str">
        <f>IF(RANK(HS_DB[[#This Row],[HS Code Risk Score]],HS_DB[HS Code Risk Score])&lt;=10,"Yes","No")</f>
        <v>No</v>
      </c>
      <c r="AM325" s="8">
        <f>SUMIFS(HS_DB[Net Weight -KG],HS_DB[HS Code],HS_DB[[#This Row],[HS Code]])</f>
        <v>6791623.4000000004</v>
      </c>
      <c r="AN325" s="8">
        <f>SUMIFS(HS_DB[Trade Value - USD],HS_DB[HS Code],HS_DB[[#This Row],[HS Code]])</f>
        <v>14912609</v>
      </c>
      <c r="AO325" s="6">
        <f>_xlfn.MAXIFS(HS_DB[Origin Share%],HS_DB[HS Code],HS_DB[[#This Row],[HS Code]])</f>
        <v>6.321329281187793E-2</v>
      </c>
      <c r="AP325" s="8" cm="1">
        <f t="array" ref="AP325">_xlfn.LET(
_xlpm.hs,HS_DB[[#This Row],[HS Code]],
COUNTA(_xlfn.UNIQUE(_xlfn._xlws.FILTER(HS_DB[Reporter],HS_DB[HS Code]=_xlpm.hs)))
)</f>
        <v>20</v>
      </c>
      <c r="AQ325" s="17" t="str">
        <f>IF(HS_DB[[#This Row],[Origin Count]]=1,"Single Source","Multiple Sources")</f>
        <v>Multiple Sources</v>
      </c>
      <c r="AR325" s="8">
        <f>HS_DB[[#This Row],[Annual Spend - USD]]*(HS_DB[[#This Row],[HS Code Risk Score]]/100)</f>
        <v>5070287.0600000005</v>
      </c>
      <c r="AS325" s="8">
        <f>RANK(HS_DB[[#This Row],[Risk Exposure - USD]],HS_DB[Risk Exposure - USD],0)</f>
        <v>161</v>
      </c>
      <c r="AT325" s="8" t="str">
        <f>IF(HS_DB[[#This Row],[Risk Exposure Rank]]&lt;=10,"High",
 IF(HS_DB[[#This Row],[Risk Exposure Rank]]&lt;=30,"Medium",
 "Low"))</f>
        <v>Low</v>
      </c>
      <c r="AU325" s="8" t="str">
        <f>IF(HS_DB[[#This Row],[Risk Exposure Rank]]&lt;=5,"Immediate Action",
 IF(HS_DB[[#This Row],[Risk Exposure Rank]]&lt;=15,"Monitor Closely",
 "Routine Control"))</f>
        <v>Routine Control</v>
      </c>
      <c r="AV325" s="8">
        <f>SUMIFS(HS_DB[Trade Value - USD],HS_DB[HS Code],HS_DB[[#This Row],[HS Code]])</f>
        <v>14912609</v>
      </c>
      <c r="AW325" s="6">
        <f>HS_DB[[#This Row],[Annual Spend - USD]]/HS_DB[[#This Row],[Total Market Size - USD]]</f>
        <v>1</v>
      </c>
      <c r="AX325" s="6" cm="1">
        <f t="array" ref="AX325">COUNTA(_xlfn.UNIQUE(_xlfn._xlws.FILTER(HS_DB[Partner],HS_DB[HS Code]=HS_DB[[#This Row],[HS Code]])))</f>
        <v>1</v>
      </c>
      <c r="AY325" s="8" t="str">
        <f>IF(HS_DB[[#This Row],[Competition Intensity]]&lt;=2,"Highly Concentrated",
 IF(HS_DB[[#This Row],[Competition Intensity]]&lt;=5,"Moderate",
 "Highly Competitive"))</f>
        <v>Highly Concentrated</v>
      </c>
      <c r="AZ325" s="8">
        <f>HS_DB[[#This Row],[Total Market Size - USD]]
*
(1+IFERROR(#REF!,0))
/
HS_DB[[#This Row],[Competition Intensity]]</f>
        <v>14912609</v>
      </c>
      <c r="BA325" s="8" t="str">
        <f>IF(HS_DB[[#This Row],[Commercial Opportunity Score]]&gt;=PERCENTILE(HS_DB[Commercial Opportunity Score],0.9),"High Opportunity",
 IF(HS_DB[[#This Row],[Commercial Opportunity Score]]&gt;=PERCENTILE(HS_DB[Commercial Opportunity Score],0.6),"Medium Opportunity",
 "Routine Market"))</f>
        <v>Medium Opportunity</v>
      </c>
      <c r="BB325" s="3" t="str">
        <f>IF(AND(HS_DB[[#This Row],[Product Rank]]&gt;0,HS_DB[[#This Row],[Product Rank]]&lt;=10),"Yes","No")</f>
        <v>No</v>
      </c>
      <c r="BC325" s="3" t="str">
        <f>IF(AND(HS_DB[[#This Row],[Origin Rank]]&gt;0,HS_DB[[#This Row],[Origin Rank]]&lt;=10),"Yes","No")</f>
        <v>Yes</v>
      </c>
    </row>
    <row r="326" spans="2:55" x14ac:dyDescent="0.3">
      <c r="B326" s="2">
        <f>HS_DB[[#This Row],[Commodity Code]]</f>
        <v>320419</v>
      </c>
      <c r="C326" s="2">
        <f>IFERROR(INDEX(HS_MD!C:C,MATCH(B326,HS_MD!B:B,0),1),"")</f>
        <v>26</v>
      </c>
      <c r="D326" s="17" t="str">
        <f>IFERROR(INDEX(HS_MD!D:D,MATCH(B326,HS_MD!B:B,0),1),"")</f>
        <v>Synthetic organic coloring matter</v>
      </c>
      <c r="E326" s="17" t="str">
        <f>IFERROR(INDEX(HS_MD!E:E,MATCH(B326,HS_MD!B:B,0),1),"")</f>
        <v>Beta Carotene</v>
      </c>
      <c r="F326" s="17" t="str">
        <f>IFERROR(INDEX(HS_MD!F:F,MATCH(B326,HS_MD!B:B,0),1),"")</f>
        <v>Food Ingredients</v>
      </c>
      <c r="G326" s="17" t="str">
        <f>IFERROR(INDEX(HS_MD!G:G,MATCH(B326,HS_MD!B:B,0),1),"")</f>
        <v>Colors</v>
      </c>
      <c r="H326" s="17" t="str">
        <f>IFERROR(INDEX(HS_MD!H:H,MATCH(B326,HS_MD!B:B,0),1),"")</f>
        <v>Synthetic / Nature-Identical Colors</v>
      </c>
      <c r="I326" s="17" t="str">
        <f>IFERROR(INDEX(HS_MD!I:I,MATCH(B326,HS_MD!B:B,0),1),"")</f>
        <v>Beverages / Dairy</v>
      </c>
      <c r="J326" s="17">
        <f>IFERROR(INDEX(Heat_Map[Index],MATCH(HS_DB[[#This Row],[Reporter]],Heat_Map[Global],0),1),"")</f>
        <v>118</v>
      </c>
      <c r="K326" s="17" t="str">
        <f>IF(AND(HS_DB[[#This Row],[Origin Rank]]&gt;1,HS_DB[[#This Row],[Origin Rank]]&lt;=10),"Yes","No")</f>
        <v>No</v>
      </c>
      <c r="L326" s="2">
        <v>2024</v>
      </c>
      <c r="M326" s="2" t="s">
        <v>57</v>
      </c>
      <c r="N326" s="2" t="s">
        <v>53</v>
      </c>
      <c r="O326" s="2" t="s">
        <v>22</v>
      </c>
      <c r="P326" s="2" t="s">
        <v>23</v>
      </c>
      <c r="Q326" s="2" t="s">
        <v>24</v>
      </c>
      <c r="R326" s="2" t="s">
        <v>25</v>
      </c>
      <c r="S326" s="2">
        <v>320419</v>
      </c>
      <c r="T326" s="3">
        <v>67706</v>
      </c>
      <c r="U326" s="3">
        <v>2783</v>
      </c>
      <c r="V326" s="3">
        <v>0</v>
      </c>
      <c r="W326" s="3">
        <v>2783</v>
      </c>
      <c r="X326" s="3" t="s">
        <v>58</v>
      </c>
      <c r="Y326" s="3">
        <v>2783</v>
      </c>
      <c r="Z326" s="3" t="s">
        <v>58</v>
      </c>
      <c r="AA326" s="6">
        <f>SUMIFS(HS_DB[Trade Value - USD],HS_DB[Reporter],HS_DB[[#This Row],[Reporter]])/SUM(HS_DB[Trade Value - USD])</f>
        <v>1.4561232389604124E-2</v>
      </c>
      <c r="AB326" s="8" cm="1">
        <f t="array" ref="AB326">SUMPRODUCT(
(HS_DB[Reporter]=HS_DB[[#This Row],[Reporter]])*
(HS_DB[Trade Value - USD]&gt;HS_DB[[#This Row],[Trade Value - USD]])
)+1</f>
        <v>19</v>
      </c>
      <c r="AC326" s="8" t="str">
        <f>IFERROR(IF(INDEX(Heat_Map[Crisis Impact %],MATCH(HS_DB[[#This Row],[Reporter]],Heat_Map[Global],0),1)&gt;0,"Yes","No"),"No")</f>
        <v>No</v>
      </c>
      <c r="AD326" s="6">
        <f>IFERROR(INDEX(Heat_Map[Crisis Impact %],MATCH(HS_DB[[#This Row],[Reporter]],Heat_Map[Global],0),1),0)</f>
        <v>0</v>
      </c>
      <c r="AE326" s="8">
        <f>HS_DB[[#This Row],[Crisis Impact%]]*HS_DB[[#This Row],[Trade Value - USD]]</f>
        <v>0</v>
      </c>
      <c r="AF326" s="8">
        <f>HS_DB[[#This Row],[Crisis Impact%]]*HS_DB[[#This Row],[Net Weight -KG]]</f>
        <v>0</v>
      </c>
      <c r="AG326" s="6">
        <f>SUMIFS(HS_DB[Trade Value - USD],HS_DB[Products],HS_DB[[#This Row],[Products]])/SUM(HS_DB[Trade Value - USD])</f>
        <v>7.9111635490056037E-3</v>
      </c>
      <c r="AH326" s="8">
        <f>_xlfn.RANK.EQ(HS_DB[[#This Row],[Trade Value - USD]], HS_DB[Trade Value - USD], 0)
 + COUNTIFS(HS_DB[Trade Value - USD],HS_DB[[#This Row],[Trade Value - USD]],
            HS_DB[HS Code],"&lt;"&amp;HS_DB[[#This Row],[HS Code]])</f>
        <v>307</v>
      </c>
      <c r="AI326" s="9">
        <f>IFERROR(HS_DB[[#This Row],[Trade Value - USD]]/HS_DB[[#This Row],[Net Weight -KG]],0)</f>
        <v>24.328422565576716</v>
      </c>
      <c r="AJ326" s="17" cm="1">
        <f t="array" ref="AJ326">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26" s="17" t="str">
        <f>IF(HS_DB[[#This Row],[HS Code Risk Score]]&gt;=40,"High",
 IF(HS_DB[[#This Row],[HS Code Risk Score]]&gt;=25,"Medium","Low"))</f>
        <v>Medium</v>
      </c>
      <c r="AL326" s="17" t="str">
        <f>IF(RANK(HS_DB[[#This Row],[HS Code Risk Score]],HS_DB[HS Code Risk Score])&lt;=10,"Yes","No")</f>
        <v>No</v>
      </c>
      <c r="AM326" s="8">
        <f>SUMIFS(HS_DB[Net Weight -KG],HS_DB[HS Code],HS_DB[[#This Row],[HS Code]])</f>
        <v>6791623.4000000004</v>
      </c>
      <c r="AN326" s="8">
        <f>SUMIFS(HS_DB[Trade Value - USD],HS_DB[HS Code],HS_DB[[#This Row],[HS Code]])</f>
        <v>14912609</v>
      </c>
      <c r="AO326" s="6">
        <f>_xlfn.MAXIFS(HS_DB[Origin Share%],HS_DB[HS Code],HS_DB[[#This Row],[HS Code]])</f>
        <v>6.321329281187793E-2</v>
      </c>
      <c r="AP326" s="8" cm="1">
        <f t="array" ref="AP326">_xlfn.LET(
_xlpm.hs,HS_DB[[#This Row],[HS Code]],
COUNTA(_xlfn.UNIQUE(_xlfn._xlws.FILTER(HS_DB[Reporter],HS_DB[HS Code]=_xlpm.hs)))
)</f>
        <v>20</v>
      </c>
      <c r="AQ326" s="17" t="str">
        <f>IF(HS_DB[[#This Row],[Origin Count]]=1,"Single Source","Multiple Sources")</f>
        <v>Multiple Sources</v>
      </c>
      <c r="AR326" s="8">
        <f>HS_DB[[#This Row],[Annual Spend - USD]]*(HS_DB[[#This Row],[HS Code Risk Score]]/100)</f>
        <v>5070287.0600000005</v>
      </c>
      <c r="AS326" s="8">
        <f>RANK(HS_DB[[#This Row],[Risk Exposure - USD]],HS_DB[Risk Exposure - USD],0)</f>
        <v>161</v>
      </c>
      <c r="AT326" s="8" t="str">
        <f>IF(HS_DB[[#This Row],[Risk Exposure Rank]]&lt;=10,"High",
 IF(HS_DB[[#This Row],[Risk Exposure Rank]]&lt;=30,"Medium",
 "Low"))</f>
        <v>Low</v>
      </c>
      <c r="AU326" s="8" t="str">
        <f>IF(HS_DB[[#This Row],[Risk Exposure Rank]]&lt;=5,"Immediate Action",
 IF(HS_DB[[#This Row],[Risk Exposure Rank]]&lt;=15,"Monitor Closely",
 "Routine Control"))</f>
        <v>Routine Control</v>
      </c>
      <c r="AV326" s="8">
        <f>SUMIFS(HS_DB[Trade Value - USD],HS_DB[HS Code],HS_DB[[#This Row],[HS Code]])</f>
        <v>14912609</v>
      </c>
      <c r="AW326" s="6">
        <f>HS_DB[[#This Row],[Annual Spend - USD]]/HS_DB[[#This Row],[Total Market Size - USD]]</f>
        <v>1</v>
      </c>
      <c r="AX326" s="6" cm="1">
        <f t="array" ref="AX326">COUNTA(_xlfn.UNIQUE(_xlfn._xlws.FILTER(HS_DB[Partner],HS_DB[HS Code]=HS_DB[[#This Row],[HS Code]])))</f>
        <v>1</v>
      </c>
      <c r="AY326" s="8" t="str">
        <f>IF(HS_DB[[#This Row],[Competition Intensity]]&lt;=2,"Highly Concentrated",
 IF(HS_DB[[#This Row],[Competition Intensity]]&lt;=5,"Moderate",
 "Highly Competitive"))</f>
        <v>Highly Concentrated</v>
      </c>
      <c r="AZ326" s="8">
        <f>HS_DB[[#This Row],[Total Market Size - USD]]
*
(1+IFERROR(#REF!,0))
/
HS_DB[[#This Row],[Competition Intensity]]</f>
        <v>14912609</v>
      </c>
      <c r="BA326" s="8" t="str">
        <f>IF(HS_DB[[#This Row],[Commercial Opportunity Score]]&gt;=PERCENTILE(HS_DB[Commercial Opportunity Score],0.9),"High Opportunity",
 IF(HS_DB[[#This Row],[Commercial Opportunity Score]]&gt;=PERCENTILE(HS_DB[Commercial Opportunity Score],0.6),"Medium Opportunity",
 "Routine Market"))</f>
        <v>Medium Opportunity</v>
      </c>
      <c r="BB326" s="3" t="str">
        <f>IF(AND(HS_DB[[#This Row],[Product Rank]]&gt;0,HS_DB[[#This Row],[Product Rank]]&lt;=10),"Yes","No")</f>
        <v>No</v>
      </c>
      <c r="BC326" s="3" t="str">
        <f>IF(AND(HS_DB[[#This Row],[Origin Rank]]&gt;0,HS_DB[[#This Row],[Origin Rank]]&lt;=10),"Yes","No")</f>
        <v>No</v>
      </c>
    </row>
    <row r="327" spans="2:55" x14ac:dyDescent="0.3">
      <c r="B327" s="2">
        <f>HS_DB[[#This Row],[Commodity Code]]</f>
        <v>320419</v>
      </c>
      <c r="C327" s="2">
        <f>IFERROR(INDEX(HS_MD!C:C,MATCH(B327,HS_MD!B:B,0),1),"")</f>
        <v>26</v>
      </c>
      <c r="D327" s="17" t="str">
        <f>IFERROR(INDEX(HS_MD!D:D,MATCH(B327,HS_MD!B:B,0),1),"")</f>
        <v>Synthetic organic coloring matter</v>
      </c>
      <c r="E327" s="17" t="str">
        <f>IFERROR(INDEX(HS_MD!E:E,MATCH(B327,HS_MD!B:B,0),1),"")</f>
        <v>Beta Carotene</v>
      </c>
      <c r="F327" s="17" t="str">
        <f>IFERROR(INDEX(HS_MD!F:F,MATCH(B327,HS_MD!B:B,0),1),"")</f>
        <v>Food Ingredients</v>
      </c>
      <c r="G327" s="17" t="str">
        <f>IFERROR(INDEX(HS_MD!G:G,MATCH(B327,HS_MD!B:B,0),1),"")</f>
        <v>Colors</v>
      </c>
      <c r="H327" s="17" t="str">
        <f>IFERROR(INDEX(HS_MD!H:H,MATCH(B327,HS_MD!B:B,0),1),"")</f>
        <v>Synthetic / Nature-Identical Colors</v>
      </c>
      <c r="I327" s="17" t="str">
        <f>IFERROR(INDEX(HS_MD!I:I,MATCH(B327,HS_MD!B:B,0),1),"")</f>
        <v>Beverages / Dairy</v>
      </c>
      <c r="J327" s="17">
        <f>IFERROR(INDEX(Heat_Map[Index],MATCH(HS_DB[[#This Row],[Reporter]],Heat_Map[Global],0),1),"")</f>
        <v>75</v>
      </c>
      <c r="K327" s="17" t="str">
        <f>IF(AND(HS_DB[[#This Row],[Origin Rank]]&gt;1,HS_DB[[#This Row],[Origin Rank]]&lt;=10),"Yes","No")</f>
        <v>Yes</v>
      </c>
      <c r="L327" s="2">
        <v>2024</v>
      </c>
      <c r="M327" s="2" t="s">
        <v>57</v>
      </c>
      <c r="N327" s="2" t="s">
        <v>8</v>
      </c>
      <c r="O327" s="2" t="s">
        <v>22</v>
      </c>
      <c r="P327" s="2" t="s">
        <v>23</v>
      </c>
      <c r="Q327" s="2" t="s">
        <v>24</v>
      </c>
      <c r="R327" s="2" t="s">
        <v>25</v>
      </c>
      <c r="S327" s="2">
        <v>320419</v>
      </c>
      <c r="T327" s="3">
        <v>5507193</v>
      </c>
      <c r="U327" s="3">
        <v>1900004</v>
      </c>
      <c r="V327" s="3">
        <v>0</v>
      </c>
      <c r="W327" s="3">
        <v>1900004</v>
      </c>
      <c r="X327" s="3" t="s">
        <v>58</v>
      </c>
      <c r="Y327" s="3">
        <v>1900004</v>
      </c>
      <c r="Z327" s="3" t="s">
        <v>58</v>
      </c>
      <c r="AA327" s="6">
        <f>SUMIFS(HS_DB[Trade Value - USD],HS_DB[Reporter],HS_DB[[#This Row],[Reporter]])/SUM(HS_DB[Trade Value - USD])</f>
        <v>2.2441761060335613E-2</v>
      </c>
      <c r="AB327" s="8" cm="1">
        <f t="array" ref="AB327">SUMPRODUCT(
(HS_DB[Reporter]=HS_DB[[#This Row],[Reporter]])*
(HS_DB[Trade Value - USD]&gt;HS_DB[[#This Row],[Trade Value - USD]])
)+1</f>
        <v>2</v>
      </c>
      <c r="AC327" s="8" t="str">
        <f>IFERROR(IF(INDEX(Heat_Map[Crisis Impact %],MATCH(HS_DB[[#This Row],[Reporter]],Heat_Map[Global],0),1)&gt;0,"Yes","No"),"No")</f>
        <v>No</v>
      </c>
      <c r="AD327" s="6">
        <f>IFERROR(INDEX(Heat_Map[Crisis Impact %],MATCH(HS_DB[[#This Row],[Reporter]],Heat_Map[Global],0),1),0)</f>
        <v>0</v>
      </c>
      <c r="AE327" s="8">
        <f>HS_DB[[#This Row],[Crisis Impact%]]*HS_DB[[#This Row],[Trade Value - USD]]</f>
        <v>0</v>
      </c>
      <c r="AF327" s="8">
        <f>HS_DB[[#This Row],[Crisis Impact%]]*HS_DB[[#This Row],[Net Weight -KG]]</f>
        <v>0</v>
      </c>
      <c r="AG327" s="6">
        <f>SUMIFS(HS_DB[Trade Value - USD],HS_DB[Products],HS_DB[[#This Row],[Products]])/SUM(HS_DB[Trade Value - USD])</f>
        <v>7.9111635490056037E-3</v>
      </c>
      <c r="AH327" s="8">
        <f>_xlfn.RANK.EQ(HS_DB[[#This Row],[Trade Value - USD]], HS_DB[Trade Value - USD], 0)
 + COUNTIFS(HS_DB[Trade Value - USD],HS_DB[[#This Row],[Trade Value - USD]],
            HS_DB[HS Code],"&lt;"&amp;HS_DB[[#This Row],[HS Code]])</f>
        <v>29</v>
      </c>
      <c r="AI327" s="9">
        <f>IFERROR(HS_DB[[#This Row],[Trade Value - USD]]/HS_DB[[#This Row],[Net Weight -KG]],0)</f>
        <v>2.8985165294388855</v>
      </c>
      <c r="AJ327" s="17" cm="1">
        <f t="array" ref="AJ327">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27" s="17" t="str">
        <f>IF(HS_DB[[#This Row],[HS Code Risk Score]]&gt;=40,"High",
 IF(HS_DB[[#This Row],[HS Code Risk Score]]&gt;=25,"Medium","Low"))</f>
        <v>Medium</v>
      </c>
      <c r="AL327" s="17" t="str">
        <f>IF(RANK(HS_DB[[#This Row],[HS Code Risk Score]],HS_DB[HS Code Risk Score])&lt;=10,"Yes","No")</f>
        <v>No</v>
      </c>
      <c r="AM327" s="8">
        <f>SUMIFS(HS_DB[Net Weight -KG],HS_DB[HS Code],HS_DB[[#This Row],[HS Code]])</f>
        <v>6791623.4000000004</v>
      </c>
      <c r="AN327" s="8">
        <f>SUMIFS(HS_DB[Trade Value - USD],HS_DB[HS Code],HS_DB[[#This Row],[HS Code]])</f>
        <v>14912609</v>
      </c>
      <c r="AO327" s="6">
        <f>_xlfn.MAXIFS(HS_DB[Origin Share%],HS_DB[HS Code],HS_DB[[#This Row],[HS Code]])</f>
        <v>6.321329281187793E-2</v>
      </c>
      <c r="AP327" s="8" cm="1">
        <f t="array" ref="AP327">_xlfn.LET(
_xlpm.hs,HS_DB[[#This Row],[HS Code]],
COUNTA(_xlfn.UNIQUE(_xlfn._xlws.FILTER(HS_DB[Reporter],HS_DB[HS Code]=_xlpm.hs)))
)</f>
        <v>20</v>
      </c>
      <c r="AQ327" s="17" t="str">
        <f>IF(HS_DB[[#This Row],[Origin Count]]=1,"Single Source","Multiple Sources")</f>
        <v>Multiple Sources</v>
      </c>
      <c r="AR327" s="8">
        <f>HS_DB[[#This Row],[Annual Spend - USD]]*(HS_DB[[#This Row],[HS Code Risk Score]]/100)</f>
        <v>5070287.0600000005</v>
      </c>
      <c r="AS327" s="8">
        <f>RANK(HS_DB[[#This Row],[Risk Exposure - USD]],HS_DB[Risk Exposure - USD],0)</f>
        <v>161</v>
      </c>
      <c r="AT327" s="8" t="str">
        <f>IF(HS_DB[[#This Row],[Risk Exposure Rank]]&lt;=10,"High",
 IF(HS_DB[[#This Row],[Risk Exposure Rank]]&lt;=30,"Medium",
 "Low"))</f>
        <v>Low</v>
      </c>
      <c r="AU327" s="8" t="str">
        <f>IF(HS_DB[[#This Row],[Risk Exposure Rank]]&lt;=5,"Immediate Action",
 IF(HS_DB[[#This Row],[Risk Exposure Rank]]&lt;=15,"Monitor Closely",
 "Routine Control"))</f>
        <v>Routine Control</v>
      </c>
      <c r="AV327" s="8">
        <f>SUMIFS(HS_DB[Trade Value - USD],HS_DB[HS Code],HS_DB[[#This Row],[HS Code]])</f>
        <v>14912609</v>
      </c>
      <c r="AW327" s="6">
        <f>HS_DB[[#This Row],[Annual Spend - USD]]/HS_DB[[#This Row],[Total Market Size - USD]]</f>
        <v>1</v>
      </c>
      <c r="AX327" s="6" cm="1">
        <f t="array" ref="AX327">COUNTA(_xlfn.UNIQUE(_xlfn._xlws.FILTER(HS_DB[Partner],HS_DB[HS Code]=HS_DB[[#This Row],[HS Code]])))</f>
        <v>1</v>
      </c>
      <c r="AY327" s="8" t="str">
        <f>IF(HS_DB[[#This Row],[Competition Intensity]]&lt;=2,"Highly Concentrated",
 IF(HS_DB[[#This Row],[Competition Intensity]]&lt;=5,"Moderate",
 "Highly Competitive"))</f>
        <v>Highly Concentrated</v>
      </c>
      <c r="AZ327" s="8">
        <f>HS_DB[[#This Row],[Total Market Size - USD]]
*
(1+IFERROR(#REF!,0))
/
HS_DB[[#This Row],[Competition Intensity]]</f>
        <v>14912609</v>
      </c>
      <c r="BA327" s="8" t="str">
        <f>IF(HS_DB[[#This Row],[Commercial Opportunity Score]]&gt;=PERCENTILE(HS_DB[Commercial Opportunity Score],0.9),"High Opportunity",
 IF(HS_DB[[#This Row],[Commercial Opportunity Score]]&gt;=PERCENTILE(HS_DB[Commercial Opportunity Score],0.6),"Medium Opportunity",
 "Routine Market"))</f>
        <v>Medium Opportunity</v>
      </c>
      <c r="BB327" s="3" t="str">
        <f>IF(AND(HS_DB[[#This Row],[Product Rank]]&gt;0,HS_DB[[#This Row],[Product Rank]]&lt;=10),"Yes","No")</f>
        <v>No</v>
      </c>
      <c r="BC327" s="3" t="str">
        <f>IF(AND(HS_DB[[#This Row],[Origin Rank]]&gt;0,HS_DB[[#This Row],[Origin Rank]]&lt;=10),"Yes","No")</f>
        <v>Yes</v>
      </c>
    </row>
    <row r="328" spans="2:55" x14ac:dyDescent="0.3">
      <c r="B328" s="2">
        <f>HS_DB[[#This Row],[Commodity Code]]</f>
        <v>320419</v>
      </c>
      <c r="C328" s="2">
        <f>IFERROR(INDEX(HS_MD!C:C,MATCH(B328,HS_MD!B:B,0),1),"")</f>
        <v>26</v>
      </c>
      <c r="D328" s="17" t="str">
        <f>IFERROR(INDEX(HS_MD!D:D,MATCH(B328,HS_MD!B:B,0),1),"")</f>
        <v>Synthetic organic coloring matter</v>
      </c>
      <c r="E328" s="17" t="str">
        <f>IFERROR(INDEX(HS_MD!E:E,MATCH(B328,HS_MD!B:B,0),1),"")</f>
        <v>Beta Carotene</v>
      </c>
      <c r="F328" s="17" t="str">
        <f>IFERROR(INDEX(HS_MD!F:F,MATCH(B328,HS_MD!B:B,0),1),"")</f>
        <v>Food Ingredients</v>
      </c>
      <c r="G328" s="17" t="str">
        <f>IFERROR(INDEX(HS_MD!G:G,MATCH(B328,HS_MD!B:B,0),1),"")</f>
        <v>Colors</v>
      </c>
      <c r="H328" s="17" t="str">
        <f>IFERROR(INDEX(HS_MD!H:H,MATCH(B328,HS_MD!B:B,0),1),"")</f>
        <v>Synthetic / Nature-Identical Colors</v>
      </c>
      <c r="I328" s="17" t="str">
        <f>IFERROR(INDEX(HS_MD!I:I,MATCH(B328,HS_MD!B:B,0),1),"")</f>
        <v>Beverages / Dairy</v>
      </c>
      <c r="J328" s="17">
        <f>IFERROR(INDEX(Heat_Map[Index],MATCH(HS_DB[[#This Row],[Reporter]],Heat_Map[Global],0),1),"")</f>
        <v>156</v>
      </c>
      <c r="K328" s="17" t="str">
        <f>IF(AND(HS_DB[[#This Row],[Origin Rank]]&gt;1,HS_DB[[#This Row],[Origin Rank]]&lt;=10),"Yes","No")</f>
        <v>Yes</v>
      </c>
      <c r="L328" s="2">
        <v>2024</v>
      </c>
      <c r="M328" s="2" t="s">
        <v>57</v>
      </c>
      <c r="N328" s="2" t="s">
        <v>29</v>
      </c>
      <c r="O328" s="2" t="s">
        <v>22</v>
      </c>
      <c r="P328" s="2" t="s">
        <v>23</v>
      </c>
      <c r="Q328" s="2" t="s">
        <v>24</v>
      </c>
      <c r="R328" s="2" t="s">
        <v>25</v>
      </c>
      <c r="S328" s="2">
        <v>320419</v>
      </c>
      <c r="T328" s="3">
        <v>9596</v>
      </c>
      <c r="U328" s="3">
        <v>145</v>
      </c>
      <c r="V328" s="3">
        <v>0</v>
      </c>
      <c r="W328" s="3">
        <v>145</v>
      </c>
      <c r="X328" s="3" t="s">
        <v>58</v>
      </c>
      <c r="Y328" s="3">
        <v>145</v>
      </c>
      <c r="Z328" s="3" t="s">
        <v>58</v>
      </c>
      <c r="AA328" s="6">
        <f>SUMIFS(HS_DB[Trade Value - USD],HS_DB[Reporter],HS_DB[[#This Row],[Reporter]])/SUM(HS_DB[Trade Value - USD])</f>
        <v>1.3832724193842358E-4</v>
      </c>
      <c r="AB328" s="8" cm="1">
        <f t="array" ref="AB328">SUMPRODUCT(
(HS_DB[Reporter]=HS_DB[[#This Row],[Reporter]])*
(HS_DB[Trade Value - USD]&gt;HS_DB[[#This Row],[Trade Value - USD]])
)+1</f>
        <v>3</v>
      </c>
      <c r="AC328" s="8" t="str">
        <f>IFERROR(IF(INDEX(Heat_Map[Crisis Impact %],MATCH(HS_DB[[#This Row],[Reporter]],Heat_Map[Global],0),1)&gt;0,"Yes","No"),"No")</f>
        <v>No</v>
      </c>
      <c r="AD328" s="6">
        <f>IFERROR(INDEX(Heat_Map[Crisis Impact %],MATCH(HS_DB[[#This Row],[Reporter]],Heat_Map[Global],0),1),0)</f>
        <v>0</v>
      </c>
      <c r="AE328" s="8">
        <f>HS_DB[[#This Row],[Crisis Impact%]]*HS_DB[[#This Row],[Trade Value - USD]]</f>
        <v>0</v>
      </c>
      <c r="AF328" s="8">
        <f>HS_DB[[#This Row],[Crisis Impact%]]*HS_DB[[#This Row],[Net Weight -KG]]</f>
        <v>0</v>
      </c>
      <c r="AG328" s="6">
        <f>SUMIFS(HS_DB[Trade Value - USD],HS_DB[Products],HS_DB[[#This Row],[Products]])/SUM(HS_DB[Trade Value - USD])</f>
        <v>7.9111635490056037E-3</v>
      </c>
      <c r="AH328" s="8">
        <f>_xlfn.RANK.EQ(HS_DB[[#This Row],[Trade Value - USD]], HS_DB[Trade Value - USD], 0)
 + COUNTIFS(HS_DB[Trade Value - USD],HS_DB[[#This Row],[Trade Value - USD]],
            HS_DB[HS Code],"&lt;"&amp;HS_DB[[#This Row],[HS Code]])</f>
        <v>413</v>
      </c>
      <c r="AI328" s="9">
        <f>IFERROR(HS_DB[[#This Row],[Trade Value - USD]]/HS_DB[[#This Row],[Net Weight -KG]],0)</f>
        <v>66.179310344827584</v>
      </c>
      <c r="AJ328" s="17" cm="1">
        <f t="array" ref="AJ328">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28" s="17" t="str">
        <f>IF(HS_DB[[#This Row],[HS Code Risk Score]]&gt;=40,"High",
 IF(HS_DB[[#This Row],[HS Code Risk Score]]&gt;=25,"Medium","Low"))</f>
        <v>Medium</v>
      </c>
      <c r="AL328" s="17" t="str">
        <f>IF(RANK(HS_DB[[#This Row],[HS Code Risk Score]],HS_DB[HS Code Risk Score])&lt;=10,"Yes","No")</f>
        <v>No</v>
      </c>
      <c r="AM328" s="8">
        <f>SUMIFS(HS_DB[Net Weight -KG],HS_DB[HS Code],HS_DB[[#This Row],[HS Code]])</f>
        <v>6791623.4000000004</v>
      </c>
      <c r="AN328" s="8">
        <f>SUMIFS(HS_DB[Trade Value - USD],HS_DB[HS Code],HS_DB[[#This Row],[HS Code]])</f>
        <v>14912609</v>
      </c>
      <c r="AO328" s="6">
        <f>_xlfn.MAXIFS(HS_DB[Origin Share%],HS_DB[HS Code],HS_DB[[#This Row],[HS Code]])</f>
        <v>6.321329281187793E-2</v>
      </c>
      <c r="AP328" s="8" cm="1">
        <f t="array" ref="AP328">_xlfn.LET(
_xlpm.hs,HS_DB[[#This Row],[HS Code]],
COUNTA(_xlfn.UNIQUE(_xlfn._xlws.FILTER(HS_DB[Reporter],HS_DB[HS Code]=_xlpm.hs)))
)</f>
        <v>20</v>
      </c>
      <c r="AQ328" s="17" t="str">
        <f>IF(HS_DB[[#This Row],[Origin Count]]=1,"Single Source","Multiple Sources")</f>
        <v>Multiple Sources</v>
      </c>
      <c r="AR328" s="8">
        <f>HS_DB[[#This Row],[Annual Spend - USD]]*(HS_DB[[#This Row],[HS Code Risk Score]]/100)</f>
        <v>5070287.0600000005</v>
      </c>
      <c r="AS328" s="8">
        <f>RANK(HS_DB[[#This Row],[Risk Exposure - USD]],HS_DB[Risk Exposure - USD],0)</f>
        <v>161</v>
      </c>
      <c r="AT328" s="8" t="str">
        <f>IF(HS_DB[[#This Row],[Risk Exposure Rank]]&lt;=10,"High",
 IF(HS_DB[[#This Row],[Risk Exposure Rank]]&lt;=30,"Medium",
 "Low"))</f>
        <v>Low</v>
      </c>
      <c r="AU328" s="8" t="str">
        <f>IF(HS_DB[[#This Row],[Risk Exposure Rank]]&lt;=5,"Immediate Action",
 IF(HS_DB[[#This Row],[Risk Exposure Rank]]&lt;=15,"Monitor Closely",
 "Routine Control"))</f>
        <v>Routine Control</v>
      </c>
      <c r="AV328" s="8">
        <f>SUMIFS(HS_DB[Trade Value - USD],HS_DB[HS Code],HS_DB[[#This Row],[HS Code]])</f>
        <v>14912609</v>
      </c>
      <c r="AW328" s="6">
        <f>HS_DB[[#This Row],[Annual Spend - USD]]/HS_DB[[#This Row],[Total Market Size - USD]]</f>
        <v>1</v>
      </c>
      <c r="AX328" s="6" cm="1">
        <f t="array" ref="AX328">COUNTA(_xlfn.UNIQUE(_xlfn._xlws.FILTER(HS_DB[Partner],HS_DB[HS Code]=HS_DB[[#This Row],[HS Code]])))</f>
        <v>1</v>
      </c>
      <c r="AY328" s="8" t="str">
        <f>IF(HS_DB[[#This Row],[Competition Intensity]]&lt;=2,"Highly Concentrated",
 IF(HS_DB[[#This Row],[Competition Intensity]]&lt;=5,"Moderate",
 "Highly Competitive"))</f>
        <v>Highly Concentrated</v>
      </c>
      <c r="AZ328" s="8">
        <f>HS_DB[[#This Row],[Total Market Size - USD]]
*
(1+IFERROR(#REF!,0))
/
HS_DB[[#This Row],[Competition Intensity]]</f>
        <v>14912609</v>
      </c>
      <c r="BA328" s="8" t="str">
        <f>IF(HS_DB[[#This Row],[Commercial Opportunity Score]]&gt;=PERCENTILE(HS_DB[Commercial Opportunity Score],0.9),"High Opportunity",
 IF(HS_DB[[#This Row],[Commercial Opportunity Score]]&gt;=PERCENTILE(HS_DB[Commercial Opportunity Score],0.6),"Medium Opportunity",
 "Routine Market"))</f>
        <v>Medium Opportunity</v>
      </c>
      <c r="BB328" s="3" t="str">
        <f>IF(AND(HS_DB[[#This Row],[Product Rank]]&gt;0,HS_DB[[#This Row],[Product Rank]]&lt;=10),"Yes","No")</f>
        <v>No</v>
      </c>
      <c r="BC328" s="3" t="str">
        <f>IF(AND(HS_DB[[#This Row],[Origin Rank]]&gt;0,HS_DB[[#This Row],[Origin Rank]]&lt;=10),"Yes","No")</f>
        <v>Yes</v>
      </c>
    </row>
    <row r="329" spans="2:55" x14ac:dyDescent="0.3">
      <c r="B329" s="2">
        <f>HS_DB[[#This Row],[Commodity Code]]</f>
        <v>320419</v>
      </c>
      <c r="C329" s="2">
        <f>IFERROR(INDEX(HS_MD!C:C,MATCH(B329,HS_MD!B:B,0),1),"")</f>
        <v>26</v>
      </c>
      <c r="D329" s="17" t="str">
        <f>IFERROR(INDEX(HS_MD!D:D,MATCH(B329,HS_MD!B:B,0),1),"")</f>
        <v>Synthetic organic coloring matter</v>
      </c>
      <c r="E329" s="17" t="str">
        <f>IFERROR(INDEX(HS_MD!E:E,MATCH(B329,HS_MD!B:B,0),1),"")</f>
        <v>Beta Carotene</v>
      </c>
      <c r="F329" s="17" t="str">
        <f>IFERROR(INDEX(HS_MD!F:F,MATCH(B329,HS_MD!B:B,0),1),"")</f>
        <v>Food Ingredients</v>
      </c>
      <c r="G329" s="17" t="str">
        <f>IFERROR(INDEX(HS_MD!G:G,MATCH(B329,HS_MD!B:B,0),1),"")</f>
        <v>Colors</v>
      </c>
      <c r="H329" s="17" t="str">
        <f>IFERROR(INDEX(HS_MD!H:H,MATCH(B329,HS_MD!B:B,0),1),"")</f>
        <v>Synthetic / Nature-Identical Colors</v>
      </c>
      <c r="I329" s="17" t="str">
        <f>IFERROR(INDEX(HS_MD!I:I,MATCH(B329,HS_MD!B:B,0),1),"")</f>
        <v>Beverages / Dairy</v>
      </c>
      <c r="J329" s="17">
        <f>IFERROR(INDEX(Heat_Map[Index],MATCH(HS_DB[[#This Row],[Reporter]],Heat_Map[Global],0),1),"")</f>
        <v>159</v>
      </c>
      <c r="K329" s="17" t="str">
        <f>IF(AND(HS_DB[[#This Row],[Origin Rank]]&gt;1,HS_DB[[#This Row],[Origin Rank]]&lt;=10),"Yes","No")</f>
        <v>No</v>
      </c>
      <c r="L329" s="2">
        <v>2024</v>
      </c>
      <c r="M329" s="2" t="s">
        <v>57</v>
      </c>
      <c r="N329" s="2" t="s">
        <v>30</v>
      </c>
      <c r="O329" s="2" t="s">
        <v>22</v>
      </c>
      <c r="P329" s="2" t="s">
        <v>23</v>
      </c>
      <c r="Q329" s="2" t="s">
        <v>24</v>
      </c>
      <c r="R329" s="2" t="s">
        <v>25</v>
      </c>
      <c r="S329" s="2">
        <v>320419</v>
      </c>
      <c r="T329" s="3">
        <v>3133368</v>
      </c>
      <c r="U329" s="3">
        <v>2278100</v>
      </c>
      <c r="V329" s="3">
        <v>0</v>
      </c>
      <c r="W329" s="3">
        <v>2278100</v>
      </c>
      <c r="X329" s="3" t="s">
        <v>58</v>
      </c>
      <c r="Y329" s="3">
        <v>2278100</v>
      </c>
      <c r="Z329" s="3" t="s">
        <v>58</v>
      </c>
      <c r="AA329" s="6">
        <f>SUMIFS(HS_DB[Trade Value - USD],HS_DB[Reporter],HS_DB[[#This Row],[Reporter]])/SUM(HS_DB[Trade Value - USD])</f>
        <v>6.110186869383482E-3</v>
      </c>
      <c r="AB329" s="8" cm="1">
        <f t="array" ref="AB329">SUMPRODUCT(
(HS_DB[Reporter]=HS_DB[[#This Row],[Reporter]])*
(HS_DB[Trade Value - USD]&gt;HS_DB[[#This Row],[Trade Value - USD]])
)+1</f>
        <v>1</v>
      </c>
      <c r="AC329" s="8" t="str">
        <f>IFERROR(IF(INDEX(Heat_Map[Crisis Impact %],MATCH(HS_DB[[#This Row],[Reporter]],Heat_Map[Global],0),1)&gt;0,"Yes","No"),"No")</f>
        <v>No</v>
      </c>
      <c r="AD329" s="6">
        <f>IFERROR(INDEX(Heat_Map[Crisis Impact %],MATCH(HS_DB[[#This Row],[Reporter]],Heat_Map[Global],0),1),0)</f>
        <v>0</v>
      </c>
      <c r="AE329" s="8">
        <f>HS_DB[[#This Row],[Crisis Impact%]]*HS_DB[[#This Row],[Trade Value - USD]]</f>
        <v>0</v>
      </c>
      <c r="AF329" s="8">
        <f>HS_DB[[#This Row],[Crisis Impact%]]*HS_DB[[#This Row],[Net Weight -KG]]</f>
        <v>0</v>
      </c>
      <c r="AG329" s="6">
        <f>SUMIFS(HS_DB[Trade Value - USD],HS_DB[Products],HS_DB[[#This Row],[Products]])/SUM(HS_DB[Trade Value - USD])</f>
        <v>7.9111635490056037E-3</v>
      </c>
      <c r="AH329" s="8">
        <f>_xlfn.RANK.EQ(HS_DB[[#This Row],[Trade Value - USD]], HS_DB[Trade Value - USD], 0)
 + COUNTIFS(HS_DB[Trade Value - USD],HS_DB[[#This Row],[Trade Value - USD]],
            HS_DB[HS Code],"&lt;"&amp;HS_DB[[#This Row],[HS Code]])</f>
        <v>44</v>
      </c>
      <c r="AI329" s="9">
        <f>IFERROR(HS_DB[[#This Row],[Trade Value - USD]]/HS_DB[[#This Row],[Net Weight -KG]],0)</f>
        <v>1.3754304025284227</v>
      </c>
      <c r="AJ329" s="17" cm="1">
        <f t="array" ref="AJ329">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29" s="17" t="str">
        <f>IF(HS_DB[[#This Row],[HS Code Risk Score]]&gt;=40,"High",
 IF(HS_DB[[#This Row],[HS Code Risk Score]]&gt;=25,"Medium","Low"))</f>
        <v>Medium</v>
      </c>
      <c r="AL329" s="17" t="str">
        <f>IF(RANK(HS_DB[[#This Row],[HS Code Risk Score]],HS_DB[HS Code Risk Score])&lt;=10,"Yes","No")</f>
        <v>No</v>
      </c>
      <c r="AM329" s="8">
        <f>SUMIFS(HS_DB[Net Weight -KG],HS_DB[HS Code],HS_DB[[#This Row],[HS Code]])</f>
        <v>6791623.4000000004</v>
      </c>
      <c r="AN329" s="8">
        <f>SUMIFS(HS_DB[Trade Value - USD],HS_DB[HS Code],HS_DB[[#This Row],[HS Code]])</f>
        <v>14912609</v>
      </c>
      <c r="AO329" s="6">
        <f>_xlfn.MAXIFS(HS_DB[Origin Share%],HS_DB[HS Code],HS_DB[[#This Row],[HS Code]])</f>
        <v>6.321329281187793E-2</v>
      </c>
      <c r="AP329" s="8" cm="1">
        <f t="array" ref="AP329">_xlfn.LET(
_xlpm.hs,HS_DB[[#This Row],[HS Code]],
COUNTA(_xlfn.UNIQUE(_xlfn._xlws.FILTER(HS_DB[Reporter],HS_DB[HS Code]=_xlpm.hs)))
)</f>
        <v>20</v>
      </c>
      <c r="AQ329" s="17" t="str">
        <f>IF(HS_DB[[#This Row],[Origin Count]]=1,"Single Source","Multiple Sources")</f>
        <v>Multiple Sources</v>
      </c>
      <c r="AR329" s="8">
        <f>HS_DB[[#This Row],[Annual Spend - USD]]*(HS_DB[[#This Row],[HS Code Risk Score]]/100)</f>
        <v>5070287.0600000005</v>
      </c>
      <c r="AS329" s="8">
        <f>RANK(HS_DB[[#This Row],[Risk Exposure - USD]],HS_DB[Risk Exposure - USD],0)</f>
        <v>161</v>
      </c>
      <c r="AT329" s="8" t="str">
        <f>IF(HS_DB[[#This Row],[Risk Exposure Rank]]&lt;=10,"High",
 IF(HS_DB[[#This Row],[Risk Exposure Rank]]&lt;=30,"Medium",
 "Low"))</f>
        <v>Low</v>
      </c>
      <c r="AU329" s="8" t="str">
        <f>IF(HS_DB[[#This Row],[Risk Exposure Rank]]&lt;=5,"Immediate Action",
 IF(HS_DB[[#This Row],[Risk Exposure Rank]]&lt;=15,"Monitor Closely",
 "Routine Control"))</f>
        <v>Routine Control</v>
      </c>
      <c r="AV329" s="8">
        <f>SUMIFS(HS_DB[Trade Value - USD],HS_DB[HS Code],HS_DB[[#This Row],[HS Code]])</f>
        <v>14912609</v>
      </c>
      <c r="AW329" s="6">
        <f>HS_DB[[#This Row],[Annual Spend - USD]]/HS_DB[[#This Row],[Total Market Size - USD]]</f>
        <v>1</v>
      </c>
      <c r="AX329" s="6" cm="1">
        <f t="array" ref="AX329">COUNTA(_xlfn.UNIQUE(_xlfn._xlws.FILTER(HS_DB[Partner],HS_DB[HS Code]=HS_DB[[#This Row],[HS Code]])))</f>
        <v>1</v>
      </c>
      <c r="AY329" s="8" t="str">
        <f>IF(HS_DB[[#This Row],[Competition Intensity]]&lt;=2,"Highly Concentrated",
 IF(HS_DB[[#This Row],[Competition Intensity]]&lt;=5,"Moderate",
 "Highly Competitive"))</f>
        <v>Highly Concentrated</v>
      </c>
      <c r="AZ329" s="8">
        <f>HS_DB[[#This Row],[Total Market Size - USD]]
*
(1+IFERROR(#REF!,0))
/
HS_DB[[#This Row],[Competition Intensity]]</f>
        <v>14912609</v>
      </c>
      <c r="BA329" s="8" t="str">
        <f>IF(HS_DB[[#This Row],[Commercial Opportunity Score]]&gt;=PERCENTILE(HS_DB[Commercial Opportunity Score],0.9),"High Opportunity",
 IF(HS_DB[[#This Row],[Commercial Opportunity Score]]&gt;=PERCENTILE(HS_DB[Commercial Opportunity Score],0.6),"Medium Opportunity",
 "Routine Market"))</f>
        <v>Medium Opportunity</v>
      </c>
      <c r="BB329" s="3" t="str">
        <f>IF(AND(HS_DB[[#This Row],[Product Rank]]&gt;0,HS_DB[[#This Row],[Product Rank]]&lt;=10),"Yes","No")</f>
        <v>No</v>
      </c>
      <c r="BC329" s="3" t="str">
        <f>IF(AND(HS_DB[[#This Row],[Origin Rank]]&gt;0,HS_DB[[#This Row],[Origin Rank]]&lt;=10),"Yes","No")</f>
        <v>Yes</v>
      </c>
    </row>
    <row r="330" spans="2:55" x14ac:dyDescent="0.3">
      <c r="B330" s="2">
        <f>HS_DB[[#This Row],[Commodity Code]]</f>
        <v>320419</v>
      </c>
      <c r="C330" s="2">
        <f>IFERROR(INDEX(HS_MD!C:C,MATCH(B330,HS_MD!B:B,0),1),"")</f>
        <v>26</v>
      </c>
      <c r="D330" s="17" t="str">
        <f>IFERROR(INDEX(HS_MD!D:D,MATCH(B330,HS_MD!B:B,0),1),"")</f>
        <v>Synthetic organic coloring matter</v>
      </c>
      <c r="E330" s="17" t="str">
        <f>IFERROR(INDEX(HS_MD!E:E,MATCH(B330,HS_MD!B:B,0),1),"")</f>
        <v>Beta Carotene</v>
      </c>
      <c r="F330" s="17" t="str">
        <f>IFERROR(INDEX(HS_MD!F:F,MATCH(B330,HS_MD!B:B,0),1),"")</f>
        <v>Food Ingredients</v>
      </c>
      <c r="G330" s="17" t="str">
        <f>IFERROR(INDEX(HS_MD!G:G,MATCH(B330,HS_MD!B:B,0),1),"")</f>
        <v>Colors</v>
      </c>
      <c r="H330" s="17" t="str">
        <f>IFERROR(INDEX(HS_MD!H:H,MATCH(B330,HS_MD!B:B,0),1),"")</f>
        <v>Synthetic / Nature-Identical Colors</v>
      </c>
      <c r="I330" s="17" t="str">
        <f>IFERROR(INDEX(HS_MD!I:I,MATCH(B330,HS_MD!B:B,0),1),"")</f>
        <v>Beverages / Dairy</v>
      </c>
      <c r="J330" s="17">
        <f>IFERROR(INDEX(Heat_Map[Index],MATCH(HS_DB[[#This Row],[Reporter]],Heat_Map[Global],0),1),"")</f>
        <v>164</v>
      </c>
      <c r="K330" s="17" t="str">
        <f>IF(AND(HS_DB[[#This Row],[Origin Rank]]&gt;1,HS_DB[[#This Row],[Origin Rank]]&lt;=10),"Yes","No")</f>
        <v>Yes</v>
      </c>
      <c r="L330" s="2">
        <v>2024</v>
      </c>
      <c r="M330" s="2" t="s">
        <v>57</v>
      </c>
      <c r="N330" s="2" t="s">
        <v>32</v>
      </c>
      <c r="O330" s="2" t="s">
        <v>22</v>
      </c>
      <c r="P330" s="2" t="s">
        <v>23</v>
      </c>
      <c r="Q330" s="2" t="s">
        <v>24</v>
      </c>
      <c r="R330" s="2" t="s">
        <v>25</v>
      </c>
      <c r="S330" s="2">
        <v>320419</v>
      </c>
      <c r="T330" s="3">
        <v>65</v>
      </c>
      <c r="U330" s="3">
        <v>3</v>
      </c>
      <c r="V330" s="3">
        <v>0</v>
      </c>
      <c r="W330" s="3">
        <v>3</v>
      </c>
      <c r="X330" s="3" t="s">
        <v>58</v>
      </c>
      <c r="Y330" s="3">
        <v>3</v>
      </c>
      <c r="Z330" s="3" t="s">
        <v>58</v>
      </c>
      <c r="AA330" s="6">
        <f>SUMIFS(HS_DB[Trade Value - USD],HS_DB[Reporter],HS_DB[[#This Row],[Reporter]])/SUM(HS_DB[Trade Value - USD])</f>
        <v>1.1630298885271862E-3</v>
      </c>
      <c r="AB330" s="8" cm="1">
        <f t="array" ref="AB330">SUMPRODUCT(
(HS_DB[Reporter]=HS_DB[[#This Row],[Reporter]])*
(HS_DB[Trade Value - USD]&gt;HS_DB[[#This Row],[Trade Value - USD]])
)+1</f>
        <v>10</v>
      </c>
      <c r="AC330" s="8" t="str">
        <f>IFERROR(IF(INDEX(Heat_Map[Crisis Impact %],MATCH(HS_DB[[#This Row],[Reporter]],Heat_Map[Global],0),1)&gt;0,"Yes","No"),"No")</f>
        <v>No</v>
      </c>
      <c r="AD330" s="6">
        <f>IFERROR(INDEX(Heat_Map[Crisis Impact %],MATCH(HS_DB[[#This Row],[Reporter]],Heat_Map[Global],0),1),0)</f>
        <v>0</v>
      </c>
      <c r="AE330" s="8">
        <f>HS_DB[[#This Row],[Crisis Impact%]]*HS_DB[[#This Row],[Trade Value - USD]]</f>
        <v>0</v>
      </c>
      <c r="AF330" s="8">
        <f>HS_DB[[#This Row],[Crisis Impact%]]*HS_DB[[#This Row],[Net Weight -KG]]</f>
        <v>0</v>
      </c>
      <c r="AG330" s="6">
        <f>SUMIFS(HS_DB[Trade Value - USD],HS_DB[Products],HS_DB[[#This Row],[Products]])/SUM(HS_DB[Trade Value - USD])</f>
        <v>7.9111635490056037E-3</v>
      </c>
      <c r="AH330" s="8">
        <f>_xlfn.RANK.EQ(HS_DB[[#This Row],[Trade Value - USD]], HS_DB[Trade Value - USD], 0)
 + COUNTIFS(HS_DB[Trade Value - USD],HS_DB[[#This Row],[Trade Value - USD]],
            HS_DB[HS Code],"&lt;"&amp;HS_DB[[#This Row],[HS Code]])</f>
        <v>523</v>
      </c>
      <c r="AI330" s="9">
        <f>IFERROR(HS_DB[[#This Row],[Trade Value - USD]]/HS_DB[[#This Row],[Net Weight -KG]],0)</f>
        <v>21.666666666666668</v>
      </c>
      <c r="AJ330" s="17" cm="1">
        <f t="array" ref="AJ330">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30" s="17" t="str">
        <f>IF(HS_DB[[#This Row],[HS Code Risk Score]]&gt;=40,"High",
 IF(HS_DB[[#This Row],[HS Code Risk Score]]&gt;=25,"Medium","Low"))</f>
        <v>Medium</v>
      </c>
      <c r="AL330" s="17" t="str">
        <f>IF(RANK(HS_DB[[#This Row],[HS Code Risk Score]],HS_DB[HS Code Risk Score])&lt;=10,"Yes","No")</f>
        <v>No</v>
      </c>
      <c r="AM330" s="8">
        <f>SUMIFS(HS_DB[Net Weight -KG],HS_DB[HS Code],HS_DB[[#This Row],[HS Code]])</f>
        <v>6791623.4000000004</v>
      </c>
      <c r="AN330" s="8">
        <f>SUMIFS(HS_DB[Trade Value - USD],HS_DB[HS Code],HS_DB[[#This Row],[HS Code]])</f>
        <v>14912609</v>
      </c>
      <c r="AO330" s="6">
        <f>_xlfn.MAXIFS(HS_DB[Origin Share%],HS_DB[HS Code],HS_DB[[#This Row],[HS Code]])</f>
        <v>6.321329281187793E-2</v>
      </c>
      <c r="AP330" s="8" cm="1">
        <f t="array" ref="AP330">_xlfn.LET(
_xlpm.hs,HS_DB[[#This Row],[HS Code]],
COUNTA(_xlfn.UNIQUE(_xlfn._xlws.FILTER(HS_DB[Reporter],HS_DB[HS Code]=_xlpm.hs)))
)</f>
        <v>20</v>
      </c>
      <c r="AQ330" s="17" t="str">
        <f>IF(HS_DB[[#This Row],[Origin Count]]=1,"Single Source","Multiple Sources")</f>
        <v>Multiple Sources</v>
      </c>
      <c r="AR330" s="8">
        <f>HS_DB[[#This Row],[Annual Spend - USD]]*(HS_DB[[#This Row],[HS Code Risk Score]]/100)</f>
        <v>5070287.0600000005</v>
      </c>
      <c r="AS330" s="8">
        <f>RANK(HS_DB[[#This Row],[Risk Exposure - USD]],HS_DB[Risk Exposure - USD],0)</f>
        <v>161</v>
      </c>
      <c r="AT330" s="8" t="str">
        <f>IF(HS_DB[[#This Row],[Risk Exposure Rank]]&lt;=10,"High",
 IF(HS_DB[[#This Row],[Risk Exposure Rank]]&lt;=30,"Medium",
 "Low"))</f>
        <v>Low</v>
      </c>
      <c r="AU330" s="8" t="str">
        <f>IF(HS_DB[[#This Row],[Risk Exposure Rank]]&lt;=5,"Immediate Action",
 IF(HS_DB[[#This Row],[Risk Exposure Rank]]&lt;=15,"Monitor Closely",
 "Routine Control"))</f>
        <v>Routine Control</v>
      </c>
      <c r="AV330" s="8">
        <f>SUMIFS(HS_DB[Trade Value - USD],HS_DB[HS Code],HS_DB[[#This Row],[HS Code]])</f>
        <v>14912609</v>
      </c>
      <c r="AW330" s="6">
        <f>HS_DB[[#This Row],[Annual Spend - USD]]/HS_DB[[#This Row],[Total Market Size - USD]]</f>
        <v>1</v>
      </c>
      <c r="AX330" s="6" cm="1">
        <f t="array" ref="AX330">COUNTA(_xlfn.UNIQUE(_xlfn._xlws.FILTER(HS_DB[Partner],HS_DB[HS Code]=HS_DB[[#This Row],[HS Code]])))</f>
        <v>1</v>
      </c>
      <c r="AY330" s="8" t="str">
        <f>IF(HS_DB[[#This Row],[Competition Intensity]]&lt;=2,"Highly Concentrated",
 IF(HS_DB[[#This Row],[Competition Intensity]]&lt;=5,"Moderate",
 "Highly Competitive"))</f>
        <v>Highly Concentrated</v>
      </c>
      <c r="AZ330" s="8">
        <f>HS_DB[[#This Row],[Total Market Size - USD]]
*
(1+IFERROR(#REF!,0))
/
HS_DB[[#This Row],[Competition Intensity]]</f>
        <v>14912609</v>
      </c>
      <c r="BA330" s="8" t="str">
        <f>IF(HS_DB[[#This Row],[Commercial Opportunity Score]]&gt;=PERCENTILE(HS_DB[Commercial Opportunity Score],0.9),"High Opportunity",
 IF(HS_DB[[#This Row],[Commercial Opportunity Score]]&gt;=PERCENTILE(HS_DB[Commercial Opportunity Score],0.6),"Medium Opportunity",
 "Routine Market"))</f>
        <v>Medium Opportunity</v>
      </c>
      <c r="BB330" s="3" t="str">
        <f>IF(AND(HS_DB[[#This Row],[Product Rank]]&gt;0,HS_DB[[#This Row],[Product Rank]]&lt;=10),"Yes","No")</f>
        <v>No</v>
      </c>
      <c r="BC330" s="3" t="str">
        <f>IF(AND(HS_DB[[#This Row],[Origin Rank]]&gt;0,HS_DB[[#This Row],[Origin Rank]]&lt;=10),"Yes","No")</f>
        <v>Yes</v>
      </c>
    </row>
    <row r="331" spans="2:55" x14ac:dyDescent="0.3">
      <c r="B331" s="2">
        <f>HS_DB[[#This Row],[Commodity Code]]</f>
        <v>320419</v>
      </c>
      <c r="C331" s="2">
        <f>IFERROR(INDEX(HS_MD!C:C,MATCH(B331,HS_MD!B:B,0),1),"")</f>
        <v>26</v>
      </c>
      <c r="D331" s="17" t="str">
        <f>IFERROR(INDEX(HS_MD!D:D,MATCH(B331,HS_MD!B:B,0),1),"")</f>
        <v>Synthetic organic coloring matter</v>
      </c>
      <c r="E331" s="17" t="str">
        <f>IFERROR(INDEX(HS_MD!E:E,MATCH(B331,HS_MD!B:B,0),1),"")</f>
        <v>Beta Carotene</v>
      </c>
      <c r="F331" s="17" t="str">
        <f>IFERROR(INDEX(HS_MD!F:F,MATCH(B331,HS_MD!B:B,0),1),"")</f>
        <v>Food Ingredients</v>
      </c>
      <c r="G331" s="17" t="str">
        <f>IFERROR(INDEX(HS_MD!G:G,MATCH(B331,HS_MD!B:B,0),1),"")</f>
        <v>Colors</v>
      </c>
      <c r="H331" s="17" t="str">
        <f>IFERROR(INDEX(HS_MD!H:H,MATCH(B331,HS_MD!B:B,0),1),"")</f>
        <v>Synthetic / Nature-Identical Colors</v>
      </c>
      <c r="I331" s="17" t="str">
        <f>IFERROR(INDEX(HS_MD!I:I,MATCH(B331,HS_MD!B:B,0),1),"")</f>
        <v>Beverages / Dairy</v>
      </c>
      <c r="J331" s="17">
        <f>IFERROR(INDEX(Heat_Map[Index],MATCH(HS_DB[[#This Row],[Reporter]],Heat_Map[Global],0),1),"")</f>
        <v>175</v>
      </c>
      <c r="K331" s="17" t="str">
        <f>IF(AND(HS_DB[[#This Row],[Origin Rank]]&gt;1,HS_DB[[#This Row],[Origin Rank]]&lt;=10),"Yes","No")</f>
        <v>No</v>
      </c>
      <c r="L331" s="2">
        <v>2024</v>
      </c>
      <c r="M331" s="2" t="s">
        <v>57</v>
      </c>
      <c r="N331" s="2" t="s">
        <v>34</v>
      </c>
      <c r="O331" s="2" t="s">
        <v>22</v>
      </c>
      <c r="P331" s="2" t="s">
        <v>23</v>
      </c>
      <c r="Q331" s="2" t="s">
        <v>24</v>
      </c>
      <c r="R331" s="2" t="s">
        <v>25</v>
      </c>
      <c r="S331" s="2">
        <v>320419</v>
      </c>
      <c r="T331" s="3">
        <v>1557916</v>
      </c>
      <c r="U331" s="3">
        <v>979232</v>
      </c>
      <c r="V331" s="3">
        <v>0</v>
      </c>
      <c r="W331" s="3">
        <v>979232</v>
      </c>
      <c r="X331" s="3" t="s">
        <v>58</v>
      </c>
      <c r="Y331" s="3">
        <v>979232</v>
      </c>
      <c r="Z331" s="3" t="s">
        <v>58</v>
      </c>
      <c r="AA331" s="6">
        <f>SUMIFS(HS_DB[Trade Value - USD],HS_DB[Reporter],HS_DB[[#This Row],[Reporter]])/SUM(HS_DB[Trade Value - USD])</f>
        <v>4.7522902002533667E-2</v>
      </c>
      <c r="AB331" s="8" cm="1">
        <f t="array" ref="AB331">SUMPRODUCT(
(HS_DB[Reporter]=HS_DB[[#This Row],[Reporter]])*
(HS_DB[Trade Value - USD]&gt;HS_DB[[#This Row],[Trade Value - USD]])
)+1</f>
        <v>11</v>
      </c>
      <c r="AC331" s="8" t="str">
        <f>IFERROR(IF(INDEX(Heat_Map[Crisis Impact %],MATCH(HS_DB[[#This Row],[Reporter]],Heat_Map[Global],0),1)&gt;0,"Yes","No"),"No")</f>
        <v>Yes</v>
      </c>
      <c r="AD331" s="6">
        <f>IFERROR(INDEX(Heat_Map[Crisis Impact %],MATCH(HS_DB[[#This Row],[Reporter]],Heat_Map[Global],0),1),0)</f>
        <v>0.1</v>
      </c>
      <c r="AE331" s="8">
        <f>HS_DB[[#This Row],[Crisis Impact%]]*HS_DB[[#This Row],[Trade Value - USD]]</f>
        <v>155791.6</v>
      </c>
      <c r="AF331" s="8">
        <f>HS_DB[[#This Row],[Crisis Impact%]]*HS_DB[[#This Row],[Net Weight -KG]]</f>
        <v>97923.200000000012</v>
      </c>
      <c r="AG331" s="6">
        <f>SUMIFS(HS_DB[Trade Value - USD],HS_DB[Products],HS_DB[[#This Row],[Products]])/SUM(HS_DB[Trade Value - USD])</f>
        <v>7.9111635490056037E-3</v>
      </c>
      <c r="AH331" s="8">
        <f>_xlfn.RANK.EQ(HS_DB[[#This Row],[Trade Value - USD]], HS_DB[Trade Value - USD], 0)
 + COUNTIFS(HS_DB[Trade Value - USD],HS_DB[[#This Row],[Trade Value - USD]],
            HS_DB[HS Code],"&lt;"&amp;HS_DB[[#This Row],[HS Code]])</f>
        <v>75</v>
      </c>
      <c r="AI331" s="9">
        <f>IFERROR(HS_DB[[#This Row],[Trade Value - USD]]/HS_DB[[#This Row],[Net Weight -KG]],0)</f>
        <v>1.5909569948694486</v>
      </c>
      <c r="AJ331" s="17" cm="1">
        <f t="array" ref="AJ331">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31" s="17" t="str">
        <f>IF(HS_DB[[#This Row],[HS Code Risk Score]]&gt;=40,"High",
 IF(HS_DB[[#This Row],[HS Code Risk Score]]&gt;=25,"Medium","Low"))</f>
        <v>Medium</v>
      </c>
      <c r="AL331" s="17" t="str">
        <f>IF(RANK(HS_DB[[#This Row],[HS Code Risk Score]],HS_DB[HS Code Risk Score])&lt;=10,"Yes","No")</f>
        <v>No</v>
      </c>
      <c r="AM331" s="8">
        <f>SUMIFS(HS_DB[Net Weight -KG],HS_DB[HS Code],HS_DB[[#This Row],[HS Code]])</f>
        <v>6791623.4000000004</v>
      </c>
      <c r="AN331" s="8">
        <f>SUMIFS(HS_DB[Trade Value - USD],HS_DB[HS Code],HS_DB[[#This Row],[HS Code]])</f>
        <v>14912609</v>
      </c>
      <c r="AO331" s="6">
        <f>_xlfn.MAXIFS(HS_DB[Origin Share%],HS_DB[HS Code],HS_DB[[#This Row],[HS Code]])</f>
        <v>6.321329281187793E-2</v>
      </c>
      <c r="AP331" s="8" cm="1">
        <f t="array" ref="AP331">_xlfn.LET(
_xlpm.hs,HS_DB[[#This Row],[HS Code]],
COUNTA(_xlfn.UNIQUE(_xlfn._xlws.FILTER(HS_DB[Reporter],HS_DB[HS Code]=_xlpm.hs)))
)</f>
        <v>20</v>
      </c>
      <c r="AQ331" s="17" t="str">
        <f>IF(HS_DB[[#This Row],[Origin Count]]=1,"Single Source","Multiple Sources")</f>
        <v>Multiple Sources</v>
      </c>
      <c r="AR331" s="8">
        <f>HS_DB[[#This Row],[Annual Spend - USD]]*(HS_DB[[#This Row],[HS Code Risk Score]]/100)</f>
        <v>5070287.0600000005</v>
      </c>
      <c r="AS331" s="8">
        <f>RANK(HS_DB[[#This Row],[Risk Exposure - USD]],HS_DB[Risk Exposure - USD],0)</f>
        <v>161</v>
      </c>
      <c r="AT331" s="8" t="str">
        <f>IF(HS_DB[[#This Row],[Risk Exposure Rank]]&lt;=10,"High",
 IF(HS_DB[[#This Row],[Risk Exposure Rank]]&lt;=30,"Medium",
 "Low"))</f>
        <v>Low</v>
      </c>
      <c r="AU331" s="8" t="str">
        <f>IF(HS_DB[[#This Row],[Risk Exposure Rank]]&lt;=5,"Immediate Action",
 IF(HS_DB[[#This Row],[Risk Exposure Rank]]&lt;=15,"Monitor Closely",
 "Routine Control"))</f>
        <v>Routine Control</v>
      </c>
      <c r="AV331" s="8">
        <f>SUMIFS(HS_DB[Trade Value - USD],HS_DB[HS Code],HS_DB[[#This Row],[HS Code]])</f>
        <v>14912609</v>
      </c>
      <c r="AW331" s="6">
        <f>HS_DB[[#This Row],[Annual Spend - USD]]/HS_DB[[#This Row],[Total Market Size - USD]]</f>
        <v>1</v>
      </c>
      <c r="AX331" s="6" cm="1">
        <f t="array" ref="AX331">COUNTA(_xlfn.UNIQUE(_xlfn._xlws.FILTER(HS_DB[Partner],HS_DB[HS Code]=HS_DB[[#This Row],[HS Code]])))</f>
        <v>1</v>
      </c>
      <c r="AY331" s="8" t="str">
        <f>IF(HS_DB[[#This Row],[Competition Intensity]]&lt;=2,"Highly Concentrated",
 IF(HS_DB[[#This Row],[Competition Intensity]]&lt;=5,"Moderate",
 "Highly Competitive"))</f>
        <v>Highly Concentrated</v>
      </c>
      <c r="AZ331" s="8">
        <f>HS_DB[[#This Row],[Total Market Size - USD]]
*
(1+IFERROR(#REF!,0))
/
HS_DB[[#This Row],[Competition Intensity]]</f>
        <v>14912609</v>
      </c>
      <c r="BA331" s="8" t="str">
        <f>IF(HS_DB[[#This Row],[Commercial Opportunity Score]]&gt;=PERCENTILE(HS_DB[Commercial Opportunity Score],0.9),"High Opportunity",
 IF(HS_DB[[#This Row],[Commercial Opportunity Score]]&gt;=PERCENTILE(HS_DB[Commercial Opportunity Score],0.6),"Medium Opportunity",
 "Routine Market"))</f>
        <v>Medium Opportunity</v>
      </c>
      <c r="BB331" s="3" t="str">
        <f>IF(AND(HS_DB[[#This Row],[Product Rank]]&gt;0,HS_DB[[#This Row],[Product Rank]]&lt;=10),"Yes","No")</f>
        <v>No</v>
      </c>
      <c r="BC331" s="3" t="str">
        <f>IF(AND(HS_DB[[#This Row],[Origin Rank]]&gt;0,HS_DB[[#This Row],[Origin Rank]]&lt;=10),"Yes","No")</f>
        <v>No</v>
      </c>
    </row>
    <row r="332" spans="2:55" x14ac:dyDescent="0.3">
      <c r="B332" s="2">
        <f>HS_DB[[#This Row],[Commodity Code]]</f>
        <v>320419</v>
      </c>
      <c r="C332" s="2">
        <f>IFERROR(INDEX(HS_MD!C:C,MATCH(B332,HS_MD!B:B,0),1),"")</f>
        <v>26</v>
      </c>
      <c r="D332" s="17" t="str">
        <f>IFERROR(INDEX(HS_MD!D:D,MATCH(B332,HS_MD!B:B,0),1),"")</f>
        <v>Synthetic organic coloring matter</v>
      </c>
      <c r="E332" s="17" t="str">
        <f>IFERROR(INDEX(HS_MD!E:E,MATCH(B332,HS_MD!B:B,0),1),"")</f>
        <v>Beta Carotene</v>
      </c>
      <c r="F332" s="17" t="str">
        <f>IFERROR(INDEX(HS_MD!F:F,MATCH(B332,HS_MD!B:B,0),1),"")</f>
        <v>Food Ingredients</v>
      </c>
      <c r="G332" s="17" t="str">
        <f>IFERROR(INDEX(HS_MD!G:G,MATCH(B332,HS_MD!B:B,0),1),"")</f>
        <v>Colors</v>
      </c>
      <c r="H332" s="17" t="str">
        <f>IFERROR(INDEX(HS_MD!H:H,MATCH(B332,HS_MD!B:B,0),1),"")</f>
        <v>Synthetic / Nature-Identical Colors</v>
      </c>
      <c r="I332" s="17" t="str">
        <f>IFERROR(INDEX(HS_MD!I:I,MATCH(B332,HS_MD!B:B,0),1),"")</f>
        <v>Beverages / Dairy</v>
      </c>
      <c r="J332" s="17">
        <f>IFERROR(INDEX(Heat_Map[Index],MATCH(HS_DB[[#This Row],[Reporter]],Heat_Map[Global],0),1),"")</f>
        <v>181</v>
      </c>
      <c r="K332" s="17" t="str">
        <f>IF(AND(HS_DB[[#This Row],[Origin Rank]]&gt;1,HS_DB[[#This Row],[Origin Rank]]&lt;=10),"Yes","No")</f>
        <v>Yes</v>
      </c>
      <c r="L332" s="2">
        <v>2024</v>
      </c>
      <c r="M332" s="2" t="s">
        <v>57</v>
      </c>
      <c r="N332" s="2" t="s">
        <v>36</v>
      </c>
      <c r="O332" s="2" t="s">
        <v>22</v>
      </c>
      <c r="P332" s="2" t="s">
        <v>23</v>
      </c>
      <c r="Q332" s="2" t="s">
        <v>24</v>
      </c>
      <c r="R332" s="2" t="s">
        <v>25</v>
      </c>
      <c r="S332" s="2">
        <v>320419</v>
      </c>
      <c r="T332" s="3">
        <v>138927</v>
      </c>
      <c r="U332" s="3">
        <v>6677</v>
      </c>
      <c r="V332" s="3">
        <v>0</v>
      </c>
      <c r="W332" s="3">
        <v>6677</v>
      </c>
      <c r="X332" s="3" t="s">
        <v>58</v>
      </c>
      <c r="Y332" s="3">
        <v>6677</v>
      </c>
      <c r="Z332" s="3" t="s">
        <v>58</v>
      </c>
      <c r="AA332" s="6">
        <f>SUMIFS(HS_DB[Trade Value - USD],HS_DB[Reporter],HS_DB[[#This Row],[Reporter]])/SUM(HS_DB[Trade Value - USD])</f>
        <v>1.3104801671892474E-3</v>
      </c>
      <c r="AB332" s="8" cm="1">
        <f t="array" ref="AB332">SUMPRODUCT(
(HS_DB[Reporter]=HS_DB[[#This Row],[Reporter]])*
(HS_DB[Trade Value - USD]&gt;HS_DB[[#This Row],[Trade Value - USD]])
)+1</f>
        <v>5</v>
      </c>
      <c r="AC332" s="8" t="str">
        <f>IFERROR(IF(INDEX(Heat_Map[Crisis Impact %],MATCH(HS_DB[[#This Row],[Reporter]],Heat_Map[Global],0),1)&gt;0,"Yes","No"),"No")</f>
        <v>No</v>
      </c>
      <c r="AD332" s="6">
        <f>IFERROR(INDEX(Heat_Map[Crisis Impact %],MATCH(HS_DB[[#This Row],[Reporter]],Heat_Map[Global],0),1),0)</f>
        <v>0</v>
      </c>
      <c r="AE332" s="8">
        <f>HS_DB[[#This Row],[Crisis Impact%]]*HS_DB[[#This Row],[Trade Value - USD]]</f>
        <v>0</v>
      </c>
      <c r="AF332" s="8">
        <f>HS_DB[[#This Row],[Crisis Impact%]]*HS_DB[[#This Row],[Net Weight -KG]]</f>
        <v>0</v>
      </c>
      <c r="AG332" s="6">
        <f>SUMIFS(HS_DB[Trade Value - USD],HS_DB[Products],HS_DB[[#This Row],[Products]])/SUM(HS_DB[Trade Value - USD])</f>
        <v>7.9111635490056037E-3</v>
      </c>
      <c r="AH332" s="8">
        <f>_xlfn.RANK.EQ(HS_DB[[#This Row],[Trade Value - USD]], HS_DB[Trade Value - USD], 0)
 + COUNTIFS(HS_DB[Trade Value - USD],HS_DB[[#This Row],[Trade Value - USD]],
            HS_DB[HS Code],"&lt;"&amp;HS_DB[[#This Row],[HS Code]])</f>
        <v>253</v>
      </c>
      <c r="AI332" s="9">
        <f>IFERROR(HS_DB[[#This Row],[Trade Value - USD]]/HS_DB[[#This Row],[Net Weight -KG]],0)</f>
        <v>20.806799460835705</v>
      </c>
      <c r="AJ332" s="17" cm="1">
        <f t="array" ref="AJ332">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32" s="17" t="str">
        <f>IF(HS_DB[[#This Row],[HS Code Risk Score]]&gt;=40,"High",
 IF(HS_DB[[#This Row],[HS Code Risk Score]]&gt;=25,"Medium","Low"))</f>
        <v>Medium</v>
      </c>
      <c r="AL332" s="17" t="str">
        <f>IF(RANK(HS_DB[[#This Row],[HS Code Risk Score]],HS_DB[HS Code Risk Score])&lt;=10,"Yes","No")</f>
        <v>No</v>
      </c>
      <c r="AM332" s="8">
        <f>SUMIFS(HS_DB[Net Weight -KG],HS_DB[HS Code],HS_DB[[#This Row],[HS Code]])</f>
        <v>6791623.4000000004</v>
      </c>
      <c r="AN332" s="8">
        <f>SUMIFS(HS_DB[Trade Value - USD],HS_DB[HS Code],HS_DB[[#This Row],[HS Code]])</f>
        <v>14912609</v>
      </c>
      <c r="AO332" s="6">
        <f>_xlfn.MAXIFS(HS_DB[Origin Share%],HS_DB[HS Code],HS_DB[[#This Row],[HS Code]])</f>
        <v>6.321329281187793E-2</v>
      </c>
      <c r="AP332" s="8" cm="1">
        <f t="array" ref="AP332">_xlfn.LET(
_xlpm.hs,HS_DB[[#This Row],[HS Code]],
COUNTA(_xlfn.UNIQUE(_xlfn._xlws.FILTER(HS_DB[Reporter],HS_DB[HS Code]=_xlpm.hs)))
)</f>
        <v>20</v>
      </c>
      <c r="AQ332" s="17" t="str">
        <f>IF(HS_DB[[#This Row],[Origin Count]]=1,"Single Source","Multiple Sources")</f>
        <v>Multiple Sources</v>
      </c>
      <c r="AR332" s="8">
        <f>HS_DB[[#This Row],[Annual Spend - USD]]*(HS_DB[[#This Row],[HS Code Risk Score]]/100)</f>
        <v>5070287.0600000005</v>
      </c>
      <c r="AS332" s="8">
        <f>RANK(HS_DB[[#This Row],[Risk Exposure - USD]],HS_DB[Risk Exposure - USD],0)</f>
        <v>161</v>
      </c>
      <c r="AT332" s="8" t="str">
        <f>IF(HS_DB[[#This Row],[Risk Exposure Rank]]&lt;=10,"High",
 IF(HS_DB[[#This Row],[Risk Exposure Rank]]&lt;=30,"Medium",
 "Low"))</f>
        <v>Low</v>
      </c>
      <c r="AU332" s="8" t="str">
        <f>IF(HS_DB[[#This Row],[Risk Exposure Rank]]&lt;=5,"Immediate Action",
 IF(HS_DB[[#This Row],[Risk Exposure Rank]]&lt;=15,"Monitor Closely",
 "Routine Control"))</f>
        <v>Routine Control</v>
      </c>
      <c r="AV332" s="8">
        <f>SUMIFS(HS_DB[Trade Value - USD],HS_DB[HS Code],HS_DB[[#This Row],[HS Code]])</f>
        <v>14912609</v>
      </c>
      <c r="AW332" s="6">
        <f>HS_DB[[#This Row],[Annual Spend - USD]]/HS_DB[[#This Row],[Total Market Size - USD]]</f>
        <v>1</v>
      </c>
      <c r="AX332" s="6" cm="1">
        <f t="array" ref="AX332">COUNTA(_xlfn.UNIQUE(_xlfn._xlws.FILTER(HS_DB[Partner],HS_DB[HS Code]=HS_DB[[#This Row],[HS Code]])))</f>
        <v>1</v>
      </c>
      <c r="AY332" s="8" t="str">
        <f>IF(HS_DB[[#This Row],[Competition Intensity]]&lt;=2,"Highly Concentrated",
 IF(HS_DB[[#This Row],[Competition Intensity]]&lt;=5,"Moderate",
 "Highly Competitive"))</f>
        <v>Highly Concentrated</v>
      </c>
      <c r="AZ332" s="8">
        <f>HS_DB[[#This Row],[Total Market Size - USD]]
*
(1+IFERROR(#REF!,0))
/
HS_DB[[#This Row],[Competition Intensity]]</f>
        <v>14912609</v>
      </c>
      <c r="BA332" s="8" t="str">
        <f>IF(HS_DB[[#This Row],[Commercial Opportunity Score]]&gt;=PERCENTILE(HS_DB[Commercial Opportunity Score],0.9),"High Opportunity",
 IF(HS_DB[[#This Row],[Commercial Opportunity Score]]&gt;=PERCENTILE(HS_DB[Commercial Opportunity Score],0.6),"Medium Opportunity",
 "Routine Market"))</f>
        <v>Medium Opportunity</v>
      </c>
      <c r="BB332" s="3" t="str">
        <f>IF(AND(HS_DB[[#This Row],[Product Rank]]&gt;0,HS_DB[[#This Row],[Product Rank]]&lt;=10),"Yes","No")</f>
        <v>No</v>
      </c>
      <c r="BC332" s="3" t="str">
        <f>IF(AND(HS_DB[[#This Row],[Origin Rank]]&gt;0,HS_DB[[#This Row],[Origin Rank]]&lt;=10),"Yes","No")</f>
        <v>Yes</v>
      </c>
    </row>
    <row r="333" spans="2:55" x14ac:dyDescent="0.3">
      <c r="B333" s="2">
        <f>HS_DB[[#This Row],[Commodity Code]]</f>
        <v>320419</v>
      </c>
      <c r="C333" s="2">
        <f>IFERROR(INDEX(HS_MD!C:C,MATCH(B333,HS_MD!B:B,0),1),"")</f>
        <v>26</v>
      </c>
      <c r="D333" s="17" t="str">
        <f>IFERROR(INDEX(HS_MD!D:D,MATCH(B333,HS_MD!B:B,0),1),"")</f>
        <v>Synthetic organic coloring matter</v>
      </c>
      <c r="E333" s="17" t="str">
        <f>IFERROR(INDEX(HS_MD!E:E,MATCH(B333,HS_MD!B:B,0),1),"")</f>
        <v>Beta Carotene</v>
      </c>
      <c r="F333" s="17" t="str">
        <f>IFERROR(INDEX(HS_MD!F:F,MATCH(B333,HS_MD!B:B,0),1),"")</f>
        <v>Food Ingredients</v>
      </c>
      <c r="G333" s="17" t="str">
        <f>IFERROR(INDEX(HS_MD!G:G,MATCH(B333,HS_MD!B:B,0),1),"")</f>
        <v>Colors</v>
      </c>
      <c r="H333" s="17" t="str">
        <f>IFERROR(INDEX(HS_MD!H:H,MATCH(B333,HS_MD!B:B,0),1),"")</f>
        <v>Synthetic / Nature-Identical Colors</v>
      </c>
      <c r="I333" s="17" t="str">
        <f>IFERROR(INDEX(HS_MD!I:I,MATCH(B333,HS_MD!B:B,0),1),"")</f>
        <v>Beverages / Dairy</v>
      </c>
      <c r="J333" s="17">
        <f>IFERROR(INDEX(Heat_Map[Index],MATCH(HS_DB[[#This Row],[Reporter]],Heat_Map[Global],0),1),"")</f>
        <v>182</v>
      </c>
      <c r="K333" s="17" t="str">
        <f>IF(AND(HS_DB[[#This Row],[Origin Rank]]&gt;1,HS_DB[[#This Row],[Origin Rank]]&lt;=10),"Yes","No")</f>
        <v>No</v>
      </c>
      <c r="L333" s="2">
        <v>2024</v>
      </c>
      <c r="M333" s="2" t="s">
        <v>57</v>
      </c>
      <c r="N333" s="2" t="s">
        <v>56</v>
      </c>
      <c r="O333" s="2" t="s">
        <v>22</v>
      </c>
      <c r="P333" s="2" t="s">
        <v>23</v>
      </c>
      <c r="Q333" s="2" t="s">
        <v>24</v>
      </c>
      <c r="R333" s="2" t="s">
        <v>25</v>
      </c>
      <c r="S333" s="2">
        <v>320419</v>
      </c>
      <c r="T333" s="3">
        <v>6755</v>
      </c>
      <c r="U333" s="3">
        <v>181</v>
      </c>
      <c r="V333" s="3">
        <v>0</v>
      </c>
      <c r="W333" s="3">
        <v>181</v>
      </c>
      <c r="X333" s="3" t="s">
        <v>58</v>
      </c>
      <c r="Y333" s="3">
        <v>181</v>
      </c>
      <c r="Z333" s="3" t="s">
        <v>58</v>
      </c>
      <c r="AA333" s="6">
        <f>SUMIFS(HS_DB[Trade Value - USD],HS_DB[Reporter],HS_DB[[#This Row],[Reporter]])/SUM(HS_DB[Trade Value - USD])</f>
        <v>9.425427433633813E-3</v>
      </c>
      <c r="AB333" s="8" cm="1">
        <f t="array" ref="AB333">SUMPRODUCT(
(HS_DB[Reporter]=HS_DB[[#This Row],[Reporter]])*
(HS_DB[Trade Value - USD]&gt;HS_DB[[#This Row],[Trade Value - USD]])
)+1</f>
        <v>23</v>
      </c>
      <c r="AC333" s="8" t="str">
        <f>IFERROR(IF(INDEX(Heat_Map[Crisis Impact %],MATCH(HS_DB[[#This Row],[Reporter]],Heat_Map[Global],0),1)&gt;0,"Yes","No"),"No")</f>
        <v>Yes</v>
      </c>
      <c r="AD333" s="6">
        <f>IFERROR(INDEX(Heat_Map[Crisis Impact %],MATCH(HS_DB[[#This Row],[Reporter]],Heat_Map[Global],0),1),0)</f>
        <v>4.0000000000000008E-2</v>
      </c>
      <c r="AE333" s="8">
        <f>HS_DB[[#This Row],[Crisis Impact%]]*HS_DB[[#This Row],[Trade Value - USD]]</f>
        <v>270.20000000000005</v>
      </c>
      <c r="AF333" s="8">
        <f>HS_DB[[#This Row],[Crisis Impact%]]*HS_DB[[#This Row],[Net Weight -KG]]</f>
        <v>7.2400000000000011</v>
      </c>
      <c r="AG333" s="6">
        <f>SUMIFS(HS_DB[Trade Value - USD],HS_DB[Products],HS_DB[[#This Row],[Products]])/SUM(HS_DB[Trade Value - USD])</f>
        <v>7.9111635490056037E-3</v>
      </c>
      <c r="AH333" s="8">
        <f>_xlfn.RANK.EQ(HS_DB[[#This Row],[Trade Value - USD]], HS_DB[Trade Value - USD], 0)
 + COUNTIFS(HS_DB[Trade Value - USD],HS_DB[[#This Row],[Trade Value - USD]],
            HS_DB[HS Code],"&lt;"&amp;HS_DB[[#This Row],[HS Code]])</f>
        <v>426</v>
      </c>
      <c r="AI333" s="9">
        <f>IFERROR(HS_DB[[#This Row],[Trade Value - USD]]/HS_DB[[#This Row],[Net Weight -KG]],0)</f>
        <v>37.320441988950279</v>
      </c>
      <c r="AJ333" s="17" cm="1">
        <f t="array" ref="AJ333">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33" s="17" t="str">
        <f>IF(HS_DB[[#This Row],[HS Code Risk Score]]&gt;=40,"High",
 IF(HS_DB[[#This Row],[HS Code Risk Score]]&gt;=25,"Medium","Low"))</f>
        <v>Medium</v>
      </c>
      <c r="AL333" s="17" t="str">
        <f>IF(RANK(HS_DB[[#This Row],[HS Code Risk Score]],HS_DB[HS Code Risk Score])&lt;=10,"Yes","No")</f>
        <v>No</v>
      </c>
      <c r="AM333" s="8">
        <f>SUMIFS(HS_DB[Net Weight -KG],HS_DB[HS Code],HS_DB[[#This Row],[HS Code]])</f>
        <v>6791623.4000000004</v>
      </c>
      <c r="AN333" s="8">
        <f>SUMIFS(HS_DB[Trade Value - USD],HS_DB[HS Code],HS_DB[[#This Row],[HS Code]])</f>
        <v>14912609</v>
      </c>
      <c r="AO333" s="6">
        <f>_xlfn.MAXIFS(HS_DB[Origin Share%],HS_DB[HS Code],HS_DB[[#This Row],[HS Code]])</f>
        <v>6.321329281187793E-2</v>
      </c>
      <c r="AP333" s="8" cm="1">
        <f t="array" ref="AP333">_xlfn.LET(
_xlpm.hs,HS_DB[[#This Row],[HS Code]],
COUNTA(_xlfn.UNIQUE(_xlfn._xlws.FILTER(HS_DB[Reporter],HS_DB[HS Code]=_xlpm.hs)))
)</f>
        <v>20</v>
      </c>
      <c r="AQ333" s="17" t="str">
        <f>IF(HS_DB[[#This Row],[Origin Count]]=1,"Single Source","Multiple Sources")</f>
        <v>Multiple Sources</v>
      </c>
      <c r="AR333" s="8">
        <f>HS_DB[[#This Row],[Annual Spend - USD]]*(HS_DB[[#This Row],[HS Code Risk Score]]/100)</f>
        <v>5070287.0600000005</v>
      </c>
      <c r="AS333" s="8">
        <f>RANK(HS_DB[[#This Row],[Risk Exposure - USD]],HS_DB[Risk Exposure - USD],0)</f>
        <v>161</v>
      </c>
      <c r="AT333" s="8" t="str">
        <f>IF(HS_DB[[#This Row],[Risk Exposure Rank]]&lt;=10,"High",
 IF(HS_DB[[#This Row],[Risk Exposure Rank]]&lt;=30,"Medium",
 "Low"))</f>
        <v>Low</v>
      </c>
      <c r="AU333" s="8" t="str">
        <f>IF(HS_DB[[#This Row],[Risk Exposure Rank]]&lt;=5,"Immediate Action",
 IF(HS_DB[[#This Row],[Risk Exposure Rank]]&lt;=15,"Monitor Closely",
 "Routine Control"))</f>
        <v>Routine Control</v>
      </c>
      <c r="AV333" s="8">
        <f>SUMIFS(HS_DB[Trade Value - USD],HS_DB[HS Code],HS_DB[[#This Row],[HS Code]])</f>
        <v>14912609</v>
      </c>
      <c r="AW333" s="6">
        <f>HS_DB[[#This Row],[Annual Spend - USD]]/HS_DB[[#This Row],[Total Market Size - USD]]</f>
        <v>1</v>
      </c>
      <c r="AX333" s="6" cm="1">
        <f t="array" ref="AX333">COUNTA(_xlfn.UNIQUE(_xlfn._xlws.FILTER(HS_DB[Partner],HS_DB[HS Code]=HS_DB[[#This Row],[HS Code]])))</f>
        <v>1</v>
      </c>
      <c r="AY333" s="8" t="str">
        <f>IF(HS_DB[[#This Row],[Competition Intensity]]&lt;=2,"Highly Concentrated",
 IF(HS_DB[[#This Row],[Competition Intensity]]&lt;=5,"Moderate",
 "Highly Competitive"))</f>
        <v>Highly Concentrated</v>
      </c>
      <c r="AZ333" s="8">
        <f>HS_DB[[#This Row],[Total Market Size - USD]]
*
(1+IFERROR(#REF!,0))
/
HS_DB[[#This Row],[Competition Intensity]]</f>
        <v>14912609</v>
      </c>
      <c r="BA333" s="8" t="str">
        <f>IF(HS_DB[[#This Row],[Commercial Opportunity Score]]&gt;=PERCENTILE(HS_DB[Commercial Opportunity Score],0.9),"High Opportunity",
 IF(HS_DB[[#This Row],[Commercial Opportunity Score]]&gt;=PERCENTILE(HS_DB[Commercial Opportunity Score],0.6),"Medium Opportunity",
 "Routine Market"))</f>
        <v>Medium Opportunity</v>
      </c>
      <c r="BB333" s="3" t="str">
        <f>IF(AND(HS_DB[[#This Row],[Product Rank]]&gt;0,HS_DB[[#This Row],[Product Rank]]&lt;=10),"Yes","No")</f>
        <v>No</v>
      </c>
      <c r="BC333" s="3" t="str">
        <f>IF(AND(HS_DB[[#This Row],[Origin Rank]]&gt;0,HS_DB[[#This Row],[Origin Rank]]&lt;=10),"Yes","No")</f>
        <v>No</v>
      </c>
    </row>
    <row r="334" spans="2:55" x14ac:dyDescent="0.3">
      <c r="B334" s="2">
        <f>HS_DB[[#This Row],[Commodity Code]]</f>
        <v>130219</v>
      </c>
      <c r="C334" s="2">
        <f>IFERROR(INDEX(HS_MD!C:C,MATCH(B334,HS_MD!B:B,0),1),"")</f>
        <v>27</v>
      </c>
      <c r="D334" s="17" t="str">
        <f>IFERROR(INDEX(HS_MD!D:D,MATCH(B334,HS_MD!B:B,0),1),"")</f>
        <v>Vegetable extracts</v>
      </c>
      <c r="E334" s="17" t="str">
        <f>IFERROR(INDEX(HS_MD!E:E,MATCH(B334,HS_MD!B:B,0),1),"")</f>
        <v>Natural Extract Colors</v>
      </c>
      <c r="F334" s="17" t="str">
        <f>IFERROR(INDEX(HS_MD!F:F,MATCH(B334,HS_MD!B:B,0),1),"")</f>
        <v>Food Ingredients</v>
      </c>
      <c r="G334" s="17" t="str">
        <f>IFERROR(INDEX(HS_MD!G:G,MATCH(B334,HS_MD!B:B,0),1),"")</f>
        <v>Colors</v>
      </c>
      <c r="H334" s="17" t="str">
        <f>IFERROR(INDEX(HS_MD!H:H,MATCH(B334,HS_MD!B:B,0),1),"")</f>
        <v>Natural Extract Colors</v>
      </c>
      <c r="I334" s="17" t="str">
        <f>IFERROR(INDEX(HS_MD!I:I,MATCH(B334,HS_MD!B:B,0),1),"")</f>
        <v>Food Processing / Clean Label</v>
      </c>
      <c r="J334" s="17">
        <f>IFERROR(INDEX(Heat_Map[Index],MATCH(HS_DB[[#This Row],[Reporter]],Heat_Map[Global],0),1),"")</f>
        <v>17</v>
      </c>
      <c r="K334" s="17" t="str">
        <f>IF(AND(HS_DB[[#This Row],[Origin Rank]]&gt;1,HS_DB[[#This Row],[Origin Rank]]&lt;=10),"Yes","No")</f>
        <v>No</v>
      </c>
      <c r="L334" s="2">
        <v>2024</v>
      </c>
      <c r="M334" s="2" t="s">
        <v>57</v>
      </c>
      <c r="N334" s="2" t="s">
        <v>5</v>
      </c>
      <c r="O334" s="2" t="s">
        <v>22</v>
      </c>
      <c r="P334" s="2" t="s">
        <v>23</v>
      </c>
      <c r="Q334" s="2" t="s">
        <v>24</v>
      </c>
      <c r="R334" s="2" t="s">
        <v>25</v>
      </c>
      <c r="S334" s="2">
        <v>130219</v>
      </c>
      <c r="T334" s="3">
        <v>96</v>
      </c>
      <c r="U334" s="3">
        <v>2.5</v>
      </c>
      <c r="V334" s="3">
        <v>0</v>
      </c>
      <c r="W334" s="3">
        <v>3</v>
      </c>
      <c r="X334" s="3" t="s">
        <v>58</v>
      </c>
      <c r="Y334" s="3">
        <v>3</v>
      </c>
      <c r="Z334" s="3" t="s">
        <v>58</v>
      </c>
      <c r="AA334" s="6">
        <f>SUMIFS(HS_DB[Trade Value - USD],HS_DB[Reporter],HS_DB[[#This Row],[Reporter]])/SUM(HS_DB[Trade Value - USD])</f>
        <v>5.3992075088500962E-3</v>
      </c>
      <c r="AB334" s="8" cm="1">
        <f t="array" ref="AB334">SUMPRODUCT(
(HS_DB[Reporter]=HS_DB[[#This Row],[Reporter]])*
(HS_DB[Trade Value - USD]&gt;HS_DB[[#This Row],[Trade Value - USD]])
)+1</f>
        <v>27</v>
      </c>
      <c r="AC334" s="8" t="str">
        <f>IFERROR(IF(INDEX(Heat_Map[Crisis Impact %],MATCH(HS_DB[[#This Row],[Reporter]],Heat_Map[Global],0),1)&gt;0,"Yes","No"),"No")</f>
        <v>No</v>
      </c>
      <c r="AD334" s="6">
        <f>IFERROR(INDEX(Heat_Map[Crisis Impact %],MATCH(HS_DB[[#This Row],[Reporter]],Heat_Map[Global],0),1),0)</f>
        <v>0</v>
      </c>
      <c r="AE334" s="8">
        <f>HS_DB[[#This Row],[Crisis Impact%]]*HS_DB[[#This Row],[Trade Value - USD]]</f>
        <v>0</v>
      </c>
      <c r="AF334" s="8">
        <f>HS_DB[[#This Row],[Crisis Impact%]]*HS_DB[[#This Row],[Net Weight -KG]]</f>
        <v>0</v>
      </c>
      <c r="AG334" s="6">
        <f>SUMIFS(HS_DB[Trade Value - USD],HS_DB[Products],HS_DB[[#This Row],[Products]])/SUM(HS_DB[Trade Value - USD])</f>
        <v>6.6060467534088414E-3</v>
      </c>
      <c r="AH334" s="8">
        <f>_xlfn.RANK.EQ(HS_DB[[#This Row],[Trade Value - USD]], HS_DB[Trade Value - USD], 0)
 + COUNTIFS(HS_DB[Trade Value - USD],HS_DB[[#This Row],[Trade Value - USD]],
            HS_DB[HS Code],"&lt;"&amp;HS_DB[[#This Row],[HS Code]])</f>
        <v>518</v>
      </c>
      <c r="AI334" s="9">
        <f>IFERROR(HS_DB[[#This Row],[Trade Value - USD]]/HS_DB[[#This Row],[Net Weight -KG]],0)</f>
        <v>38.4</v>
      </c>
      <c r="AJ334" s="17" cm="1">
        <f t="array" ref="AJ334">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34" s="17" t="str">
        <f>IF(HS_DB[[#This Row],[HS Code Risk Score]]&gt;=40,"High",
 IF(HS_DB[[#This Row],[HS Code Risk Score]]&gt;=25,"Medium","Low"))</f>
        <v>Medium</v>
      </c>
      <c r="AL334" s="17" t="str">
        <f>IF(RANK(HS_DB[[#This Row],[HS Code Risk Score]],HS_DB[HS Code Risk Score])&lt;=10,"Yes","No")</f>
        <v>No</v>
      </c>
      <c r="AM334" s="8">
        <f>SUMIFS(HS_DB[Net Weight -KG],HS_DB[HS Code],HS_DB[[#This Row],[HS Code]])</f>
        <v>502087.6</v>
      </c>
      <c r="AN334" s="8">
        <f>SUMIFS(HS_DB[Trade Value - USD],HS_DB[HS Code],HS_DB[[#This Row],[HS Code]])</f>
        <v>12452453</v>
      </c>
      <c r="AO334" s="6">
        <f>_xlfn.MAXIFS(HS_DB[Origin Share%],HS_DB[HS Code],HS_DB[[#This Row],[HS Code]])</f>
        <v>6.321329281187793E-2</v>
      </c>
      <c r="AP334" s="8" cm="1">
        <f t="array" ref="AP334">_xlfn.LET(
_xlpm.hs,HS_DB[[#This Row],[HS Code]],
COUNTA(_xlfn.UNIQUE(_xlfn._xlws.FILTER(HS_DB[Reporter],HS_DB[HS Code]=_xlpm.hs)))
)</f>
        <v>20</v>
      </c>
      <c r="AQ334" s="17" t="str">
        <f>IF(HS_DB[[#This Row],[Origin Count]]=1,"Single Source","Multiple Sources")</f>
        <v>Multiple Sources</v>
      </c>
      <c r="AR334" s="8">
        <f>HS_DB[[#This Row],[Annual Spend - USD]]*(HS_DB[[#This Row],[HS Code Risk Score]]/100)</f>
        <v>4233834.0200000005</v>
      </c>
      <c r="AS334" s="8">
        <f>RANK(HS_DB[[#This Row],[Risk Exposure - USD]],HS_DB[Risk Exposure - USD],0)</f>
        <v>221</v>
      </c>
      <c r="AT334" s="8" t="str">
        <f>IF(HS_DB[[#This Row],[Risk Exposure Rank]]&lt;=10,"High",
 IF(HS_DB[[#This Row],[Risk Exposure Rank]]&lt;=30,"Medium",
 "Low"))</f>
        <v>Low</v>
      </c>
      <c r="AU334" s="8" t="str">
        <f>IF(HS_DB[[#This Row],[Risk Exposure Rank]]&lt;=5,"Immediate Action",
 IF(HS_DB[[#This Row],[Risk Exposure Rank]]&lt;=15,"Monitor Closely",
 "Routine Control"))</f>
        <v>Routine Control</v>
      </c>
      <c r="AV334" s="8">
        <f>SUMIFS(HS_DB[Trade Value - USD],HS_DB[HS Code],HS_DB[[#This Row],[HS Code]])</f>
        <v>12452453</v>
      </c>
      <c r="AW334" s="6">
        <f>HS_DB[[#This Row],[Annual Spend - USD]]/HS_DB[[#This Row],[Total Market Size - USD]]</f>
        <v>1</v>
      </c>
      <c r="AX334" s="6" cm="1">
        <f t="array" ref="AX334">COUNTA(_xlfn.UNIQUE(_xlfn._xlws.FILTER(HS_DB[Partner],HS_DB[HS Code]=HS_DB[[#This Row],[HS Code]])))</f>
        <v>1</v>
      </c>
      <c r="AY334" s="8" t="str">
        <f>IF(HS_DB[[#This Row],[Competition Intensity]]&lt;=2,"Highly Concentrated",
 IF(HS_DB[[#This Row],[Competition Intensity]]&lt;=5,"Moderate",
 "Highly Competitive"))</f>
        <v>Highly Concentrated</v>
      </c>
      <c r="AZ334" s="8">
        <f>HS_DB[[#This Row],[Total Market Size - USD]]
*
(1+IFERROR(#REF!,0))
/
HS_DB[[#This Row],[Competition Intensity]]</f>
        <v>12452453</v>
      </c>
      <c r="BA334" s="8" t="str">
        <f>IF(HS_DB[[#This Row],[Commercial Opportunity Score]]&gt;=PERCENTILE(HS_DB[Commercial Opportunity Score],0.9),"High Opportunity",
 IF(HS_DB[[#This Row],[Commercial Opportunity Score]]&gt;=PERCENTILE(HS_DB[Commercial Opportunity Score],0.6),"Medium Opportunity",
 "Routine Market"))</f>
        <v>Routine Market</v>
      </c>
      <c r="BB334" s="3" t="str">
        <f>IF(AND(HS_DB[[#This Row],[Product Rank]]&gt;0,HS_DB[[#This Row],[Product Rank]]&lt;=10),"Yes","No")</f>
        <v>No</v>
      </c>
      <c r="BC334" s="3" t="str">
        <f>IF(AND(HS_DB[[#This Row],[Origin Rank]]&gt;0,HS_DB[[#This Row],[Origin Rank]]&lt;=10),"Yes","No")</f>
        <v>No</v>
      </c>
    </row>
    <row r="335" spans="2:55" x14ac:dyDescent="0.3">
      <c r="B335" s="2">
        <f>HS_DB[[#This Row],[Commodity Code]]</f>
        <v>130219</v>
      </c>
      <c r="C335" s="2">
        <f>IFERROR(INDEX(HS_MD!C:C,MATCH(B335,HS_MD!B:B,0),1),"")</f>
        <v>27</v>
      </c>
      <c r="D335" s="17" t="str">
        <f>IFERROR(INDEX(HS_MD!D:D,MATCH(B335,HS_MD!B:B,0),1),"")</f>
        <v>Vegetable extracts</v>
      </c>
      <c r="E335" s="17" t="str">
        <f>IFERROR(INDEX(HS_MD!E:E,MATCH(B335,HS_MD!B:B,0),1),"")</f>
        <v>Natural Extract Colors</v>
      </c>
      <c r="F335" s="17" t="str">
        <f>IFERROR(INDEX(HS_MD!F:F,MATCH(B335,HS_MD!B:B,0),1),"")</f>
        <v>Food Ingredients</v>
      </c>
      <c r="G335" s="17" t="str">
        <f>IFERROR(INDEX(HS_MD!G:G,MATCH(B335,HS_MD!B:B,0),1),"")</f>
        <v>Colors</v>
      </c>
      <c r="H335" s="17" t="str">
        <f>IFERROR(INDEX(HS_MD!H:H,MATCH(B335,HS_MD!B:B,0),1),"")</f>
        <v>Natural Extract Colors</v>
      </c>
      <c r="I335" s="17" t="str">
        <f>IFERROR(INDEX(HS_MD!I:I,MATCH(B335,HS_MD!B:B,0),1),"")</f>
        <v>Food Processing / Clean Label</v>
      </c>
      <c r="J335" s="17">
        <f>IFERROR(INDEX(Heat_Map[Index],MATCH(HS_DB[[#This Row],[Reporter]],Heat_Map[Global],0),1),"")</f>
        <v>35</v>
      </c>
      <c r="K335" s="17" t="str">
        <f>IF(AND(HS_DB[[#This Row],[Origin Rank]]&gt;1,HS_DB[[#This Row],[Origin Rank]]&lt;=10),"Yes","No")</f>
        <v>No</v>
      </c>
      <c r="L335" s="2">
        <v>2024</v>
      </c>
      <c r="M335" s="2" t="s">
        <v>57</v>
      </c>
      <c r="N335" s="2" t="s">
        <v>145</v>
      </c>
      <c r="O335" s="2" t="s">
        <v>22</v>
      </c>
      <c r="P335" s="2" t="s">
        <v>23</v>
      </c>
      <c r="Q335" s="2" t="s">
        <v>24</v>
      </c>
      <c r="R335" s="2" t="s">
        <v>25</v>
      </c>
      <c r="S335" s="2">
        <v>130219</v>
      </c>
      <c r="T335" s="3">
        <v>532939</v>
      </c>
      <c r="U335" s="3">
        <v>24060.2</v>
      </c>
      <c r="V335" s="3">
        <v>0</v>
      </c>
      <c r="W335" s="3">
        <v>24060</v>
      </c>
      <c r="X335" s="3" t="s">
        <v>58</v>
      </c>
      <c r="Y335" s="3">
        <v>24060</v>
      </c>
      <c r="Z335" s="3" t="s">
        <v>58</v>
      </c>
      <c r="AA335" s="6">
        <f>SUMIFS(HS_DB[Trade Value - USD],HS_DB[Reporter],HS_DB[[#This Row],[Reporter]])/SUM(HS_DB[Trade Value - USD])</f>
        <v>4.779968327630276E-4</v>
      </c>
      <c r="AB335" s="8" cm="1">
        <f t="array" ref="AB335">SUMPRODUCT(
(HS_DB[Reporter]=HS_DB[[#This Row],[Reporter]])*
(HS_DB[Trade Value - USD]&gt;HS_DB[[#This Row],[Trade Value - USD]])
)+1</f>
        <v>1</v>
      </c>
      <c r="AC335" s="8" t="str">
        <f>IFERROR(IF(INDEX(Heat_Map[Crisis Impact %],MATCH(HS_DB[[#This Row],[Reporter]],Heat_Map[Global],0),1)&gt;0,"Yes","No"),"No")</f>
        <v>No</v>
      </c>
      <c r="AD335" s="6">
        <f>IFERROR(INDEX(Heat_Map[Crisis Impact %],MATCH(HS_DB[[#This Row],[Reporter]],Heat_Map[Global],0),1),0)</f>
        <v>0</v>
      </c>
      <c r="AE335" s="8">
        <f>HS_DB[[#This Row],[Crisis Impact%]]*HS_DB[[#This Row],[Trade Value - USD]]</f>
        <v>0</v>
      </c>
      <c r="AF335" s="8">
        <f>HS_DB[[#This Row],[Crisis Impact%]]*HS_DB[[#This Row],[Net Weight -KG]]</f>
        <v>0</v>
      </c>
      <c r="AG335" s="6">
        <f>SUMIFS(HS_DB[Trade Value - USD],HS_DB[Products],HS_DB[[#This Row],[Products]])/SUM(HS_DB[Trade Value - USD])</f>
        <v>6.6060467534088414E-3</v>
      </c>
      <c r="AH335" s="8">
        <f>_xlfn.RANK.EQ(HS_DB[[#This Row],[Trade Value - USD]], HS_DB[Trade Value - USD], 0)
 + COUNTIFS(HS_DB[Trade Value - USD],HS_DB[[#This Row],[Trade Value - USD]],
            HS_DB[HS Code],"&lt;"&amp;HS_DB[[#This Row],[HS Code]])</f>
        <v>144</v>
      </c>
      <c r="AI335" s="9">
        <f>IFERROR(HS_DB[[#This Row],[Trade Value - USD]]/HS_DB[[#This Row],[Net Weight -KG]],0)</f>
        <v>22.150231502647525</v>
      </c>
      <c r="AJ335" s="17" cm="1">
        <f t="array" ref="AJ335">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35" s="17" t="str">
        <f>IF(HS_DB[[#This Row],[HS Code Risk Score]]&gt;=40,"High",
 IF(HS_DB[[#This Row],[HS Code Risk Score]]&gt;=25,"Medium","Low"))</f>
        <v>Medium</v>
      </c>
      <c r="AL335" s="17" t="str">
        <f>IF(RANK(HS_DB[[#This Row],[HS Code Risk Score]],HS_DB[HS Code Risk Score])&lt;=10,"Yes","No")</f>
        <v>No</v>
      </c>
      <c r="AM335" s="8">
        <f>SUMIFS(HS_DB[Net Weight -KG],HS_DB[HS Code],HS_DB[[#This Row],[HS Code]])</f>
        <v>502087.6</v>
      </c>
      <c r="AN335" s="8">
        <f>SUMIFS(HS_DB[Trade Value - USD],HS_DB[HS Code],HS_DB[[#This Row],[HS Code]])</f>
        <v>12452453</v>
      </c>
      <c r="AO335" s="6">
        <f>_xlfn.MAXIFS(HS_DB[Origin Share%],HS_DB[HS Code],HS_DB[[#This Row],[HS Code]])</f>
        <v>6.321329281187793E-2</v>
      </c>
      <c r="AP335" s="8" cm="1">
        <f t="array" ref="AP335">_xlfn.LET(
_xlpm.hs,HS_DB[[#This Row],[HS Code]],
COUNTA(_xlfn.UNIQUE(_xlfn._xlws.FILTER(HS_DB[Reporter],HS_DB[HS Code]=_xlpm.hs)))
)</f>
        <v>20</v>
      </c>
      <c r="AQ335" s="17" t="str">
        <f>IF(HS_DB[[#This Row],[Origin Count]]=1,"Single Source","Multiple Sources")</f>
        <v>Multiple Sources</v>
      </c>
      <c r="AR335" s="8">
        <f>HS_DB[[#This Row],[Annual Spend - USD]]*(HS_DB[[#This Row],[HS Code Risk Score]]/100)</f>
        <v>4233834.0200000005</v>
      </c>
      <c r="AS335" s="8">
        <f>RANK(HS_DB[[#This Row],[Risk Exposure - USD]],HS_DB[Risk Exposure - USD],0)</f>
        <v>221</v>
      </c>
      <c r="AT335" s="8" t="str">
        <f>IF(HS_DB[[#This Row],[Risk Exposure Rank]]&lt;=10,"High",
 IF(HS_DB[[#This Row],[Risk Exposure Rank]]&lt;=30,"Medium",
 "Low"))</f>
        <v>Low</v>
      </c>
      <c r="AU335" s="8" t="str">
        <f>IF(HS_DB[[#This Row],[Risk Exposure Rank]]&lt;=5,"Immediate Action",
 IF(HS_DB[[#This Row],[Risk Exposure Rank]]&lt;=15,"Monitor Closely",
 "Routine Control"))</f>
        <v>Routine Control</v>
      </c>
      <c r="AV335" s="8">
        <f>SUMIFS(HS_DB[Trade Value - USD],HS_DB[HS Code],HS_DB[[#This Row],[HS Code]])</f>
        <v>12452453</v>
      </c>
      <c r="AW335" s="6">
        <f>HS_DB[[#This Row],[Annual Spend - USD]]/HS_DB[[#This Row],[Total Market Size - USD]]</f>
        <v>1</v>
      </c>
      <c r="AX335" s="6" cm="1">
        <f t="array" ref="AX335">COUNTA(_xlfn.UNIQUE(_xlfn._xlws.FILTER(HS_DB[Partner],HS_DB[HS Code]=HS_DB[[#This Row],[HS Code]])))</f>
        <v>1</v>
      </c>
      <c r="AY335" s="8" t="str">
        <f>IF(HS_DB[[#This Row],[Competition Intensity]]&lt;=2,"Highly Concentrated",
 IF(HS_DB[[#This Row],[Competition Intensity]]&lt;=5,"Moderate",
 "Highly Competitive"))</f>
        <v>Highly Concentrated</v>
      </c>
      <c r="AZ335" s="8">
        <f>HS_DB[[#This Row],[Total Market Size - USD]]
*
(1+IFERROR(#REF!,0))
/
HS_DB[[#This Row],[Competition Intensity]]</f>
        <v>12452453</v>
      </c>
      <c r="BA335" s="8" t="str">
        <f>IF(HS_DB[[#This Row],[Commercial Opportunity Score]]&gt;=PERCENTILE(HS_DB[Commercial Opportunity Score],0.9),"High Opportunity",
 IF(HS_DB[[#This Row],[Commercial Opportunity Score]]&gt;=PERCENTILE(HS_DB[Commercial Opportunity Score],0.6),"Medium Opportunity",
 "Routine Market"))</f>
        <v>Routine Market</v>
      </c>
      <c r="BB335" s="3" t="str">
        <f>IF(AND(HS_DB[[#This Row],[Product Rank]]&gt;0,HS_DB[[#This Row],[Product Rank]]&lt;=10),"Yes","No")</f>
        <v>No</v>
      </c>
      <c r="BC335" s="3" t="str">
        <f>IF(AND(HS_DB[[#This Row],[Origin Rank]]&gt;0,HS_DB[[#This Row],[Origin Rank]]&lt;=10),"Yes","No")</f>
        <v>Yes</v>
      </c>
    </row>
    <row r="336" spans="2:55" x14ac:dyDescent="0.3">
      <c r="B336" s="2">
        <f>HS_DB[[#This Row],[Commodity Code]]</f>
        <v>130219</v>
      </c>
      <c r="C336" s="2">
        <f>IFERROR(INDEX(HS_MD!C:C,MATCH(B336,HS_MD!B:B,0),1),"")</f>
        <v>27</v>
      </c>
      <c r="D336" s="17" t="str">
        <f>IFERROR(INDEX(HS_MD!D:D,MATCH(B336,HS_MD!B:B,0),1),"")</f>
        <v>Vegetable extracts</v>
      </c>
      <c r="E336" s="17" t="str">
        <f>IFERROR(INDEX(HS_MD!E:E,MATCH(B336,HS_MD!B:B,0),1),"")</f>
        <v>Natural Extract Colors</v>
      </c>
      <c r="F336" s="17" t="str">
        <f>IFERROR(INDEX(HS_MD!F:F,MATCH(B336,HS_MD!B:B,0),1),"")</f>
        <v>Food Ingredients</v>
      </c>
      <c r="G336" s="17" t="str">
        <f>IFERROR(INDEX(HS_MD!G:G,MATCH(B336,HS_MD!B:B,0),1),"")</f>
        <v>Colors</v>
      </c>
      <c r="H336" s="17" t="str">
        <f>IFERROR(INDEX(HS_MD!H:H,MATCH(B336,HS_MD!B:B,0),1),"")</f>
        <v>Natural Extract Colors</v>
      </c>
      <c r="I336" s="17" t="str">
        <f>IFERROR(INDEX(HS_MD!I:I,MATCH(B336,HS_MD!B:B,0),1),"")</f>
        <v>Food Processing / Clean Label</v>
      </c>
      <c r="J336" s="17">
        <f>IFERROR(INDEX(Heat_Map[Index],MATCH(HS_DB[[#This Row],[Reporter]],Heat_Map[Global],0),1),"")</f>
        <v>36</v>
      </c>
      <c r="K336" s="17" t="str">
        <f>IF(AND(HS_DB[[#This Row],[Origin Rank]]&gt;1,HS_DB[[#This Row],[Origin Rank]]&lt;=10),"Yes","No")</f>
        <v>Yes</v>
      </c>
      <c r="L336" s="2">
        <v>2024</v>
      </c>
      <c r="M336" s="2" t="s">
        <v>57</v>
      </c>
      <c r="N336" s="2" t="s">
        <v>1</v>
      </c>
      <c r="O336" s="2" t="s">
        <v>22</v>
      </c>
      <c r="P336" s="2" t="s">
        <v>23</v>
      </c>
      <c r="Q336" s="2" t="s">
        <v>24</v>
      </c>
      <c r="R336" s="2" t="s">
        <v>25</v>
      </c>
      <c r="S336" s="2">
        <v>130219</v>
      </c>
      <c r="T336" s="3">
        <v>4547225</v>
      </c>
      <c r="U336" s="3">
        <v>175422</v>
      </c>
      <c r="V336" s="3">
        <v>0</v>
      </c>
      <c r="W336" s="3">
        <v>175422</v>
      </c>
      <c r="X336" s="3" t="s">
        <v>58</v>
      </c>
      <c r="Y336" s="3">
        <v>175422</v>
      </c>
      <c r="Z336" s="3" t="s">
        <v>58</v>
      </c>
      <c r="AA336" s="6">
        <f>SUMIFS(HS_DB[Trade Value - USD],HS_DB[Reporter],HS_DB[[#This Row],[Reporter]])/SUM(HS_DB[Trade Value - USD])</f>
        <v>6.321329281187793E-2</v>
      </c>
      <c r="AB336" s="8" cm="1">
        <f t="array" ref="AB336">SUMPRODUCT(
(HS_DB[Reporter]=HS_DB[[#This Row],[Reporter]])*
(HS_DB[Trade Value - USD]&gt;HS_DB[[#This Row],[Trade Value - USD]])
)+1</f>
        <v>9</v>
      </c>
      <c r="AC336" s="8" t="str">
        <f>IFERROR(IF(INDEX(Heat_Map[Crisis Impact %],MATCH(HS_DB[[#This Row],[Reporter]],Heat_Map[Global],0),1)&gt;0,"Yes","No"),"No")</f>
        <v>Yes</v>
      </c>
      <c r="AD336" s="6">
        <f>IFERROR(INDEX(Heat_Map[Crisis Impact %],MATCH(HS_DB[[#This Row],[Reporter]],Heat_Map[Global],0),1),0)</f>
        <v>0.14000000000000001</v>
      </c>
      <c r="AE336" s="8">
        <f>HS_DB[[#This Row],[Crisis Impact%]]*HS_DB[[#This Row],[Trade Value - USD]]</f>
        <v>636611.50000000012</v>
      </c>
      <c r="AF336" s="8">
        <f>HS_DB[[#This Row],[Crisis Impact%]]*HS_DB[[#This Row],[Net Weight -KG]]</f>
        <v>24559.08</v>
      </c>
      <c r="AG336" s="6">
        <f>SUMIFS(HS_DB[Trade Value - USD],HS_DB[Products],HS_DB[[#This Row],[Products]])/SUM(HS_DB[Trade Value - USD])</f>
        <v>6.6060467534088414E-3</v>
      </c>
      <c r="AH336" s="8">
        <f>_xlfn.RANK.EQ(HS_DB[[#This Row],[Trade Value - USD]], HS_DB[Trade Value - USD], 0)
 + COUNTIFS(HS_DB[Trade Value - USD],HS_DB[[#This Row],[Trade Value - USD]],
            HS_DB[HS Code],"&lt;"&amp;HS_DB[[#This Row],[HS Code]])</f>
        <v>33</v>
      </c>
      <c r="AI336" s="9">
        <f>IFERROR(HS_DB[[#This Row],[Trade Value - USD]]/HS_DB[[#This Row],[Net Weight -KG]],0)</f>
        <v>25.921634686641355</v>
      </c>
      <c r="AJ336" s="17" cm="1">
        <f t="array" ref="AJ336">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36" s="17" t="str">
        <f>IF(HS_DB[[#This Row],[HS Code Risk Score]]&gt;=40,"High",
 IF(HS_DB[[#This Row],[HS Code Risk Score]]&gt;=25,"Medium","Low"))</f>
        <v>Medium</v>
      </c>
      <c r="AL336" s="17" t="str">
        <f>IF(RANK(HS_DB[[#This Row],[HS Code Risk Score]],HS_DB[HS Code Risk Score])&lt;=10,"Yes","No")</f>
        <v>No</v>
      </c>
      <c r="AM336" s="8">
        <f>SUMIFS(HS_DB[Net Weight -KG],HS_DB[HS Code],HS_DB[[#This Row],[HS Code]])</f>
        <v>502087.6</v>
      </c>
      <c r="AN336" s="8">
        <f>SUMIFS(HS_DB[Trade Value - USD],HS_DB[HS Code],HS_DB[[#This Row],[HS Code]])</f>
        <v>12452453</v>
      </c>
      <c r="AO336" s="6">
        <f>_xlfn.MAXIFS(HS_DB[Origin Share%],HS_DB[HS Code],HS_DB[[#This Row],[HS Code]])</f>
        <v>6.321329281187793E-2</v>
      </c>
      <c r="AP336" s="8" cm="1">
        <f t="array" ref="AP336">_xlfn.LET(
_xlpm.hs,HS_DB[[#This Row],[HS Code]],
COUNTA(_xlfn.UNIQUE(_xlfn._xlws.FILTER(HS_DB[Reporter],HS_DB[HS Code]=_xlpm.hs)))
)</f>
        <v>20</v>
      </c>
      <c r="AQ336" s="17" t="str">
        <f>IF(HS_DB[[#This Row],[Origin Count]]=1,"Single Source","Multiple Sources")</f>
        <v>Multiple Sources</v>
      </c>
      <c r="AR336" s="8">
        <f>HS_DB[[#This Row],[Annual Spend - USD]]*(HS_DB[[#This Row],[HS Code Risk Score]]/100)</f>
        <v>4233834.0200000005</v>
      </c>
      <c r="AS336" s="8">
        <f>RANK(HS_DB[[#This Row],[Risk Exposure - USD]],HS_DB[Risk Exposure - USD],0)</f>
        <v>221</v>
      </c>
      <c r="AT336" s="8" t="str">
        <f>IF(HS_DB[[#This Row],[Risk Exposure Rank]]&lt;=10,"High",
 IF(HS_DB[[#This Row],[Risk Exposure Rank]]&lt;=30,"Medium",
 "Low"))</f>
        <v>Low</v>
      </c>
      <c r="AU336" s="8" t="str">
        <f>IF(HS_DB[[#This Row],[Risk Exposure Rank]]&lt;=5,"Immediate Action",
 IF(HS_DB[[#This Row],[Risk Exposure Rank]]&lt;=15,"Monitor Closely",
 "Routine Control"))</f>
        <v>Routine Control</v>
      </c>
      <c r="AV336" s="8">
        <f>SUMIFS(HS_DB[Trade Value - USD],HS_DB[HS Code],HS_DB[[#This Row],[HS Code]])</f>
        <v>12452453</v>
      </c>
      <c r="AW336" s="6">
        <f>HS_DB[[#This Row],[Annual Spend - USD]]/HS_DB[[#This Row],[Total Market Size - USD]]</f>
        <v>1</v>
      </c>
      <c r="AX336" s="6" cm="1">
        <f t="array" ref="AX336">COUNTA(_xlfn.UNIQUE(_xlfn._xlws.FILTER(HS_DB[Partner],HS_DB[HS Code]=HS_DB[[#This Row],[HS Code]])))</f>
        <v>1</v>
      </c>
      <c r="AY336" s="8" t="str">
        <f>IF(HS_DB[[#This Row],[Competition Intensity]]&lt;=2,"Highly Concentrated",
 IF(HS_DB[[#This Row],[Competition Intensity]]&lt;=5,"Moderate",
 "Highly Competitive"))</f>
        <v>Highly Concentrated</v>
      </c>
      <c r="AZ336" s="8">
        <f>HS_DB[[#This Row],[Total Market Size - USD]]
*
(1+IFERROR(#REF!,0))
/
HS_DB[[#This Row],[Competition Intensity]]</f>
        <v>12452453</v>
      </c>
      <c r="BA336" s="8" t="str">
        <f>IF(HS_DB[[#This Row],[Commercial Opportunity Score]]&gt;=PERCENTILE(HS_DB[Commercial Opportunity Score],0.9),"High Opportunity",
 IF(HS_DB[[#This Row],[Commercial Opportunity Score]]&gt;=PERCENTILE(HS_DB[Commercial Opportunity Score],0.6),"Medium Opportunity",
 "Routine Market"))</f>
        <v>Routine Market</v>
      </c>
      <c r="BB336" s="3" t="str">
        <f>IF(AND(HS_DB[[#This Row],[Product Rank]]&gt;0,HS_DB[[#This Row],[Product Rank]]&lt;=10),"Yes","No")</f>
        <v>No</v>
      </c>
      <c r="BC336" s="3" t="str">
        <f>IF(AND(HS_DB[[#This Row],[Origin Rank]]&gt;0,HS_DB[[#This Row],[Origin Rank]]&lt;=10),"Yes","No")</f>
        <v>Yes</v>
      </c>
    </row>
    <row r="337" spans="2:55" x14ac:dyDescent="0.3">
      <c r="B337" s="2">
        <f>HS_DB[[#This Row],[Commodity Code]]</f>
        <v>130219</v>
      </c>
      <c r="C337" s="2">
        <f>IFERROR(INDEX(HS_MD!C:C,MATCH(B337,HS_MD!B:B,0),1),"")</f>
        <v>27</v>
      </c>
      <c r="D337" s="17" t="str">
        <f>IFERROR(INDEX(HS_MD!D:D,MATCH(B337,HS_MD!B:B,0),1),"")</f>
        <v>Vegetable extracts</v>
      </c>
      <c r="E337" s="17" t="str">
        <f>IFERROR(INDEX(HS_MD!E:E,MATCH(B337,HS_MD!B:B,0),1),"")</f>
        <v>Natural Extract Colors</v>
      </c>
      <c r="F337" s="17" t="str">
        <f>IFERROR(INDEX(HS_MD!F:F,MATCH(B337,HS_MD!B:B,0),1),"")</f>
        <v>Food Ingredients</v>
      </c>
      <c r="G337" s="17" t="str">
        <f>IFERROR(INDEX(HS_MD!G:G,MATCH(B337,HS_MD!B:B,0),1),"")</f>
        <v>Colors</v>
      </c>
      <c r="H337" s="17" t="str">
        <f>IFERROR(INDEX(HS_MD!H:H,MATCH(B337,HS_MD!B:B,0),1),"")</f>
        <v>Natural Extract Colors</v>
      </c>
      <c r="I337" s="17" t="str">
        <f>IFERROR(INDEX(HS_MD!I:I,MATCH(B337,HS_MD!B:B,0),1),"")</f>
        <v>Food Processing / Clean Label</v>
      </c>
      <c r="J337" s="17">
        <f>IFERROR(INDEX(Heat_Map[Index],MATCH(HS_DB[[#This Row],[Reporter]],Heat_Map[Global],0),1),"")</f>
        <v>59</v>
      </c>
      <c r="K337" s="17" t="str">
        <f>IF(AND(HS_DB[[#This Row],[Origin Rank]]&gt;1,HS_DB[[#This Row],[Origin Rank]]&lt;=10),"Yes","No")</f>
        <v>No</v>
      </c>
      <c r="L337" s="2">
        <v>2024</v>
      </c>
      <c r="M337" s="2" t="s">
        <v>57</v>
      </c>
      <c r="N337" s="2" t="s">
        <v>44</v>
      </c>
      <c r="O337" s="2" t="s">
        <v>22</v>
      </c>
      <c r="P337" s="2" t="s">
        <v>23</v>
      </c>
      <c r="Q337" s="2" t="s">
        <v>24</v>
      </c>
      <c r="R337" s="2" t="s">
        <v>25</v>
      </c>
      <c r="S337" s="2">
        <v>130219</v>
      </c>
      <c r="T337" s="3">
        <v>339989</v>
      </c>
      <c r="U337" s="3">
        <v>16950.400000000001</v>
      </c>
      <c r="V337" s="3">
        <v>0</v>
      </c>
      <c r="W337" s="3">
        <v>16950</v>
      </c>
      <c r="X337" s="3" t="s">
        <v>58</v>
      </c>
      <c r="Y337" s="3">
        <v>0</v>
      </c>
      <c r="Z337" s="3" t="s">
        <v>26</v>
      </c>
      <c r="AA337" s="6">
        <f>SUMIFS(HS_DB[Trade Value - USD],HS_DB[Reporter],HS_DB[[#This Row],[Reporter]])/SUM(HS_DB[Trade Value - USD])</f>
        <v>1.6951290293147386E-2</v>
      </c>
      <c r="AB337" s="8" cm="1">
        <f t="array" ref="AB337">SUMPRODUCT(
(HS_DB[Reporter]=HS_DB[[#This Row],[Reporter]])*
(HS_DB[Trade Value - USD]&gt;HS_DB[[#This Row],[Trade Value - USD]])
)+1</f>
        <v>12</v>
      </c>
      <c r="AC337" s="8" t="str">
        <f>IFERROR(IF(INDEX(Heat_Map[Crisis Impact %],MATCH(HS_DB[[#This Row],[Reporter]],Heat_Map[Global],0),1)&gt;0,"Yes","No"),"No")</f>
        <v>No</v>
      </c>
      <c r="AD337" s="6">
        <f>IFERROR(INDEX(Heat_Map[Crisis Impact %],MATCH(HS_DB[[#This Row],[Reporter]],Heat_Map[Global],0),1),0)</f>
        <v>0</v>
      </c>
      <c r="AE337" s="8">
        <f>HS_DB[[#This Row],[Crisis Impact%]]*HS_DB[[#This Row],[Trade Value - USD]]</f>
        <v>0</v>
      </c>
      <c r="AF337" s="8">
        <f>HS_DB[[#This Row],[Crisis Impact%]]*HS_DB[[#This Row],[Net Weight -KG]]</f>
        <v>0</v>
      </c>
      <c r="AG337" s="6">
        <f>SUMIFS(HS_DB[Trade Value - USD],HS_DB[Products],HS_DB[[#This Row],[Products]])/SUM(HS_DB[Trade Value - USD])</f>
        <v>6.6060467534088414E-3</v>
      </c>
      <c r="AH337" s="8">
        <f>_xlfn.RANK.EQ(HS_DB[[#This Row],[Trade Value - USD]], HS_DB[Trade Value - USD], 0)
 + COUNTIFS(HS_DB[Trade Value - USD],HS_DB[[#This Row],[Trade Value - USD]],
            HS_DB[HS Code],"&lt;"&amp;HS_DB[[#This Row],[HS Code]])</f>
        <v>178</v>
      </c>
      <c r="AI337" s="9">
        <f>IFERROR(HS_DB[[#This Row],[Trade Value - USD]]/HS_DB[[#This Row],[Net Weight -KG]],0)</f>
        <v>20.057874740419102</v>
      </c>
      <c r="AJ337" s="17" cm="1">
        <f t="array" ref="AJ337">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37" s="17" t="str">
        <f>IF(HS_DB[[#This Row],[HS Code Risk Score]]&gt;=40,"High",
 IF(HS_DB[[#This Row],[HS Code Risk Score]]&gt;=25,"Medium","Low"))</f>
        <v>Medium</v>
      </c>
      <c r="AL337" s="17" t="str">
        <f>IF(RANK(HS_DB[[#This Row],[HS Code Risk Score]],HS_DB[HS Code Risk Score])&lt;=10,"Yes","No")</f>
        <v>No</v>
      </c>
      <c r="AM337" s="8">
        <f>SUMIFS(HS_DB[Net Weight -KG],HS_DB[HS Code],HS_DB[[#This Row],[HS Code]])</f>
        <v>502087.6</v>
      </c>
      <c r="AN337" s="8">
        <f>SUMIFS(HS_DB[Trade Value - USD],HS_DB[HS Code],HS_DB[[#This Row],[HS Code]])</f>
        <v>12452453</v>
      </c>
      <c r="AO337" s="6">
        <f>_xlfn.MAXIFS(HS_DB[Origin Share%],HS_DB[HS Code],HS_DB[[#This Row],[HS Code]])</f>
        <v>6.321329281187793E-2</v>
      </c>
      <c r="AP337" s="8" cm="1">
        <f t="array" ref="AP337">_xlfn.LET(
_xlpm.hs,HS_DB[[#This Row],[HS Code]],
COUNTA(_xlfn.UNIQUE(_xlfn._xlws.FILTER(HS_DB[Reporter],HS_DB[HS Code]=_xlpm.hs)))
)</f>
        <v>20</v>
      </c>
      <c r="AQ337" s="17" t="str">
        <f>IF(HS_DB[[#This Row],[Origin Count]]=1,"Single Source","Multiple Sources")</f>
        <v>Multiple Sources</v>
      </c>
      <c r="AR337" s="8">
        <f>HS_DB[[#This Row],[Annual Spend - USD]]*(HS_DB[[#This Row],[HS Code Risk Score]]/100)</f>
        <v>4233834.0200000005</v>
      </c>
      <c r="AS337" s="8">
        <f>RANK(HS_DB[[#This Row],[Risk Exposure - USD]],HS_DB[Risk Exposure - USD],0)</f>
        <v>221</v>
      </c>
      <c r="AT337" s="8" t="str">
        <f>IF(HS_DB[[#This Row],[Risk Exposure Rank]]&lt;=10,"High",
 IF(HS_DB[[#This Row],[Risk Exposure Rank]]&lt;=30,"Medium",
 "Low"))</f>
        <v>Low</v>
      </c>
      <c r="AU337" s="8" t="str">
        <f>IF(HS_DB[[#This Row],[Risk Exposure Rank]]&lt;=5,"Immediate Action",
 IF(HS_DB[[#This Row],[Risk Exposure Rank]]&lt;=15,"Monitor Closely",
 "Routine Control"))</f>
        <v>Routine Control</v>
      </c>
      <c r="AV337" s="8">
        <f>SUMIFS(HS_DB[Trade Value - USD],HS_DB[HS Code],HS_DB[[#This Row],[HS Code]])</f>
        <v>12452453</v>
      </c>
      <c r="AW337" s="6">
        <f>HS_DB[[#This Row],[Annual Spend - USD]]/HS_DB[[#This Row],[Total Market Size - USD]]</f>
        <v>1</v>
      </c>
      <c r="AX337" s="6" cm="1">
        <f t="array" ref="AX337">COUNTA(_xlfn.UNIQUE(_xlfn._xlws.FILTER(HS_DB[Partner],HS_DB[HS Code]=HS_DB[[#This Row],[HS Code]])))</f>
        <v>1</v>
      </c>
      <c r="AY337" s="8" t="str">
        <f>IF(HS_DB[[#This Row],[Competition Intensity]]&lt;=2,"Highly Concentrated",
 IF(HS_DB[[#This Row],[Competition Intensity]]&lt;=5,"Moderate",
 "Highly Competitive"))</f>
        <v>Highly Concentrated</v>
      </c>
      <c r="AZ337" s="8">
        <f>HS_DB[[#This Row],[Total Market Size - USD]]
*
(1+IFERROR(#REF!,0))
/
HS_DB[[#This Row],[Competition Intensity]]</f>
        <v>12452453</v>
      </c>
      <c r="BA337" s="8" t="str">
        <f>IF(HS_DB[[#This Row],[Commercial Opportunity Score]]&gt;=PERCENTILE(HS_DB[Commercial Opportunity Score],0.9),"High Opportunity",
 IF(HS_DB[[#This Row],[Commercial Opportunity Score]]&gt;=PERCENTILE(HS_DB[Commercial Opportunity Score],0.6),"Medium Opportunity",
 "Routine Market"))</f>
        <v>Routine Market</v>
      </c>
      <c r="BB337" s="3" t="str">
        <f>IF(AND(HS_DB[[#This Row],[Product Rank]]&gt;0,HS_DB[[#This Row],[Product Rank]]&lt;=10),"Yes","No")</f>
        <v>No</v>
      </c>
      <c r="BC337" s="3" t="str">
        <f>IF(AND(HS_DB[[#This Row],[Origin Rank]]&gt;0,HS_DB[[#This Row],[Origin Rank]]&lt;=10),"Yes","No")</f>
        <v>No</v>
      </c>
    </row>
    <row r="338" spans="2:55" x14ac:dyDescent="0.3">
      <c r="B338" s="2">
        <f>HS_DB[[#This Row],[Commodity Code]]</f>
        <v>130219</v>
      </c>
      <c r="C338" s="2">
        <f>IFERROR(INDEX(HS_MD!C:C,MATCH(B338,HS_MD!B:B,0),1),"")</f>
        <v>27</v>
      </c>
      <c r="D338" s="17" t="str">
        <f>IFERROR(INDEX(HS_MD!D:D,MATCH(B338,HS_MD!B:B,0),1),"")</f>
        <v>Vegetable extracts</v>
      </c>
      <c r="E338" s="17" t="str">
        <f>IFERROR(INDEX(HS_MD!E:E,MATCH(B338,HS_MD!B:B,0),1),"")</f>
        <v>Natural Extract Colors</v>
      </c>
      <c r="F338" s="17" t="str">
        <f>IFERROR(INDEX(HS_MD!F:F,MATCH(B338,HS_MD!B:B,0),1),"")</f>
        <v>Food Ingredients</v>
      </c>
      <c r="G338" s="17" t="str">
        <f>IFERROR(INDEX(HS_MD!G:G,MATCH(B338,HS_MD!B:B,0),1),"")</f>
        <v>Colors</v>
      </c>
      <c r="H338" s="17" t="str">
        <f>IFERROR(INDEX(HS_MD!H:H,MATCH(B338,HS_MD!B:B,0),1),"")</f>
        <v>Natural Extract Colors</v>
      </c>
      <c r="I338" s="17" t="str">
        <f>IFERROR(INDEX(HS_MD!I:I,MATCH(B338,HS_MD!B:B,0),1),"")</f>
        <v>Food Processing / Clean Label</v>
      </c>
      <c r="J338" s="17">
        <f>IFERROR(INDEX(Heat_Map[Index],MATCH(HS_DB[[#This Row],[Reporter]],Heat_Map[Global],0),1),"")</f>
        <v>63</v>
      </c>
      <c r="K338" s="17" t="str">
        <f>IF(AND(HS_DB[[#This Row],[Origin Rank]]&gt;1,HS_DB[[#This Row],[Origin Rank]]&lt;=10),"Yes","No")</f>
        <v>Yes</v>
      </c>
      <c r="L338" s="2">
        <v>2024</v>
      </c>
      <c r="M338" s="2" t="s">
        <v>57</v>
      </c>
      <c r="N338" s="2" t="s">
        <v>2</v>
      </c>
      <c r="O338" s="2" t="s">
        <v>22</v>
      </c>
      <c r="P338" s="2" t="s">
        <v>23</v>
      </c>
      <c r="Q338" s="2" t="s">
        <v>24</v>
      </c>
      <c r="R338" s="2" t="s">
        <v>25</v>
      </c>
      <c r="S338" s="2">
        <v>130219</v>
      </c>
      <c r="T338" s="3">
        <v>1331245</v>
      </c>
      <c r="U338" s="3">
        <v>97110</v>
      </c>
      <c r="V338" s="3">
        <v>0</v>
      </c>
      <c r="W338" s="3">
        <v>97110</v>
      </c>
      <c r="X338" s="3" t="s">
        <v>58</v>
      </c>
      <c r="Y338" s="3">
        <v>97110</v>
      </c>
      <c r="Z338" s="3" t="s">
        <v>58</v>
      </c>
      <c r="AA338" s="6">
        <f>SUMIFS(HS_DB[Trade Value - USD],HS_DB[Reporter],HS_DB[[#This Row],[Reporter]])/SUM(HS_DB[Trade Value - USD])</f>
        <v>1.1674623358397021E-2</v>
      </c>
      <c r="AB338" s="8" cm="1">
        <f t="array" ref="AB338">SUMPRODUCT(
(HS_DB[Reporter]=HS_DB[[#This Row],[Reporter]])*
(HS_DB[Trade Value - USD]&gt;HS_DB[[#This Row],[Trade Value - USD]])
)+1</f>
        <v>6</v>
      </c>
      <c r="AC338" s="8" t="str">
        <f>IFERROR(IF(INDEX(Heat_Map[Crisis Impact %],MATCH(HS_DB[[#This Row],[Reporter]],Heat_Map[Global],0),1)&gt;0,"Yes","No"),"No")</f>
        <v>No</v>
      </c>
      <c r="AD338" s="6">
        <f>IFERROR(INDEX(Heat_Map[Crisis Impact %],MATCH(HS_DB[[#This Row],[Reporter]],Heat_Map[Global],0),1),0)</f>
        <v>0</v>
      </c>
      <c r="AE338" s="8">
        <f>HS_DB[[#This Row],[Crisis Impact%]]*HS_DB[[#This Row],[Trade Value - USD]]</f>
        <v>0</v>
      </c>
      <c r="AF338" s="8">
        <f>HS_DB[[#This Row],[Crisis Impact%]]*HS_DB[[#This Row],[Net Weight -KG]]</f>
        <v>0</v>
      </c>
      <c r="AG338" s="6">
        <f>SUMIFS(HS_DB[Trade Value - USD],HS_DB[Products],HS_DB[[#This Row],[Products]])/SUM(HS_DB[Trade Value - USD])</f>
        <v>6.6060467534088414E-3</v>
      </c>
      <c r="AH338" s="8">
        <f>_xlfn.RANK.EQ(HS_DB[[#This Row],[Trade Value - USD]], HS_DB[Trade Value - USD], 0)
 + COUNTIFS(HS_DB[Trade Value - USD],HS_DB[[#This Row],[Trade Value - USD]],
            HS_DB[HS Code],"&lt;"&amp;HS_DB[[#This Row],[HS Code]])</f>
        <v>84</v>
      </c>
      <c r="AI338" s="9">
        <f>IFERROR(HS_DB[[#This Row],[Trade Value - USD]]/HS_DB[[#This Row],[Net Weight -KG]],0)</f>
        <v>13.70862938935228</v>
      </c>
      <c r="AJ338" s="17" cm="1">
        <f t="array" ref="AJ338">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38" s="17" t="str">
        <f>IF(HS_DB[[#This Row],[HS Code Risk Score]]&gt;=40,"High",
 IF(HS_DB[[#This Row],[HS Code Risk Score]]&gt;=25,"Medium","Low"))</f>
        <v>Medium</v>
      </c>
      <c r="AL338" s="17" t="str">
        <f>IF(RANK(HS_DB[[#This Row],[HS Code Risk Score]],HS_DB[HS Code Risk Score])&lt;=10,"Yes","No")</f>
        <v>No</v>
      </c>
      <c r="AM338" s="8">
        <f>SUMIFS(HS_DB[Net Weight -KG],HS_DB[HS Code],HS_DB[[#This Row],[HS Code]])</f>
        <v>502087.6</v>
      </c>
      <c r="AN338" s="8">
        <f>SUMIFS(HS_DB[Trade Value - USD],HS_DB[HS Code],HS_DB[[#This Row],[HS Code]])</f>
        <v>12452453</v>
      </c>
      <c r="AO338" s="6">
        <f>_xlfn.MAXIFS(HS_DB[Origin Share%],HS_DB[HS Code],HS_DB[[#This Row],[HS Code]])</f>
        <v>6.321329281187793E-2</v>
      </c>
      <c r="AP338" s="8" cm="1">
        <f t="array" ref="AP338">_xlfn.LET(
_xlpm.hs,HS_DB[[#This Row],[HS Code]],
COUNTA(_xlfn.UNIQUE(_xlfn._xlws.FILTER(HS_DB[Reporter],HS_DB[HS Code]=_xlpm.hs)))
)</f>
        <v>20</v>
      </c>
      <c r="AQ338" s="17" t="str">
        <f>IF(HS_DB[[#This Row],[Origin Count]]=1,"Single Source","Multiple Sources")</f>
        <v>Multiple Sources</v>
      </c>
      <c r="AR338" s="8">
        <f>HS_DB[[#This Row],[Annual Spend - USD]]*(HS_DB[[#This Row],[HS Code Risk Score]]/100)</f>
        <v>4233834.0200000005</v>
      </c>
      <c r="AS338" s="8">
        <f>RANK(HS_DB[[#This Row],[Risk Exposure - USD]],HS_DB[Risk Exposure - USD],0)</f>
        <v>221</v>
      </c>
      <c r="AT338" s="8" t="str">
        <f>IF(HS_DB[[#This Row],[Risk Exposure Rank]]&lt;=10,"High",
 IF(HS_DB[[#This Row],[Risk Exposure Rank]]&lt;=30,"Medium",
 "Low"))</f>
        <v>Low</v>
      </c>
      <c r="AU338" s="8" t="str">
        <f>IF(HS_DB[[#This Row],[Risk Exposure Rank]]&lt;=5,"Immediate Action",
 IF(HS_DB[[#This Row],[Risk Exposure Rank]]&lt;=15,"Monitor Closely",
 "Routine Control"))</f>
        <v>Routine Control</v>
      </c>
      <c r="AV338" s="8">
        <f>SUMIFS(HS_DB[Trade Value - USD],HS_DB[HS Code],HS_DB[[#This Row],[HS Code]])</f>
        <v>12452453</v>
      </c>
      <c r="AW338" s="6">
        <f>HS_DB[[#This Row],[Annual Spend - USD]]/HS_DB[[#This Row],[Total Market Size - USD]]</f>
        <v>1</v>
      </c>
      <c r="AX338" s="6" cm="1">
        <f t="array" ref="AX338">COUNTA(_xlfn.UNIQUE(_xlfn._xlws.FILTER(HS_DB[Partner],HS_DB[HS Code]=HS_DB[[#This Row],[HS Code]])))</f>
        <v>1</v>
      </c>
      <c r="AY338" s="8" t="str">
        <f>IF(HS_DB[[#This Row],[Competition Intensity]]&lt;=2,"Highly Concentrated",
 IF(HS_DB[[#This Row],[Competition Intensity]]&lt;=5,"Moderate",
 "Highly Competitive"))</f>
        <v>Highly Concentrated</v>
      </c>
      <c r="AZ338" s="8">
        <f>HS_DB[[#This Row],[Total Market Size - USD]]
*
(1+IFERROR(#REF!,0))
/
HS_DB[[#This Row],[Competition Intensity]]</f>
        <v>12452453</v>
      </c>
      <c r="BA338" s="8" t="str">
        <f>IF(HS_DB[[#This Row],[Commercial Opportunity Score]]&gt;=PERCENTILE(HS_DB[Commercial Opportunity Score],0.9),"High Opportunity",
 IF(HS_DB[[#This Row],[Commercial Opportunity Score]]&gt;=PERCENTILE(HS_DB[Commercial Opportunity Score],0.6),"Medium Opportunity",
 "Routine Market"))</f>
        <v>Routine Market</v>
      </c>
      <c r="BB338" s="3" t="str">
        <f>IF(AND(HS_DB[[#This Row],[Product Rank]]&gt;0,HS_DB[[#This Row],[Product Rank]]&lt;=10),"Yes","No")</f>
        <v>No</v>
      </c>
      <c r="BC338" s="3" t="str">
        <f>IF(AND(HS_DB[[#This Row],[Origin Rank]]&gt;0,HS_DB[[#This Row],[Origin Rank]]&lt;=10),"Yes","No")</f>
        <v>Yes</v>
      </c>
    </row>
    <row r="339" spans="2:55" x14ac:dyDescent="0.3">
      <c r="B339" s="2">
        <f>HS_DB[[#This Row],[Commodity Code]]</f>
        <v>130219</v>
      </c>
      <c r="C339" s="2">
        <f>IFERROR(INDEX(HS_MD!C:C,MATCH(B339,HS_MD!B:B,0),1),"")</f>
        <v>27</v>
      </c>
      <c r="D339" s="17" t="str">
        <f>IFERROR(INDEX(HS_MD!D:D,MATCH(B339,HS_MD!B:B,0),1),"")</f>
        <v>Vegetable extracts</v>
      </c>
      <c r="E339" s="17" t="str">
        <f>IFERROR(INDEX(HS_MD!E:E,MATCH(B339,HS_MD!B:B,0),1),"")</f>
        <v>Natural Extract Colors</v>
      </c>
      <c r="F339" s="17" t="str">
        <f>IFERROR(INDEX(HS_MD!F:F,MATCH(B339,HS_MD!B:B,0),1),"")</f>
        <v>Food Ingredients</v>
      </c>
      <c r="G339" s="17" t="str">
        <f>IFERROR(INDEX(HS_MD!G:G,MATCH(B339,HS_MD!B:B,0),1),"")</f>
        <v>Colors</v>
      </c>
      <c r="H339" s="17" t="str">
        <f>IFERROR(INDEX(HS_MD!H:H,MATCH(B339,HS_MD!B:B,0),1),"")</f>
        <v>Natural Extract Colors</v>
      </c>
      <c r="I339" s="17" t="str">
        <f>IFERROR(INDEX(HS_MD!I:I,MATCH(B339,HS_MD!B:B,0),1),"")</f>
        <v>Food Processing / Clean Label</v>
      </c>
      <c r="J339" s="17">
        <f>IFERROR(INDEX(Heat_Map[Index],MATCH(HS_DB[[#This Row],[Reporter]],Heat_Map[Global],0),1),"")</f>
        <v>65</v>
      </c>
      <c r="K339" s="17" t="str">
        <f>IF(AND(HS_DB[[#This Row],[Origin Rank]]&gt;1,HS_DB[[#This Row],[Origin Rank]]&lt;=10),"Yes","No")</f>
        <v>Yes</v>
      </c>
      <c r="L339" s="2">
        <v>2024</v>
      </c>
      <c r="M339" s="2" t="s">
        <v>57</v>
      </c>
      <c r="N339" s="2" t="s">
        <v>45</v>
      </c>
      <c r="O339" s="2" t="s">
        <v>22</v>
      </c>
      <c r="P339" s="2" t="s">
        <v>23</v>
      </c>
      <c r="Q339" s="2" t="s">
        <v>24</v>
      </c>
      <c r="R339" s="2" t="s">
        <v>25</v>
      </c>
      <c r="S339" s="2">
        <v>130219</v>
      </c>
      <c r="T339" s="3">
        <v>59994</v>
      </c>
      <c r="U339" s="3">
        <v>1864</v>
      </c>
      <c r="V339" s="3">
        <v>0</v>
      </c>
      <c r="W339" s="3">
        <v>1864</v>
      </c>
      <c r="X339" s="3" t="s">
        <v>58</v>
      </c>
      <c r="Y339" s="3">
        <v>1864</v>
      </c>
      <c r="Z339" s="3" t="s">
        <v>58</v>
      </c>
      <c r="AA339" s="6">
        <f>SUMIFS(HS_DB[Trade Value - USD],HS_DB[Reporter],HS_DB[[#This Row],[Reporter]])/SUM(HS_DB[Trade Value - USD])</f>
        <v>7.8962835084717131E-4</v>
      </c>
      <c r="AB339" s="8" cm="1">
        <f t="array" ref="AB339">SUMPRODUCT(
(HS_DB[Reporter]=HS_DB[[#This Row],[Reporter]])*
(HS_DB[Trade Value - USD]&gt;HS_DB[[#This Row],[Trade Value - USD]])
)+1</f>
        <v>3</v>
      </c>
      <c r="AC339" s="8" t="str">
        <f>IFERROR(IF(INDEX(Heat_Map[Crisis Impact %],MATCH(HS_DB[[#This Row],[Reporter]],Heat_Map[Global],0),1)&gt;0,"Yes","No"),"No")</f>
        <v>No</v>
      </c>
      <c r="AD339" s="6">
        <f>IFERROR(INDEX(Heat_Map[Crisis Impact %],MATCH(HS_DB[[#This Row],[Reporter]],Heat_Map[Global],0),1),0)</f>
        <v>0</v>
      </c>
      <c r="AE339" s="8">
        <f>HS_DB[[#This Row],[Crisis Impact%]]*HS_DB[[#This Row],[Trade Value - USD]]</f>
        <v>0</v>
      </c>
      <c r="AF339" s="8">
        <f>HS_DB[[#This Row],[Crisis Impact%]]*HS_DB[[#This Row],[Net Weight -KG]]</f>
        <v>0</v>
      </c>
      <c r="AG339" s="6">
        <f>SUMIFS(HS_DB[Trade Value - USD],HS_DB[Products],HS_DB[[#This Row],[Products]])/SUM(HS_DB[Trade Value - USD])</f>
        <v>6.6060467534088414E-3</v>
      </c>
      <c r="AH339" s="8">
        <f>_xlfn.RANK.EQ(HS_DB[[#This Row],[Trade Value - USD]], HS_DB[Trade Value - USD], 0)
 + COUNTIFS(HS_DB[Trade Value - USD],HS_DB[[#This Row],[Trade Value - USD]],
            HS_DB[HS Code],"&lt;"&amp;HS_DB[[#This Row],[HS Code]])</f>
        <v>317</v>
      </c>
      <c r="AI339" s="9">
        <f>IFERROR(HS_DB[[#This Row],[Trade Value - USD]]/HS_DB[[#This Row],[Net Weight -KG]],0)</f>
        <v>32.185622317596568</v>
      </c>
      <c r="AJ339" s="17" cm="1">
        <f t="array" ref="AJ339">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39" s="17" t="str">
        <f>IF(HS_DB[[#This Row],[HS Code Risk Score]]&gt;=40,"High",
 IF(HS_DB[[#This Row],[HS Code Risk Score]]&gt;=25,"Medium","Low"))</f>
        <v>Medium</v>
      </c>
      <c r="AL339" s="17" t="str">
        <f>IF(RANK(HS_DB[[#This Row],[HS Code Risk Score]],HS_DB[HS Code Risk Score])&lt;=10,"Yes","No")</f>
        <v>No</v>
      </c>
      <c r="AM339" s="8">
        <f>SUMIFS(HS_DB[Net Weight -KG],HS_DB[HS Code],HS_DB[[#This Row],[HS Code]])</f>
        <v>502087.6</v>
      </c>
      <c r="AN339" s="8">
        <f>SUMIFS(HS_DB[Trade Value - USD],HS_DB[HS Code],HS_DB[[#This Row],[HS Code]])</f>
        <v>12452453</v>
      </c>
      <c r="AO339" s="6">
        <f>_xlfn.MAXIFS(HS_DB[Origin Share%],HS_DB[HS Code],HS_DB[[#This Row],[HS Code]])</f>
        <v>6.321329281187793E-2</v>
      </c>
      <c r="AP339" s="8" cm="1">
        <f t="array" ref="AP339">_xlfn.LET(
_xlpm.hs,HS_DB[[#This Row],[HS Code]],
COUNTA(_xlfn.UNIQUE(_xlfn._xlws.FILTER(HS_DB[Reporter],HS_DB[HS Code]=_xlpm.hs)))
)</f>
        <v>20</v>
      </c>
      <c r="AQ339" s="17" t="str">
        <f>IF(HS_DB[[#This Row],[Origin Count]]=1,"Single Source","Multiple Sources")</f>
        <v>Multiple Sources</v>
      </c>
      <c r="AR339" s="8">
        <f>HS_DB[[#This Row],[Annual Spend - USD]]*(HS_DB[[#This Row],[HS Code Risk Score]]/100)</f>
        <v>4233834.0200000005</v>
      </c>
      <c r="AS339" s="8">
        <f>RANK(HS_DB[[#This Row],[Risk Exposure - USD]],HS_DB[Risk Exposure - USD],0)</f>
        <v>221</v>
      </c>
      <c r="AT339" s="8" t="str">
        <f>IF(HS_DB[[#This Row],[Risk Exposure Rank]]&lt;=10,"High",
 IF(HS_DB[[#This Row],[Risk Exposure Rank]]&lt;=30,"Medium",
 "Low"))</f>
        <v>Low</v>
      </c>
      <c r="AU339" s="8" t="str">
        <f>IF(HS_DB[[#This Row],[Risk Exposure Rank]]&lt;=5,"Immediate Action",
 IF(HS_DB[[#This Row],[Risk Exposure Rank]]&lt;=15,"Monitor Closely",
 "Routine Control"))</f>
        <v>Routine Control</v>
      </c>
      <c r="AV339" s="8">
        <f>SUMIFS(HS_DB[Trade Value - USD],HS_DB[HS Code],HS_DB[[#This Row],[HS Code]])</f>
        <v>12452453</v>
      </c>
      <c r="AW339" s="6">
        <f>HS_DB[[#This Row],[Annual Spend - USD]]/HS_DB[[#This Row],[Total Market Size - USD]]</f>
        <v>1</v>
      </c>
      <c r="AX339" s="6" cm="1">
        <f t="array" ref="AX339">COUNTA(_xlfn.UNIQUE(_xlfn._xlws.FILTER(HS_DB[Partner],HS_DB[HS Code]=HS_DB[[#This Row],[HS Code]])))</f>
        <v>1</v>
      </c>
      <c r="AY339" s="8" t="str">
        <f>IF(HS_DB[[#This Row],[Competition Intensity]]&lt;=2,"Highly Concentrated",
 IF(HS_DB[[#This Row],[Competition Intensity]]&lt;=5,"Moderate",
 "Highly Competitive"))</f>
        <v>Highly Concentrated</v>
      </c>
      <c r="AZ339" s="8">
        <f>HS_DB[[#This Row],[Total Market Size - USD]]
*
(1+IFERROR(#REF!,0))
/
HS_DB[[#This Row],[Competition Intensity]]</f>
        <v>12452453</v>
      </c>
      <c r="BA339" s="8" t="str">
        <f>IF(HS_DB[[#This Row],[Commercial Opportunity Score]]&gt;=PERCENTILE(HS_DB[Commercial Opportunity Score],0.9),"High Opportunity",
 IF(HS_DB[[#This Row],[Commercial Opportunity Score]]&gt;=PERCENTILE(HS_DB[Commercial Opportunity Score],0.6),"Medium Opportunity",
 "Routine Market"))</f>
        <v>Routine Market</v>
      </c>
      <c r="BB339" s="3" t="str">
        <f>IF(AND(HS_DB[[#This Row],[Product Rank]]&gt;0,HS_DB[[#This Row],[Product Rank]]&lt;=10),"Yes","No")</f>
        <v>No</v>
      </c>
      <c r="BC339" s="3" t="str">
        <f>IF(AND(HS_DB[[#This Row],[Origin Rank]]&gt;0,HS_DB[[#This Row],[Origin Rank]]&lt;=10),"Yes","No")</f>
        <v>Yes</v>
      </c>
    </row>
    <row r="340" spans="2:55" x14ac:dyDescent="0.3">
      <c r="B340" s="2">
        <f>HS_DB[[#This Row],[Commodity Code]]</f>
        <v>130219</v>
      </c>
      <c r="C340" s="2">
        <f>IFERROR(INDEX(HS_MD!C:C,MATCH(B340,HS_MD!B:B,0),1),"")</f>
        <v>27</v>
      </c>
      <c r="D340" s="17" t="str">
        <f>IFERROR(INDEX(HS_MD!D:D,MATCH(B340,HS_MD!B:B,0),1),"")</f>
        <v>Vegetable extracts</v>
      </c>
      <c r="E340" s="17" t="str">
        <f>IFERROR(INDEX(HS_MD!E:E,MATCH(B340,HS_MD!B:B,0),1),"")</f>
        <v>Natural Extract Colors</v>
      </c>
      <c r="F340" s="17" t="str">
        <f>IFERROR(INDEX(HS_MD!F:F,MATCH(B340,HS_MD!B:B,0),1),"")</f>
        <v>Food Ingredients</v>
      </c>
      <c r="G340" s="17" t="str">
        <f>IFERROR(INDEX(HS_MD!G:G,MATCH(B340,HS_MD!B:B,0),1),"")</f>
        <v>Colors</v>
      </c>
      <c r="H340" s="17" t="str">
        <f>IFERROR(INDEX(HS_MD!H:H,MATCH(B340,HS_MD!B:B,0),1),"")</f>
        <v>Natural Extract Colors</v>
      </c>
      <c r="I340" s="17" t="str">
        <f>IFERROR(INDEX(HS_MD!I:I,MATCH(B340,HS_MD!B:B,0),1),"")</f>
        <v>Food Processing / Clean Label</v>
      </c>
      <c r="J340" s="17">
        <f>IFERROR(INDEX(Heat_Map[Index],MATCH(HS_DB[[#This Row],[Reporter]],Heat_Map[Global],0),1),"")</f>
        <v>79</v>
      </c>
      <c r="K340" s="17" t="str">
        <f>IF(AND(HS_DB[[#This Row],[Origin Rank]]&gt;1,HS_DB[[#This Row],[Origin Rank]]&lt;=10),"Yes","No")</f>
        <v>Yes</v>
      </c>
      <c r="L340" s="2">
        <v>2024</v>
      </c>
      <c r="M340" s="2" t="s">
        <v>57</v>
      </c>
      <c r="N340" s="2" t="s">
        <v>48</v>
      </c>
      <c r="O340" s="2" t="s">
        <v>22</v>
      </c>
      <c r="P340" s="2" t="s">
        <v>23</v>
      </c>
      <c r="Q340" s="2" t="s">
        <v>24</v>
      </c>
      <c r="R340" s="2" t="s">
        <v>25</v>
      </c>
      <c r="S340" s="2">
        <v>130219</v>
      </c>
      <c r="T340" s="3">
        <v>733901</v>
      </c>
      <c r="U340" s="3">
        <v>8905</v>
      </c>
      <c r="V340" s="3">
        <v>0</v>
      </c>
      <c r="W340" s="3">
        <v>8905</v>
      </c>
      <c r="X340" s="3" t="s">
        <v>58</v>
      </c>
      <c r="Y340" s="3">
        <v>8905</v>
      </c>
      <c r="Z340" s="3" t="s">
        <v>58</v>
      </c>
      <c r="AA340" s="6">
        <f>SUMIFS(HS_DB[Trade Value - USD],HS_DB[Reporter],HS_DB[[#This Row],[Reporter]])/SUM(HS_DB[Trade Value - USD])</f>
        <v>4.9588465845200368E-3</v>
      </c>
      <c r="AB340" s="8" cm="1">
        <f t="array" ref="AB340">SUMPRODUCT(
(HS_DB[Reporter]=HS_DB[[#This Row],[Reporter]])*
(HS_DB[Trade Value - USD]&gt;HS_DB[[#This Row],[Trade Value - USD]])
)+1</f>
        <v>5</v>
      </c>
      <c r="AC340" s="8" t="str">
        <f>IFERROR(IF(INDEX(Heat_Map[Crisis Impact %],MATCH(HS_DB[[#This Row],[Reporter]],Heat_Map[Global],0),1)&gt;0,"Yes","No"),"No")</f>
        <v>No</v>
      </c>
      <c r="AD340" s="6">
        <f>IFERROR(INDEX(Heat_Map[Crisis Impact %],MATCH(HS_DB[[#This Row],[Reporter]],Heat_Map[Global],0),1),0)</f>
        <v>0</v>
      </c>
      <c r="AE340" s="8">
        <f>HS_DB[[#This Row],[Crisis Impact%]]*HS_DB[[#This Row],[Trade Value - USD]]</f>
        <v>0</v>
      </c>
      <c r="AF340" s="8">
        <f>HS_DB[[#This Row],[Crisis Impact%]]*HS_DB[[#This Row],[Net Weight -KG]]</f>
        <v>0</v>
      </c>
      <c r="AG340" s="6">
        <f>SUMIFS(HS_DB[Trade Value - USD],HS_DB[Products],HS_DB[[#This Row],[Products]])/SUM(HS_DB[Trade Value - USD])</f>
        <v>6.6060467534088414E-3</v>
      </c>
      <c r="AH340" s="8">
        <f>_xlfn.RANK.EQ(HS_DB[[#This Row],[Trade Value - USD]], HS_DB[Trade Value - USD], 0)
 + COUNTIFS(HS_DB[Trade Value - USD],HS_DB[[#This Row],[Trade Value - USD]],
            HS_DB[HS Code],"&lt;"&amp;HS_DB[[#This Row],[HS Code]])</f>
        <v>117</v>
      </c>
      <c r="AI340" s="9">
        <f>IFERROR(HS_DB[[#This Row],[Trade Value - USD]]/HS_DB[[#This Row],[Net Weight -KG]],0)</f>
        <v>82.414486243683328</v>
      </c>
      <c r="AJ340" s="17" cm="1">
        <f t="array" ref="AJ340">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40" s="17" t="str">
        <f>IF(HS_DB[[#This Row],[HS Code Risk Score]]&gt;=40,"High",
 IF(HS_DB[[#This Row],[HS Code Risk Score]]&gt;=25,"Medium","Low"))</f>
        <v>Medium</v>
      </c>
      <c r="AL340" s="17" t="str">
        <f>IF(RANK(HS_DB[[#This Row],[HS Code Risk Score]],HS_DB[HS Code Risk Score])&lt;=10,"Yes","No")</f>
        <v>No</v>
      </c>
      <c r="AM340" s="8">
        <f>SUMIFS(HS_DB[Net Weight -KG],HS_DB[HS Code],HS_DB[[#This Row],[HS Code]])</f>
        <v>502087.6</v>
      </c>
      <c r="AN340" s="8">
        <f>SUMIFS(HS_DB[Trade Value - USD],HS_DB[HS Code],HS_DB[[#This Row],[HS Code]])</f>
        <v>12452453</v>
      </c>
      <c r="AO340" s="6">
        <f>_xlfn.MAXIFS(HS_DB[Origin Share%],HS_DB[HS Code],HS_DB[[#This Row],[HS Code]])</f>
        <v>6.321329281187793E-2</v>
      </c>
      <c r="AP340" s="8" cm="1">
        <f t="array" ref="AP340">_xlfn.LET(
_xlpm.hs,HS_DB[[#This Row],[HS Code]],
COUNTA(_xlfn.UNIQUE(_xlfn._xlws.FILTER(HS_DB[Reporter],HS_DB[HS Code]=_xlpm.hs)))
)</f>
        <v>20</v>
      </c>
      <c r="AQ340" s="17" t="str">
        <f>IF(HS_DB[[#This Row],[Origin Count]]=1,"Single Source","Multiple Sources")</f>
        <v>Multiple Sources</v>
      </c>
      <c r="AR340" s="8">
        <f>HS_DB[[#This Row],[Annual Spend - USD]]*(HS_DB[[#This Row],[HS Code Risk Score]]/100)</f>
        <v>4233834.0200000005</v>
      </c>
      <c r="AS340" s="8">
        <f>RANK(HS_DB[[#This Row],[Risk Exposure - USD]],HS_DB[Risk Exposure - USD],0)</f>
        <v>221</v>
      </c>
      <c r="AT340" s="8" t="str">
        <f>IF(HS_DB[[#This Row],[Risk Exposure Rank]]&lt;=10,"High",
 IF(HS_DB[[#This Row],[Risk Exposure Rank]]&lt;=30,"Medium",
 "Low"))</f>
        <v>Low</v>
      </c>
      <c r="AU340" s="8" t="str">
        <f>IF(HS_DB[[#This Row],[Risk Exposure Rank]]&lt;=5,"Immediate Action",
 IF(HS_DB[[#This Row],[Risk Exposure Rank]]&lt;=15,"Monitor Closely",
 "Routine Control"))</f>
        <v>Routine Control</v>
      </c>
      <c r="AV340" s="8">
        <f>SUMIFS(HS_DB[Trade Value - USD],HS_DB[HS Code],HS_DB[[#This Row],[HS Code]])</f>
        <v>12452453</v>
      </c>
      <c r="AW340" s="6">
        <f>HS_DB[[#This Row],[Annual Spend - USD]]/HS_DB[[#This Row],[Total Market Size - USD]]</f>
        <v>1</v>
      </c>
      <c r="AX340" s="6" cm="1">
        <f t="array" ref="AX340">COUNTA(_xlfn.UNIQUE(_xlfn._xlws.FILTER(HS_DB[Partner],HS_DB[HS Code]=HS_DB[[#This Row],[HS Code]])))</f>
        <v>1</v>
      </c>
      <c r="AY340" s="8" t="str">
        <f>IF(HS_DB[[#This Row],[Competition Intensity]]&lt;=2,"Highly Concentrated",
 IF(HS_DB[[#This Row],[Competition Intensity]]&lt;=5,"Moderate",
 "Highly Competitive"))</f>
        <v>Highly Concentrated</v>
      </c>
      <c r="AZ340" s="8">
        <f>HS_DB[[#This Row],[Total Market Size - USD]]
*
(1+IFERROR(#REF!,0))
/
HS_DB[[#This Row],[Competition Intensity]]</f>
        <v>12452453</v>
      </c>
      <c r="BA340" s="8" t="str">
        <f>IF(HS_DB[[#This Row],[Commercial Opportunity Score]]&gt;=PERCENTILE(HS_DB[Commercial Opportunity Score],0.9),"High Opportunity",
 IF(HS_DB[[#This Row],[Commercial Opportunity Score]]&gt;=PERCENTILE(HS_DB[Commercial Opportunity Score],0.6),"Medium Opportunity",
 "Routine Market"))</f>
        <v>Routine Market</v>
      </c>
      <c r="BB340" s="3" t="str">
        <f>IF(AND(HS_DB[[#This Row],[Product Rank]]&gt;0,HS_DB[[#This Row],[Product Rank]]&lt;=10),"Yes","No")</f>
        <v>No</v>
      </c>
      <c r="BC340" s="3" t="str">
        <f>IF(AND(HS_DB[[#This Row],[Origin Rank]]&gt;0,HS_DB[[#This Row],[Origin Rank]]&lt;=10),"Yes","No")</f>
        <v>Yes</v>
      </c>
    </row>
    <row r="341" spans="2:55" x14ac:dyDescent="0.3">
      <c r="B341" s="2">
        <f>HS_DB[[#This Row],[Commodity Code]]</f>
        <v>130219</v>
      </c>
      <c r="C341" s="2">
        <f>IFERROR(INDEX(HS_MD!C:C,MATCH(B341,HS_MD!B:B,0),1),"")</f>
        <v>27</v>
      </c>
      <c r="D341" s="17" t="str">
        <f>IFERROR(INDEX(HS_MD!D:D,MATCH(B341,HS_MD!B:B,0),1),"")</f>
        <v>Vegetable extracts</v>
      </c>
      <c r="E341" s="17" t="str">
        <f>IFERROR(INDEX(HS_MD!E:E,MATCH(B341,HS_MD!B:B,0),1),"")</f>
        <v>Natural Extract Colors</v>
      </c>
      <c r="F341" s="17" t="str">
        <f>IFERROR(INDEX(HS_MD!F:F,MATCH(B341,HS_MD!B:B,0),1),"")</f>
        <v>Food Ingredients</v>
      </c>
      <c r="G341" s="17" t="str">
        <f>IFERROR(INDEX(HS_MD!G:G,MATCH(B341,HS_MD!B:B,0),1),"")</f>
        <v>Colors</v>
      </c>
      <c r="H341" s="17" t="str">
        <f>IFERROR(INDEX(HS_MD!H:H,MATCH(B341,HS_MD!B:B,0),1),"")</f>
        <v>Natural Extract Colors</v>
      </c>
      <c r="I341" s="17" t="str">
        <f>IFERROR(INDEX(HS_MD!I:I,MATCH(B341,HS_MD!B:B,0),1),"")</f>
        <v>Food Processing / Clean Label</v>
      </c>
      <c r="J341" s="17">
        <f>IFERROR(INDEX(Heat_Map[Index],MATCH(HS_DB[[#This Row],[Reporter]],Heat_Map[Global],0),1),"")</f>
        <v>81</v>
      </c>
      <c r="K341" s="17" t="str">
        <f>IF(AND(HS_DB[[#This Row],[Origin Rank]]&gt;1,HS_DB[[#This Row],[Origin Rank]]&lt;=10),"Yes","No")</f>
        <v>No</v>
      </c>
      <c r="L341" s="2">
        <v>2024</v>
      </c>
      <c r="M341" s="2" t="s">
        <v>57</v>
      </c>
      <c r="N341" s="2" t="s">
        <v>49</v>
      </c>
      <c r="O341" s="2" t="s">
        <v>22</v>
      </c>
      <c r="P341" s="2" t="s">
        <v>23</v>
      </c>
      <c r="Q341" s="2" t="s">
        <v>24</v>
      </c>
      <c r="R341" s="2" t="s">
        <v>25</v>
      </c>
      <c r="S341" s="2">
        <v>130219</v>
      </c>
      <c r="T341" s="3">
        <v>49032</v>
      </c>
      <c r="U341" s="3">
        <v>9101</v>
      </c>
      <c r="V341" s="3">
        <v>0</v>
      </c>
      <c r="W341" s="3">
        <v>9101</v>
      </c>
      <c r="X341" s="3" t="s">
        <v>58</v>
      </c>
      <c r="Y341" s="3">
        <v>9101</v>
      </c>
      <c r="Z341" s="3" t="s">
        <v>58</v>
      </c>
      <c r="AA341" s="6">
        <f>SUMIFS(HS_DB[Trade Value - USD],HS_DB[Reporter],HS_DB[[#This Row],[Reporter]])/SUM(HS_DB[Trade Value - USD])</f>
        <v>1.1178535358665947E-2</v>
      </c>
      <c r="AB341" s="8" cm="1">
        <f t="array" ref="AB341">SUMPRODUCT(
(HS_DB[Reporter]=HS_DB[[#This Row],[Reporter]])*
(HS_DB[Trade Value - USD]&gt;HS_DB[[#This Row],[Trade Value - USD]])
)+1</f>
        <v>16</v>
      </c>
      <c r="AC341" s="8" t="str">
        <f>IFERROR(IF(INDEX(Heat_Map[Crisis Impact %],MATCH(HS_DB[[#This Row],[Reporter]],Heat_Map[Global],0),1)&gt;0,"Yes","No"),"No")</f>
        <v>No</v>
      </c>
      <c r="AD341" s="6">
        <f>IFERROR(INDEX(Heat_Map[Crisis Impact %],MATCH(HS_DB[[#This Row],[Reporter]],Heat_Map[Global],0),1),0)</f>
        <v>0</v>
      </c>
      <c r="AE341" s="8">
        <f>HS_DB[[#This Row],[Crisis Impact%]]*HS_DB[[#This Row],[Trade Value - USD]]</f>
        <v>0</v>
      </c>
      <c r="AF341" s="8">
        <f>HS_DB[[#This Row],[Crisis Impact%]]*HS_DB[[#This Row],[Net Weight -KG]]</f>
        <v>0</v>
      </c>
      <c r="AG341" s="6">
        <f>SUMIFS(HS_DB[Trade Value - USD],HS_DB[Products],HS_DB[[#This Row],[Products]])/SUM(HS_DB[Trade Value - USD])</f>
        <v>6.6060467534088414E-3</v>
      </c>
      <c r="AH341" s="8">
        <f>_xlfn.RANK.EQ(HS_DB[[#This Row],[Trade Value - USD]], HS_DB[Trade Value - USD], 0)
 + COUNTIFS(HS_DB[Trade Value - USD],HS_DB[[#This Row],[Trade Value - USD]],
            HS_DB[HS Code],"&lt;"&amp;HS_DB[[#This Row],[HS Code]])</f>
        <v>326</v>
      </c>
      <c r="AI341" s="9">
        <f>IFERROR(HS_DB[[#This Row],[Trade Value - USD]]/HS_DB[[#This Row],[Net Weight -KG]],0)</f>
        <v>5.3875398307878255</v>
      </c>
      <c r="AJ341" s="17" cm="1">
        <f t="array" ref="AJ341">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41" s="17" t="str">
        <f>IF(HS_DB[[#This Row],[HS Code Risk Score]]&gt;=40,"High",
 IF(HS_DB[[#This Row],[HS Code Risk Score]]&gt;=25,"Medium","Low"))</f>
        <v>Medium</v>
      </c>
      <c r="AL341" s="17" t="str">
        <f>IF(RANK(HS_DB[[#This Row],[HS Code Risk Score]],HS_DB[HS Code Risk Score])&lt;=10,"Yes","No")</f>
        <v>No</v>
      </c>
      <c r="AM341" s="8">
        <f>SUMIFS(HS_DB[Net Weight -KG],HS_DB[HS Code],HS_DB[[#This Row],[HS Code]])</f>
        <v>502087.6</v>
      </c>
      <c r="AN341" s="8">
        <f>SUMIFS(HS_DB[Trade Value - USD],HS_DB[HS Code],HS_DB[[#This Row],[HS Code]])</f>
        <v>12452453</v>
      </c>
      <c r="AO341" s="6">
        <f>_xlfn.MAXIFS(HS_DB[Origin Share%],HS_DB[HS Code],HS_DB[[#This Row],[HS Code]])</f>
        <v>6.321329281187793E-2</v>
      </c>
      <c r="AP341" s="8" cm="1">
        <f t="array" ref="AP341">_xlfn.LET(
_xlpm.hs,HS_DB[[#This Row],[HS Code]],
COUNTA(_xlfn.UNIQUE(_xlfn._xlws.FILTER(HS_DB[Reporter],HS_DB[HS Code]=_xlpm.hs)))
)</f>
        <v>20</v>
      </c>
      <c r="AQ341" s="17" t="str">
        <f>IF(HS_DB[[#This Row],[Origin Count]]=1,"Single Source","Multiple Sources")</f>
        <v>Multiple Sources</v>
      </c>
      <c r="AR341" s="8">
        <f>HS_DB[[#This Row],[Annual Spend - USD]]*(HS_DB[[#This Row],[HS Code Risk Score]]/100)</f>
        <v>4233834.0200000005</v>
      </c>
      <c r="AS341" s="8">
        <f>RANK(HS_DB[[#This Row],[Risk Exposure - USD]],HS_DB[Risk Exposure - USD],0)</f>
        <v>221</v>
      </c>
      <c r="AT341" s="8" t="str">
        <f>IF(HS_DB[[#This Row],[Risk Exposure Rank]]&lt;=10,"High",
 IF(HS_DB[[#This Row],[Risk Exposure Rank]]&lt;=30,"Medium",
 "Low"))</f>
        <v>Low</v>
      </c>
      <c r="AU341" s="8" t="str">
        <f>IF(HS_DB[[#This Row],[Risk Exposure Rank]]&lt;=5,"Immediate Action",
 IF(HS_DB[[#This Row],[Risk Exposure Rank]]&lt;=15,"Monitor Closely",
 "Routine Control"))</f>
        <v>Routine Control</v>
      </c>
      <c r="AV341" s="8">
        <f>SUMIFS(HS_DB[Trade Value - USD],HS_DB[HS Code],HS_DB[[#This Row],[HS Code]])</f>
        <v>12452453</v>
      </c>
      <c r="AW341" s="6">
        <f>HS_DB[[#This Row],[Annual Spend - USD]]/HS_DB[[#This Row],[Total Market Size - USD]]</f>
        <v>1</v>
      </c>
      <c r="AX341" s="6" cm="1">
        <f t="array" ref="AX341">COUNTA(_xlfn.UNIQUE(_xlfn._xlws.FILTER(HS_DB[Partner],HS_DB[HS Code]=HS_DB[[#This Row],[HS Code]])))</f>
        <v>1</v>
      </c>
      <c r="AY341" s="8" t="str">
        <f>IF(HS_DB[[#This Row],[Competition Intensity]]&lt;=2,"Highly Concentrated",
 IF(HS_DB[[#This Row],[Competition Intensity]]&lt;=5,"Moderate",
 "Highly Competitive"))</f>
        <v>Highly Concentrated</v>
      </c>
      <c r="AZ341" s="8">
        <f>HS_DB[[#This Row],[Total Market Size - USD]]
*
(1+IFERROR(#REF!,0))
/
HS_DB[[#This Row],[Competition Intensity]]</f>
        <v>12452453</v>
      </c>
      <c r="BA341" s="8" t="str">
        <f>IF(HS_DB[[#This Row],[Commercial Opportunity Score]]&gt;=PERCENTILE(HS_DB[Commercial Opportunity Score],0.9),"High Opportunity",
 IF(HS_DB[[#This Row],[Commercial Opportunity Score]]&gt;=PERCENTILE(HS_DB[Commercial Opportunity Score],0.6),"Medium Opportunity",
 "Routine Market"))</f>
        <v>Routine Market</v>
      </c>
      <c r="BB341" s="3" t="str">
        <f>IF(AND(HS_DB[[#This Row],[Product Rank]]&gt;0,HS_DB[[#This Row],[Product Rank]]&lt;=10),"Yes","No")</f>
        <v>No</v>
      </c>
      <c r="BC341" s="3" t="str">
        <f>IF(AND(HS_DB[[#This Row],[Origin Rank]]&gt;0,HS_DB[[#This Row],[Origin Rank]]&lt;=10),"Yes","No")</f>
        <v>No</v>
      </c>
    </row>
    <row r="342" spans="2:55" x14ac:dyDescent="0.3">
      <c r="B342" s="2">
        <f>HS_DB[[#This Row],[Commodity Code]]</f>
        <v>130219</v>
      </c>
      <c r="C342" s="2">
        <f>IFERROR(INDEX(HS_MD!C:C,MATCH(B342,HS_MD!B:B,0),1),"")</f>
        <v>27</v>
      </c>
      <c r="D342" s="17" t="str">
        <f>IFERROR(INDEX(HS_MD!D:D,MATCH(B342,HS_MD!B:B,0),1),"")</f>
        <v>Vegetable extracts</v>
      </c>
      <c r="E342" s="17" t="str">
        <f>IFERROR(INDEX(HS_MD!E:E,MATCH(B342,HS_MD!B:B,0),1),"")</f>
        <v>Natural Extract Colors</v>
      </c>
      <c r="F342" s="17" t="str">
        <f>IFERROR(INDEX(HS_MD!F:F,MATCH(B342,HS_MD!B:B,0),1),"")</f>
        <v>Food Ingredients</v>
      </c>
      <c r="G342" s="17" t="str">
        <f>IFERROR(INDEX(HS_MD!G:G,MATCH(B342,HS_MD!B:B,0),1),"")</f>
        <v>Colors</v>
      </c>
      <c r="H342" s="17" t="str">
        <f>IFERROR(INDEX(HS_MD!H:H,MATCH(B342,HS_MD!B:B,0),1),"")</f>
        <v>Natural Extract Colors</v>
      </c>
      <c r="I342" s="17" t="str">
        <f>IFERROR(INDEX(HS_MD!I:I,MATCH(B342,HS_MD!B:B,0),1),"")</f>
        <v>Food Processing / Clean Label</v>
      </c>
      <c r="J342" s="17">
        <f>IFERROR(INDEX(Heat_Map[Index],MATCH(HS_DB[[#This Row],[Reporter]],Heat_Map[Global],0),1),"")</f>
        <v>123</v>
      </c>
      <c r="K342" s="17" t="str">
        <f>IF(AND(HS_DB[[#This Row],[Origin Rank]]&gt;1,HS_DB[[#This Row],[Origin Rank]]&lt;=10),"Yes","No")</f>
        <v>Yes</v>
      </c>
      <c r="L342" s="2">
        <v>2024</v>
      </c>
      <c r="M342" s="2" t="s">
        <v>57</v>
      </c>
      <c r="N342" s="2" t="s">
        <v>330</v>
      </c>
      <c r="O342" s="2" t="s">
        <v>22</v>
      </c>
      <c r="P342" s="2" t="s">
        <v>23</v>
      </c>
      <c r="Q342" s="2" t="s">
        <v>24</v>
      </c>
      <c r="R342" s="2" t="s">
        <v>25</v>
      </c>
      <c r="S342" s="2">
        <v>130219</v>
      </c>
      <c r="T342" s="3">
        <v>156400</v>
      </c>
      <c r="U342" s="3">
        <v>920</v>
      </c>
      <c r="V342" s="3">
        <v>0</v>
      </c>
      <c r="W342" s="3">
        <v>920</v>
      </c>
      <c r="X342" s="3" t="s">
        <v>58</v>
      </c>
      <c r="Y342" s="3">
        <v>920</v>
      </c>
      <c r="Z342" s="3" t="s">
        <v>58</v>
      </c>
      <c r="AA342" s="6">
        <f>SUMIFS(HS_DB[Trade Value - USD],HS_DB[Reporter],HS_DB[[#This Row],[Reporter]])/SUM(HS_DB[Trade Value - USD])</f>
        <v>1.389484063100993E-2</v>
      </c>
      <c r="AB342" s="8" cm="1">
        <f t="array" ref="AB342">SUMPRODUCT(
(HS_DB[Reporter]=HS_DB[[#This Row],[Reporter]])*
(HS_DB[Trade Value - USD]&gt;HS_DB[[#This Row],[Trade Value - USD]])
)+1</f>
        <v>5</v>
      </c>
      <c r="AC342" s="8" t="str">
        <f>IFERROR(IF(INDEX(Heat_Map[Crisis Impact %],MATCH(HS_DB[[#This Row],[Reporter]],Heat_Map[Global],0),1)&gt;0,"Yes","No"),"No")</f>
        <v>No</v>
      </c>
      <c r="AD342" s="6">
        <f>IFERROR(INDEX(Heat_Map[Crisis Impact %],MATCH(HS_DB[[#This Row],[Reporter]],Heat_Map[Global],0),1),0)</f>
        <v>0</v>
      </c>
      <c r="AE342" s="8">
        <f>HS_DB[[#This Row],[Crisis Impact%]]*HS_DB[[#This Row],[Trade Value - USD]]</f>
        <v>0</v>
      </c>
      <c r="AF342" s="8">
        <f>HS_DB[[#This Row],[Crisis Impact%]]*HS_DB[[#This Row],[Net Weight -KG]]</f>
        <v>0</v>
      </c>
      <c r="AG342" s="6">
        <f>SUMIFS(HS_DB[Trade Value - USD],HS_DB[Products],HS_DB[[#This Row],[Products]])/SUM(HS_DB[Trade Value - USD])</f>
        <v>6.6060467534088414E-3</v>
      </c>
      <c r="AH342" s="8">
        <f>_xlfn.RANK.EQ(HS_DB[[#This Row],[Trade Value - USD]], HS_DB[Trade Value - USD], 0)
 + COUNTIFS(HS_DB[Trade Value - USD],HS_DB[[#This Row],[Trade Value - USD]],
            HS_DB[HS Code],"&lt;"&amp;HS_DB[[#This Row],[HS Code]])</f>
        <v>241</v>
      </c>
      <c r="AI342" s="9">
        <f>IFERROR(HS_DB[[#This Row],[Trade Value - USD]]/HS_DB[[#This Row],[Net Weight -KG]],0)</f>
        <v>170</v>
      </c>
      <c r="AJ342" s="17" cm="1">
        <f t="array" ref="AJ342">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42" s="17" t="str">
        <f>IF(HS_DB[[#This Row],[HS Code Risk Score]]&gt;=40,"High",
 IF(HS_DB[[#This Row],[HS Code Risk Score]]&gt;=25,"Medium","Low"))</f>
        <v>Medium</v>
      </c>
      <c r="AL342" s="17" t="str">
        <f>IF(RANK(HS_DB[[#This Row],[HS Code Risk Score]],HS_DB[HS Code Risk Score])&lt;=10,"Yes","No")</f>
        <v>No</v>
      </c>
      <c r="AM342" s="8">
        <f>SUMIFS(HS_DB[Net Weight -KG],HS_DB[HS Code],HS_DB[[#This Row],[HS Code]])</f>
        <v>502087.6</v>
      </c>
      <c r="AN342" s="8">
        <f>SUMIFS(HS_DB[Trade Value - USD],HS_DB[HS Code],HS_DB[[#This Row],[HS Code]])</f>
        <v>12452453</v>
      </c>
      <c r="AO342" s="6">
        <f>_xlfn.MAXIFS(HS_DB[Origin Share%],HS_DB[HS Code],HS_DB[[#This Row],[HS Code]])</f>
        <v>6.321329281187793E-2</v>
      </c>
      <c r="AP342" s="8" cm="1">
        <f t="array" ref="AP342">_xlfn.LET(
_xlpm.hs,HS_DB[[#This Row],[HS Code]],
COUNTA(_xlfn.UNIQUE(_xlfn._xlws.FILTER(HS_DB[Reporter],HS_DB[HS Code]=_xlpm.hs)))
)</f>
        <v>20</v>
      </c>
      <c r="AQ342" s="17" t="str">
        <f>IF(HS_DB[[#This Row],[Origin Count]]=1,"Single Source","Multiple Sources")</f>
        <v>Multiple Sources</v>
      </c>
      <c r="AR342" s="8">
        <f>HS_DB[[#This Row],[Annual Spend - USD]]*(HS_DB[[#This Row],[HS Code Risk Score]]/100)</f>
        <v>4233834.0200000005</v>
      </c>
      <c r="AS342" s="8">
        <f>RANK(HS_DB[[#This Row],[Risk Exposure - USD]],HS_DB[Risk Exposure - USD],0)</f>
        <v>221</v>
      </c>
      <c r="AT342" s="8" t="str">
        <f>IF(HS_DB[[#This Row],[Risk Exposure Rank]]&lt;=10,"High",
 IF(HS_DB[[#This Row],[Risk Exposure Rank]]&lt;=30,"Medium",
 "Low"))</f>
        <v>Low</v>
      </c>
      <c r="AU342" s="8" t="str">
        <f>IF(HS_DB[[#This Row],[Risk Exposure Rank]]&lt;=5,"Immediate Action",
 IF(HS_DB[[#This Row],[Risk Exposure Rank]]&lt;=15,"Monitor Closely",
 "Routine Control"))</f>
        <v>Routine Control</v>
      </c>
      <c r="AV342" s="8">
        <f>SUMIFS(HS_DB[Trade Value - USD],HS_DB[HS Code],HS_DB[[#This Row],[HS Code]])</f>
        <v>12452453</v>
      </c>
      <c r="AW342" s="6">
        <f>HS_DB[[#This Row],[Annual Spend - USD]]/HS_DB[[#This Row],[Total Market Size - USD]]</f>
        <v>1</v>
      </c>
      <c r="AX342" s="6" cm="1">
        <f t="array" ref="AX342">COUNTA(_xlfn.UNIQUE(_xlfn._xlws.FILTER(HS_DB[Partner],HS_DB[HS Code]=HS_DB[[#This Row],[HS Code]])))</f>
        <v>1</v>
      </c>
      <c r="AY342" s="8" t="str">
        <f>IF(HS_DB[[#This Row],[Competition Intensity]]&lt;=2,"Highly Concentrated",
 IF(HS_DB[[#This Row],[Competition Intensity]]&lt;=5,"Moderate",
 "Highly Competitive"))</f>
        <v>Highly Concentrated</v>
      </c>
      <c r="AZ342" s="8">
        <f>HS_DB[[#This Row],[Total Market Size - USD]]
*
(1+IFERROR(#REF!,0))
/
HS_DB[[#This Row],[Competition Intensity]]</f>
        <v>12452453</v>
      </c>
      <c r="BA342" s="8" t="str">
        <f>IF(HS_DB[[#This Row],[Commercial Opportunity Score]]&gt;=PERCENTILE(HS_DB[Commercial Opportunity Score],0.9),"High Opportunity",
 IF(HS_DB[[#This Row],[Commercial Opportunity Score]]&gt;=PERCENTILE(HS_DB[Commercial Opportunity Score],0.6),"Medium Opportunity",
 "Routine Market"))</f>
        <v>Routine Market</v>
      </c>
      <c r="BB342" s="3" t="str">
        <f>IF(AND(HS_DB[[#This Row],[Product Rank]]&gt;0,HS_DB[[#This Row],[Product Rank]]&lt;=10),"Yes","No")</f>
        <v>No</v>
      </c>
      <c r="BC342" s="3" t="str">
        <f>IF(AND(HS_DB[[#This Row],[Origin Rank]]&gt;0,HS_DB[[#This Row],[Origin Rank]]&lt;=10),"Yes","No")</f>
        <v>Yes</v>
      </c>
    </row>
    <row r="343" spans="2:55" x14ac:dyDescent="0.3">
      <c r="B343" s="2">
        <f>HS_DB[[#This Row],[Commodity Code]]</f>
        <v>130219</v>
      </c>
      <c r="C343" s="2">
        <f>IFERROR(INDEX(HS_MD!C:C,MATCH(B343,HS_MD!B:B,0),1),"")</f>
        <v>27</v>
      </c>
      <c r="D343" s="17" t="str">
        <f>IFERROR(INDEX(HS_MD!D:D,MATCH(B343,HS_MD!B:B,0),1),"")</f>
        <v>Vegetable extracts</v>
      </c>
      <c r="E343" s="17" t="str">
        <f>IFERROR(INDEX(HS_MD!E:E,MATCH(B343,HS_MD!B:B,0),1),"")</f>
        <v>Natural Extract Colors</v>
      </c>
      <c r="F343" s="17" t="str">
        <f>IFERROR(INDEX(HS_MD!F:F,MATCH(B343,HS_MD!B:B,0),1),"")</f>
        <v>Food Ingredients</v>
      </c>
      <c r="G343" s="17" t="str">
        <f>IFERROR(INDEX(HS_MD!G:G,MATCH(B343,HS_MD!B:B,0),1),"")</f>
        <v>Colors</v>
      </c>
      <c r="H343" s="17" t="str">
        <f>IFERROR(INDEX(HS_MD!H:H,MATCH(B343,HS_MD!B:B,0),1),"")</f>
        <v>Natural Extract Colors</v>
      </c>
      <c r="I343" s="17" t="str">
        <f>IFERROR(INDEX(HS_MD!I:I,MATCH(B343,HS_MD!B:B,0),1),"")</f>
        <v>Food Processing / Clean Label</v>
      </c>
      <c r="J343" s="17">
        <f>IFERROR(INDEX(Heat_Map[Index],MATCH(HS_DB[[#This Row],[Reporter]],Heat_Map[Global],0),1),"")</f>
        <v>92</v>
      </c>
      <c r="K343" s="17" t="str">
        <f>IF(AND(HS_DB[[#This Row],[Origin Rank]]&gt;1,HS_DB[[#This Row],[Origin Rank]]&lt;=10),"Yes","No")</f>
        <v>Yes</v>
      </c>
      <c r="L343" s="2">
        <v>2024</v>
      </c>
      <c r="M343" s="2" t="s">
        <v>57</v>
      </c>
      <c r="N343" s="2" t="s">
        <v>50</v>
      </c>
      <c r="O343" s="2" t="s">
        <v>22</v>
      </c>
      <c r="P343" s="2" t="s">
        <v>23</v>
      </c>
      <c r="Q343" s="2" t="s">
        <v>24</v>
      </c>
      <c r="R343" s="2" t="s">
        <v>25</v>
      </c>
      <c r="S343" s="2">
        <v>130219</v>
      </c>
      <c r="T343" s="3">
        <v>1800</v>
      </c>
      <c r="U343" s="3">
        <v>37</v>
      </c>
      <c r="V343" s="3">
        <v>0</v>
      </c>
      <c r="W343" s="3">
        <v>37</v>
      </c>
      <c r="X343" s="3" t="s">
        <v>58</v>
      </c>
      <c r="Y343" s="3">
        <v>0</v>
      </c>
      <c r="Z343" s="3" t="s">
        <v>26</v>
      </c>
      <c r="AA343" s="6">
        <f>SUMIFS(HS_DB[Trade Value - USD],HS_DB[Reporter],HS_DB[[#This Row],[Reporter]])/SUM(HS_DB[Trade Value - USD])</f>
        <v>1.4545824499937243E-5</v>
      </c>
      <c r="AB343" s="8" cm="1">
        <f t="array" ref="AB343">SUMPRODUCT(
(HS_DB[Reporter]=HS_DB[[#This Row],[Reporter]])*
(HS_DB[Trade Value - USD]&gt;HS_DB[[#This Row],[Trade Value - USD]])
)+1</f>
        <v>3</v>
      </c>
      <c r="AC343" s="8" t="str">
        <f>IFERROR(IF(INDEX(Heat_Map[Crisis Impact %],MATCH(HS_DB[[#This Row],[Reporter]],Heat_Map[Global],0),1)&gt;0,"Yes","No"),"No")</f>
        <v>No</v>
      </c>
      <c r="AD343" s="6">
        <f>IFERROR(INDEX(Heat_Map[Crisis Impact %],MATCH(HS_DB[[#This Row],[Reporter]],Heat_Map[Global],0),1),0)</f>
        <v>0</v>
      </c>
      <c r="AE343" s="8">
        <f>HS_DB[[#This Row],[Crisis Impact%]]*HS_DB[[#This Row],[Trade Value - USD]]</f>
        <v>0</v>
      </c>
      <c r="AF343" s="8">
        <f>HS_DB[[#This Row],[Crisis Impact%]]*HS_DB[[#This Row],[Net Weight -KG]]</f>
        <v>0</v>
      </c>
      <c r="AG343" s="6">
        <f>SUMIFS(HS_DB[Trade Value - USD],HS_DB[Products],HS_DB[[#This Row],[Products]])/SUM(HS_DB[Trade Value - USD])</f>
        <v>6.6060467534088414E-3</v>
      </c>
      <c r="AH343" s="8">
        <f>_xlfn.RANK.EQ(HS_DB[[#This Row],[Trade Value - USD]], HS_DB[Trade Value - USD], 0)
 + COUNTIFS(HS_DB[Trade Value - USD],HS_DB[[#This Row],[Trade Value - USD]],
            HS_DB[HS Code],"&lt;"&amp;HS_DB[[#This Row],[HS Code]])</f>
        <v>471</v>
      </c>
      <c r="AI343" s="9">
        <f>IFERROR(HS_DB[[#This Row],[Trade Value - USD]]/HS_DB[[#This Row],[Net Weight -KG]],0)</f>
        <v>48.648648648648646</v>
      </c>
      <c r="AJ343" s="17" cm="1">
        <f t="array" ref="AJ343">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43" s="17" t="str">
        <f>IF(HS_DB[[#This Row],[HS Code Risk Score]]&gt;=40,"High",
 IF(HS_DB[[#This Row],[HS Code Risk Score]]&gt;=25,"Medium","Low"))</f>
        <v>Medium</v>
      </c>
      <c r="AL343" s="17" t="str">
        <f>IF(RANK(HS_DB[[#This Row],[HS Code Risk Score]],HS_DB[HS Code Risk Score])&lt;=10,"Yes","No")</f>
        <v>No</v>
      </c>
      <c r="AM343" s="8">
        <f>SUMIFS(HS_DB[Net Weight -KG],HS_DB[HS Code],HS_DB[[#This Row],[HS Code]])</f>
        <v>502087.6</v>
      </c>
      <c r="AN343" s="8">
        <f>SUMIFS(HS_DB[Trade Value - USD],HS_DB[HS Code],HS_DB[[#This Row],[HS Code]])</f>
        <v>12452453</v>
      </c>
      <c r="AO343" s="6">
        <f>_xlfn.MAXIFS(HS_DB[Origin Share%],HS_DB[HS Code],HS_DB[[#This Row],[HS Code]])</f>
        <v>6.321329281187793E-2</v>
      </c>
      <c r="AP343" s="8" cm="1">
        <f t="array" ref="AP343">_xlfn.LET(
_xlpm.hs,HS_DB[[#This Row],[HS Code]],
COUNTA(_xlfn.UNIQUE(_xlfn._xlws.FILTER(HS_DB[Reporter],HS_DB[HS Code]=_xlpm.hs)))
)</f>
        <v>20</v>
      </c>
      <c r="AQ343" s="17" t="str">
        <f>IF(HS_DB[[#This Row],[Origin Count]]=1,"Single Source","Multiple Sources")</f>
        <v>Multiple Sources</v>
      </c>
      <c r="AR343" s="8">
        <f>HS_DB[[#This Row],[Annual Spend - USD]]*(HS_DB[[#This Row],[HS Code Risk Score]]/100)</f>
        <v>4233834.0200000005</v>
      </c>
      <c r="AS343" s="8">
        <f>RANK(HS_DB[[#This Row],[Risk Exposure - USD]],HS_DB[Risk Exposure - USD],0)</f>
        <v>221</v>
      </c>
      <c r="AT343" s="8" t="str">
        <f>IF(HS_DB[[#This Row],[Risk Exposure Rank]]&lt;=10,"High",
 IF(HS_DB[[#This Row],[Risk Exposure Rank]]&lt;=30,"Medium",
 "Low"))</f>
        <v>Low</v>
      </c>
      <c r="AU343" s="8" t="str">
        <f>IF(HS_DB[[#This Row],[Risk Exposure Rank]]&lt;=5,"Immediate Action",
 IF(HS_DB[[#This Row],[Risk Exposure Rank]]&lt;=15,"Monitor Closely",
 "Routine Control"))</f>
        <v>Routine Control</v>
      </c>
      <c r="AV343" s="8">
        <f>SUMIFS(HS_DB[Trade Value - USD],HS_DB[HS Code],HS_DB[[#This Row],[HS Code]])</f>
        <v>12452453</v>
      </c>
      <c r="AW343" s="6">
        <f>HS_DB[[#This Row],[Annual Spend - USD]]/HS_DB[[#This Row],[Total Market Size - USD]]</f>
        <v>1</v>
      </c>
      <c r="AX343" s="6" cm="1">
        <f t="array" ref="AX343">COUNTA(_xlfn.UNIQUE(_xlfn._xlws.FILTER(HS_DB[Partner],HS_DB[HS Code]=HS_DB[[#This Row],[HS Code]])))</f>
        <v>1</v>
      </c>
      <c r="AY343" s="8" t="str">
        <f>IF(HS_DB[[#This Row],[Competition Intensity]]&lt;=2,"Highly Concentrated",
 IF(HS_DB[[#This Row],[Competition Intensity]]&lt;=5,"Moderate",
 "Highly Competitive"))</f>
        <v>Highly Concentrated</v>
      </c>
      <c r="AZ343" s="8">
        <f>HS_DB[[#This Row],[Total Market Size - USD]]
*
(1+IFERROR(#REF!,0))
/
HS_DB[[#This Row],[Competition Intensity]]</f>
        <v>12452453</v>
      </c>
      <c r="BA343" s="8" t="str">
        <f>IF(HS_DB[[#This Row],[Commercial Opportunity Score]]&gt;=PERCENTILE(HS_DB[Commercial Opportunity Score],0.9),"High Opportunity",
 IF(HS_DB[[#This Row],[Commercial Opportunity Score]]&gt;=PERCENTILE(HS_DB[Commercial Opportunity Score],0.6),"Medium Opportunity",
 "Routine Market"))</f>
        <v>Routine Market</v>
      </c>
      <c r="BB343" s="3" t="str">
        <f>IF(AND(HS_DB[[#This Row],[Product Rank]]&gt;0,HS_DB[[#This Row],[Product Rank]]&lt;=10),"Yes","No")</f>
        <v>No</v>
      </c>
      <c r="BC343" s="3" t="str">
        <f>IF(AND(HS_DB[[#This Row],[Origin Rank]]&gt;0,HS_DB[[#This Row],[Origin Rank]]&lt;=10),"Yes","No")</f>
        <v>Yes</v>
      </c>
    </row>
    <row r="344" spans="2:55" x14ac:dyDescent="0.3">
      <c r="B344" s="2">
        <f>HS_DB[[#This Row],[Commodity Code]]</f>
        <v>130219</v>
      </c>
      <c r="C344" s="2">
        <f>IFERROR(INDEX(HS_MD!C:C,MATCH(B344,HS_MD!B:B,0),1),"")</f>
        <v>27</v>
      </c>
      <c r="D344" s="17" t="str">
        <f>IFERROR(INDEX(HS_MD!D:D,MATCH(B344,HS_MD!B:B,0),1),"")</f>
        <v>Vegetable extracts</v>
      </c>
      <c r="E344" s="17" t="str">
        <f>IFERROR(INDEX(HS_MD!E:E,MATCH(B344,HS_MD!B:B,0),1),"")</f>
        <v>Natural Extract Colors</v>
      </c>
      <c r="F344" s="17" t="str">
        <f>IFERROR(INDEX(HS_MD!F:F,MATCH(B344,HS_MD!B:B,0),1),"")</f>
        <v>Food Ingredients</v>
      </c>
      <c r="G344" s="17" t="str">
        <f>IFERROR(INDEX(HS_MD!G:G,MATCH(B344,HS_MD!B:B,0),1),"")</f>
        <v>Colors</v>
      </c>
      <c r="H344" s="17" t="str">
        <f>IFERROR(INDEX(HS_MD!H:H,MATCH(B344,HS_MD!B:B,0),1),"")</f>
        <v>Natural Extract Colors</v>
      </c>
      <c r="I344" s="17" t="str">
        <f>IFERROR(INDEX(HS_MD!I:I,MATCH(B344,HS_MD!B:B,0),1),"")</f>
        <v>Food Processing / Clean Label</v>
      </c>
      <c r="J344" s="17">
        <f>IFERROR(INDEX(Heat_Map[Index],MATCH(HS_DB[[#This Row],[Reporter]],Heat_Map[Global],0),1),"")</f>
        <v>118</v>
      </c>
      <c r="K344" s="17" t="str">
        <f>IF(AND(HS_DB[[#This Row],[Origin Rank]]&gt;1,HS_DB[[#This Row],[Origin Rank]]&lt;=10),"Yes","No")</f>
        <v>No</v>
      </c>
      <c r="L344" s="2">
        <v>2024</v>
      </c>
      <c r="M344" s="2" t="s">
        <v>57</v>
      </c>
      <c r="N344" s="2" t="s">
        <v>53</v>
      </c>
      <c r="O344" s="2" t="s">
        <v>22</v>
      </c>
      <c r="P344" s="2" t="s">
        <v>23</v>
      </c>
      <c r="Q344" s="2" t="s">
        <v>24</v>
      </c>
      <c r="R344" s="2" t="s">
        <v>25</v>
      </c>
      <c r="S344" s="2">
        <v>130219</v>
      </c>
      <c r="T344" s="3">
        <v>64895</v>
      </c>
      <c r="U344" s="3">
        <v>2120</v>
      </c>
      <c r="V344" s="3">
        <v>0</v>
      </c>
      <c r="W344" s="3">
        <v>2120</v>
      </c>
      <c r="X344" s="3" t="s">
        <v>58</v>
      </c>
      <c r="Y344" s="3">
        <v>2120</v>
      </c>
      <c r="Z344" s="3" t="s">
        <v>58</v>
      </c>
      <c r="AA344" s="6">
        <f>SUMIFS(HS_DB[Trade Value - USD],HS_DB[Reporter],HS_DB[[#This Row],[Reporter]])/SUM(HS_DB[Trade Value - USD])</f>
        <v>1.4561232389604124E-2</v>
      </c>
      <c r="AB344" s="8" cm="1">
        <f t="array" ref="AB344">SUMPRODUCT(
(HS_DB[Reporter]=HS_DB[[#This Row],[Reporter]])*
(HS_DB[Trade Value - USD]&gt;HS_DB[[#This Row],[Trade Value - USD]])
)+1</f>
        <v>20</v>
      </c>
      <c r="AC344" s="8" t="str">
        <f>IFERROR(IF(INDEX(Heat_Map[Crisis Impact %],MATCH(HS_DB[[#This Row],[Reporter]],Heat_Map[Global],0),1)&gt;0,"Yes","No"),"No")</f>
        <v>No</v>
      </c>
      <c r="AD344" s="6">
        <f>IFERROR(INDEX(Heat_Map[Crisis Impact %],MATCH(HS_DB[[#This Row],[Reporter]],Heat_Map[Global],0),1),0)</f>
        <v>0</v>
      </c>
      <c r="AE344" s="8">
        <f>HS_DB[[#This Row],[Crisis Impact%]]*HS_DB[[#This Row],[Trade Value - USD]]</f>
        <v>0</v>
      </c>
      <c r="AF344" s="8">
        <f>HS_DB[[#This Row],[Crisis Impact%]]*HS_DB[[#This Row],[Net Weight -KG]]</f>
        <v>0</v>
      </c>
      <c r="AG344" s="6">
        <f>SUMIFS(HS_DB[Trade Value - USD],HS_DB[Products],HS_DB[[#This Row],[Products]])/SUM(HS_DB[Trade Value - USD])</f>
        <v>6.6060467534088414E-3</v>
      </c>
      <c r="AH344" s="8">
        <f>_xlfn.RANK.EQ(HS_DB[[#This Row],[Trade Value - USD]], HS_DB[Trade Value - USD], 0)
 + COUNTIFS(HS_DB[Trade Value - USD],HS_DB[[#This Row],[Trade Value - USD]],
            HS_DB[HS Code],"&lt;"&amp;HS_DB[[#This Row],[HS Code]])</f>
        <v>311</v>
      </c>
      <c r="AI344" s="9">
        <f>IFERROR(HS_DB[[#This Row],[Trade Value - USD]]/HS_DB[[#This Row],[Net Weight -KG]],0)</f>
        <v>30.610849056603772</v>
      </c>
      <c r="AJ344" s="17" cm="1">
        <f t="array" ref="AJ344">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44" s="17" t="str">
        <f>IF(HS_DB[[#This Row],[HS Code Risk Score]]&gt;=40,"High",
 IF(HS_DB[[#This Row],[HS Code Risk Score]]&gt;=25,"Medium","Low"))</f>
        <v>Medium</v>
      </c>
      <c r="AL344" s="17" t="str">
        <f>IF(RANK(HS_DB[[#This Row],[HS Code Risk Score]],HS_DB[HS Code Risk Score])&lt;=10,"Yes","No")</f>
        <v>No</v>
      </c>
      <c r="AM344" s="8">
        <f>SUMIFS(HS_DB[Net Weight -KG],HS_DB[HS Code],HS_DB[[#This Row],[HS Code]])</f>
        <v>502087.6</v>
      </c>
      <c r="AN344" s="8">
        <f>SUMIFS(HS_DB[Trade Value - USD],HS_DB[HS Code],HS_DB[[#This Row],[HS Code]])</f>
        <v>12452453</v>
      </c>
      <c r="AO344" s="6">
        <f>_xlfn.MAXIFS(HS_DB[Origin Share%],HS_DB[HS Code],HS_DB[[#This Row],[HS Code]])</f>
        <v>6.321329281187793E-2</v>
      </c>
      <c r="AP344" s="8" cm="1">
        <f t="array" ref="AP344">_xlfn.LET(
_xlpm.hs,HS_DB[[#This Row],[HS Code]],
COUNTA(_xlfn.UNIQUE(_xlfn._xlws.FILTER(HS_DB[Reporter],HS_DB[HS Code]=_xlpm.hs)))
)</f>
        <v>20</v>
      </c>
      <c r="AQ344" s="17" t="str">
        <f>IF(HS_DB[[#This Row],[Origin Count]]=1,"Single Source","Multiple Sources")</f>
        <v>Multiple Sources</v>
      </c>
      <c r="AR344" s="8">
        <f>HS_DB[[#This Row],[Annual Spend - USD]]*(HS_DB[[#This Row],[HS Code Risk Score]]/100)</f>
        <v>4233834.0200000005</v>
      </c>
      <c r="AS344" s="8">
        <f>RANK(HS_DB[[#This Row],[Risk Exposure - USD]],HS_DB[Risk Exposure - USD],0)</f>
        <v>221</v>
      </c>
      <c r="AT344" s="8" t="str">
        <f>IF(HS_DB[[#This Row],[Risk Exposure Rank]]&lt;=10,"High",
 IF(HS_DB[[#This Row],[Risk Exposure Rank]]&lt;=30,"Medium",
 "Low"))</f>
        <v>Low</v>
      </c>
      <c r="AU344" s="8" t="str">
        <f>IF(HS_DB[[#This Row],[Risk Exposure Rank]]&lt;=5,"Immediate Action",
 IF(HS_DB[[#This Row],[Risk Exposure Rank]]&lt;=15,"Monitor Closely",
 "Routine Control"))</f>
        <v>Routine Control</v>
      </c>
      <c r="AV344" s="8">
        <f>SUMIFS(HS_DB[Trade Value - USD],HS_DB[HS Code],HS_DB[[#This Row],[HS Code]])</f>
        <v>12452453</v>
      </c>
      <c r="AW344" s="6">
        <f>HS_DB[[#This Row],[Annual Spend - USD]]/HS_DB[[#This Row],[Total Market Size - USD]]</f>
        <v>1</v>
      </c>
      <c r="AX344" s="6" cm="1">
        <f t="array" ref="AX344">COUNTA(_xlfn.UNIQUE(_xlfn._xlws.FILTER(HS_DB[Partner],HS_DB[HS Code]=HS_DB[[#This Row],[HS Code]])))</f>
        <v>1</v>
      </c>
      <c r="AY344" s="8" t="str">
        <f>IF(HS_DB[[#This Row],[Competition Intensity]]&lt;=2,"Highly Concentrated",
 IF(HS_DB[[#This Row],[Competition Intensity]]&lt;=5,"Moderate",
 "Highly Competitive"))</f>
        <v>Highly Concentrated</v>
      </c>
      <c r="AZ344" s="8">
        <f>HS_DB[[#This Row],[Total Market Size - USD]]
*
(1+IFERROR(#REF!,0))
/
HS_DB[[#This Row],[Competition Intensity]]</f>
        <v>12452453</v>
      </c>
      <c r="BA344" s="8" t="str">
        <f>IF(HS_DB[[#This Row],[Commercial Opportunity Score]]&gt;=PERCENTILE(HS_DB[Commercial Opportunity Score],0.9),"High Opportunity",
 IF(HS_DB[[#This Row],[Commercial Opportunity Score]]&gt;=PERCENTILE(HS_DB[Commercial Opportunity Score],0.6),"Medium Opportunity",
 "Routine Market"))</f>
        <v>Routine Market</v>
      </c>
      <c r="BB344" s="3" t="str">
        <f>IF(AND(HS_DB[[#This Row],[Product Rank]]&gt;0,HS_DB[[#This Row],[Product Rank]]&lt;=10),"Yes","No")</f>
        <v>No</v>
      </c>
      <c r="BC344" s="3" t="str">
        <f>IF(AND(HS_DB[[#This Row],[Origin Rank]]&gt;0,HS_DB[[#This Row],[Origin Rank]]&lt;=10),"Yes","No")</f>
        <v>No</v>
      </c>
    </row>
    <row r="345" spans="2:55" x14ac:dyDescent="0.3">
      <c r="B345" s="2">
        <f>HS_DB[[#This Row],[Commodity Code]]</f>
        <v>130219</v>
      </c>
      <c r="C345" s="2">
        <f>IFERROR(INDEX(HS_MD!C:C,MATCH(B345,HS_MD!B:B,0),1),"")</f>
        <v>27</v>
      </c>
      <c r="D345" s="17" t="str">
        <f>IFERROR(INDEX(HS_MD!D:D,MATCH(B345,HS_MD!B:B,0),1),"")</f>
        <v>Vegetable extracts</v>
      </c>
      <c r="E345" s="17" t="str">
        <f>IFERROR(INDEX(HS_MD!E:E,MATCH(B345,HS_MD!B:B,0),1),"")</f>
        <v>Natural Extract Colors</v>
      </c>
      <c r="F345" s="17" t="str">
        <f>IFERROR(INDEX(HS_MD!F:F,MATCH(B345,HS_MD!B:B,0),1),"")</f>
        <v>Food Ingredients</v>
      </c>
      <c r="G345" s="17" t="str">
        <f>IFERROR(INDEX(HS_MD!G:G,MATCH(B345,HS_MD!B:B,0),1),"")</f>
        <v>Colors</v>
      </c>
      <c r="H345" s="17" t="str">
        <f>IFERROR(INDEX(HS_MD!H:H,MATCH(B345,HS_MD!B:B,0),1),"")</f>
        <v>Natural Extract Colors</v>
      </c>
      <c r="I345" s="17" t="str">
        <f>IFERROR(INDEX(HS_MD!I:I,MATCH(B345,HS_MD!B:B,0),1),"")</f>
        <v>Food Processing / Clean Label</v>
      </c>
      <c r="J345" s="17">
        <f>IFERROR(INDEX(Heat_Map[Index],MATCH(HS_DB[[#This Row],[Reporter]],Heat_Map[Global],0),1),"")</f>
        <v>148</v>
      </c>
      <c r="K345" s="17" t="str">
        <f>IF(AND(HS_DB[[#This Row],[Origin Rank]]&gt;1,HS_DB[[#This Row],[Origin Rank]]&lt;=10),"Yes","No")</f>
        <v>Yes</v>
      </c>
      <c r="L345" s="2">
        <v>2024</v>
      </c>
      <c r="M345" s="2" t="s">
        <v>57</v>
      </c>
      <c r="N345" s="2" t="s">
        <v>155</v>
      </c>
      <c r="O345" s="2" t="s">
        <v>22</v>
      </c>
      <c r="P345" s="2" t="s">
        <v>23</v>
      </c>
      <c r="Q345" s="2" t="s">
        <v>24</v>
      </c>
      <c r="R345" s="2" t="s">
        <v>25</v>
      </c>
      <c r="S345" s="2">
        <v>130219</v>
      </c>
      <c r="T345" s="3">
        <v>732</v>
      </c>
      <c r="U345" s="3">
        <v>25</v>
      </c>
      <c r="V345" s="3">
        <v>0</v>
      </c>
      <c r="W345" s="3">
        <v>25</v>
      </c>
      <c r="X345" s="3" t="s">
        <v>58</v>
      </c>
      <c r="Y345" s="3">
        <v>25</v>
      </c>
      <c r="Z345" s="3" t="s">
        <v>58</v>
      </c>
      <c r="AA345" s="6">
        <f>SUMIFS(HS_DB[Trade Value - USD],HS_DB[Reporter],HS_DB[[#This Row],[Reporter]])/SUM(HS_DB[Trade Value - USD])</f>
        <v>2.02736507199242E-5</v>
      </c>
      <c r="AB345" s="8" cm="1">
        <f t="array" ref="AB345">SUMPRODUCT(
(HS_DB[Reporter]=HS_DB[[#This Row],[Reporter]])*
(HS_DB[Trade Value - USD]&gt;HS_DB[[#This Row],[Trade Value - USD]])
)+1</f>
        <v>2</v>
      </c>
      <c r="AC345" s="8" t="str">
        <f>IFERROR(IF(INDEX(Heat_Map[Crisis Impact %],MATCH(HS_DB[[#This Row],[Reporter]],Heat_Map[Global],0),1)&gt;0,"Yes","No"),"No")</f>
        <v>No</v>
      </c>
      <c r="AD345" s="6">
        <f>IFERROR(INDEX(Heat_Map[Crisis Impact %],MATCH(HS_DB[[#This Row],[Reporter]],Heat_Map[Global],0),1),0)</f>
        <v>0</v>
      </c>
      <c r="AE345" s="8">
        <f>HS_DB[[#This Row],[Crisis Impact%]]*HS_DB[[#This Row],[Trade Value - USD]]</f>
        <v>0</v>
      </c>
      <c r="AF345" s="8">
        <f>HS_DB[[#This Row],[Crisis Impact%]]*HS_DB[[#This Row],[Net Weight -KG]]</f>
        <v>0</v>
      </c>
      <c r="AG345" s="6">
        <f>SUMIFS(HS_DB[Trade Value - USD],HS_DB[Products],HS_DB[[#This Row],[Products]])/SUM(HS_DB[Trade Value - USD])</f>
        <v>6.6060467534088414E-3</v>
      </c>
      <c r="AH345" s="8">
        <f>_xlfn.RANK.EQ(HS_DB[[#This Row],[Trade Value - USD]], HS_DB[Trade Value - USD], 0)
 + COUNTIFS(HS_DB[Trade Value - USD],HS_DB[[#This Row],[Trade Value - USD]],
            HS_DB[HS Code],"&lt;"&amp;HS_DB[[#This Row],[HS Code]])</f>
        <v>489</v>
      </c>
      <c r="AI345" s="9">
        <f>IFERROR(HS_DB[[#This Row],[Trade Value - USD]]/HS_DB[[#This Row],[Net Weight -KG]],0)</f>
        <v>29.28</v>
      </c>
      <c r="AJ345" s="17" cm="1">
        <f t="array" ref="AJ345">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45" s="17" t="str">
        <f>IF(HS_DB[[#This Row],[HS Code Risk Score]]&gt;=40,"High",
 IF(HS_DB[[#This Row],[HS Code Risk Score]]&gt;=25,"Medium","Low"))</f>
        <v>Medium</v>
      </c>
      <c r="AL345" s="17" t="str">
        <f>IF(RANK(HS_DB[[#This Row],[HS Code Risk Score]],HS_DB[HS Code Risk Score])&lt;=10,"Yes","No")</f>
        <v>No</v>
      </c>
      <c r="AM345" s="8">
        <f>SUMIFS(HS_DB[Net Weight -KG],HS_DB[HS Code],HS_DB[[#This Row],[HS Code]])</f>
        <v>502087.6</v>
      </c>
      <c r="AN345" s="8">
        <f>SUMIFS(HS_DB[Trade Value - USD],HS_DB[HS Code],HS_DB[[#This Row],[HS Code]])</f>
        <v>12452453</v>
      </c>
      <c r="AO345" s="6">
        <f>_xlfn.MAXIFS(HS_DB[Origin Share%],HS_DB[HS Code],HS_DB[[#This Row],[HS Code]])</f>
        <v>6.321329281187793E-2</v>
      </c>
      <c r="AP345" s="8" cm="1">
        <f t="array" ref="AP345">_xlfn.LET(
_xlpm.hs,HS_DB[[#This Row],[HS Code]],
COUNTA(_xlfn.UNIQUE(_xlfn._xlws.FILTER(HS_DB[Reporter],HS_DB[HS Code]=_xlpm.hs)))
)</f>
        <v>20</v>
      </c>
      <c r="AQ345" s="17" t="str">
        <f>IF(HS_DB[[#This Row],[Origin Count]]=1,"Single Source","Multiple Sources")</f>
        <v>Multiple Sources</v>
      </c>
      <c r="AR345" s="8">
        <f>HS_DB[[#This Row],[Annual Spend - USD]]*(HS_DB[[#This Row],[HS Code Risk Score]]/100)</f>
        <v>4233834.0200000005</v>
      </c>
      <c r="AS345" s="8">
        <f>RANK(HS_DB[[#This Row],[Risk Exposure - USD]],HS_DB[Risk Exposure - USD],0)</f>
        <v>221</v>
      </c>
      <c r="AT345" s="8" t="str">
        <f>IF(HS_DB[[#This Row],[Risk Exposure Rank]]&lt;=10,"High",
 IF(HS_DB[[#This Row],[Risk Exposure Rank]]&lt;=30,"Medium",
 "Low"))</f>
        <v>Low</v>
      </c>
      <c r="AU345" s="8" t="str">
        <f>IF(HS_DB[[#This Row],[Risk Exposure Rank]]&lt;=5,"Immediate Action",
 IF(HS_DB[[#This Row],[Risk Exposure Rank]]&lt;=15,"Monitor Closely",
 "Routine Control"))</f>
        <v>Routine Control</v>
      </c>
      <c r="AV345" s="8">
        <f>SUMIFS(HS_DB[Trade Value - USD],HS_DB[HS Code],HS_DB[[#This Row],[HS Code]])</f>
        <v>12452453</v>
      </c>
      <c r="AW345" s="6">
        <f>HS_DB[[#This Row],[Annual Spend - USD]]/HS_DB[[#This Row],[Total Market Size - USD]]</f>
        <v>1</v>
      </c>
      <c r="AX345" s="6" cm="1">
        <f t="array" ref="AX345">COUNTA(_xlfn.UNIQUE(_xlfn._xlws.FILTER(HS_DB[Partner],HS_DB[HS Code]=HS_DB[[#This Row],[HS Code]])))</f>
        <v>1</v>
      </c>
      <c r="AY345" s="8" t="str">
        <f>IF(HS_DB[[#This Row],[Competition Intensity]]&lt;=2,"Highly Concentrated",
 IF(HS_DB[[#This Row],[Competition Intensity]]&lt;=5,"Moderate",
 "Highly Competitive"))</f>
        <v>Highly Concentrated</v>
      </c>
      <c r="AZ345" s="8">
        <f>HS_DB[[#This Row],[Total Market Size - USD]]
*
(1+IFERROR(#REF!,0))
/
HS_DB[[#This Row],[Competition Intensity]]</f>
        <v>12452453</v>
      </c>
      <c r="BA345" s="8" t="str">
        <f>IF(HS_DB[[#This Row],[Commercial Opportunity Score]]&gt;=PERCENTILE(HS_DB[Commercial Opportunity Score],0.9),"High Opportunity",
 IF(HS_DB[[#This Row],[Commercial Opportunity Score]]&gt;=PERCENTILE(HS_DB[Commercial Opportunity Score],0.6),"Medium Opportunity",
 "Routine Market"))</f>
        <v>Routine Market</v>
      </c>
      <c r="BB345" s="3" t="str">
        <f>IF(AND(HS_DB[[#This Row],[Product Rank]]&gt;0,HS_DB[[#This Row],[Product Rank]]&lt;=10),"Yes","No")</f>
        <v>No</v>
      </c>
      <c r="BC345" s="3" t="str">
        <f>IF(AND(HS_DB[[#This Row],[Origin Rank]]&gt;0,HS_DB[[#This Row],[Origin Rank]]&lt;=10),"Yes","No")</f>
        <v>Yes</v>
      </c>
    </row>
    <row r="346" spans="2:55" x14ac:dyDescent="0.3">
      <c r="B346" s="2">
        <f>HS_DB[[#This Row],[Commodity Code]]</f>
        <v>130219</v>
      </c>
      <c r="C346" s="2">
        <f>IFERROR(INDEX(HS_MD!C:C,MATCH(B346,HS_MD!B:B,0),1),"")</f>
        <v>27</v>
      </c>
      <c r="D346" s="17" t="str">
        <f>IFERROR(INDEX(HS_MD!D:D,MATCH(B346,HS_MD!B:B,0),1),"")</f>
        <v>Vegetable extracts</v>
      </c>
      <c r="E346" s="17" t="str">
        <f>IFERROR(INDEX(HS_MD!E:E,MATCH(B346,HS_MD!B:B,0),1),"")</f>
        <v>Natural Extract Colors</v>
      </c>
      <c r="F346" s="17" t="str">
        <f>IFERROR(INDEX(HS_MD!F:F,MATCH(B346,HS_MD!B:B,0),1),"")</f>
        <v>Food Ingredients</v>
      </c>
      <c r="G346" s="17" t="str">
        <f>IFERROR(INDEX(HS_MD!G:G,MATCH(B346,HS_MD!B:B,0),1),"")</f>
        <v>Colors</v>
      </c>
      <c r="H346" s="17" t="str">
        <f>IFERROR(INDEX(HS_MD!H:H,MATCH(B346,HS_MD!B:B,0),1),"")</f>
        <v>Natural Extract Colors</v>
      </c>
      <c r="I346" s="17" t="str">
        <f>IFERROR(INDEX(HS_MD!I:I,MATCH(B346,HS_MD!B:B,0),1),"")</f>
        <v>Food Processing / Clean Label</v>
      </c>
      <c r="J346" s="17">
        <f>IFERROR(INDEX(Heat_Map[Index],MATCH(HS_DB[[#This Row],[Reporter]],Heat_Map[Global],0),1),"")</f>
        <v>75</v>
      </c>
      <c r="K346" s="17" t="str">
        <f>IF(AND(HS_DB[[#This Row],[Origin Rank]]&gt;1,HS_DB[[#This Row],[Origin Rank]]&lt;=10),"Yes","No")</f>
        <v>No</v>
      </c>
      <c r="L346" s="2">
        <v>2024</v>
      </c>
      <c r="M346" s="2" t="s">
        <v>57</v>
      </c>
      <c r="N346" s="2" t="s">
        <v>8</v>
      </c>
      <c r="O346" s="2" t="s">
        <v>22</v>
      </c>
      <c r="P346" s="2" t="s">
        <v>23</v>
      </c>
      <c r="Q346" s="2" t="s">
        <v>24</v>
      </c>
      <c r="R346" s="2" t="s">
        <v>25</v>
      </c>
      <c r="S346" s="2">
        <v>130219</v>
      </c>
      <c r="T346" s="3">
        <v>882388</v>
      </c>
      <c r="U346" s="3">
        <v>88083</v>
      </c>
      <c r="V346" s="3">
        <v>0</v>
      </c>
      <c r="W346" s="3">
        <v>88083</v>
      </c>
      <c r="X346" s="3" t="s">
        <v>58</v>
      </c>
      <c r="Y346" s="3">
        <v>88083</v>
      </c>
      <c r="Z346" s="3" t="s">
        <v>58</v>
      </c>
      <c r="AA346" s="6">
        <f>SUMIFS(HS_DB[Trade Value - USD],HS_DB[Reporter],HS_DB[[#This Row],[Reporter]])/SUM(HS_DB[Trade Value - USD])</f>
        <v>2.2441761060335613E-2</v>
      </c>
      <c r="AB346" s="8" cm="1">
        <f t="array" ref="AB346">SUMPRODUCT(
(HS_DB[Reporter]=HS_DB[[#This Row],[Reporter]])*
(HS_DB[Trade Value - USD]&gt;HS_DB[[#This Row],[Trade Value - USD]])
)+1</f>
        <v>12</v>
      </c>
      <c r="AC346" s="8" t="str">
        <f>IFERROR(IF(INDEX(Heat_Map[Crisis Impact %],MATCH(HS_DB[[#This Row],[Reporter]],Heat_Map[Global],0),1)&gt;0,"Yes","No"),"No")</f>
        <v>No</v>
      </c>
      <c r="AD346" s="6">
        <f>IFERROR(INDEX(Heat_Map[Crisis Impact %],MATCH(HS_DB[[#This Row],[Reporter]],Heat_Map[Global],0),1),0)</f>
        <v>0</v>
      </c>
      <c r="AE346" s="8">
        <f>HS_DB[[#This Row],[Crisis Impact%]]*HS_DB[[#This Row],[Trade Value - USD]]</f>
        <v>0</v>
      </c>
      <c r="AF346" s="8">
        <f>HS_DB[[#This Row],[Crisis Impact%]]*HS_DB[[#This Row],[Net Weight -KG]]</f>
        <v>0</v>
      </c>
      <c r="AG346" s="6">
        <f>SUMIFS(HS_DB[Trade Value - USD],HS_DB[Products],HS_DB[[#This Row],[Products]])/SUM(HS_DB[Trade Value - USD])</f>
        <v>6.6060467534088414E-3</v>
      </c>
      <c r="AH346" s="8">
        <f>_xlfn.RANK.EQ(HS_DB[[#This Row],[Trade Value - USD]], HS_DB[Trade Value - USD], 0)
 + COUNTIFS(HS_DB[Trade Value - USD],HS_DB[[#This Row],[Trade Value - USD]],
            HS_DB[HS Code],"&lt;"&amp;HS_DB[[#This Row],[HS Code]])</f>
        <v>110</v>
      </c>
      <c r="AI346" s="9">
        <f>IFERROR(HS_DB[[#This Row],[Trade Value - USD]]/HS_DB[[#This Row],[Net Weight -KG]],0)</f>
        <v>10.017687862584154</v>
      </c>
      <c r="AJ346" s="17" cm="1">
        <f t="array" ref="AJ346">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46" s="17" t="str">
        <f>IF(HS_DB[[#This Row],[HS Code Risk Score]]&gt;=40,"High",
 IF(HS_DB[[#This Row],[HS Code Risk Score]]&gt;=25,"Medium","Low"))</f>
        <v>Medium</v>
      </c>
      <c r="AL346" s="17" t="str">
        <f>IF(RANK(HS_DB[[#This Row],[HS Code Risk Score]],HS_DB[HS Code Risk Score])&lt;=10,"Yes","No")</f>
        <v>No</v>
      </c>
      <c r="AM346" s="8">
        <f>SUMIFS(HS_DB[Net Weight -KG],HS_DB[HS Code],HS_DB[[#This Row],[HS Code]])</f>
        <v>502087.6</v>
      </c>
      <c r="AN346" s="8">
        <f>SUMIFS(HS_DB[Trade Value - USD],HS_DB[HS Code],HS_DB[[#This Row],[HS Code]])</f>
        <v>12452453</v>
      </c>
      <c r="AO346" s="6">
        <f>_xlfn.MAXIFS(HS_DB[Origin Share%],HS_DB[HS Code],HS_DB[[#This Row],[HS Code]])</f>
        <v>6.321329281187793E-2</v>
      </c>
      <c r="AP346" s="8" cm="1">
        <f t="array" ref="AP346">_xlfn.LET(
_xlpm.hs,HS_DB[[#This Row],[HS Code]],
COUNTA(_xlfn.UNIQUE(_xlfn._xlws.FILTER(HS_DB[Reporter],HS_DB[HS Code]=_xlpm.hs)))
)</f>
        <v>20</v>
      </c>
      <c r="AQ346" s="17" t="str">
        <f>IF(HS_DB[[#This Row],[Origin Count]]=1,"Single Source","Multiple Sources")</f>
        <v>Multiple Sources</v>
      </c>
      <c r="AR346" s="8">
        <f>HS_DB[[#This Row],[Annual Spend - USD]]*(HS_DB[[#This Row],[HS Code Risk Score]]/100)</f>
        <v>4233834.0200000005</v>
      </c>
      <c r="AS346" s="8">
        <f>RANK(HS_DB[[#This Row],[Risk Exposure - USD]],HS_DB[Risk Exposure - USD],0)</f>
        <v>221</v>
      </c>
      <c r="AT346" s="8" t="str">
        <f>IF(HS_DB[[#This Row],[Risk Exposure Rank]]&lt;=10,"High",
 IF(HS_DB[[#This Row],[Risk Exposure Rank]]&lt;=30,"Medium",
 "Low"))</f>
        <v>Low</v>
      </c>
      <c r="AU346" s="8" t="str">
        <f>IF(HS_DB[[#This Row],[Risk Exposure Rank]]&lt;=5,"Immediate Action",
 IF(HS_DB[[#This Row],[Risk Exposure Rank]]&lt;=15,"Monitor Closely",
 "Routine Control"))</f>
        <v>Routine Control</v>
      </c>
      <c r="AV346" s="8">
        <f>SUMIFS(HS_DB[Trade Value - USD],HS_DB[HS Code],HS_DB[[#This Row],[HS Code]])</f>
        <v>12452453</v>
      </c>
      <c r="AW346" s="6">
        <f>HS_DB[[#This Row],[Annual Spend - USD]]/HS_DB[[#This Row],[Total Market Size - USD]]</f>
        <v>1</v>
      </c>
      <c r="AX346" s="6" cm="1">
        <f t="array" ref="AX346">COUNTA(_xlfn.UNIQUE(_xlfn._xlws.FILTER(HS_DB[Partner],HS_DB[HS Code]=HS_DB[[#This Row],[HS Code]])))</f>
        <v>1</v>
      </c>
      <c r="AY346" s="8" t="str">
        <f>IF(HS_DB[[#This Row],[Competition Intensity]]&lt;=2,"Highly Concentrated",
 IF(HS_DB[[#This Row],[Competition Intensity]]&lt;=5,"Moderate",
 "Highly Competitive"))</f>
        <v>Highly Concentrated</v>
      </c>
      <c r="AZ346" s="8">
        <f>HS_DB[[#This Row],[Total Market Size - USD]]
*
(1+IFERROR(#REF!,0))
/
HS_DB[[#This Row],[Competition Intensity]]</f>
        <v>12452453</v>
      </c>
      <c r="BA346" s="8" t="str">
        <f>IF(HS_DB[[#This Row],[Commercial Opportunity Score]]&gt;=PERCENTILE(HS_DB[Commercial Opportunity Score],0.9),"High Opportunity",
 IF(HS_DB[[#This Row],[Commercial Opportunity Score]]&gt;=PERCENTILE(HS_DB[Commercial Opportunity Score],0.6),"Medium Opportunity",
 "Routine Market"))</f>
        <v>Routine Market</v>
      </c>
      <c r="BB346" s="3" t="str">
        <f>IF(AND(HS_DB[[#This Row],[Product Rank]]&gt;0,HS_DB[[#This Row],[Product Rank]]&lt;=10),"Yes","No")</f>
        <v>No</v>
      </c>
      <c r="BC346" s="3" t="str">
        <f>IF(AND(HS_DB[[#This Row],[Origin Rank]]&gt;0,HS_DB[[#This Row],[Origin Rank]]&lt;=10),"Yes","No")</f>
        <v>No</v>
      </c>
    </row>
    <row r="347" spans="2:55" x14ac:dyDescent="0.3">
      <c r="B347" s="2">
        <f>HS_DB[[#This Row],[Commodity Code]]</f>
        <v>130219</v>
      </c>
      <c r="C347" s="2">
        <f>IFERROR(INDEX(HS_MD!C:C,MATCH(B347,HS_MD!B:B,0),1),"")</f>
        <v>27</v>
      </c>
      <c r="D347" s="17" t="str">
        <f>IFERROR(INDEX(HS_MD!D:D,MATCH(B347,HS_MD!B:B,0),1),"")</f>
        <v>Vegetable extracts</v>
      </c>
      <c r="E347" s="17" t="str">
        <f>IFERROR(INDEX(HS_MD!E:E,MATCH(B347,HS_MD!B:B,0),1),"")</f>
        <v>Natural Extract Colors</v>
      </c>
      <c r="F347" s="17" t="str">
        <f>IFERROR(INDEX(HS_MD!F:F,MATCH(B347,HS_MD!B:B,0),1),"")</f>
        <v>Food Ingredients</v>
      </c>
      <c r="G347" s="17" t="str">
        <f>IFERROR(INDEX(HS_MD!G:G,MATCH(B347,HS_MD!B:B,0),1),"")</f>
        <v>Colors</v>
      </c>
      <c r="H347" s="17" t="str">
        <f>IFERROR(INDEX(HS_MD!H:H,MATCH(B347,HS_MD!B:B,0),1),"")</f>
        <v>Natural Extract Colors</v>
      </c>
      <c r="I347" s="17" t="str">
        <f>IFERROR(INDEX(HS_MD!I:I,MATCH(B347,HS_MD!B:B,0),1),"")</f>
        <v>Food Processing / Clean Label</v>
      </c>
      <c r="J347" s="17">
        <f>IFERROR(INDEX(Heat_Map[Index],MATCH(HS_DB[[#This Row],[Reporter]],Heat_Map[Global],0),1),"")</f>
        <v>151</v>
      </c>
      <c r="K347" s="17" t="str">
        <f>IF(AND(HS_DB[[#This Row],[Origin Rank]]&gt;1,HS_DB[[#This Row],[Origin Rank]]&lt;=10),"Yes","No")</f>
        <v>Yes</v>
      </c>
      <c r="L347" s="2">
        <v>2024</v>
      </c>
      <c r="M347" s="2" t="s">
        <v>57</v>
      </c>
      <c r="N347" s="2" t="s">
        <v>28</v>
      </c>
      <c r="O347" s="2" t="s">
        <v>22</v>
      </c>
      <c r="P347" s="2" t="s">
        <v>23</v>
      </c>
      <c r="Q347" s="2" t="s">
        <v>24</v>
      </c>
      <c r="R347" s="2" t="s">
        <v>25</v>
      </c>
      <c r="S347" s="2">
        <v>130219</v>
      </c>
      <c r="T347" s="3">
        <v>69026</v>
      </c>
      <c r="U347" s="3">
        <v>8.5</v>
      </c>
      <c r="V347" s="3">
        <v>0</v>
      </c>
      <c r="W347" s="3">
        <v>9</v>
      </c>
      <c r="X347" s="3" t="s">
        <v>58</v>
      </c>
      <c r="Y347" s="3">
        <v>9</v>
      </c>
      <c r="Z347" s="3" t="s">
        <v>58</v>
      </c>
      <c r="AA347" s="6">
        <f>SUMIFS(HS_DB[Trade Value - USD],HS_DB[Reporter],HS_DB[[#This Row],[Reporter]])/SUM(HS_DB[Trade Value - USD])</f>
        <v>8.2796770445636432E-4</v>
      </c>
      <c r="AB347" s="8" cm="1">
        <f t="array" ref="AB347">SUMPRODUCT(
(HS_DB[Reporter]=HS_DB[[#This Row],[Reporter]])*
(HS_DB[Trade Value - USD]&gt;HS_DB[[#This Row],[Trade Value - USD]])
)+1</f>
        <v>4</v>
      </c>
      <c r="AC347" s="8" t="str">
        <f>IFERROR(IF(INDEX(Heat_Map[Crisis Impact %],MATCH(HS_DB[[#This Row],[Reporter]],Heat_Map[Global],0),1)&gt;0,"Yes","No"),"No")</f>
        <v>Yes</v>
      </c>
      <c r="AD347" s="6">
        <f>IFERROR(INDEX(Heat_Map[Crisis Impact %],MATCH(HS_DB[[#This Row],[Reporter]],Heat_Map[Global],0),1),0)</f>
        <v>0.06</v>
      </c>
      <c r="AE347" s="8">
        <f>HS_DB[[#This Row],[Crisis Impact%]]*HS_DB[[#This Row],[Trade Value - USD]]</f>
        <v>4141.5599999999995</v>
      </c>
      <c r="AF347" s="8">
        <f>HS_DB[[#This Row],[Crisis Impact%]]*HS_DB[[#This Row],[Net Weight -KG]]</f>
        <v>0.51</v>
      </c>
      <c r="AG347" s="6">
        <f>SUMIFS(HS_DB[Trade Value - USD],HS_DB[Products],HS_DB[[#This Row],[Products]])/SUM(HS_DB[Trade Value - USD])</f>
        <v>6.6060467534088414E-3</v>
      </c>
      <c r="AH347" s="8">
        <f>_xlfn.RANK.EQ(HS_DB[[#This Row],[Trade Value - USD]], HS_DB[Trade Value - USD], 0)
 + COUNTIFS(HS_DB[Trade Value - USD],HS_DB[[#This Row],[Trade Value - USD]],
            HS_DB[HS Code],"&lt;"&amp;HS_DB[[#This Row],[HS Code]])</f>
        <v>305</v>
      </c>
      <c r="AI347" s="9">
        <f>IFERROR(HS_DB[[#This Row],[Trade Value - USD]]/HS_DB[[#This Row],[Net Weight -KG]],0)</f>
        <v>8120.7058823529414</v>
      </c>
      <c r="AJ347" s="17" cm="1">
        <f t="array" ref="AJ347">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47" s="17" t="str">
        <f>IF(HS_DB[[#This Row],[HS Code Risk Score]]&gt;=40,"High",
 IF(HS_DB[[#This Row],[HS Code Risk Score]]&gt;=25,"Medium","Low"))</f>
        <v>Medium</v>
      </c>
      <c r="AL347" s="17" t="str">
        <f>IF(RANK(HS_DB[[#This Row],[HS Code Risk Score]],HS_DB[HS Code Risk Score])&lt;=10,"Yes","No")</f>
        <v>No</v>
      </c>
      <c r="AM347" s="8">
        <f>SUMIFS(HS_DB[Net Weight -KG],HS_DB[HS Code],HS_DB[[#This Row],[HS Code]])</f>
        <v>502087.6</v>
      </c>
      <c r="AN347" s="8">
        <f>SUMIFS(HS_DB[Trade Value - USD],HS_DB[HS Code],HS_DB[[#This Row],[HS Code]])</f>
        <v>12452453</v>
      </c>
      <c r="AO347" s="6">
        <f>_xlfn.MAXIFS(HS_DB[Origin Share%],HS_DB[HS Code],HS_DB[[#This Row],[HS Code]])</f>
        <v>6.321329281187793E-2</v>
      </c>
      <c r="AP347" s="8" cm="1">
        <f t="array" ref="AP347">_xlfn.LET(
_xlpm.hs,HS_DB[[#This Row],[HS Code]],
COUNTA(_xlfn.UNIQUE(_xlfn._xlws.FILTER(HS_DB[Reporter],HS_DB[HS Code]=_xlpm.hs)))
)</f>
        <v>20</v>
      </c>
      <c r="AQ347" s="17" t="str">
        <f>IF(HS_DB[[#This Row],[Origin Count]]=1,"Single Source","Multiple Sources")</f>
        <v>Multiple Sources</v>
      </c>
      <c r="AR347" s="8">
        <f>HS_DB[[#This Row],[Annual Spend - USD]]*(HS_DB[[#This Row],[HS Code Risk Score]]/100)</f>
        <v>4233834.0200000005</v>
      </c>
      <c r="AS347" s="8">
        <f>RANK(HS_DB[[#This Row],[Risk Exposure - USD]],HS_DB[Risk Exposure - USD],0)</f>
        <v>221</v>
      </c>
      <c r="AT347" s="8" t="str">
        <f>IF(HS_DB[[#This Row],[Risk Exposure Rank]]&lt;=10,"High",
 IF(HS_DB[[#This Row],[Risk Exposure Rank]]&lt;=30,"Medium",
 "Low"))</f>
        <v>Low</v>
      </c>
      <c r="AU347" s="8" t="str">
        <f>IF(HS_DB[[#This Row],[Risk Exposure Rank]]&lt;=5,"Immediate Action",
 IF(HS_DB[[#This Row],[Risk Exposure Rank]]&lt;=15,"Monitor Closely",
 "Routine Control"))</f>
        <v>Routine Control</v>
      </c>
      <c r="AV347" s="8">
        <f>SUMIFS(HS_DB[Trade Value - USD],HS_DB[HS Code],HS_DB[[#This Row],[HS Code]])</f>
        <v>12452453</v>
      </c>
      <c r="AW347" s="6">
        <f>HS_DB[[#This Row],[Annual Spend - USD]]/HS_DB[[#This Row],[Total Market Size - USD]]</f>
        <v>1</v>
      </c>
      <c r="AX347" s="6" cm="1">
        <f t="array" ref="AX347">COUNTA(_xlfn.UNIQUE(_xlfn._xlws.FILTER(HS_DB[Partner],HS_DB[HS Code]=HS_DB[[#This Row],[HS Code]])))</f>
        <v>1</v>
      </c>
      <c r="AY347" s="8" t="str">
        <f>IF(HS_DB[[#This Row],[Competition Intensity]]&lt;=2,"Highly Concentrated",
 IF(HS_DB[[#This Row],[Competition Intensity]]&lt;=5,"Moderate",
 "Highly Competitive"))</f>
        <v>Highly Concentrated</v>
      </c>
      <c r="AZ347" s="8">
        <f>HS_DB[[#This Row],[Total Market Size - USD]]
*
(1+IFERROR(#REF!,0))
/
HS_DB[[#This Row],[Competition Intensity]]</f>
        <v>12452453</v>
      </c>
      <c r="BA347" s="8" t="str">
        <f>IF(HS_DB[[#This Row],[Commercial Opportunity Score]]&gt;=PERCENTILE(HS_DB[Commercial Opportunity Score],0.9),"High Opportunity",
 IF(HS_DB[[#This Row],[Commercial Opportunity Score]]&gt;=PERCENTILE(HS_DB[Commercial Opportunity Score],0.6),"Medium Opportunity",
 "Routine Market"))</f>
        <v>Routine Market</v>
      </c>
      <c r="BB347" s="3" t="str">
        <f>IF(AND(HS_DB[[#This Row],[Product Rank]]&gt;0,HS_DB[[#This Row],[Product Rank]]&lt;=10),"Yes","No")</f>
        <v>No</v>
      </c>
      <c r="BC347" s="3" t="str">
        <f>IF(AND(HS_DB[[#This Row],[Origin Rank]]&gt;0,HS_DB[[#This Row],[Origin Rank]]&lt;=10),"Yes","No")</f>
        <v>Yes</v>
      </c>
    </row>
    <row r="348" spans="2:55" x14ac:dyDescent="0.3">
      <c r="B348" s="2">
        <f>HS_DB[[#This Row],[Commodity Code]]</f>
        <v>130219</v>
      </c>
      <c r="C348" s="2">
        <f>IFERROR(INDEX(HS_MD!C:C,MATCH(B348,HS_MD!B:B,0),1),"")</f>
        <v>27</v>
      </c>
      <c r="D348" s="17" t="str">
        <f>IFERROR(INDEX(HS_MD!D:D,MATCH(B348,HS_MD!B:B,0),1),"")</f>
        <v>Vegetable extracts</v>
      </c>
      <c r="E348" s="17" t="str">
        <f>IFERROR(INDEX(HS_MD!E:E,MATCH(B348,HS_MD!B:B,0),1),"")</f>
        <v>Natural Extract Colors</v>
      </c>
      <c r="F348" s="17" t="str">
        <f>IFERROR(INDEX(HS_MD!F:F,MATCH(B348,HS_MD!B:B,0),1),"")</f>
        <v>Food Ingredients</v>
      </c>
      <c r="G348" s="17" t="str">
        <f>IFERROR(INDEX(HS_MD!G:G,MATCH(B348,HS_MD!B:B,0),1),"")</f>
        <v>Colors</v>
      </c>
      <c r="H348" s="17" t="str">
        <f>IFERROR(INDEX(HS_MD!H:H,MATCH(B348,HS_MD!B:B,0),1),"")</f>
        <v>Natural Extract Colors</v>
      </c>
      <c r="I348" s="17" t="str">
        <f>IFERROR(INDEX(HS_MD!I:I,MATCH(B348,HS_MD!B:B,0),1),"")</f>
        <v>Food Processing / Clean Label</v>
      </c>
      <c r="J348" s="17">
        <f>IFERROR(INDEX(Heat_Map[Index],MATCH(HS_DB[[#This Row],[Reporter]],Heat_Map[Global],0),1),"")</f>
        <v>153</v>
      </c>
      <c r="K348" s="17" t="str">
        <f>IF(AND(HS_DB[[#This Row],[Origin Rank]]&gt;1,HS_DB[[#This Row],[Origin Rank]]&lt;=10),"Yes","No")</f>
        <v>No</v>
      </c>
      <c r="L348" s="2">
        <v>2024</v>
      </c>
      <c r="M348" s="2" t="s">
        <v>57</v>
      </c>
      <c r="N348" s="2" t="s">
        <v>151</v>
      </c>
      <c r="O348" s="2" t="s">
        <v>22</v>
      </c>
      <c r="P348" s="2" t="s">
        <v>23</v>
      </c>
      <c r="Q348" s="2" t="s">
        <v>24</v>
      </c>
      <c r="R348" s="2" t="s">
        <v>25</v>
      </c>
      <c r="S348" s="2">
        <v>130219</v>
      </c>
      <c r="T348" s="3">
        <v>80465</v>
      </c>
      <c r="U348" s="3">
        <v>4815</v>
      </c>
      <c r="V348" s="3">
        <v>0</v>
      </c>
      <c r="W348" s="3">
        <v>4815</v>
      </c>
      <c r="X348" s="3" t="s">
        <v>58</v>
      </c>
      <c r="Y348" s="3">
        <v>4815</v>
      </c>
      <c r="Z348" s="3" t="s">
        <v>58</v>
      </c>
      <c r="AA348" s="6">
        <f>SUMIFS(HS_DB[Trade Value - USD],HS_DB[Reporter],HS_DB[[#This Row],[Reporter]])/SUM(HS_DB[Trade Value - USD])</f>
        <v>5.6395507468920406E-5</v>
      </c>
      <c r="AB348" s="8" cm="1">
        <f t="array" ref="AB348">SUMPRODUCT(
(HS_DB[Reporter]=HS_DB[[#This Row],[Reporter]])*
(HS_DB[Trade Value - USD]&gt;HS_DB[[#This Row],[Trade Value - USD]])
)+1</f>
        <v>1</v>
      </c>
      <c r="AC348" s="8" t="str">
        <f>IFERROR(IF(INDEX(Heat_Map[Crisis Impact %],MATCH(HS_DB[[#This Row],[Reporter]],Heat_Map[Global],0),1)&gt;0,"Yes","No"),"No")</f>
        <v>No</v>
      </c>
      <c r="AD348" s="6">
        <f>IFERROR(INDEX(Heat_Map[Crisis Impact %],MATCH(HS_DB[[#This Row],[Reporter]],Heat_Map[Global],0),1),0)</f>
        <v>0</v>
      </c>
      <c r="AE348" s="8">
        <f>HS_DB[[#This Row],[Crisis Impact%]]*HS_DB[[#This Row],[Trade Value - USD]]</f>
        <v>0</v>
      </c>
      <c r="AF348" s="8">
        <f>HS_DB[[#This Row],[Crisis Impact%]]*HS_DB[[#This Row],[Net Weight -KG]]</f>
        <v>0</v>
      </c>
      <c r="AG348" s="6">
        <f>SUMIFS(HS_DB[Trade Value - USD],HS_DB[Products],HS_DB[[#This Row],[Products]])/SUM(HS_DB[Trade Value - USD])</f>
        <v>6.6060467534088414E-3</v>
      </c>
      <c r="AH348" s="8">
        <f>_xlfn.RANK.EQ(HS_DB[[#This Row],[Trade Value - USD]], HS_DB[Trade Value - USD], 0)
 + COUNTIFS(HS_DB[Trade Value - USD],HS_DB[[#This Row],[Trade Value - USD]],
            HS_DB[HS Code],"&lt;"&amp;HS_DB[[#This Row],[HS Code]])</f>
        <v>293</v>
      </c>
      <c r="AI348" s="9">
        <f>IFERROR(HS_DB[[#This Row],[Trade Value - USD]]/HS_DB[[#This Row],[Net Weight -KG]],0)</f>
        <v>16.711318795430945</v>
      </c>
      <c r="AJ348" s="17" cm="1">
        <f t="array" ref="AJ348">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48" s="17" t="str">
        <f>IF(HS_DB[[#This Row],[HS Code Risk Score]]&gt;=40,"High",
 IF(HS_DB[[#This Row],[HS Code Risk Score]]&gt;=25,"Medium","Low"))</f>
        <v>Medium</v>
      </c>
      <c r="AL348" s="17" t="str">
        <f>IF(RANK(HS_DB[[#This Row],[HS Code Risk Score]],HS_DB[HS Code Risk Score])&lt;=10,"Yes","No")</f>
        <v>No</v>
      </c>
      <c r="AM348" s="8">
        <f>SUMIFS(HS_DB[Net Weight -KG],HS_DB[HS Code],HS_DB[[#This Row],[HS Code]])</f>
        <v>502087.6</v>
      </c>
      <c r="AN348" s="8">
        <f>SUMIFS(HS_DB[Trade Value - USD],HS_DB[HS Code],HS_DB[[#This Row],[HS Code]])</f>
        <v>12452453</v>
      </c>
      <c r="AO348" s="6">
        <f>_xlfn.MAXIFS(HS_DB[Origin Share%],HS_DB[HS Code],HS_DB[[#This Row],[HS Code]])</f>
        <v>6.321329281187793E-2</v>
      </c>
      <c r="AP348" s="8" cm="1">
        <f t="array" ref="AP348">_xlfn.LET(
_xlpm.hs,HS_DB[[#This Row],[HS Code]],
COUNTA(_xlfn.UNIQUE(_xlfn._xlws.FILTER(HS_DB[Reporter],HS_DB[HS Code]=_xlpm.hs)))
)</f>
        <v>20</v>
      </c>
      <c r="AQ348" s="17" t="str">
        <f>IF(HS_DB[[#This Row],[Origin Count]]=1,"Single Source","Multiple Sources")</f>
        <v>Multiple Sources</v>
      </c>
      <c r="AR348" s="8">
        <f>HS_DB[[#This Row],[Annual Spend - USD]]*(HS_DB[[#This Row],[HS Code Risk Score]]/100)</f>
        <v>4233834.0200000005</v>
      </c>
      <c r="AS348" s="8">
        <f>RANK(HS_DB[[#This Row],[Risk Exposure - USD]],HS_DB[Risk Exposure - USD],0)</f>
        <v>221</v>
      </c>
      <c r="AT348" s="8" t="str">
        <f>IF(HS_DB[[#This Row],[Risk Exposure Rank]]&lt;=10,"High",
 IF(HS_DB[[#This Row],[Risk Exposure Rank]]&lt;=30,"Medium",
 "Low"))</f>
        <v>Low</v>
      </c>
      <c r="AU348" s="8" t="str">
        <f>IF(HS_DB[[#This Row],[Risk Exposure Rank]]&lt;=5,"Immediate Action",
 IF(HS_DB[[#This Row],[Risk Exposure Rank]]&lt;=15,"Monitor Closely",
 "Routine Control"))</f>
        <v>Routine Control</v>
      </c>
      <c r="AV348" s="8">
        <f>SUMIFS(HS_DB[Trade Value - USD],HS_DB[HS Code],HS_DB[[#This Row],[HS Code]])</f>
        <v>12452453</v>
      </c>
      <c r="AW348" s="6">
        <f>HS_DB[[#This Row],[Annual Spend - USD]]/HS_DB[[#This Row],[Total Market Size - USD]]</f>
        <v>1</v>
      </c>
      <c r="AX348" s="6" cm="1">
        <f t="array" ref="AX348">COUNTA(_xlfn.UNIQUE(_xlfn._xlws.FILTER(HS_DB[Partner],HS_DB[HS Code]=HS_DB[[#This Row],[HS Code]])))</f>
        <v>1</v>
      </c>
      <c r="AY348" s="8" t="str">
        <f>IF(HS_DB[[#This Row],[Competition Intensity]]&lt;=2,"Highly Concentrated",
 IF(HS_DB[[#This Row],[Competition Intensity]]&lt;=5,"Moderate",
 "Highly Competitive"))</f>
        <v>Highly Concentrated</v>
      </c>
      <c r="AZ348" s="8">
        <f>HS_DB[[#This Row],[Total Market Size - USD]]
*
(1+IFERROR(#REF!,0))
/
HS_DB[[#This Row],[Competition Intensity]]</f>
        <v>12452453</v>
      </c>
      <c r="BA348" s="8" t="str">
        <f>IF(HS_DB[[#This Row],[Commercial Opportunity Score]]&gt;=PERCENTILE(HS_DB[Commercial Opportunity Score],0.9),"High Opportunity",
 IF(HS_DB[[#This Row],[Commercial Opportunity Score]]&gt;=PERCENTILE(HS_DB[Commercial Opportunity Score],0.6),"Medium Opportunity",
 "Routine Market"))</f>
        <v>Routine Market</v>
      </c>
      <c r="BB348" s="3" t="str">
        <f>IF(AND(HS_DB[[#This Row],[Product Rank]]&gt;0,HS_DB[[#This Row],[Product Rank]]&lt;=10),"Yes","No")</f>
        <v>No</v>
      </c>
      <c r="BC348" s="3" t="str">
        <f>IF(AND(HS_DB[[#This Row],[Origin Rank]]&gt;0,HS_DB[[#This Row],[Origin Rank]]&lt;=10),"Yes","No")</f>
        <v>Yes</v>
      </c>
    </row>
    <row r="349" spans="2:55" x14ac:dyDescent="0.3">
      <c r="B349" s="2">
        <f>HS_DB[[#This Row],[Commodity Code]]</f>
        <v>130219</v>
      </c>
      <c r="C349" s="2">
        <f>IFERROR(INDEX(HS_MD!C:C,MATCH(B349,HS_MD!B:B,0),1),"")</f>
        <v>27</v>
      </c>
      <c r="D349" s="17" t="str">
        <f>IFERROR(INDEX(HS_MD!D:D,MATCH(B349,HS_MD!B:B,0),1),"")</f>
        <v>Vegetable extracts</v>
      </c>
      <c r="E349" s="17" t="str">
        <f>IFERROR(INDEX(HS_MD!E:E,MATCH(B349,HS_MD!B:B,0),1),"")</f>
        <v>Natural Extract Colors</v>
      </c>
      <c r="F349" s="17" t="str">
        <f>IFERROR(INDEX(HS_MD!F:F,MATCH(B349,HS_MD!B:B,0),1),"")</f>
        <v>Food Ingredients</v>
      </c>
      <c r="G349" s="17" t="str">
        <f>IFERROR(INDEX(HS_MD!G:G,MATCH(B349,HS_MD!B:B,0),1),"")</f>
        <v>Colors</v>
      </c>
      <c r="H349" s="17" t="str">
        <f>IFERROR(INDEX(HS_MD!H:H,MATCH(B349,HS_MD!B:B,0),1),"")</f>
        <v>Natural Extract Colors</v>
      </c>
      <c r="I349" s="17" t="str">
        <f>IFERROR(INDEX(HS_MD!I:I,MATCH(B349,HS_MD!B:B,0),1),"")</f>
        <v>Food Processing / Clean Label</v>
      </c>
      <c r="J349" s="17">
        <f>IFERROR(INDEX(Heat_Map[Index],MATCH(HS_DB[[#This Row],[Reporter]],Heat_Map[Global],0),1),"")</f>
        <v>159</v>
      </c>
      <c r="K349" s="17" t="str">
        <f>IF(AND(HS_DB[[#This Row],[Origin Rank]]&gt;1,HS_DB[[#This Row],[Origin Rank]]&lt;=10),"Yes","No")</f>
        <v>Yes</v>
      </c>
      <c r="L349" s="2">
        <v>2024</v>
      </c>
      <c r="M349" s="2" t="s">
        <v>57</v>
      </c>
      <c r="N349" s="2" t="s">
        <v>30</v>
      </c>
      <c r="O349" s="2" t="s">
        <v>22</v>
      </c>
      <c r="P349" s="2" t="s">
        <v>23</v>
      </c>
      <c r="Q349" s="2" t="s">
        <v>24</v>
      </c>
      <c r="R349" s="2" t="s">
        <v>25</v>
      </c>
      <c r="S349" s="2">
        <v>130219</v>
      </c>
      <c r="T349" s="3">
        <v>1242614</v>
      </c>
      <c r="U349" s="3">
        <v>4522</v>
      </c>
      <c r="V349" s="3">
        <v>0</v>
      </c>
      <c r="W349" s="3">
        <v>4522</v>
      </c>
      <c r="X349" s="3" t="s">
        <v>58</v>
      </c>
      <c r="Y349" s="3">
        <v>4522</v>
      </c>
      <c r="Z349" s="3" t="s">
        <v>58</v>
      </c>
      <c r="AA349" s="6">
        <f>SUMIFS(HS_DB[Trade Value - USD],HS_DB[Reporter],HS_DB[[#This Row],[Reporter]])/SUM(HS_DB[Trade Value - USD])</f>
        <v>6.110186869383482E-3</v>
      </c>
      <c r="AB349" s="8" cm="1">
        <f t="array" ref="AB349">SUMPRODUCT(
(HS_DB[Reporter]=HS_DB[[#This Row],[Reporter]])*
(HS_DB[Trade Value - USD]&gt;HS_DB[[#This Row],[Trade Value - USD]])
)+1</f>
        <v>4</v>
      </c>
      <c r="AC349" s="8" t="str">
        <f>IFERROR(IF(INDEX(Heat_Map[Crisis Impact %],MATCH(HS_DB[[#This Row],[Reporter]],Heat_Map[Global],0),1)&gt;0,"Yes","No"),"No")</f>
        <v>No</v>
      </c>
      <c r="AD349" s="6">
        <f>IFERROR(INDEX(Heat_Map[Crisis Impact %],MATCH(HS_DB[[#This Row],[Reporter]],Heat_Map[Global],0),1),0)</f>
        <v>0</v>
      </c>
      <c r="AE349" s="8">
        <f>HS_DB[[#This Row],[Crisis Impact%]]*HS_DB[[#This Row],[Trade Value - USD]]</f>
        <v>0</v>
      </c>
      <c r="AF349" s="8">
        <f>HS_DB[[#This Row],[Crisis Impact%]]*HS_DB[[#This Row],[Net Weight -KG]]</f>
        <v>0</v>
      </c>
      <c r="AG349" s="6">
        <f>SUMIFS(HS_DB[Trade Value - USD],HS_DB[Products],HS_DB[[#This Row],[Products]])/SUM(HS_DB[Trade Value - USD])</f>
        <v>6.6060467534088414E-3</v>
      </c>
      <c r="AH349" s="8">
        <f>_xlfn.RANK.EQ(HS_DB[[#This Row],[Trade Value - USD]], HS_DB[Trade Value - USD], 0)
 + COUNTIFS(HS_DB[Trade Value - USD],HS_DB[[#This Row],[Trade Value - USD]],
            HS_DB[HS Code],"&lt;"&amp;HS_DB[[#This Row],[HS Code]])</f>
        <v>90</v>
      </c>
      <c r="AI349" s="9">
        <f>IFERROR(HS_DB[[#This Row],[Trade Value - USD]]/HS_DB[[#This Row],[Net Weight -KG]],0)</f>
        <v>274.79301194161877</v>
      </c>
      <c r="AJ349" s="17" cm="1">
        <f t="array" ref="AJ349">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49" s="17" t="str">
        <f>IF(HS_DB[[#This Row],[HS Code Risk Score]]&gt;=40,"High",
 IF(HS_DB[[#This Row],[HS Code Risk Score]]&gt;=25,"Medium","Low"))</f>
        <v>Medium</v>
      </c>
      <c r="AL349" s="17" t="str">
        <f>IF(RANK(HS_DB[[#This Row],[HS Code Risk Score]],HS_DB[HS Code Risk Score])&lt;=10,"Yes","No")</f>
        <v>No</v>
      </c>
      <c r="AM349" s="8">
        <f>SUMIFS(HS_DB[Net Weight -KG],HS_DB[HS Code],HS_DB[[#This Row],[HS Code]])</f>
        <v>502087.6</v>
      </c>
      <c r="AN349" s="8">
        <f>SUMIFS(HS_DB[Trade Value - USD],HS_DB[HS Code],HS_DB[[#This Row],[HS Code]])</f>
        <v>12452453</v>
      </c>
      <c r="AO349" s="6">
        <f>_xlfn.MAXIFS(HS_DB[Origin Share%],HS_DB[HS Code],HS_DB[[#This Row],[HS Code]])</f>
        <v>6.321329281187793E-2</v>
      </c>
      <c r="AP349" s="8" cm="1">
        <f t="array" ref="AP349">_xlfn.LET(
_xlpm.hs,HS_DB[[#This Row],[HS Code]],
COUNTA(_xlfn.UNIQUE(_xlfn._xlws.FILTER(HS_DB[Reporter],HS_DB[HS Code]=_xlpm.hs)))
)</f>
        <v>20</v>
      </c>
      <c r="AQ349" s="17" t="str">
        <f>IF(HS_DB[[#This Row],[Origin Count]]=1,"Single Source","Multiple Sources")</f>
        <v>Multiple Sources</v>
      </c>
      <c r="AR349" s="8">
        <f>HS_DB[[#This Row],[Annual Spend - USD]]*(HS_DB[[#This Row],[HS Code Risk Score]]/100)</f>
        <v>4233834.0200000005</v>
      </c>
      <c r="AS349" s="8">
        <f>RANK(HS_DB[[#This Row],[Risk Exposure - USD]],HS_DB[Risk Exposure - USD],0)</f>
        <v>221</v>
      </c>
      <c r="AT349" s="8" t="str">
        <f>IF(HS_DB[[#This Row],[Risk Exposure Rank]]&lt;=10,"High",
 IF(HS_DB[[#This Row],[Risk Exposure Rank]]&lt;=30,"Medium",
 "Low"))</f>
        <v>Low</v>
      </c>
      <c r="AU349" s="8" t="str">
        <f>IF(HS_DB[[#This Row],[Risk Exposure Rank]]&lt;=5,"Immediate Action",
 IF(HS_DB[[#This Row],[Risk Exposure Rank]]&lt;=15,"Monitor Closely",
 "Routine Control"))</f>
        <v>Routine Control</v>
      </c>
      <c r="AV349" s="8">
        <f>SUMIFS(HS_DB[Trade Value - USD],HS_DB[HS Code],HS_DB[[#This Row],[HS Code]])</f>
        <v>12452453</v>
      </c>
      <c r="AW349" s="6">
        <f>HS_DB[[#This Row],[Annual Spend - USD]]/HS_DB[[#This Row],[Total Market Size - USD]]</f>
        <v>1</v>
      </c>
      <c r="AX349" s="6" cm="1">
        <f t="array" ref="AX349">COUNTA(_xlfn.UNIQUE(_xlfn._xlws.FILTER(HS_DB[Partner],HS_DB[HS Code]=HS_DB[[#This Row],[HS Code]])))</f>
        <v>1</v>
      </c>
      <c r="AY349" s="8" t="str">
        <f>IF(HS_DB[[#This Row],[Competition Intensity]]&lt;=2,"Highly Concentrated",
 IF(HS_DB[[#This Row],[Competition Intensity]]&lt;=5,"Moderate",
 "Highly Competitive"))</f>
        <v>Highly Concentrated</v>
      </c>
      <c r="AZ349" s="8">
        <f>HS_DB[[#This Row],[Total Market Size - USD]]
*
(1+IFERROR(#REF!,0))
/
HS_DB[[#This Row],[Competition Intensity]]</f>
        <v>12452453</v>
      </c>
      <c r="BA349" s="8" t="str">
        <f>IF(HS_DB[[#This Row],[Commercial Opportunity Score]]&gt;=PERCENTILE(HS_DB[Commercial Opportunity Score],0.9),"High Opportunity",
 IF(HS_DB[[#This Row],[Commercial Opportunity Score]]&gt;=PERCENTILE(HS_DB[Commercial Opportunity Score],0.6),"Medium Opportunity",
 "Routine Market"))</f>
        <v>Routine Market</v>
      </c>
      <c r="BB349" s="3" t="str">
        <f>IF(AND(HS_DB[[#This Row],[Product Rank]]&gt;0,HS_DB[[#This Row],[Product Rank]]&lt;=10),"Yes","No")</f>
        <v>No</v>
      </c>
      <c r="BC349" s="3" t="str">
        <f>IF(AND(HS_DB[[#This Row],[Origin Rank]]&gt;0,HS_DB[[#This Row],[Origin Rank]]&lt;=10),"Yes","No")</f>
        <v>Yes</v>
      </c>
    </row>
    <row r="350" spans="2:55" x14ac:dyDescent="0.3">
      <c r="B350" s="2">
        <f>HS_DB[[#This Row],[Commodity Code]]</f>
        <v>130219</v>
      </c>
      <c r="C350" s="2">
        <f>IFERROR(INDEX(HS_MD!C:C,MATCH(B350,HS_MD!B:B,0),1),"")</f>
        <v>27</v>
      </c>
      <c r="D350" s="17" t="str">
        <f>IFERROR(INDEX(HS_MD!D:D,MATCH(B350,HS_MD!B:B,0),1),"")</f>
        <v>Vegetable extracts</v>
      </c>
      <c r="E350" s="17" t="str">
        <f>IFERROR(INDEX(HS_MD!E:E,MATCH(B350,HS_MD!B:B,0),1),"")</f>
        <v>Natural Extract Colors</v>
      </c>
      <c r="F350" s="17" t="str">
        <f>IFERROR(INDEX(HS_MD!F:F,MATCH(B350,HS_MD!B:B,0),1),"")</f>
        <v>Food Ingredients</v>
      </c>
      <c r="G350" s="17" t="str">
        <f>IFERROR(INDEX(HS_MD!G:G,MATCH(B350,HS_MD!B:B,0),1),"")</f>
        <v>Colors</v>
      </c>
      <c r="H350" s="17" t="str">
        <f>IFERROR(INDEX(HS_MD!H:H,MATCH(B350,HS_MD!B:B,0),1),"")</f>
        <v>Natural Extract Colors</v>
      </c>
      <c r="I350" s="17" t="str">
        <f>IFERROR(INDEX(HS_MD!I:I,MATCH(B350,HS_MD!B:B,0),1),"")</f>
        <v>Food Processing / Clean Label</v>
      </c>
      <c r="J350" s="17">
        <f>IFERROR(INDEX(Heat_Map[Index],MATCH(HS_DB[[#This Row],[Reporter]],Heat_Map[Global],0),1),"")</f>
        <v>164</v>
      </c>
      <c r="K350" s="17" t="str">
        <f>IF(AND(HS_DB[[#This Row],[Origin Rank]]&gt;1,HS_DB[[#This Row],[Origin Rank]]&lt;=10),"Yes","No")</f>
        <v>Yes</v>
      </c>
      <c r="L350" s="2">
        <v>2024</v>
      </c>
      <c r="M350" s="2" t="s">
        <v>57</v>
      </c>
      <c r="N350" s="2" t="s">
        <v>32</v>
      </c>
      <c r="O350" s="2" t="s">
        <v>22</v>
      </c>
      <c r="P350" s="2" t="s">
        <v>23</v>
      </c>
      <c r="Q350" s="2" t="s">
        <v>24</v>
      </c>
      <c r="R350" s="2" t="s">
        <v>25</v>
      </c>
      <c r="S350" s="2">
        <v>130219</v>
      </c>
      <c r="T350" s="3">
        <v>28274</v>
      </c>
      <c r="U350" s="3">
        <v>393</v>
      </c>
      <c r="V350" s="3">
        <v>0</v>
      </c>
      <c r="W350" s="3">
        <v>393</v>
      </c>
      <c r="X350" s="3" t="s">
        <v>58</v>
      </c>
      <c r="Y350" s="3">
        <v>393</v>
      </c>
      <c r="Z350" s="3" t="s">
        <v>58</v>
      </c>
      <c r="AA350" s="6">
        <f>SUMIFS(HS_DB[Trade Value - USD],HS_DB[Reporter],HS_DB[[#This Row],[Reporter]])/SUM(HS_DB[Trade Value - USD])</f>
        <v>1.1630298885271862E-3</v>
      </c>
      <c r="AB350" s="8" cm="1">
        <f t="array" ref="AB350">SUMPRODUCT(
(HS_DB[Reporter]=HS_DB[[#This Row],[Reporter]])*
(HS_DB[Trade Value - USD]&gt;HS_DB[[#This Row],[Trade Value - USD]])
)+1</f>
        <v>7</v>
      </c>
      <c r="AC350" s="8" t="str">
        <f>IFERROR(IF(INDEX(Heat_Map[Crisis Impact %],MATCH(HS_DB[[#This Row],[Reporter]],Heat_Map[Global],0),1)&gt;0,"Yes","No"),"No")</f>
        <v>No</v>
      </c>
      <c r="AD350" s="6">
        <f>IFERROR(INDEX(Heat_Map[Crisis Impact %],MATCH(HS_DB[[#This Row],[Reporter]],Heat_Map[Global],0),1),0)</f>
        <v>0</v>
      </c>
      <c r="AE350" s="8">
        <f>HS_DB[[#This Row],[Crisis Impact%]]*HS_DB[[#This Row],[Trade Value - USD]]</f>
        <v>0</v>
      </c>
      <c r="AF350" s="8">
        <f>HS_DB[[#This Row],[Crisis Impact%]]*HS_DB[[#This Row],[Net Weight -KG]]</f>
        <v>0</v>
      </c>
      <c r="AG350" s="6">
        <f>SUMIFS(HS_DB[Trade Value - USD],HS_DB[Products],HS_DB[[#This Row],[Products]])/SUM(HS_DB[Trade Value - USD])</f>
        <v>6.6060467534088414E-3</v>
      </c>
      <c r="AH350" s="8">
        <f>_xlfn.RANK.EQ(HS_DB[[#This Row],[Trade Value - USD]], HS_DB[Trade Value - USD], 0)
 + COUNTIFS(HS_DB[Trade Value - USD],HS_DB[[#This Row],[Trade Value - USD]],
            HS_DB[HS Code],"&lt;"&amp;HS_DB[[#This Row],[HS Code]])</f>
        <v>360</v>
      </c>
      <c r="AI350" s="9">
        <f>IFERROR(HS_DB[[#This Row],[Trade Value - USD]]/HS_DB[[#This Row],[Net Weight -KG]],0)</f>
        <v>71.944020356234091</v>
      </c>
      <c r="AJ350" s="17" cm="1">
        <f t="array" ref="AJ350">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50" s="17" t="str">
        <f>IF(HS_DB[[#This Row],[HS Code Risk Score]]&gt;=40,"High",
 IF(HS_DB[[#This Row],[HS Code Risk Score]]&gt;=25,"Medium","Low"))</f>
        <v>Medium</v>
      </c>
      <c r="AL350" s="17" t="str">
        <f>IF(RANK(HS_DB[[#This Row],[HS Code Risk Score]],HS_DB[HS Code Risk Score])&lt;=10,"Yes","No")</f>
        <v>No</v>
      </c>
      <c r="AM350" s="8">
        <f>SUMIFS(HS_DB[Net Weight -KG],HS_DB[HS Code],HS_DB[[#This Row],[HS Code]])</f>
        <v>502087.6</v>
      </c>
      <c r="AN350" s="8">
        <f>SUMIFS(HS_DB[Trade Value - USD],HS_DB[HS Code],HS_DB[[#This Row],[HS Code]])</f>
        <v>12452453</v>
      </c>
      <c r="AO350" s="6">
        <f>_xlfn.MAXIFS(HS_DB[Origin Share%],HS_DB[HS Code],HS_DB[[#This Row],[HS Code]])</f>
        <v>6.321329281187793E-2</v>
      </c>
      <c r="AP350" s="8" cm="1">
        <f t="array" ref="AP350">_xlfn.LET(
_xlpm.hs,HS_DB[[#This Row],[HS Code]],
COUNTA(_xlfn.UNIQUE(_xlfn._xlws.FILTER(HS_DB[Reporter],HS_DB[HS Code]=_xlpm.hs)))
)</f>
        <v>20</v>
      </c>
      <c r="AQ350" s="17" t="str">
        <f>IF(HS_DB[[#This Row],[Origin Count]]=1,"Single Source","Multiple Sources")</f>
        <v>Multiple Sources</v>
      </c>
      <c r="AR350" s="8">
        <f>HS_DB[[#This Row],[Annual Spend - USD]]*(HS_DB[[#This Row],[HS Code Risk Score]]/100)</f>
        <v>4233834.0200000005</v>
      </c>
      <c r="AS350" s="8">
        <f>RANK(HS_DB[[#This Row],[Risk Exposure - USD]],HS_DB[Risk Exposure - USD],0)</f>
        <v>221</v>
      </c>
      <c r="AT350" s="8" t="str">
        <f>IF(HS_DB[[#This Row],[Risk Exposure Rank]]&lt;=10,"High",
 IF(HS_DB[[#This Row],[Risk Exposure Rank]]&lt;=30,"Medium",
 "Low"))</f>
        <v>Low</v>
      </c>
      <c r="AU350" s="8" t="str">
        <f>IF(HS_DB[[#This Row],[Risk Exposure Rank]]&lt;=5,"Immediate Action",
 IF(HS_DB[[#This Row],[Risk Exposure Rank]]&lt;=15,"Monitor Closely",
 "Routine Control"))</f>
        <v>Routine Control</v>
      </c>
      <c r="AV350" s="8">
        <f>SUMIFS(HS_DB[Trade Value - USD],HS_DB[HS Code],HS_DB[[#This Row],[HS Code]])</f>
        <v>12452453</v>
      </c>
      <c r="AW350" s="6">
        <f>HS_DB[[#This Row],[Annual Spend - USD]]/HS_DB[[#This Row],[Total Market Size - USD]]</f>
        <v>1</v>
      </c>
      <c r="AX350" s="6" cm="1">
        <f t="array" ref="AX350">COUNTA(_xlfn.UNIQUE(_xlfn._xlws.FILTER(HS_DB[Partner],HS_DB[HS Code]=HS_DB[[#This Row],[HS Code]])))</f>
        <v>1</v>
      </c>
      <c r="AY350" s="8" t="str">
        <f>IF(HS_DB[[#This Row],[Competition Intensity]]&lt;=2,"Highly Concentrated",
 IF(HS_DB[[#This Row],[Competition Intensity]]&lt;=5,"Moderate",
 "Highly Competitive"))</f>
        <v>Highly Concentrated</v>
      </c>
      <c r="AZ350" s="8">
        <f>HS_DB[[#This Row],[Total Market Size - USD]]
*
(1+IFERROR(#REF!,0))
/
HS_DB[[#This Row],[Competition Intensity]]</f>
        <v>12452453</v>
      </c>
      <c r="BA350" s="8" t="str">
        <f>IF(HS_DB[[#This Row],[Commercial Opportunity Score]]&gt;=PERCENTILE(HS_DB[Commercial Opportunity Score],0.9),"High Opportunity",
 IF(HS_DB[[#This Row],[Commercial Opportunity Score]]&gt;=PERCENTILE(HS_DB[Commercial Opportunity Score],0.6),"Medium Opportunity",
 "Routine Market"))</f>
        <v>Routine Market</v>
      </c>
      <c r="BB350" s="3" t="str">
        <f>IF(AND(HS_DB[[#This Row],[Product Rank]]&gt;0,HS_DB[[#This Row],[Product Rank]]&lt;=10),"Yes","No")</f>
        <v>No</v>
      </c>
      <c r="BC350" s="3" t="str">
        <f>IF(AND(HS_DB[[#This Row],[Origin Rank]]&gt;0,HS_DB[[#This Row],[Origin Rank]]&lt;=10),"Yes","No")</f>
        <v>Yes</v>
      </c>
    </row>
    <row r="351" spans="2:55" x14ac:dyDescent="0.3">
      <c r="B351" s="2">
        <f>HS_DB[[#This Row],[Commodity Code]]</f>
        <v>130219</v>
      </c>
      <c r="C351" s="2">
        <f>IFERROR(INDEX(HS_MD!C:C,MATCH(B351,HS_MD!B:B,0),1),"")</f>
        <v>27</v>
      </c>
      <c r="D351" s="17" t="str">
        <f>IFERROR(INDEX(HS_MD!D:D,MATCH(B351,HS_MD!B:B,0),1),"")</f>
        <v>Vegetable extracts</v>
      </c>
      <c r="E351" s="17" t="str">
        <f>IFERROR(INDEX(HS_MD!E:E,MATCH(B351,HS_MD!B:B,0),1),"")</f>
        <v>Natural Extract Colors</v>
      </c>
      <c r="F351" s="17" t="str">
        <f>IFERROR(INDEX(HS_MD!F:F,MATCH(B351,HS_MD!B:B,0),1),"")</f>
        <v>Food Ingredients</v>
      </c>
      <c r="G351" s="17" t="str">
        <f>IFERROR(INDEX(HS_MD!G:G,MATCH(B351,HS_MD!B:B,0),1),"")</f>
        <v>Colors</v>
      </c>
      <c r="H351" s="17" t="str">
        <f>IFERROR(INDEX(HS_MD!H:H,MATCH(B351,HS_MD!B:B,0),1),"")</f>
        <v>Natural Extract Colors</v>
      </c>
      <c r="I351" s="17" t="str">
        <f>IFERROR(INDEX(HS_MD!I:I,MATCH(B351,HS_MD!B:B,0),1),"")</f>
        <v>Food Processing / Clean Label</v>
      </c>
      <c r="J351" s="17">
        <f>IFERROR(INDEX(Heat_Map[Index],MATCH(HS_DB[[#This Row],[Reporter]],Heat_Map[Global],0),1),"")</f>
        <v>175</v>
      </c>
      <c r="K351" s="17" t="str">
        <f>IF(AND(HS_DB[[#This Row],[Origin Rank]]&gt;1,HS_DB[[#This Row],[Origin Rank]]&lt;=10),"Yes","No")</f>
        <v>No</v>
      </c>
      <c r="L351" s="2">
        <v>2024</v>
      </c>
      <c r="M351" s="2" t="s">
        <v>57</v>
      </c>
      <c r="N351" s="2" t="s">
        <v>34</v>
      </c>
      <c r="O351" s="2" t="s">
        <v>22</v>
      </c>
      <c r="P351" s="2" t="s">
        <v>23</v>
      </c>
      <c r="Q351" s="2" t="s">
        <v>24</v>
      </c>
      <c r="R351" s="2" t="s">
        <v>25</v>
      </c>
      <c r="S351" s="2">
        <v>130219</v>
      </c>
      <c r="T351" s="3">
        <v>9479</v>
      </c>
      <c r="U351" s="3">
        <v>131</v>
      </c>
      <c r="V351" s="3">
        <v>0</v>
      </c>
      <c r="W351" s="3">
        <v>131</v>
      </c>
      <c r="X351" s="3" t="s">
        <v>58</v>
      </c>
      <c r="Y351" s="3">
        <v>131</v>
      </c>
      <c r="Z351" s="3" t="s">
        <v>58</v>
      </c>
      <c r="AA351" s="6">
        <f>SUMIFS(HS_DB[Trade Value - USD],HS_DB[Reporter],HS_DB[[#This Row],[Reporter]])/SUM(HS_DB[Trade Value - USD])</f>
        <v>4.7522902002533667E-2</v>
      </c>
      <c r="AB351" s="8" cm="1">
        <f t="array" ref="AB351">SUMPRODUCT(
(HS_DB[Reporter]=HS_DB[[#This Row],[Reporter]])*
(HS_DB[Trade Value - USD]&gt;HS_DB[[#This Row],[Trade Value - USD]])
)+1</f>
        <v>30</v>
      </c>
      <c r="AC351" s="8" t="str">
        <f>IFERROR(IF(INDEX(Heat_Map[Crisis Impact %],MATCH(HS_DB[[#This Row],[Reporter]],Heat_Map[Global],0),1)&gt;0,"Yes","No"),"No")</f>
        <v>Yes</v>
      </c>
      <c r="AD351" s="6">
        <f>IFERROR(INDEX(Heat_Map[Crisis Impact %],MATCH(HS_DB[[#This Row],[Reporter]],Heat_Map[Global],0),1),0)</f>
        <v>0.1</v>
      </c>
      <c r="AE351" s="8">
        <f>HS_DB[[#This Row],[Crisis Impact%]]*HS_DB[[#This Row],[Trade Value - USD]]</f>
        <v>947.90000000000009</v>
      </c>
      <c r="AF351" s="8">
        <f>HS_DB[[#This Row],[Crisis Impact%]]*HS_DB[[#This Row],[Net Weight -KG]]</f>
        <v>13.100000000000001</v>
      </c>
      <c r="AG351" s="6">
        <f>SUMIFS(HS_DB[Trade Value - USD],HS_DB[Products],HS_DB[[#This Row],[Products]])/SUM(HS_DB[Trade Value - USD])</f>
        <v>6.6060467534088414E-3</v>
      </c>
      <c r="AH351" s="8">
        <f>_xlfn.RANK.EQ(HS_DB[[#This Row],[Trade Value - USD]], HS_DB[Trade Value - USD], 0)
 + COUNTIFS(HS_DB[Trade Value - USD],HS_DB[[#This Row],[Trade Value - USD]],
            HS_DB[HS Code],"&lt;"&amp;HS_DB[[#This Row],[HS Code]])</f>
        <v>415</v>
      </c>
      <c r="AI351" s="9">
        <f>IFERROR(HS_DB[[#This Row],[Trade Value - USD]]/HS_DB[[#This Row],[Net Weight -KG]],0)</f>
        <v>72.358778625954201</v>
      </c>
      <c r="AJ351" s="17" cm="1">
        <f t="array" ref="AJ351">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51" s="17" t="str">
        <f>IF(HS_DB[[#This Row],[HS Code Risk Score]]&gt;=40,"High",
 IF(HS_DB[[#This Row],[HS Code Risk Score]]&gt;=25,"Medium","Low"))</f>
        <v>Medium</v>
      </c>
      <c r="AL351" s="17" t="str">
        <f>IF(RANK(HS_DB[[#This Row],[HS Code Risk Score]],HS_DB[HS Code Risk Score])&lt;=10,"Yes","No")</f>
        <v>No</v>
      </c>
      <c r="AM351" s="8">
        <f>SUMIFS(HS_DB[Net Weight -KG],HS_DB[HS Code],HS_DB[[#This Row],[HS Code]])</f>
        <v>502087.6</v>
      </c>
      <c r="AN351" s="8">
        <f>SUMIFS(HS_DB[Trade Value - USD],HS_DB[HS Code],HS_DB[[#This Row],[HS Code]])</f>
        <v>12452453</v>
      </c>
      <c r="AO351" s="6">
        <f>_xlfn.MAXIFS(HS_DB[Origin Share%],HS_DB[HS Code],HS_DB[[#This Row],[HS Code]])</f>
        <v>6.321329281187793E-2</v>
      </c>
      <c r="AP351" s="8" cm="1">
        <f t="array" ref="AP351">_xlfn.LET(
_xlpm.hs,HS_DB[[#This Row],[HS Code]],
COUNTA(_xlfn.UNIQUE(_xlfn._xlws.FILTER(HS_DB[Reporter],HS_DB[HS Code]=_xlpm.hs)))
)</f>
        <v>20</v>
      </c>
      <c r="AQ351" s="17" t="str">
        <f>IF(HS_DB[[#This Row],[Origin Count]]=1,"Single Source","Multiple Sources")</f>
        <v>Multiple Sources</v>
      </c>
      <c r="AR351" s="8">
        <f>HS_DB[[#This Row],[Annual Spend - USD]]*(HS_DB[[#This Row],[HS Code Risk Score]]/100)</f>
        <v>4233834.0200000005</v>
      </c>
      <c r="AS351" s="8">
        <f>RANK(HS_DB[[#This Row],[Risk Exposure - USD]],HS_DB[Risk Exposure - USD],0)</f>
        <v>221</v>
      </c>
      <c r="AT351" s="8" t="str">
        <f>IF(HS_DB[[#This Row],[Risk Exposure Rank]]&lt;=10,"High",
 IF(HS_DB[[#This Row],[Risk Exposure Rank]]&lt;=30,"Medium",
 "Low"))</f>
        <v>Low</v>
      </c>
      <c r="AU351" s="8" t="str">
        <f>IF(HS_DB[[#This Row],[Risk Exposure Rank]]&lt;=5,"Immediate Action",
 IF(HS_DB[[#This Row],[Risk Exposure Rank]]&lt;=15,"Monitor Closely",
 "Routine Control"))</f>
        <v>Routine Control</v>
      </c>
      <c r="AV351" s="8">
        <f>SUMIFS(HS_DB[Trade Value - USD],HS_DB[HS Code],HS_DB[[#This Row],[HS Code]])</f>
        <v>12452453</v>
      </c>
      <c r="AW351" s="6">
        <f>HS_DB[[#This Row],[Annual Spend - USD]]/HS_DB[[#This Row],[Total Market Size - USD]]</f>
        <v>1</v>
      </c>
      <c r="AX351" s="6" cm="1">
        <f t="array" ref="AX351">COUNTA(_xlfn.UNIQUE(_xlfn._xlws.FILTER(HS_DB[Partner],HS_DB[HS Code]=HS_DB[[#This Row],[HS Code]])))</f>
        <v>1</v>
      </c>
      <c r="AY351" s="8" t="str">
        <f>IF(HS_DB[[#This Row],[Competition Intensity]]&lt;=2,"Highly Concentrated",
 IF(HS_DB[[#This Row],[Competition Intensity]]&lt;=5,"Moderate",
 "Highly Competitive"))</f>
        <v>Highly Concentrated</v>
      </c>
      <c r="AZ351" s="8">
        <f>HS_DB[[#This Row],[Total Market Size - USD]]
*
(1+IFERROR(#REF!,0))
/
HS_DB[[#This Row],[Competition Intensity]]</f>
        <v>12452453</v>
      </c>
      <c r="BA351" s="8" t="str">
        <f>IF(HS_DB[[#This Row],[Commercial Opportunity Score]]&gt;=PERCENTILE(HS_DB[Commercial Opportunity Score],0.9),"High Opportunity",
 IF(HS_DB[[#This Row],[Commercial Opportunity Score]]&gt;=PERCENTILE(HS_DB[Commercial Opportunity Score],0.6),"Medium Opportunity",
 "Routine Market"))</f>
        <v>Routine Market</v>
      </c>
      <c r="BB351" s="3" t="str">
        <f>IF(AND(HS_DB[[#This Row],[Product Rank]]&gt;0,HS_DB[[#This Row],[Product Rank]]&lt;=10),"Yes","No")</f>
        <v>No</v>
      </c>
      <c r="BC351" s="3" t="str">
        <f>IF(AND(HS_DB[[#This Row],[Origin Rank]]&gt;0,HS_DB[[#This Row],[Origin Rank]]&lt;=10),"Yes","No")</f>
        <v>No</v>
      </c>
    </row>
    <row r="352" spans="2:55" x14ac:dyDescent="0.3">
      <c r="B352" s="2">
        <f>HS_DB[[#This Row],[Commodity Code]]</f>
        <v>130219</v>
      </c>
      <c r="C352" s="2">
        <f>IFERROR(INDEX(HS_MD!C:C,MATCH(B352,HS_MD!B:B,0),1),"")</f>
        <v>27</v>
      </c>
      <c r="D352" s="17" t="str">
        <f>IFERROR(INDEX(HS_MD!D:D,MATCH(B352,HS_MD!B:B,0),1),"")</f>
        <v>Vegetable extracts</v>
      </c>
      <c r="E352" s="17" t="str">
        <f>IFERROR(INDEX(HS_MD!E:E,MATCH(B352,HS_MD!B:B,0),1),"")</f>
        <v>Natural Extract Colors</v>
      </c>
      <c r="F352" s="17" t="str">
        <f>IFERROR(INDEX(HS_MD!F:F,MATCH(B352,HS_MD!B:B,0),1),"")</f>
        <v>Food Ingredients</v>
      </c>
      <c r="G352" s="17" t="str">
        <f>IFERROR(INDEX(HS_MD!G:G,MATCH(B352,HS_MD!B:B,0),1),"")</f>
        <v>Colors</v>
      </c>
      <c r="H352" s="17" t="str">
        <f>IFERROR(INDEX(HS_MD!H:H,MATCH(B352,HS_MD!B:B,0),1),"")</f>
        <v>Natural Extract Colors</v>
      </c>
      <c r="I352" s="17" t="str">
        <f>IFERROR(INDEX(HS_MD!I:I,MATCH(B352,HS_MD!B:B,0),1),"")</f>
        <v>Food Processing / Clean Label</v>
      </c>
      <c r="J352" s="17">
        <f>IFERROR(INDEX(Heat_Map[Index],MATCH(HS_DB[[#This Row],[Reporter]],Heat_Map[Global],0),1),"")</f>
        <v>181</v>
      </c>
      <c r="K352" s="17" t="str">
        <f>IF(AND(HS_DB[[#This Row],[Origin Rank]]&gt;1,HS_DB[[#This Row],[Origin Rank]]&lt;=10),"Yes","No")</f>
        <v>No</v>
      </c>
      <c r="L352" s="2">
        <v>2024</v>
      </c>
      <c r="M352" s="2" t="s">
        <v>57</v>
      </c>
      <c r="N352" s="2" t="s">
        <v>36</v>
      </c>
      <c r="O352" s="2" t="s">
        <v>22</v>
      </c>
      <c r="P352" s="2" t="s">
        <v>23</v>
      </c>
      <c r="Q352" s="2" t="s">
        <v>24</v>
      </c>
      <c r="R352" s="2" t="s">
        <v>25</v>
      </c>
      <c r="S352" s="2">
        <v>130219</v>
      </c>
      <c r="T352" s="3">
        <v>2222</v>
      </c>
      <c r="U352" s="3">
        <v>211</v>
      </c>
      <c r="V352" s="3">
        <v>0</v>
      </c>
      <c r="W352" s="3">
        <v>211</v>
      </c>
      <c r="X352" s="3" t="s">
        <v>58</v>
      </c>
      <c r="Y352" s="3">
        <v>211</v>
      </c>
      <c r="Z352" s="3" t="s">
        <v>58</v>
      </c>
      <c r="AA352" s="6">
        <f>SUMIFS(HS_DB[Trade Value - USD],HS_DB[Reporter],HS_DB[[#This Row],[Reporter]])/SUM(HS_DB[Trade Value - USD])</f>
        <v>1.3104801671892474E-3</v>
      </c>
      <c r="AB352" s="8" cm="1">
        <f t="array" ref="AB352">SUMPRODUCT(
(HS_DB[Reporter]=HS_DB[[#This Row],[Reporter]])*
(HS_DB[Trade Value - USD]&gt;HS_DB[[#This Row],[Trade Value - USD]])
)+1</f>
        <v>19</v>
      </c>
      <c r="AC352" s="8" t="str">
        <f>IFERROR(IF(INDEX(Heat_Map[Crisis Impact %],MATCH(HS_DB[[#This Row],[Reporter]],Heat_Map[Global],0),1)&gt;0,"Yes","No"),"No")</f>
        <v>No</v>
      </c>
      <c r="AD352" s="6">
        <f>IFERROR(INDEX(Heat_Map[Crisis Impact %],MATCH(HS_DB[[#This Row],[Reporter]],Heat_Map[Global],0),1),0)</f>
        <v>0</v>
      </c>
      <c r="AE352" s="8">
        <f>HS_DB[[#This Row],[Crisis Impact%]]*HS_DB[[#This Row],[Trade Value - USD]]</f>
        <v>0</v>
      </c>
      <c r="AF352" s="8">
        <f>HS_DB[[#This Row],[Crisis Impact%]]*HS_DB[[#This Row],[Net Weight -KG]]</f>
        <v>0</v>
      </c>
      <c r="AG352" s="6">
        <f>SUMIFS(HS_DB[Trade Value - USD],HS_DB[Products],HS_DB[[#This Row],[Products]])/SUM(HS_DB[Trade Value - USD])</f>
        <v>6.6060467534088414E-3</v>
      </c>
      <c r="AH352" s="8">
        <f>_xlfn.RANK.EQ(HS_DB[[#This Row],[Trade Value - USD]], HS_DB[Trade Value - USD], 0)
 + COUNTIFS(HS_DB[Trade Value - USD],HS_DB[[#This Row],[Trade Value - USD]],
            HS_DB[HS Code],"&lt;"&amp;HS_DB[[#This Row],[HS Code]])</f>
        <v>468</v>
      </c>
      <c r="AI352" s="9">
        <f>IFERROR(HS_DB[[#This Row],[Trade Value - USD]]/HS_DB[[#This Row],[Net Weight -KG]],0)</f>
        <v>10.530805687203792</v>
      </c>
      <c r="AJ352" s="17" cm="1">
        <f t="array" ref="AJ352">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52" s="17" t="str">
        <f>IF(HS_DB[[#This Row],[HS Code Risk Score]]&gt;=40,"High",
 IF(HS_DB[[#This Row],[HS Code Risk Score]]&gt;=25,"Medium","Low"))</f>
        <v>Medium</v>
      </c>
      <c r="AL352" s="17" t="str">
        <f>IF(RANK(HS_DB[[#This Row],[HS Code Risk Score]],HS_DB[HS Code Risk Score])&lt;=10,"Yes","No")</f>
        <v>No</v>
      </c>
      <c r="AM352" s="8">
        <f>SUMIFS(HS_DB[Net Weight -KG],HS_DB[HS Code],HS_DB[[#This Row],[HS Code]])</f>
        <v>502087.6</v>
      </c>
      <c r="AN352" s="8">
        <f>SUMIFS(HS_DB[Trade Value - USD],HS_DB[HS Code],HS_DB[[#This Row],[HS Code]])</f>
        <v>12452453</v>
      </c>
      <c r="AO352" s="6">
        <f>_xlfn.MAXIFS(HS_DB[Origin Share%],HS_DB[HS Code],HS_DB[[#This Row],[HS Code]])</f>
        <v>6.321329281187793E-2</v>
      </c>
      <c r="AP352" s="8" cm="1">
        <f t="array" ref="AP352">_xlfn.LET(
_xlpm.hs,HS_DB[[#This Row],[HS Code]],
COUNTA(_xlfn.UNIQUE(_xlfn._xlws.FILTER(HS_DB[Reporter],HS_DB[HS Code]=_xlpm.hs)))
)</f>
        <v>20</v>
      </c>
      <c r="AQ352" s="17" t="str">
        <f>IF(HS_DB[[#This Row],[Origin Count]]=1,"Single Source","Multiple Sources")</f>
        <v>Multiple Sources</v>
      </c>
      <c r="AR352" s="8">
        <f>HS_DB[[#This Row],[Annual Spend - USD]]*(HS_DB[[#This Row],[HS Code Risk Score]]/100)</f>
        <v>4233834.0200000005</v>
      </c>
      <c r="AS352" s="8">
        <f>RANK(HS_DB[[#This Row],[Risk Exposure - USD]],HS_DB[Risk Exposure - USD],0)</f>
        <v>221</v>
      </c>
      <c r="AT352" s="8" t="str">
        <f>IF(HS_DB[[#This Row],[Risk Exposure Rank]]&lt;=10,"High",
 IF(HS_DB[[#This Row],[Risk Exposure Rank]]&lt;=30,"Medium",
 "Low"))</f>
        <v>Low</v>
      </c>
      <c r="AU352" s="8" t="str">
        <f>IF(HS_DB[[#This Row],[Risk Exposure Rank]]&lt;=5,"Immediate Action",
 IF(HS_DB[[#This Row],[Risk Exposure Rank]]&lt;=15,"Monitor Closely",
 "Routine Control"))</f>
        <v>Routine Control</v>
      </c>
      <c r="AV352" s="8">
        <f>SUMIFS(HS_DB[Trade Value - USD],HS_DB[HS Code],HS_DB[[#This Row],[HS Code]])</f>
        <v>12452453</v>
      </c>
      <c r="AW352" s="6">
        <f>HS_DB[[#This Row],[Annual Spend - USD]]/HS_DB[[#This Row],[Total Market Size - USD]]</f>
        <v>1</v>
      </c>
      <c r="AX352" s="6" cm="1">
        <f t="array" ref="AX352">COUNTA(_xlfn.UNIQUE(_xlfn._xlws.FILTER(HS_DB[Partner],HS_DB[HS Code]=HS_DB[[#This Row],[HS Code]])))</f>
        <v>1</v>
      </c>
      <c r="AY352" s="8" t="str">
        <f>IF(HS_DB[[#This Row],[Competition Intensity]]&lt;=2,"Highly Concentrated",
 IF(HS_DB[[#This Row],[Competition Intensity]]&lt;=5,"Moderate",
 "Highly Competitive"))</f>
        <v>Highly Concentrated</v>
      </c>
      <c r="AZ352" s="8">
        <f>HS_DB[[#This Row],[Total Market Size - USD]]
*
(1+IFERROR(#REF!,0))
/
HS_DB[[#This Row],[Competition Intensity]]</f>
        <v>12452453</v>
      </c>
      <c r="BA352" s="8" t="str">
        <f>IF(HS_DB[[#This Row],[Commercial Opportunity Score]]&gt;=PERCENTILE(HS_DB[Commercial Opportunity Score],0.9),"High Opportunity",
 IF(HS_DB[[#This Row],[Commercial Opportunity Score]]&gt;=PERCENTILE(HS_DB[Commercial Opportunity Score],0.6),"Medium Opportunity",
 "Routine Market"))</f>
        <v>Routine Market</v>
      </c>
      <c r="BB352" s="3" t="str">
        <f>IF(AND(HS_DB[[#This Row],[Product Rank]]&gt;0,HS_DB[[#This Row],[Product Rank]]&lt;=10),"Yes","No")</f>
        <v>No</v>
      </c>
      <c r="BC352" s="3" t="str">
        <f>IF(AND(HS_DB[[#This Row],[Origin Rank]]&gt;0,HS_DB[[#This Row],[Origin Rank]]&lt;=10),"Yes","No")</f>
        <v>No</v>
      </c>
    </row>
    <row r="353" spans="2:55" x14ac:dyDescent="0.3">
      <c r="B353" s="2">
        <f>HS_DB[[#This Row],[Commodity Code]]</f>
        <v>130219</v>
      </c>
      <c r="C353" s="2">
        <f>IFERROR(INDEX(HS_MD!C:C,MATCH(B353,HS_MD!B:B,0),1),"")</f>
        <v>27</v>
      </c>
      <c r="D353" s="17" t="str">
        <f>IFERROR(INDEX(HS_MD!D:D,MATCH(B353,HS_MD!B:B,0),1),"")</f>
        <v>Vegetable extracts</v>
      </c>
      <c r="E353" s="17" t="str">
        <f>IFERROR(INDEX(HS_MD!E:E,MATCH(B353,HS_MD!B:B,0),1),"")</f>
        <v>Natural Extract Colors</v>
      </c>
      <c r="F353" s="17" t="str">
        <f>IFERROR(INDEX(HS_MD!F:F,MATCH(B353,HS_MD!B:B,0),1),"")</f>
        <v>Food Ingredients</v>
      </c>
      <c r="G353" s="17" t="str">
        <f>IFERROR(INDEX(HS_MD!G:G,MATCH(B353,HS_MD!B:B,0),1),"")</f>
        <v>Colors</v>
      </c>
      <c r="H353" s="17" t="str">
        <f>IFERROR(INDEX(HS_MD!H:H,MATCH(B353,HS_MD!B:B,0),1),"")</f>
        <v>Natural Extract Colors</v>
      </c>
      <c r="I353" s="17" t="str">
        <f>IFERROR(INDEX(HS_MD!I:I,MATCH(B353,HS_MD!B:B,0),1),"")</f>
        <v>Food Processing / Clean Label</v>
      </c>
      <c r="J353" s="17">
        <f>IFERROR(INDEX(Heat_Map[Index],MATCH(HS_DB[[#This Row],[Reporter]],Heat_Map[Global],0),1),"")</f>
        <v>182</v>
      </c>
      <c r="K353" s="17" t="str">
        <f>IF(AND(HS_DB[[#This Row],[Origin Rank]]&gt;1,HS_DB[[#This Row],[Origin Rank]]&lt;=10),"Yes","No")</f>
        <v>Yes</v>
      </c>
      <c r="L353" s="2">
        <v>2024</v>
      </c>
      <c r="M353" s="2" t="s">
        <v>57</v>
      </c>
      <c r="N353" s="2" t="s">
        <v>56</v>
      </c>
      <c r="O353" s="2" t="s">
        <v>22</v>
      </c>
      <c r="P353" s="2" t="s">
        <v>23</v>
      </c>
      <c r="Q353" s="2" t="s">
        <v>24</v>
      </c>
      <c r="R353" s="2" t="s">
        <v>25</v>
      </c>
      <c r="S353" s="2">
        <v>130219</v>
      </c>
      <c r="T353" s="3">
        <v>2319737</v>
      </c>
      <c r="U353" s="3">
        <v>67407</v>
      </c>
      <c r="V353" s="3">
        <v>0</v>
      </c>
      <c r="W353" s="3">
        <v>67407</v>
      </c>
      <c r="X353" s="3" t="s">
        <v>58</v>
      </c>
      <c r="Y353" s="3">
        <v>67407</v>
      </c>
      <c r="Z353" s="3" t="s">
        <v>58</v>
      </c>
      <c r="AA353" s="6">
        <f>SUMIFS(HS_DB[Trade Value - USD],HS_DB[Reporter],HS_DB[[#This Row],[Reporter]])/SUM(HS_DB[Trade Value - USD])</f>
        <v>9.425427433633813E-3</v>
      </c>
      <c r="AB353" s="8" cm="1">
        <f t="array" ref="AB353">SUMPRODUCT(
(HS_DB[Reporter]=HS_DB[[#This Row],[Reporter]])*
(HS_DB[Trade Value - USD]&gt;HS_DB[[#This Row],[Trade Value - USD]])
)+1</f>
        <v>3</v>
      </c>
      <c r="AC353" s="8" t="str">
        <f>IFERROR(IF(INDEX(Heat_Map[Crisis Impact %],MATCH(HS_DB[[#This Row],[Reporter]],Heat_Map[Global],0),1)&gt;0,"Yes","No"),"No")</f>
        <v>Yes</v>
      </c>
      <c r="AD353" s="6">
        <f>IFERROR(INDEX(Heat_Map[Crisis Impact %],MATCH(HS_DB[[#This Row],[Reporter]],Heat_Map[Global],0),1),0)</f>
        <v>4.0000000000000008E-2</v>
      </c>
      <c r="AE353" s="8">
        <f>HS_DB[[#This Row],[Crisis Impact%]]*HS_DB[[#This Row],[Trade Value - USD]]</f>
        <v>92789.480000000025</v>
      </c>
      <c r="AF353" s="8">
        <f>HS_DB[[#This Row],[Crisis Impact%]]*HS_DB[[#This Row],[Net Weight -KG]]</f>
        <v>2696.2800000000007</v>
      </c>
      <c r="AG353" s="6">
        <f>SUMIFS(HS_DB[Trade Value - USD],HS_DB[Products],HS_DB[[#This Row],[Products]])/SUM(HS_DB[Trade Value - USD])</f>
        <v>6.6060467534088414E-3</v>
      </c>
      <c r="AH353" s="8">
        <f>_xlfn.RANK.EQ(HS_DB[[#This Row],[Trade Value - USD]], HS_DB[Trade Value - USD], 0)
 + COUNTIFS(HS_DB[Trade Value - USD],HS_DB[[#This Row],[Trade Value - USD]],
            HS_DB[HS Code],"&lt;"&amp;HS_DB[[#This Row],[HS Code]])</f>
        <v>59</v>
      </c>
      <c r="AI353" s="9">
        <f>IFERROR(HS_DB[[#This Row],[Trade Value - USD]]/HS_DB[[#This Row],[Net Weight -KG]],0)</f>
        <v>34.413888765261767</v>
      </c>
      <c r="AJ353" s="17" cm="1">
        <f t="array" ref="AJ353">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53" s="17" t="str">
        <f>IF(HS_DB[[#This Row],[HS Code Risk Score]]&gt;=40,"High",
 IF(HS_DB[[#This Row],[HS Code Risk Score]]&gt;=25,"Medium","Low"))</f>
        <v>Medium</v>
      </c>
      <c r="AL353" s="17" t="str">
        <f>IF(RANK(HS_DB[[#This Row],[HS Code Risk Score]],HS_DB[HS Code Risk Score])&lt;=10,"Yes","No")</f>
        <v>No</v>
      </c>
      <c r="AM353" s="8">
        <f>SUMIFS(HS_DB[Net Weight -KG],HS_DB[HS Code],HS_DB[[#This Row],[HS Code]])</f>
        <v>502087.6</v>
      </c>
      <c r="AN353" s="8">
        <f>SUMIFS(HS_DB[Trade Value - USD],HS_DB[HS Code],HS_DB[[#This Row],[HS Code]])</f>
        <v>12452453</v>
      </c>
      <c r="AO353" s="6">
        <f>_xlfn.MAXIFS(HS_DB[Origin Share%],HS_DB[HS Code],HS_DB[[#This Row],[HS Code]])</f>
        <v>6.321329281187793E-2</v>
      </c>
      <c r="AP353" s="8" cm="1">
        <f t="array" ref="AP353">_xlfn.LET(
_xlpm.hs,HS_DB[[#This Row],[HS Code]],
COUNTA(_xlfn.UNIQUE(_xlfn._xlws.FILTER(HS_DB[Reporter],HS_DB[HS Code]=_xlpm.hs)))
)</f>
        <v>20</v>
      </c>
      <c r="AQ353" s="17" t="str">
        <f>IF(HS_DB[[#This Row],[Origin Count]]=1,"Single Source","Multiple Sources")</f>
        <v>Multiple Sources</v>
      </c>
      <c r="AR353" s="8">
        <f>HS_DB[[#This Row],[Annual Spend - USD]]*(HS_DB[[#This Row],[HS Code Risk Score]]/100)</f>
        <v>4233834.0200000005</v>
      </c>
      <c r="AS353" s="8">
        <f>RANK(HS_DB[[#This Row],[Risk Exposure - USD]],HS_DB[Risk Exposure - USD],0)</f>
        <v>221</v>
      </c>
      <c r="AT353" s="8" t="str">
        <f>IF(HS_DB[[#This Row],[Risk Exposure Rank]]&lt;=10,"High",
 IF(HS_DB[[#This Row],[Risk Exposure Rank]]&lt;=30,"Medium",
 "Low"))</f>
        <v>Low</v>
      </c>
      <c r="AU353" s="8" t="str">
        <f>IF(HS_DB[[#This Row],[Risk Exposure Rank]]&lt;=5,"Immediate Action",
 IF(HS_DB[[#This Row],[Risk Exposure Rank]]&lt;=15,"Monitor Closely",
 "Routine Control"))</f>
        <v>Routine Control</v>
      </c>
      <c r="AV353" s="8">
        <f>SUMIFS(HS_DB[Trade Value - USD],HS_DB[HS Code],HS_DB[[#This Row],[HS Code]])</f>
        <v>12452453</v>
      </c>
      <c r="AW353" s="6">
        <f>HS_DB[[#This Row],[Annual Spend - USD]]/HS_DB[[#This Row],[Total Market Size - USD]]</f>
        <v>1</v>
      </c>
      <c r="AX353" s="6" cm="1">
        <f t="array" ref="AX353">COUNTA(_xlfn.UNIQUE(_xlfn._xlws.FILTER(HS_DB[Partner],HS_DB[HS Code]=HS_DB[[#This Row],[HS Code]])))</f>
        <v>1</v>
      </c>
      <c r="AY353" s="8" t="str">
        <f>IF(HS_DB[[#This Row],[Competition Intensity]]&lt;=2,"Highly Concentrated",
 IF(HS_DB[[#This Row],[Competition Intensity]]&lt;=5,"Moderate",
 "Highly Competitive"))</f>
        <v>Highly Concentrated</v>
      </c>
      <c r="AZ353" s="8">
        <f>HS_DB[[#This Row],[Total Market Size - USD]]
*
(1+IFERROR(#REF!,0))
/
HS_DB[[#This Row],[Competition Intensity]]</f>
        <v>12452453</v>
      </c>
      <c r="BA353" s="8" t="str">
        <f>IF(HS_DB[[#This Row],[Commercial Opportunity Score]]&gt;=PERCENTILE(HS_DB[Commercial Opportunity Score],0.9),"High Opportunity",
 IF(HS_DB[[#This Row],[Commercial Opportunity Score]]&gt;=PERCENTILE(HS_DB[Commercial Opportunity Score],0.6),"Medium Opportunity",
 "Routine Market"))</f>
        <v>Routine Market</v>
      </c>
      <c r="BB353" s="3" t="str">
        <f>IF(AND(HS_DB[[#This Row],[Product Rank]]&gt;0,HS_DB[[#This Row],[Product Rank]]&lt;=10),"Yes","No")</f>
        <v>No</v>
      </c>
      <c r="BC353" s="3" t="str">
        <f>IF(AND(HS_DB[[#This Row],[Origin Rank]]&gt;0,HS_DB[[#This Row],[Origin Rank]]&lt;=10),"Yes","No")</f>
        <v>Yes</v>
      </c>
    </row>
    <row r="354" spans="2:55" x14ac:dyDescent="0.3">
      <c r="B354" s="2">
        <f>HS_DB[[#This Row],[Commodity Code]]</f>
        <v>120750</v>
      </c>
      <c r="C354" s="2">
        <f>IFERROR(INDEX(HS_MD!C:C,MATCH(B354,HS_MD!B:B,0),1),"")</f>
        <v>28</v>
      </c>
      <c r="D354" s="17" t="str">
        <f>IFERROR(INDEX(HS_MD!D:D,MATCH(B354,HS_MD!B:B,0),1),"")</f>
        <v>Mustard seeds</v>
      </c>
      <c r="E354" s="17" t="str">
        <f>IFERROR(INDEX(HS_MD!E:E,MATCH(B354,HS_MD!B:B,0),1),"")</f>
        <v>Mustard Seeds</v>
      </c>
      <c r="F354" s="17" t="str">
        <f>IFERROR(INDEX(HS_MD!F:F,MATCH(B354,HS_MD!B:B,0),1),"")</f>
        <v>Agricultural Raw Materials</v>
      </c>
      <c r="G354" s="17" t="str">
        <f>IFERROR(INDEX(HS_MD!G:G,MATCH(B354,HS_MD!B:B,0),1),"")</f>
        <v>Spices</v>
      </c>
      <c r="H354" s="17" t="str">
        <f>IFERROR(INDEX(HS_MD!H:H,MATCH(B354,HS_MD!B:B,0),1),"")</f>
        <v>Oil &amp; Condiment Seeds</v>
      </c>
      <c r="I354" s="17" t="str">
        <f>IFERROR(INDEX(HS_MD!I:I,MATCH(B354,HS_MD!B:B,0),1),"")</f>
        <v>Sauces / Condiments</v>
      </c>
      <c r="J354" s="17">
        <f>IFERROR(INDEX(Heat_Map[Index],MATCH(HS_DB[[#This Row],[Reporter]],Heat_Map[Global],0),1),"")</f>
        <v>75</v>
      </c>
      <c r="K354" s="17" t="str">
        <f>IF(AND(HS_DB[[#This Row],[Origin Rank]]&gt;1,HS_DB[[#This Row],[Origin Rank]]&lt;=10),"Yes","No")</f>
        <v>No</v>
      </c>
      <c r="L354" s="2">
        <v>2024</v>
      </c>
      <c r="M354" s="2" t="s">
        <v>57</v>
      </c>
      <c r="N354" s="2" t="s">
        <v>8</v>
      </c>
      <c r="O354" s="2" t="s">
        <v>22</v>
      </c>
      <c r="P354" s="2" t="s">
        <v>23</v>
      </c>
      <c r="Q354" s="2" t="s">
        <v>24</v>
      </c>
      <c r="R354" s="2" t="s">
        <v>25</v>
      </c>
      <c r="S354" s="2">
        <v>120750</v>
      </c>
      <c r="T354" s="3">
        <v>35178</v>
      </c>
      <c r="U354" s="3">
        <v>42000</v>
      </c>
      <c r="V354" s="3">
        <v>0</v>
      </c>
      <c r="W354" s="3">
        <v>42000</v>
      </c>
      <c r="X354" s="3" t="s">
        <v>58</v>
      </c>
      <c r="Y354" s="3">
        <v>42000</v>
      </c>
      <c r="Z354" s="3" t="s">
        <v>58</v>
      </c>
      <c r="AA354" s="6">
        <f>SUMIFS(HS_DB[Trade Value - USD],HS_DB[Reporter],HS_DB[[#This Row],[Reporter]])/SUM(HS_DB[Trade Value - USD])</f>
        <v>2.2441761060335613E-2</v>
      </c>
      <c r="AB354" s="8" cm="1">
        <f t="array" ref="AB354">SUMPRODUCT(
(HS_DB[Reporter]=HS_DB[[#This Row],[Reporter]])*
(HS_DB[Trade Value - USD]&gt;HS_DB[[#This Row],[Trade Value - USD]])
)+1</f>
        <v>29</v>
      </c>
      <c r="AC354" s="8" t="str">
        <f>IFERROR(IF(INDEX(Heat_Map[Crisis Impact %],MATCH(HS_DB[[#This Row],[Reporter]],Heat_Map[Global],0),1)&gt;0,"Yes","No"),"No")</f>
        <v>No</v>
      </c>
      <c r="AD354" s="6">
        <f>IFERROR(INDEX(Heat_Map[Crisis Impact %],MATCH(HS_DB[[#This Row],[Reporter]],Heat_Map[Global],0),1),0)</f>
        <v>0</v>
      </c>
      <c r="AE354" s="8">
        <f>HS_DB[[#This Row],[Crisis Impact%]]*HS_DB[[#This Row],[Trade Value - USD]]</f>
        <v>0</v>
      </c>
      <c r="AF354" s="8">
        <f>HS_DB[[#This Row],[Crisis Impact%]]*HS_DB[[#This Row],[Net Weight -KG]]</f>
        <v>0</v>
      </c>
      <c r="AG354" s="6">
        <f>SUMIFS(HS_DB[Trade Value - USD],HS_DB[Products],HS_DB[[#This Row],[Products]])/SUM(HS_DB[Trade Value - USD])</f>
        <v>1.8661986733972514E-5</v>
      </c>
      <c r="AH354" s="8">
        <f>_xlfn.RANK.EQ(HS_DB[[#This Row],[Trade Value - USD]], HS_DB[Trade Value - USD], 0)
 + COUNTIFS(HS_DB[Trade Value - USD],HS_DB[[#This Row],[Trade Value - USD]],
            HS_DB[HS Code],"&lt;"&amp;HS_DB[[#This Row],[HS Code]])</f>
        <v>343</v>
      </c>
      <c r="AI354" s="9">
        <f>IFERROR(HS_DB[[#This Row],[Trade Value - USD]]/HS_DB[[#This Row],[Net Weight -KG]],0)</f>
        <v>0.83757142857142852</v>
      </c>
      <c r="AJ354" s="17" cm="1">
        <f t="array" ref="AJ354">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54" s="17" t="str">
        <f>IF(HS_DB[[#This Row],[HS Code Risk Score]]&gt;=40,"High",
 IF(HS_DB[[#This Row],[HS Code Risk Score]]&gt;=25,"Medium","Low"))</f>
        <v>Medium</v>
      </c>
      <c r="AL354" s="17" t="str">
        <f>IF(RANK(HS_DB[[#This Row],[HS Code Risk Score]],HS_DB[HS Code Risk Score])&lt;=10,"Yes","No")</f>
        <v>No</v>
      </c>
      <c r="AM354" s="8">
        <f>SUMIFS(HS_DB[Net Weight -KG],HS_DB[HS Code],HS_DB[[#This Row],[HS Code]])</f>
        <v>42000</v>
      </c>
      <c r="AN354" s="8">
        <f>SUMIFS(HS_DB[Trade Value - USD],HS_DB[HS Code],HS_DB[[#This Row],[HS Code]])</f>
        <v>35178</v>
      </c>
      <c r="AO354" s="6">
        <f>_xlfn.MAXIFS(HS_DB[Origin Share%],HS_DB[HS Code],HS_DB[[#This Row],[HS Code]])</f>
        <v>2.2441761060335613E-2</v>
      </c>
      <c r="AP354" s="8" cm="1">
        <f t="array" ref="AP354">_xlfn.LET(
_xlpm.hs,HS_DB[[#This Row],[HS Code]],
COUNTA(_xlfn.UNIQUE(_xlfn._xlws.FILTER(HS_DB[Reporter],HS_DB[HS Code]=_xlpm.hs)))
)</f>
        <v>1</v>
      </c>
      <c r="AQ354" s="17" t="str">
        <f>IF(HS_DB[[#This Row],[Origin Count]]=1,"Single Source","Multiple Sources")</f>
        <v>Single Source</v>
      </c>
      <c r="AR354" s="8">
        <f>HS_DB[[#This Row],[Annual Spend - USD]]*(HS_DB[[#This Row],[HS Code Risk Score]]/100)</f>
        <v>11960.52</v>
      </c>
      <c r="AS354" s="8">
        <f>RANK(HS_DB[[#This Row],[Risk Exposure - USD]],HS_DB[Risk Exposure - USD],0)</f>
        <v>539</v>
      </c>
      <c r="AT354" s="8" t="str">
        <f>IF(HS_DB[[#This Row],[Risk Exposure Rank]]&lt;=10,"High",
 IF(HS_DB[[#This Row],[Risk Exposure Rank]]&lt;=30,"Medium",
 "Low"))</f>
        <v>Low</v>
      </c>
      <c r="AU354" s="8" t="str">
        <f>IF(HS_DB[[#This Row],[Risk Exposure Rank]]&lt;=5,"Immediate Action",
 IF(HS_DB[[#This Row],[Risk Exposure Rank]]&lt;=15,"Monitor Closely",
 "Routine Control"))</f>
        <v>Routine Control</v>
      </c>
      <c r="AV354" s="8">
        <f>SUMIFS(HS_DB[Trade Value - USD],HS_DB[HS Code],HS_DB[[#This Row],[HS Code]])</f>
        <v>35178</v>
      </c>
      <c r="AW354" s="6">
        <f>HS_DB[[#This Row],[Annual Spend - USD]]/HS_DB[[#This Row],[Total Market Size - USD]]</f>
        <v>1</v>
      </c>
      <c r="AX354" s="6" cm="1">
        <f t="array" ref="AX354">COUNTA(_xlfn.UNIQUE(_xlfn._xlws.FILTER(HS_DB[Partner],HS_DB[HS Code]=HS_DB[[#This Row],[HS Code]])))</f>
        <v>1</v>
      </c>
      <c r="AY354" s="8" t="str">
        <f>IF(HS_DB[[#This Row],[Competition Intensity]]&lt;=2,"Highly Concentrated",
 IF(HS_DB[[#This Row],[Competition Intensity]]&lt;=5,"Moderate",
 "Highly Competitive"))</f>
        <v>Highly Concentrated</v>
      </c>
      <c r="AZ354" s="8">
        <f>HS_DB[[#This Row],[Total Market Size - USD]]
*
(1+IFERROR(#REF!,0))
/
HS_DB[[#This Row],[Competition Intensity]]</f>
        <v>35178</v>
      </c>
      <c r="BA354" s="8" t="str">
        <f>IF(HS_DB[[#This Row],[Commercial Opportunity Score]]&gt;=PERCENTILE(HS_DB[Commercial Opportunity Score],0.9),"High Opportunity",
 IF(HS_DB[[#This Row],[Commercial Opportunity Score]]&gt;=PERCENTILE(HS_DB[Commercial Opportunity Score],0.6),"Medium Opportunity",
 "Routine Market"))</f>
        <v>Routine Market</v>
      </c>
      <c r="BB354" s="3" t="str">
        <f>IF(AND(HS_DB[[#This Row],[Product Rank]]&gt;0,HS_DB[[#This Row],[Product Rank]]&lt;=10),"Yes","No")</f>
        <v>No</v>
      </c>
      <c r="BC354" s="3" t="str">
        <f>IF(AND(HS_DB[[#This Row],[Origin Rank]]&gt;0,HS_DB[[#This Row],[Origin Rank]]&lt;=10),"Yes","No")</f>
        <v>No</v>
      </c>
    </row>
    <row r="355" spans="2:55" x14ac:dyDescent="0.3">
      <c r="B355" s="2">
        <f>HS_DB[[#This Row],[Commodity Code]]</f>
        <v>110630</v>
      </c>
      <c r="C355" s="2">
        <f>IFERROR(INDEX(HS_MD!C:C,MATCH(B355,HS_MD!B:B,0),1),"")</f>
        <v>29</v>
      </c>
      <c r="D355" s="17" t="str">
        <f>IFERROR(INDEX(HS_MD!D:D,MATCH(B355,HS_MD!B:B,0),1),"")</f>
        <v>Flour of dried vegetables</v>
      </c>
      <c r="E355" s="17" t="str">
        <f>IFERROR(INDEX(HS_MD!E:E,MATCH(B355,HS_MD!B:B,0),1),"")</f>
        <v>Mustard Flour</v>
      </c>
      <c r="F355" s="17" t="str">
        <f>IFERROR(INDEX(HS_MD!F:F,MATCH(B355,HS_MD!B:B,0),1),"")</f>
        <v>Agricultural Raw Materials</v>
      </c>
      <c r="G355" s="17" t="str">
        <f>IFERROR(INDEX(HS_MD!G:G,MATCH(B355,HS_MD!B:B,0),1),"")</f>
        <v>Spices</v>
      </c>
      <c r="H355" s="17" t="str">
        <f>IFERROR(INDEX(HS_MD!H:H,MATCH(B355,HS_MD!B:B,0),1),"")</f>
        <v>Processed Spice Powders</v>
      </c>
      <c r="I355" s="17" t="str">
        <f>IFERROR(INDEX(HS_MD!I:I,MATCH(B355,HS_MD!B:B,0),1),"")</f>
        <v>Sauces / Dressings</v>
      </c>
      <c r="J355" s="17">
        <f>IFERROR(INDEX(Heat_Map[Index],MATCH(HS_DB[[#This Row],[Reporter]],Heat_Map[Global],0),1),"")</f>
        <v>160</v>
      </c>
      <c r="K355" s="17" t="str">
        <f>IF(AND(HS_DB[[#This Row],[Origin Rank]]&gt;1,HS_DB[[#This Row],[Origin Rank]]&lt;=10),"Yes","No")</f>
        <v>No</v>
      </c>
      <c r="L355" s="2">
        <v>2024</v>
      </c>
      <c r="M355" s="2" t="s">
        <v>57</v>
      </c>
      <c r="N355" s="2" t="s">
        <v>156</v>
      </c>
      <c r="O355" s="2" t="s">
        <v>22</v>
      </c>
      <c r="P355" s="2" t="s">
        <v>23</v>
      </c>
      <c r="Q355" s="2" t="s">
        <v>24</v>
      </c>
      <c r="R355" s="2" t="s">
        <v>25</v>
      </c>
      <c r="S355" s="2">
        <v>110630</v>
      </c>
      <c r="T355" s="3">
        <v>1015</v>
      </c>
      <c r="U355" s="3">
        <v>1000</v>
      </c>
      <c r="V355" s="3">
        <v>0</v>
      </c>
      <c r="W355" s="3">
        <v>1000</v>
      </c>
      <c r="X355" s="3" t="s">
        <v>58</v>
      </c>
      <c r="Y355" s="3">
        <v>1000</v>
      </c>
      <c r="Z355" s="3" t="s">
        <v>58</v>
      </c>
      <c r="AA355" s="6">
        <f>SUMIFS(HS_DB[Trade Value - USD],HS_DB[Reporter],HS_DB[[#This Row],[Reporter]])/SUM(HS_DB[Trade Value - USD])</f>
        <v>5.3845916581335217E-7</v>
      </c>
      <c r="AB355" s="8" cm="1">
        <f t="array" ref="AB355">SUMPRODUCT(
(HS_DB[Reporter]=HS_DB[[#This Row],[Reporter]])*
(HS_DB[Trade Value - USD]&gt;HS_DB[[#This Row],[Trade Value - USD]])
)+1</f>
        <v>1</v>
      </c>
      <c r="AC355" s="8" t="str">
        <f>IFERROR(IF(INDEX(Heat_Map[Crisis Impact %],MATCH(HS_DB[[#This Row],[Reporter]],Heat_Map[Global],0),1)&gt;0,"Yes","No"),"No")</f>
        <v>No</v>
      </c>
      <c r="AD355" s="6">
        <f>IFERROR(INDEX(Heat_Map[Crisis Impact %],MATCH(HS_DB[[#This Row],[Reporter]],Heat_Map[Global],0),1),0)</f>
        <v>0</v>
      </c>
      <c r="AE355" s="8">
        <f>HS_DB[[#This Row],[Crisis Impact%]]*HS_DB[[#This Row],[Trade Value - USD]]</f>
        <v>0</v>
      </c>
      <c r="AF355" s="8">
        <f>HS_DB[[#This Row],[Crisis Impact%]]*HS_DB[[#This Row],[Net Weight -KG]]</f>
        <v>0</v>
      </c>
      <c r="AG355" s="6">
        <f>SUMIFS(HS_DB[Trade Value - USD],HS_DB[Products],HS_DB[[#This Row],[Products]])/SUM(HS_DB[Trade Value - USD])</f>
        <v>1.6343959812769123E-4</v>
      </c>
      <c r="AH355" s="8">
        <f>_xlfn.RANK.EQ(HS_DB[[#This Row],[Trade Value - USD]], HS_DB[Trade Value - USD], 0)
 + COUNTIFS(HS_DB[Trade Value - USD],HS_DB[[#This Row],[Trade Value - USD]],
            HS_DB[HS Code],"&lt;"&amp;HS_DB[[#This Row],[HS Code]])</f>
        <v>485</v>
      </c>
      <c r="AI355" s="9">
        <f>IFERROR(HS_DB[[#This Row],[Trade Value - USD]]/HS_DB[[#This Row],[Net Weight -KG]],0)</f>
        <v>1.0149999999999999</v>
      </c>
      <c r="AJ355" s="17" cm="1">
        <f t="array" ref="AJ355">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55" s="17" t="str">
        <f>IF(HS_DB[[#This Row],[HS Code Risk Score]]&gt;=40,"High",
 IF(HS_DB[[#This Row],[HS Code Risk Score]]&gt;=25,"Medium","Low"))</f>
        <v>Medium</v>
      </c>
      <c r="AL355" s="17" t="str">
        <f>IF(RANK(HS_DB[[#This Row],[HS Code Risk Score]],HS_DB[HS Code Risk Score])&lt;=10,"Yes","No")</f>
        <v>No</v>
      </c>
      <c r="AM355" s="8">
        <f>SUMIFS(HS_DB[Net Weight -KG],HS_DB[HS Code],HS_DB[[#This Row],[HS Code]])</f>
        <v>61902</v>
      </c>
      <c r="AN355" s="8">
        <f>SUMIFS(HS_DB[Trade Value - USD],HS_DB[HS Code],HS_DB[[#This Row],[HS Code]])</f>
        <v>308085</v>
      </c>
      <c r="AO355" s="6">
        <f>_xlfn.MAXIFS(HS_DB[Origin Share%],HS_DB[HS Code],HS_DB[[#This Row],[HS Code]])</f>
        <v>2.2441761060335613E-2</v>
      </c>
      <c r="AP355" s="8" cm="1">
        <f t="array" ref="AP355">_xlfn.LET(
_xlpm.hs,HS_DB[[#This Row],[HS Code]],
COUNTA(_xlfn.UNIQUE(_xlfn._xlws.FILTER(HS_DB[Reporter],HS_DB[HS Code]=_xlpm.hs)))
)</f>
        <v>7</v>
      </c>
      <c r="AQ355" s="17" t="str">
        <f>IF(HS_DB[[#This Row],[Origin Count]]=1,"Single Source","Multiple Sources")</f>
        <v>Multiple Sources</v>
      </c>
      <c r="AR355" s="8">
        <f>HS_DB[[#This Row],[Annual Spend - USD]]*(HS_DB[[#This Row],[HS Code Risk Score]]/100)</f>
        <v>104748.90000000001</v>
      </c>
      <c r="AS355" s="8">
        <f>RANK(HS_DB[[#This Row],[Risk Exposure - USD]],HS_DB[Risk Exposure - USD],0)</f>
        <v>519</v>
      </c>
      <c r="AT355" s="8" t="str">
        <f>IF(HS_DB[[#This Row],[Risk Exposure Rank]]&lt;=10,"High",
 IF(HS_DB[[#This Row],[Risk Exposure Rank]]&lt;=30,"Medium",
 "Low"))</f>
        <v>Low</v>
      </c>
      <c r="AU355" s="8" t="str">
        <f>IF(HS_DB[[#This Row],[Risk Exposure Rank]]&lt;=5,"Immediate Action",
 IF(HS_DB[[#This Row],[Risk Exposure Rank]]&lt;=15,"Monitor Closely",
 "Routine Control"))</f>
        <v>Routine Control</v>
      </c>
      <c r="AV355" s="8">
        <f>SUMIFS(HS_DB[Trade Value - USD],HS_DB[HS Code],HS_DB[[#This Row],[HS Code]])</f>
        <v>308085</v>
      </c>
      <c r="AW355" s="6">
        <f>HS_DB[[#This Row],[Annual Spend - USD]]/HS_DB[[#This Row],[Total Market Size - USD]]</f>
        <v>1</v>
      </c>
      <c r="AX355" s="6" cm="1">
        <f t="array" ref="AX355">COUNTA(_xlfn.UNIQUE(_xlfn._xlws.FILTER(HS_DB[Partner],HS_DB[HS Code]=HS_DB[[#This Row],[HS Code]])))</f>
        <v>1</v>
      </c>
      <c r="AY355" s="8" t="str">
        <f>IF(HS_DB[[#This Row],[Competition Intensity]]&lt;=2,"Highly Concentrated",
 IF(HS_DB[[#This Row],[Competition Intensity]]&lt;=5,"Moderate",
 "Highly Competitive"))</f>
        <v>Highly Concentrated</v>
      </c>
      <c r="AZ355" s="8">
        <f>HS_DB[[#This Row],[Total Market Size - USD]]
*
(1+IFERROR(#REF!,0))
/
HS_DB[[#This Row],[Competition Intensity]]</f>
        <v>308085</v>
      </c>
      <c r="BA355" s="8" t="str">
        <f>IF(HS_DB[[#This Row],[Commercial Opportunity Score]]&gt;=PERCENTILE(HS_DB[Commercial Opportunity Score],0.9),"High Opportunity",
 IF(HS_DB[[#This Row],[Commercial Opportunity Score]]&gt;=PERCENTILE(HS_DB[Commercial Opportunity Score],0.6),"Medium Opportunity",
 "Routine Market"))</f>
        <v>Routine Market</v>
      </c>
      <c r="BB355" s="3" t="str">
        <f>IF(AND(HS_DB[[#This Row],[Product Rank]]&gt;0,HS_DB[[#This Row],[Product Rank]]&lt;=10),"Yes","No")</f>
        <v>No</v>
      </c>
      <c r="BC355" s="3" t="str">
        <f>IF(AND(HS_DB[[#This Row],[Origin Rank]]&gt;0,HS_DB[[#This Row],[Origin Rank]]&lt;=10),"Yes","No")</f>
        <v>Yes</v>
      </c>
    </row>
    <row r="356" spans="2:55" x14ac:dyDescent="0.3">
      <c r="B356" s="2">
        <f>HS_DB[[#This Row],[Commodity Code]]</f>
        <v>110630</v>
      </c>
      <c r="C356" s="2">
        <f>IFERROR(INDEX(HS_MD!C:C,MATCH(B356,HS_MD!B:B,0),1),"")</f>
        <v>29</v>
      </c>
      <c r="D356" s="17" t="str">
        <f>IFERROR(INDEX(HS_MD!D:D,MATCH(B356,HS_MD!B:B,0),1),"")</f>
        <v>Flour of dried vegetables</v>
      </c>
      <c r="E356" s="17" t="str">
        <f>IFERROR(INDEX(HS_MD!E:E,MATCH(B356,HS_MD!B:B,0),1),"")</f>
        <v>Mustard Flour</v>
      </c>
      <c r="F356" s="17" t="str">
        <f>IFERROR(INDEX(HS_MD!F:F,MATCH(B356,HS_MD!B:B,0),1),"")</f>
        <v>Agricultural Raw Materials</v>
      </c>
      <c r="G356" s="17" t="str">
        <f>IFERROR(INDEX(HS_MD!G:G,MATCH(B356,HS_MD!B:B,0),1),"")</f>
        <v>Spices</v>
      </c>
      <c r="H356" s="17" t="str">
        <f>IFERROR(INDEX(HS_MD!H:H,MATCH(B356,HS_MD!B:B,0),1),"")</f>
        <v>Processed Spice Powders</v>
      </c>
      <c r="I356" s="17" t="str">
        <f>IFERROR(INDEX(HS_MD!I:I,MATCH(B356,HS_MD!B:B,0),1),"")</f>
        <v>Sauces / Dressings</v>
      </c>
      <c r="J356" s="17">
        <f>IFERROR(INDEX(Heat_Map[Index],MATCH(HS_DB[[#This Row],[Reporter]],Heat_Map[Global],0),1),"")</f>
        <v>88</v>
      </c>
      <c r="K356" s="17" t="str">
        <f>IF(AND(HS_DB[[#This Row],[Origin Rank]]&gt;1,HS_DB[[#This Row],[Origin Rank]]&lt;=10),"Yes","No")</f>
        <v>Yes</v>
      </c>
      <c r="L356" s="2">
        <v>2024</v>
      </c>
      <c r="M356" s="2" t="s">
        <v>57</v>
      </c>
      <c r="N356" s="2" t="s">
        <v>157</v>
      </c>
      <c r="O356" s="2" t="s">
        <v>22</v>
      </c>
      <c r="P356" s="2" t="s">
        <v>23</v>
      </c>
      <c r="Q356" s="2" t="s">
        <v>24</v>
      </c>
      <c r="R356" s="2" t="s">
        <v>25</v>
      </c>
      <c r="S356" s="2">
        <v>110630</v>
      </c>
      <c r="T356" s="3">
        <v>781</v>
      </c>
      <c r="U356" s="3">
        <v>354</v>
      </c>
      <c r="V356" s="3">
        <v>0</v>
      </c>
      <c r="W356" s="3">
        <v>354</v>
      </c>
      <c r="X356" s="3" t="s">
        <v>58</v>
      </c>
      <c r="Y356" s="3">
        <v>354</v>
      </c>
      <c r="Z356" s="3" t="s">
        <v>58</v>
      </c>
      <c r="AA356" s="6">
        <f>SUMIFS(HS_DB[Trade Value - USD],HS_DB[Reporter],HS_DB[[#This Row],[Reporter]])/SUM(HS_DB[Trade Value - USD])</f>
        <v>8.2233059401702185E-6</v>
      </c>
      <c r="AB356" s="8" cm="1">
        <f t="array" ref="AB356">SUMPRODUCT(
(HS_DB[Reporter]=HS_DB[[#This Row],[Reporter]])*
(HS_DB[Trade Value - USD]&gt;HS_DB[[#This Row],[Trade Value - USD]])
)+1</f>
        <v>4</v>
      </c>
      <c r="AC356" s="8" t="str">
        <f>IFERROR(IF(INDEX(Heat_Map[Crisis Impact %],MATCH(HS_DB[[#This Row],[Reporter]],Heat_Map[Global],0),1)&gt;0,"Yes","No"),"No")</f>
        <v>No</v>
      </c>
      <c r="AD356" s="6">
        <f>IFERROR(INDEX(Heat_Map[Crisis Impact %],MATCH(HS_DB[[#This Row],[Reporter]],Heat_Map[Global],0),1),0)</f>
        <v>0</v>
      </c>
      <c r="AE356" s="8">
        <f>HS_DB[[#This Row],[Crisis Impact%]]*HS_DB[[#This Row],[Trade Value - USD]]</f>
        <v>0</v>
      </c>
      <c r="AF356" s="8">
        <f>HS_DB[[#This Row],[Crisis Impact%]]*HS_DB[[#This Row],[Net Weight -KG]]</f>
        <v>0</v>
      </c>
      <c r="AG356" s="6">
        <f>SUMIFS(HS_DB[Trade Value - USD],HS_DB[Products],HS_DB[[#This Row],[Products]])/SUM(HS_DB[Trade Value - USD])</f>
        <v>1.6343959812769123E-4</v>
      </c>
      <c r="AH356" s="8">
        <f>_xlfn.RANK.EQ(HS_DB[[#This Row],[Trade Value - USD]], HS_DB[Trade Value - USD], 0)
 + COUNTIFS(HS_DB[Trade Value - USD],HS_DB[[#This Row],[Trade Value - USD]],
            HS_DB[HS Code],"&lt;"&amp;HS_DB[[#This Row],[HS Code]])</f>
        <v>488</v>
      </c>
      <c r="AI356" s="9">
        <f>IFERROR(HS_DB[[#This Row],[Trade Value - USD]]/HS_DB[[#This Row],[Net Weight -KG]],0)</f>
        <v>2.2062146892655368</v>
      </c>
      <c r="AJ356" s="17" cm="1">
        <f t="array" ref="AJ356">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56" s="17" t="str">
        <f>IF(HS_DB[[#This Row],[HS Code Risk Score]]&gt;=40,"High",
 IF(HS_DB[[#This Row],[HS Code Risk Score]]&gt;=25,"Medium","Low"))</f>
        <v>Medium</v>
      </c>
      <c r="AL356" s="17" t="str">
        <f>IF(RANK(HS_DB[[#This Row],[HS Code Risk Score]],HS_DB[HS Code Risk Score])&lt;=10,"Yes","No")</f>
        <v>No</v>
      </c>
      <c r="AM356" s="8">
        <f>SUMIFS(HS_DB[Net Weight -KG],HS_DB[HS Code],HS_DB[[#This Row],[HS Code]])</f>
        <v>61902</v>
      </c>
      <c r="AN356" s="8">
        <f>SUMIFS(HS_DB[Trade Value - USD],HS_DB[HS Code],HS_DB[[#This Row],[HS Code]])</f>
        <v>308085</v>
      </c>
      <c r="AO356" s="6">
        <f>_xlfn.MAXIFS(HS_DB[Origin Share%],HS_DB[HS Code],HS_DB[[#This Row],[HS Code]])</f>
        <v>2.2441761060335613E-2</v>
      </c>
      <c r="AP356" s="8" cm="1">
        <f t="array" ref="AP356">_xlfn.LET(
_xlpm.hs,HS_DB[[#This Row],[HS Code]],
COUNTA(_xlfn.UNIQUE(_xlfn._xlws.FILTER(HS_DB[Reporter],HS_DB[HS Code]=_xlpm.hs)))
)</f>
        <v>7</v>
      </c>
      <c r="AQ356" s="17" t="str">
        <f>IF(HS_DB[[#This Row],[Origin Count]]=1,"Single Source","Multiple Sources")</f>
        <v>Multiple Sources</v>
      </c>
      <c r="AR356" s="8">
        <f>HS_DB[[#This Row],[Annual Spend - USD]]*(HS_DB[[#This Row],[HS Code Risk Score]]/100)</f>
        <v>104748.90000000001</v>
      </c>
      <c r="AS356" s="8">
        <f>RANK(HS_DB[[#This Row],[Risk Exposure - USD]],HS_DB[Risk Exposure - USD],0)</f>
        <v>519</v>
      </c>
      <c r="AT356" s="8" t="str">
        <f>IF(HS_DB[[#This Row],[Risk Exposure Rank]]&lt;=10,"High",
 IF(HS_DB[[#This Row],[Risk Exposure Rank]]&lt;=30,"Medium",
 "Low"))</f>
        <v>Low</v>
      </c>
      <c r="AU356" s="8" t="str">
        <f>IF(HS_DB[[#This Row],[Risk Exposure Rank]]&lt;=5,"Immediate Action",
 IF(HS_DB[[#This Row],[Risk Exposure Rank]]&lt;=15,"Monitor Closely",
 "Routine Control"))</f>
        <v>Routine Control</v>
      </c>
      <c r="AV356" s="8">
        <f>SUMIFS(HS_DB[Trade Value - USD],HS_DB[HS Code],HS_DB[[#This Row],[HS Code]])</f>
        <v>308085</v>
      </c>
      <c r="AW356" s="6">
        <f>HS_DB[[#This Row],[Annual Spend - USD]]/HS_DB[[#This Row],[Total Market Size - USD]]</f>
        <v>1</v>
      </c>
      <c r="AX356" s="6" cm="1">
        <f t="array" ref="AX356">COUNTA(_xlfn.UNIQUE(_xlfn._xlws.FILTER(HS_DB[Partner],HS_DB[HS Code]=HS_DB[[#This Row],[HS Code]])))</f>
        <v>1</v>
      </c>
      <c r="AY356" s="8" t="str">
        <f>IF(HS_DB[[#This Row],[Competition Intensity]]&lt;=2,"Highly Concentrated",
 IF(HS_DB[[#This Row],[Competition Intensity]]&lt;=5,"Moderate",
 "Highly Competitive"))</f>
        <v>Highly Concentrated</v>
      </c>
      <c r="AZ356" s="8">
        <f>HS_DB[[#This Row],[Total Market Size - USD]]
*
(1+IFERROR(#REF!,0))
/
HS_DB[[#This Row],[Competition Intensity]]</f>
        <v>308085</v>
      </c>
      <c r="BA356" s="8" t="str">
        <f>IF(HS_DB[[#This Row],[Commercial Opportunity Score]]&gt;=PERCENTILE(HS_DB[Commercial Opportunity Score],0.9),"High Opportunity",
 IF(HS_DB[[#This Row],[Commercial Opportunity Score]]&gt;=PERCENTILE(HS_DB[Commercial Opportunity Score],0.6),"Medium Opportunity",
 "Routine Market"))</f>
        <v>Routine Market</v>
      </c>
      <c r="BB356" s="3" t="str">
        <f>IF(AND(HS_DB[[#This Row],[Product Rank]]&gt;0,HS_DB[[#This Row],[Product Rank]]&lt;=10),"Yes","No")</f>
        <v>No</v>
      </c>
      <c r="BC356" s="3" t="str">
        <f>IF(AND(HS_DB[[#This Row],[Origin Rank]]&gt;0,HS_DB[[#This Row],[Origin Rank]]&lt;=10),"Yes","No")</f>
        <v>Yes</v>
      </c>
    </row>
    <row r="357" spans="2:55" x14ac:dyDescent="0.3">
      <c r="B357" s="2">
        <f>HS_DB[[#This Row],[Commodity Code]]</f>
        <v>110630</v>
      </c>
      <c r="C357" s="2">
        <f>IFERROR(INDEX(HS_MD!C:C,MATCH(B357,HS_MD!B:B,0),1),"")</f>
        <v>29</v>
      </c>
      <c r="D357" s="17" t="str">
        <f>IFERROR(INDEX(HS_MD!D:D,MATCH(B357,HS_MD!B:B,0),1),"")</f>
        <v>Flour of dried vegetables</v>
      </c>
      <c r="E357" s="17" t="str">
        <f>IFERROR(INDEX(HS_MD!E:E,MATCH(B357,HS_MD!B:B,0),1),"")</f>
        <v>Mustard Flour</v>
      </c>
      <c r="F357" s="17" t="str">
        <f>IFERROR(INDEX(HS_MD!F:F,MATCH(B357,HS_MD!B:B,0),1),"")</f>
        <v>Agricultural Raw Materials</v>
      </c>
      <c r="G357" s="17" t="str">
        <f>IFERROR(INDEX(HS_MD!G:G,MATCH(B357,HS_MD!B:B,0),1),"")</f>
        <v>Spices</v>
      </c>
      <c r="H357" s="17" t="str">
        <f>IFERROR(INDEX(HS_MD!H:H,MATCH(B357,HS_MD!B:B,0),1),"")</f>
        <v>Processed Spice Powders</v>
      </c>
      <c r="I357" s="17" t="str">
        <f>IFERROR(INDEX(HS_MD!I:I,MATCH(B357,HS_MD!B:B,0),1),"")</f>
        <v>Sauces / Dressings</v>
      </c>
      <c r="J357" s="17">
        <f>IFERROR(INDEX(Heat_Map[Index],MATCH(HS_DB[[#This Row],[Reporter]],Heat_Map[Global],0),1),"")</f>
        <v>118</v>
      </c>
      <c r="K357" s="17" t="str">
        <f>IF(AND(HS_DB[[#This Row],[Origin Rank]]&gt;1,HS_DB[[#This Row],[Origin Rank]]&lt;=10),"Yes","No")</f>
        <v>No</v>
      </c>
      <c r="L357" s="2">
        <v>2024</v>
      </c>
      <c r="M357" s="2" t="s">
        <v>57</v>
      </c>
      <c r="N357" s="2" t="s">
        <v>53</v>
      </c>
      <c r="O357" s="2" t="s">
        <v>22</v>
      </c>
      <c r="P357" s="2" t="s">
        <v>23</v>
      </c>
      <c r="Q357" s="2" t="s">
        <v>24</v>
      </c>
      <c r="R357" s="2" t="s">
        <v>25</v>
      </c>
      <c r="S357" s="2">
        <v>110630</v>
      </c>
      <c r="T357" s="3">
        <v>32795</v>
      </c>
      <c r="U357" s="3">
        <v>4262</v>
      </c>
      <c r="V357" s="3">
        <v>0</v>
      </c>
      <c r="W357" s="3">
        <v>4262</v>
      </c>
      <c r="X357" s="3" t="s">
        <v>58</v>
      </c>
      <c r="Y357" s="3">
        <v>4262</v>
      </c>
      <c r="Z357" s="3" t="s">
        <v>58</v>
      </c>
      <c r="AA357" s="6">
        <f>SUMIFS(HS_DB[Trade Value - USD],HS_DB[Reporter],HS_DB[[#This Row],[Reporter]])/SUM(HS_DB[Trade Value - USD])</f>
        <v>1.4561232389604124E-2</v>
      </c>
      <c r="AB357" s="8" cm="1">
        <f t="array" ref="AB357">SUMPRODUCT(
(HS_DB[Reporter]=HS_DB[[#This Row],[Reporter]])*
(HS_DB[Trade Value - USD]&gt;HS_DB[[#This Row],[Trade Value - USD]])
)+1</f>
        <v>24</v>
      </c>
      <c r="AC357" s="8" t="str">
        <f>IFERROR(IF(INDEX(Heat_Map[Crisis Impact %],MATCH(HS_DB[[#This Row],[Reporter]],Heat_Map[Global],0),1)&gt;0,"Yes","No"),"No")</f>
        <v>No</v>
      </c>
      <c r="AD357" s="6">
        <f>IFERROR(INDEX(Heat_Map[Crisis Impact %],MATCH(HS_DB[[#This Row],[Reporter]],Heat_Map[Global],0),1),0)</f>
        <v>0</v>
      </c>
      <c r="AE357" s="8">
        <f>HS_DB[[#This Row],[Crisis Impact%]]*HS_DB[[#This Row],[Trade Value - USD]]</f>
        <v>0</v>
      </c>
      <c r="AF357" s="8">
        <f>HS_DB[[#This Row],[Crisis Impact%]]*HS_DB[[#This Row],[Net Weight -KG]]</f>
        <v>0</v>
      </c>
      <c r="AG357" s="6">
        <f>SUMIFS(HS_DB[Trade Value - USD],HS_DB[Products],HS_DB[[#This Row],[Products]])/SUM(HS_DB[Trade Value - USD])</f>
        <v>1.6343959812769123E-4</v>
      </c>
      <c r="AH357" s="8">
        <f>_xlfn.RANK.EQ(HS_DB[[#This Row],[Trade Value - USD]], HS_DB[Trade Value - USD], 0)
 + COUNTIFS(HS_DB[Trade Value - USD],HS_DB[[#This Row],[Trade Value - USD]],
            HS_DB[HS Code],"&lt;"&amp;HS_DB[[#This Row],[HS Code]])</f>
        <v>349</v>
      </c>
      <c r="AI357" s="9">
        <f>IFERROR(HS_DB[[#This Row],[Trade Value - USD]]/HS_DB[[#This Row],[Net Weight -KG]],0)</f>
        <v>7.6947442515251057</v>
      </c>
      <c r="AJ357" s="17" cm="1">
        <f t="array" ref="AJ357">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57" s="17" t="str">
        <f>IF(HS_DB[[#This Row],[HS Code Risk Score]]&gt;=40,"High",
 IF(HS_DB[[#This Row],[HS Code Risk Score]]&gt;=25,"Medium","Low"))</f>
        <v>Medium</v>
      </c>
      <c r="AL357" s="17" t="str">
        <f>IF(RANK(HS_DB[[#This Row],[HS Code Risk Score]],HS_DB[HS Code Risk Score])&lt;=10,"Yes","No")</f>
        <v>No</v>
      </c>
      <c r="AM357" s="8">
        <f>SUMIFS(HS_DB[Net Weight -KG],HS_DB[HS Code],HS_DB[[#This Row],[HS Code]])</f>
        <v>61902</v>
      </c>
      <c r="AN357" s="8">
        <f>SUMIFS(HS_DB[Trade Value - USD],HS_DB[HS Code],HS_DB[[#This Row],[HS Code]])</f>
        <v>308085</v>
      </c>
      <c r="AO357" s="6">
        <f>_xlfn.MAXIFS(HS_DB[Origin Share%],HS_DB[HS Code],HS_DB[[#This Row],[HS Code]])</f>
        <v>2.2441761060335613E-2</v>
      </c>
      <c r="AP357" s="8" cm="1">
        <f t="array" ref="AP357">_xlfn.LET(
_xlpm.hs,HS_DB[[#This Row],[HS Code]],
COUNTA(_xlfn.UNIQUE(_xlfn._xlws.FILTER(HS_DB[Reporter],HS_DB[HS Code]=_xlpm.hs)))
)</f>
        <v>7</v>
      </c>
      <c r="AQ357" s="17" t="str">
        <f>IF(HS_DB[[#This Row],[Origin Count]]=1,"Single Source","Multiple Sources")</f>
        <v>Multiple Sources</v>
      </c>
      <c r="AR357" s="8">
        <f>HS_DB[[#This Row],[Annual Spend - USD]]*(HS_DB[[#This Row],[HS Code Risk Score]]/100)</f>
        <v>104748.90000000001</v>
      </c>
      <c r="AS357" s="8">
        <f>RANK(HS_DB[[#This Row],[Risk Exposure - USD]],HS_DB[Risk Exposure - USD],0)</f>
        <v>519</v>
      </c>
      <c r="AT357" s="8" t="str">
        <f>IF(HS_DB[[#This Row],[Risk Exposure Rank]]&lt;=10,"High",
 IF(HS_DB[[#This Row],[Risk Exposure Rank]]&lt;=30,"Medium",
 "Low"))</f>
        <v>Low</v>
      </c>
      <c r="AU357" s="8" t="str">
        <f>IF(HS_DB[[#This Row],[Risk Exposure Rank]]&lt;=5,"Immediate Action",
 IF(HS_DB[[#This Row],[Risk Exposure Rank]]&lt;=15,"Monitor Closely",
 "Routine Control"))</f>
        <v>Routine Control</v>
      </c>
      <c r="AV357" s="8">
        <f>SUMIFS(HS_DB[Trade Value - USD],HS_DB[HS Code],HS_DB[[#This Row],[HS Code]])</f>
        <v>308085</v>
      </c>
      <c r="AW357" s="6">
        <f>HS_DB[[#This Row],[Annual Spend - USD]]/HS_DB[[#This Row],[Total Market Size - USD]]</f>
        <v>1</v>
      </c>
      <c r="AX357" s="6" cm="1">
        <f t="array" ref="AX357">COUNTA(_xlfn.UNIQUE(_xlfn._xlws.FILTER(HS_DB[Partner],HS_DB[HS Code]=HS_DB[[#This Row],[HS Code]])))</f>
        <v>1</v>
      </c>
      <c r="AY357" s="8" t="str">
        <f>IF(HS_DB[[#This Row],[Competition Intensity]]&lt;=2,"Highly Concentrated",
 IF(HS_DB[[#This Row],[Competition Intensity]]&lt;=5,"Moderate",
 "Highly Competitive"))</f>
        <v>Highly Concentrated</v>
      </c>
      <c r="AZ357" s="8">
        <f>HS_DB[[#This Row],[Total Market Size - USD]]
*
(1+IFERROR(#REF!,0))
/
HS_DB[[#This Row],[Competition Intensity]]</f>
        <v>308085</v>
      </c>
      <c r="BA357" s="8" t="str">
        <f>IF(HS_DB[[#This Row],[Commercial Opportunity Score]]&gt;=PERCENTILE(HS_DB[Commercial Opportunity Score],0.9),"High Opportunity",
 IF(HS_DB[[#This Row],[Commercial Opportunity Score]]&gt;=PERCENTILE(HS_DB[Commercial Opportunity Score],0.6),"Medium Opportunity",
 "Routine Market"))</f>
        <v>Routine Market</v>
      </c>
      <c r="BB357" s="3" t="str">
        <f>IF(AND(HS_DB[[#This Row],[Product Rank]]&gt;0,HS_DB[[#This Row],[Product Rank]]&lt;=10),"Yes","No")</f>
        <v>No</v>
      </c>
      <c r="BC357" s="3" t="str">
        <f>IF(AND(HS_DB[[#This Row],[Origin Rank]]&gt;0,HS_DB[[#This Row],[Origin Rank]]&lt;=10),"Yes","No")</f>
        <v>No</v>
      </c>
    </row>
    <row r="358" spans="2:55" x14ac:dyDescent="0.3">
      <c r="B358" s="2">
        <f>HS_DB[[#This Row],[Commodity Code]]</f>
        <v>110630</v>
      </c>
      <c r="C358" s="2">
        <f>IFERROR(INDEX(HS_MD!C:C,MATCH(B358,HS_MD!B:B,0),1),"")</f>
        <v>29</v>
      </c>
      <c r="D358" s="17" t="str">
        <f>IFERROR(INDEX(HS_MD!D:D,MATCH(B358,HS_MD!B:B,0),1),"")</f>
        <v>Flour of dried vegetables</v>
      </c>
      <c r="E358" s="17" t="str">
        <f>IFERROR(INDEX(HS_MD!E:E,MATCH(B358,HS_MD!B:B,0),1),"")</f>
        <v>Mustard Flour</v>
      </c>
      <c r="F358" s="17" t="str">
        <f>IFERROR(INDEX(HS_MD!F:F,MATCH(B358,HS_MD!B:B,0),1),"")</f>
        <v>Agricultural Raw Materials</v>
      </c>
      <c r="G358" s="17" t="str">
        <f>IFERROR(INDEX(HS_MD!G:G,MATCH(B358,HS_MD!B:B,0),1),"")</f>
        <v>Spices</v>
      </c>
      <c r="H358" s="17" t="str">
        <f>IFERROR(INDEX(HS_MD!H:H,MATCH(B358,HS_MD!B:B,0),1),"")</f>
        <v>Processed Spice Powders</v>
      </c>
      <c r="I358" s="17" t="str">
        <f>IFERROR(INDEX(HS_MD!I:I,MATCH(B358,HS_MD!B:B,0),1),"")</f>
        <v>Sauces / Dressings</v>
      </c>
      <c r="J358" s="17">
        <f>IFERROR(INDEX(Heat_Map[Index],MATCH(HS_DB[[#This Row],[Reporter]],Heat_Map[Global],0),1),"")</f>
        <v>134</v>
      </c>
      <c r="K358" s="17" t="str">
        <f>IF(AND(HS_DB[[#This Row],[Origin Rank]]&gt;1,HS_DB[[#This Row],[Origin Rank]]&lt;=10),"Yes","No")</f>
        <v>Yes</v>
      </c>
      <c r="L358" s="2">
        <v>2024</v>
      </c>
      <c r="M358" s="2" t="s">
        <v>57</v>
      </c>
      <c r="N358" s="2" t="s">
        <v>55</v>
      </c>
      <c r="O358" s="2" t="s">
        <v>22</v>
      </c>
      <c r="P358" s="2" t="s">
        <v>23</v>
      </c>
      <c r="Q358" s="2" t="s">
        <v>24</v>
      </c>
      <c r="R358" s="2" t="s">
        <v>25</v>
      </c>
      <c r="S358" s="2">
        <v>110630</v>
      </c>
      <c r="T358" s="3">
        <v>3613</v>
      </c>
      <c r="U358" s="3">
        <v>2000</v>
      </c>
      <c r="V358" s="3">
        <v>0</v>
      </c>
      <c r="W358" s="3">
        <v>2000</v>
      </c>
      <c r="X358" s="3" t="s">
        <v>58</v>
      </c>
      <c r="Y358" s="3">
        <v>2000</v>
      </c>
      <c r="Z358" s="3" t="s">
        <v>58</v>
      </c>
      <c r="AA358" s="6">
        <f>SUMIFS(HS_DB[Trade Value - USD],HS_DB[Reporter],HS_DB[[#This Row],[Reporter]])/SUM(HS_DB[Trade Value - USD])</f>
        <v>6.3855771678493602E-3</v>
      </c>
      <c r="AB358" s="8" cm="1">
        <f t="array" ref="AB358">SUMPRODUCT(
(HS_DB[Reporter]=HS_DB[[#This Row],[Reporter]])*
(HS_DB[Trade Value - USD]&gt;HS_DB[[#This Row],[Trade Value - USD]])
)+1</f>
        <v>8</v>
      </c>
      <c r="AC358" s="8" t="str">
        <f>IFERROR(IF(INDEX(Heat_Map[Crisis Impact %],MATCH(HS_DB[[#This Row],[Reporter]],Heat_Map[Global],0),1)&gt;0,"Yes","No"),"No")</f>
        <v>Yes</v>
      </c>
      <c r="AD358" s="6">
        <f>IFERROR(INDEX(Heat_Map[Crisis Impact %],MATCH(HS_DB[[#This Row],[Reporter]],Heat_Map[Global],0),1),0)</f>
        <v>0.06</v>
      </c>
      <c r="AE358" s="8">
        <f>HS_DB[[#This Row],[Crisis Impact%]]*HS_DB[[#This Row],[Trade Value - USD]]</f>
        <v>216.78</v>
      </c>
      <c r="AF358" s="8">
        <f>HS_DB[[#This Row],[Crisis Impact%]]*HS_DB[[#This Row],[Net Weight -KG]]</f>
        <v>120</v>
      </c>
      <c r="AG358" s="6">
        <f>SUMIFS(HS_DB[Trade Value - USD],HS_DB[Products],HS_DB[[#This Row],[Products]])/SUM(HS_DB[Trade Value - USD])</f>
        <v>1.6343959812769123E-4</v>
      </c>
      <c r="AH358" s="8">
        <f>_xlfn.RANK.EQ(HS_DB[[#This Row],[Trade Value - USD]], HS_DB[Trade Value - USD], 0)
 + COUNTIFS(HS_DB[Trade Value - USD],HS_DB[[#This Row],[Trade Value - USD]],
            HS_DB[HS Code],"&lt;"&amp;HS_DB[[#This Row],[HS Code]])</f>
        <v>451</v>
      </c>
      <c r="AI358" s="9">
        <f>IFERROR(HS_DB[[#This Row],[Trade Value - USD]]/HS_DB[[#This Row],[Net Weight -KG]],0)</f>
        <v>1.8065</v>
      </c>
      <c r="AJ358" s="17" cm="1">
        <f t="array" ref="AJ358">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58" s="17" t="str">
        <f>IF(HS_DB[[#This Row],[HS Code Risk Score]]&gt;=40,"High",
 IF(HS_DB[[#This Row],[HS Code Risk Score]]&gt;=25,"Medium","Low"))</f>
        <v>Medium</v>
      </c>
      <c r="AL358" s="17" t="str">
        <f>IF(RANK(HS_DB[[#This Row],[HS Code Risk Score]],HS_DB[HS Code Risk Score])&lt;=10,"Yes","No")</f>
        <v>No</v>
      </c>
      <c r="AM358" s="8">
        <f>SUMIFS(HS_DB[Net Weight -KG],HS_DB[HS Code],HS_DB[[#This Row],[HS Code]])</f>
        <v>61902</v>
      </c>
      <c r="AN358" s="8">
        <f>SUMIFS(HS_DB[Trade Value - USD],HS_DB[HS Code],HS_DB[[#This Row],[HS Code]])</f>
        <v>308085</v>
      </c>
      <c r="AO358" s="6">
        <f>_xlfn.MAXIFS(HS_DB[Origin Share%],HS_DB[HS Code],HS_DB[[#This Row],[HS Code]])</f>
        <v>2.2441761060335613E-2</v>
      </c>
      <c r="AP358" s="8" cm="1">
        <f t="array" ref="AP358">_xlfn.LET(
_xlpm.hs,HS_DB[[#This Row],[HS Code]],
COUNTA(_xlfn.UNIQUE(_xlfn._xlws.FILTER(HS_DB[Reporter],HS_DB[HS Code]=_xlpm.hs)))
)</f>
        <v>7</v>
      </c>
      <c r="AQ358" s="17" t="str">
        <f>IF(HS_DB[[#This Row],[Origin Count]]=1,"Single Source","Multiple Sources")</f>
        <v>Multiple Sources</v>
      </c>
      <c r="AR358" s="8">
        <f>HS_DB[[#This Row],[Annual Spend - USD]]*(HS_DB[[#This Row],[HS Code Risk Score]]/100)</f>
        <v>104748.90000000001</v>
      </c>
      <c r="AS358" s="8">
        <f>RANK(HS_DB[[#This Row],[Risk Exposure - USD]],HS_DB[Risk Exposure - USD],0)</f>
        <v>519</v>
      </c>
      <c r="AT358" s="8" t="str">
        <f>IF(HS_DB[[#This Row],[Risk Exposure Rank]]&lt;=10,"High",
 IF(HS_DB[[#This Row],[Risk Exposure Rank]]&lt;=30,"Medium",
 "Low"))</f>
        <v>Low</v>
      </c>
      <c r="AU358" s="8" t="str">
        <f>IF(HS_DB[[#This Row],[Risk Exposure Rank]]&lt;=5,"Immediate Action",
 IF(HS_DB[[#This Row],[Risk Exposure Rank]]&lt;=15,"Monitor Closely",
 "Routine Control"))</f>
        <v>Routine Control</v>
      </c>
      <c r="AV358" s="8">
        <f>SUMIFS(HS_DB[Trade Value - USD],HS_DB[HS Code],HS_DB[[#This Row],[HS Code]])</f>
        <v>308085</v>
      </c>
      <c r="AW358" s="6">
        <f>HS_DB[[#This Row],[Annual Spend - USD]]/HS_DB[[#This Row],[Total Market Size - USD]]</f>
        <v>1</v>
      </c>
      <c r="AX358" s="6" cm="1">
        <f t="array" ref="AX358">COUNTA(_xlfn.UNIQUE(_xlfn._xlws.FILTER(HS_DB[Partner],HS_DB[HS Code]=HS_DB[[#This Row],[HS Code]])))</f>
        <v>1</v>
      </c>
      <c r="AY358" s="8" t="str">
        <f>IF(HS_DB[[#This Row],[Competition Intensity]]&lt;=2,"Highly Concentrated",
 IF(HS_DB[[#This Row],[Competition Intensity]]&lt;=5,"Moderate",
 "Highly Competitive"))</f>
        <v>Highly Concentrated</v>
      </c>
      <c r="AZ358" s="8">
        <f>HS_DB[[#This Row],[Total Market Size - USD]]
*
(1+IFERROR(#REF!,0))
/
HS_DB[[#This Row],[Competition Intensity]]</f>
        <v>308085</v>
      </c>
      <c r="BA358" s="8" t="str">
        <f>IF(HS_DB[[#This Row],[Commercial Opportunity Score]]&gt;=PERCENTILE(HS_DB[Commercial Opportunity Score],0.9),"High Opportunity",
 IF(HS_DB[[#This Row],[Commercial Opportunity Score]]&gt;=PERCENTILE(HS_DB[Commercial Opportunity Score],0.6),"Medium Opportunity",
 "Routine Market"))</f>
        <v>Routine Market</v>
      </c>
      <c r="BB358" s="3" t="str">
        <f>IF(AND(HS_DB[[#This Row],[Product Rank]]&gt;0,HS_DB[[#This Row],[Product Rank]]&lt;=10),"Yes","No")</f>
        <v>No</v>
      </c>
      <c r="BC358" s="3" t="str">
        <f>IF(AND(HS_DB[[#This Row],[Origin Rank]]&gt;0,HS_DB[[#This Row],[Origin Rank]]&lt;=10),"Yes","No")</f>
        <v>Yes</v>
      </c>
    </row>
    <row r="359" spans="2:55" x14ac:dyDescent="0.3">
      <c r="B359" s="2">
        <f>HS_DB[[#This Row],[Commodity Code]]</f>
        <v>110630</v>
      </c>
      <c r="C359" s="2">
        <f>IFERROR(INDEX(HS_MD!C:C,MATCH(B359,HS_MD!B:B,0),1),"")</f>
        <v>29</v>
      </c>
      <c r="D359" s="17" t="str">
        <f>IFERROR(INDEX(HS_MD!D:D,MATCH(B359,HS_MD!B:B,0),1),"")</f>
        <v>Flour of dried vegetables</v>
      </c>
      <c r="E359" s="17" t="str">
        <f>IFERROR(INDEX(HS_MD!E:E,MATCH(B359,HS_MD!B:B,0),1),"")</f>
        <v>Mustard Flour</v>
      </c>
      <c r="F359" s="17" t="str">
        <f>IFERROR(INDEX(HS_MD!F:F,MATCH(B359,HS_MD!B:B,0),1),"")</f>
        <v>Agricultural Raw Materials</v>
      </c>
      <c r="G359" s="17" t="str">
        <f>IFERROR(INDEX(HS_MD!G:G,MATCH(B359,HS_MD!B:B,0),1),"")</f>
        <v>Spices</v>
      </c>
      <c r="H359" s="17" t="str">
        <f>IFERROR(INDEX(HS_MD!H:H,MATCH(B359,HS_MD!B:B,0),1),"")</f>
        <v>Processed Spice Powders</v>
      </c>
      <c r="I359" s="17" t="str">
        <f>IFERROR(INDEX(HS_MD!I:I,MATCH(B359,HS_MD!B:B,0),1),"")</f>
        <v>Sauces / Dressings</v>
      </c>
      <c r="J359" s="17">
        <f>IFERROR(INDEX(Heat_Map[Index],MATCH(HS_DB[[#This Row],[Reporter]],Heat_Map[Global],0),1),"")</f>
        <v>146</v>
      </c>
      <c r="K359" s="17" t="str">
        <f>IF(AND(HS_DB[[#This Row],[Origin Rank]]&gt;1,HS_DB[[#This Row],[Origin Rank]]&lt;=10),"Yes","No")</f>
        <v>Yes</v>
      </c>
      <c r="L359" s="2">
        <v>2024</v>
      </c>
      <c r="M359" s="2" t="s">
        <v>57</v>
      </c>
      <c r="N359" s="2" t="s">
        <v>27</v>
      </c>
      <c r="O359" s="2" t="s">
        <v>22</v>
      </c>
      <c r="P359" s="2" t="s">
        <v>23</v>
      </c>
      <c r="Q359" s="2" t="s">
        <v>24</v>
      </c>
      <c r="R359" s="2" t="s">
        <v>25</v>
      </c>
      <c r="S359" s="2">
        <v>110630</v>
      </c>
      <c r="T359" s="3">
        <v>131211</v>
      </c>
      <c r="U359" s="3">
        <v>27646</v>
      </c>
      <c r="V359" s="3">
        <v>0</v>
      </c>
      <c r="W359" s="3">
        <v>27646</v>
      </c>
      <c r="X359" s="3" t="s">
        <v>58</v>
      </c>
      <c r="Y359" s="3">
        <v>27646</v>
      </c>
      <c r="Z359" s="3" t="s">
        <v>58</v>
      </c>
      <c r="AA359" s="6">
        <f>SUMIFS(HS_DB[Trade Value - USD],HS_DB[Reporter],HS_DB[[#This Row],[Reporter]])/SUM(HS_DB[Trade Value - USD])</f>
        <v>9.709938116315122E-3</v>
      </c>
      <c r="AB359" s="8" cm="1">
        <f t="array" ref="AB359">SUMPRODUCT(
(HS_DB[Reporter]=HS_DB[[#This Row],[Reporter]])*
(HS_DB[Trade Value - USD]&gt;HS_DB[[#This Row],[Trade Value - USD]])
)+1</f>
        <v>7</v>
      </c>
      <c r="AC359" s="8" t="str">
        <f>IFERROR(IF(INDEX(Heat_Map[Crisis Impact %],MATCH(HS_DB[[#This Row],[Reporter]],Heat_Map[Global],0),1)&gt;0,"Yes","No"),"No")</f>
        <v>No</v>
      </c>
      <c r="AD359" s="6">
        <f>IFERROR(INDEX(Heat_Map[Crisis Impact %],MATCH(HS_DB[[#This Row],[Reporter]],Heat_Map[Global],0),1),0)</f>
        <v>0</v>
      </c>
      <c r="AE359" s="8">
        <f>HS_DB[[#This Row],[Crisis Impact%]]*HS_DB[[#This Row],[Trade Value - USD]]</f>
        <v>0</v>
      </c>
      <c r="AF359" s="8">
        <f>HS_DB[[#This Row],[Crisis Impact%]]*HS_DB[[#This Row],[Net Weight -KG]]</f>
        <v>0</v>
      </c>
      <c r="AG359" s="6">
        <f>SUMIFS(HS_DB[Trade Value - USD],HS_DB[Products],HS_DB[[#This Row],[Products]])/SUM(HS_DB[Trade Value - USD])</f>
        <v>1.6343959812769123E-4</v>
      </c>
      <c r="AH359" s="8">
        <f>_xlfn.RANK.EQ(HS_DB[[#This Row],[Trade Value - USD]], HS_DB[Trade Value - USD], 0)
 + COUNTIFS(HS_DB[Trade Value - USD],HS_DB[[#This Row],[Trade Value - USD]],
            HS_DB[HS Code],"&lt;"&amp;HS_DB[[#This Row],[HS Code]])</f>
        <v>258</v>
      </c>
      <c r="AI359" s="9">
        <f>IFERROR(HS_DB[[#This Row],[Trade Value - USD]]/HS_DB[[#This Row],[Net Weight -KG]],0)</f>
        <v>4.7461115532084204</v>
      </c>
      <c r="AJ359" s="17" cm="1">
        <f t="array" ref="AJ359">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59" s="17" t="str">
        <f>IF(HS_DB[[#This Row],[HS Code Risk Score]]&gt;=40,"High",
 IF(HS_DB[[#This Row],[HS Code Risk Score]]&gt;=25,"Medium","Low"))</f>
        <v>Medium</v>
      </c>
      <c r="AL359" s="17" t="str">
        <f>IF(RANK(HS_DB[[#This Row],[HS Code Risk Score]],HS_DB[HS Code Risk Score])&lt;=10,"Yes","No")</f>
        <v>No</v>
      </c>
      <c r="AM359" s="8">
        <f>SUMIFS(HS_DB[Net Weight -KG],HS_DB[HS Code],HS_DB[[#This Row],[HS Code]])</f>
        <v>61902</v>
      </c>
      <c r="AN359" s="8">
        <f>SUMIFS(HS_DB[Trade Value - USD],HS_DB[HS Code],HS_DB[[#This Row],[HS Code]])</f>
        <v>308085</v>
      </c>
      <c r="AO359" s="6">
        <f>_xlfn.MAXIFS(HS_DB[Origin Share%],HS_DB[HS Code],HS_DB[[#This Row],[HS Code]])</f>
        <v>2.2441761060335613E-2</v>
      </c>
      <c r="AP359" s="8" cm="1">
        <f t="array" ref="AP359">_xlfn.LET(
_xlpm.hs,HS_DB[[#This Row],[HS Code]],
COUNTA(_xlfn.UNIQUE(_xlfn._xlws.FILTER(HS_DB[Reporter],HS_DB[HS Code]=_xlpm.hs)))
)</f>
        <v>7</v>
      </c>
      <c r="AQ359" s="17" t="str">
        <f>IF(HS_DB[[#This Row],[Origin Count]]=1,"Single Source","Multiple Sources")</f>
        <v>Multiple Sources</v>
      </c>
      <c r="AR359" s="8">
        <f>HS_DB[[#This Row],[Annual Spend - USD]]*(HS_DB[[#This Row],[HS Code Risk Score]]/100)</f>
        <v>104748.90000000001</v>
      </c>
      <c r="AS359" s="8">
        <f>RANK(HS_DB[[#This Row],[Risk Exposure - USD]],HS_DB[Risk Exposure - USD],0)</f>
        <v>519</v>
      </c>
      <c r="AT359" s="8" t="str">
        <f>IF(HS_DB[[#This Row],[Risk Exposure Rank]]&lt;=10,"High",
 IF(HS_DB[[#This Row],[Risk Exposure Rank]]&lt;=30,"Medium",
 "Low"))</f>
        <v>Low</v>
      </c>
      <c r="AU359" s="8" t="str">
        <f>IF(HS_DB[[#This Row],[Risk Exposure Rank]]&lt;=5,"Immediate Action",
 IF(HS_DB[[#This Row],[Risk Exposure Rank]]&lt;=15,"Monitor Closely",
 "Routine Control"))</f>
        <v>Routine Control</v>
      </c>
      <c r="AV359" s="8">
        <f>SUMIFS(HS_DB[Trade Value - USD],HS_DB[HS Code],HS_DB[[#This Row],[HS Code]])</f>
        <v>308085</v>
      </c>
      <c r="AW359" s="6">
        <f>HS_DB[[#This Row],[Annual Spend - USD]]/HS_DB[[#This Row],[Total Market Size - USD]]</f>
        <v>1</v>
      </c>
      <c r="AX359" s="6" cm="1">
        <f t="array" ref="AX359">COUNTA(_xlfn.UNIQUE(_xlfn._xlws.FILTER(HS_DB[Partner],HS_DB[HS Code]=HS_DB[[#This Row],[HS Code]])))</f>
        <v>1</v>
      </c>
      <c r="AY359" s="8" t="str">
        <f>IF(HS_DB[[#This Row],[Competition Intensity]]&lt;=2,"Highly Concentrated",
 IF(HS_DB[[#This Row],[Competition Intensity]]&lt;=5,"Moderate",
 "Highly Competitive"))</f>
        <v>Highly Concentrated</v>
      </c>
      <c r="AZ359" s="8">
        <f>HS_DB[[#This Row],[Total Market Size - USD]]
*
(1+IFERROR(#REF!,0))
/
HS_DB[[#This Row],[Competition Intensity]]</f>
        <v>308085</v>
      </c>
      <c r="BA359" s="8" t="str">
        <f>IF(HS_DB[[#This Row],[Commercial Opportunity Score]]&gt;=PERCENTILE(HS_DB[Commercial Opportunity Score],0.9),"High Opportunity",
 IF(HS_DB[[#This Row],[Commercial Opportunity Score]]&gt;=PERCENTILE(HS_DB[Commercial Opportunity Score],0.6),"Medium Opportunity",
 "Routine Market"))</f>
        <v>Routine Market</v>
      </c>
      <c r="BB359" s="3" t="str">
        <f>IF(AND(HS_DB[[#This Row],[Product Rank]]&gt;0,HS_DB[[#This Row],[Product Rank]]&lt;=10),"Yes","No")</f>
        <v>No</v>
      </c>
      <c r="BC359" s="3" t="str">
        <f>IF(AND(HS_DB[[#This Row],[Origin Rank]]&gt;0,HS_DB[[#This Row],[Origin Rank]]&lt;=10),"Yes","No")</f>
        <v>Yes</v>
      </c>
    </row>
    <row r="360" spans="2:55" x14ac:dyDescent="0.3">
      <c r="B360" s="2">
        <f>HS_DB[[#This Row],[Commodity Code]]</f>
        <v>110630</v>
      </c>
      <c r="C360" s="2">
        <f>IFERROR(INDEX(HS_MD!C:C,MATCH(B360,HS_MD!B:B,0),1),"")</f>
        <v>29</v>
      </c>
      <c r="D360" s="17" t="str">
        <f>IFERROR(INDEX(HS_MD!D:D,MATCH(B360,HS_MD!B:B,0),1),"")</f>
        <v>Flour of dried vegetables</v>
      </c>
      <c r="E360" s="17" t="str">
        <f>IFERROR(INDEX(HS_MD!E:E,MATCH(B360,HS_MD!B:B,0),1),"")</f>
        <v>Mustard Flour</v>
      </c>
      <c r="F360" s="17" t="str">
        <f>IFERROR(INDEX(HS_MD!F:F,MATCH(B360,HS_MD!B:B,0),1),"")</f>
        <v>Agricultural Raw Materials</v>
      </c>
      <c r="G360" s="17" t="str">
        <f>IFERROR(INDEX(HS_MD!G:G,MATCH(B360,HS_MD!B:B,0),1),"")</f>
        <v>Spices</v>
      </c>
      <c r="H360" s="17" t="str">
        <f>IFERROR(INDEX(HS_MD!H:H,MATCH(B360,HS_MD!B:B,0),1),"")</f>
        <v>Processed Spice Powders</v>
      </c>
      <c r="I360" s="17" t="str">
        <f>IFERROR(INDEX(HS_MD!I:I,MATCH(B360,HS_MD!B:B,0),1),"")</f>
        <v>Sauces / Dressings</v>
      </c>
      <c r="J360" s="17">
        <f>IFERROR(INDEX(Heat_Map[Index],MATCH(HS_DB[[#This Row],[Reporter]],Heat_Map[Global],0),1),"")</f>
        <v>75</v>
      </c>
      <c r="K360" s="17" t="str">
        <f>IF(AND(HS_DB[[#This Row],[Origin Rank]]&gt;1,HS_DB[[#This Row],[Origin Rank]]&lt;=10),"Yes","No")</f>
        <v>No</v>
      </c>
      <c r="L360" s="2">
        <v>2024</v>
      </c>
      <c r="M360" s="2" t="s">
        <v>57</v>
      </c>
      <c r="N360" s="2" t="s">
        <v>8</v>
      </c>
      <c r="O360" s="2" t="s">
        <v>22</v>
      </c>
      <c r="P360" s="2" t="s">
        <v>23</v>
      </c>
      <c r="Q360" s="2" t="s">
        <v>24</v>
      </c>
      <c r="R360" s="2" t="s">
        <v>25</v>
      </c>
      <c r="S360" s="2">
        <v>110630</v>
      </c>
      <c r="T360" s="3">
        <v>334</v>
      </c>
      <c r="U360" s="3">
        <v>40</v>
      </c>
      <c r="V360" s="3">
        <v>0</v>
      </c>
      <c r="W360" s="3">
        <v>40</v>
      </c>
      <c r="X360" s="3" t="s">
        <v>58</v>
      </c>
      <c r="Y360" s="3">
        <v>40</v>
      </c>
      <c r="Z360" s="3" t="s">
        <v>58</v>
      </c>
      <c r="AA360" s="6">
        <f>SUMIFS(HS_DB[Trade Value - USD],HS_DB[Reporter],HS_DB[[#This Row],[Reporter]])/SUM(HS_DB[Trade Value - USD])</f>
        <v>2.2441761060335613E-2</v>
      </c>
      <c r="AB360" s="8" cm="1">
        <f t="array" ref="AB360">SUMPRODUCT(
(HS_DB[Reporter]=HS_DB[[#This Row],[Reporter]])*
(HS_DB[Trade Value - USD]&gt;HS_DB[[#This Row],[Trade Value - USD]])
)+1</f>
        <v>36</v>
      </c>
      <c r="AC360" s="8" t="str">
        <f>IFERROR(IF(INDEX(Heat_Map[Crisis Impact %],MATCH(HS_DB[[#This Row],[Reporter]],Heat_Map[Global],0),1)&gt;0,"Yes","No"),"No")</f>
        <v>No</v>
      </c>
      <c r="AD360" s="6">
        <f>IFERROR(INDEX(Heat_Map[Crisis Impact %],MATCH(HS_DB[[#This Row],[Reporter]],Heat_Map[Global],0),1),0)</f>
        <v>0</v>
      </c>
      <c r="AE360" s="8">
        <f>HS_DB[[#This Row],[Crisis Impact%]]*HS_DB[[#This Row],[Trade Value - USD]]</f>
        <v>0</v>
      </c>
      <c r="AF360" s="8">
        <f>HS_DB[[#This Row],[Crisis Impact%]]*HS_DB[[#This Row],[Net Weight -KG]]</f>
        <v>0</v>
      </c>
      <c r="AG360" s="6">
        <f>SUMIFS(HS_DB[Trade Value - USD],HS_DB[Products],HS_DB[[#This Row],[Products]])/SUM(HS_DB[Trade Value - USD])</f>
        <v>1.6343959812769123E-4</v>
      </c>
      <c r="AH360" s="8">
        <f>_xlfn.RANK.EQ(HS_DB[[#This Row],[Trade Value - USD]], HS_DB[Trade Value - USD], 0)
 + COUNTIFS(HS_DB[Trade Value - USD],HS_DB[[#This Row],[Trade Value - USD]],
            HS_DB[HS Code],"&lt;"&amp;HS_DB[[#This Row],[HS Code]])</f>
        <v>501</v>
      </c>
      <c r="AI360" s="9">
        <f>IFERROR(HS_DB[[#This Row],[Trade Value - USD]]/HS_DB[[#This Row],[Net Weight -KG]],0)</f>
        <v>8.35</v>
      </c>
      <c r="AJ360" s="17" cm="1">
        <f t="array" ref="AJ360">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60" s="17" t="str">
        <f>IF(HS_DB[[#This Row],[HS Code Risk Score]]&gt;=40,"High",
 IF(HS_DB[[#This Row],[HS Code Risk Score]]&gt;=25,"Medium","Low"))</f>
        <v>Medium</v>
      </c>
      <c r="AL360" s="17" t="str">
        <f>IF(RANK(HS_DB[[#This Row],[HS Code Risk Score]],HS_DB[HS Code Risk Score])&lt;=10,"Yes","No")</f>
        <v>No</v>
      </c>
      <c r="AM360" s="8">
        <f>SUMIFS(HS_DB[Net Weight -KG],HS_DB[HS Code],HS_DB[[#This Row],[HS Code]])</f>
        <v>61902</v>
      </c>
      <c r="AN360" s="8">
        <f>SUMIFS(HS_DB[Trade Value - USD],HS_DB[HS Code],HS_DB[[#This Row],[HS Code]])</f>
        <v>308085</v>
      </c>
      <c r="AO360" s="6">
        <f>_xlfn.MAXIFS(HS_DB[Origin Share%],HS_DB[HS Code],HS_DB[[#This Row],[HS Code]])</f>
        <v>2.2441761060335613E-2</v>
      </c>
      <c r="AP360" s="8" cm="1">
        <f t="array" ref="AP360">_xlfn.LET(
_xlpm.hs,HS_DB[[#This Row],[HS Code]],
COUNTA(_xlfn.UNIQUE(_xlfn._xlws.FILTER(HS_DB[Reporter],HS_DB[HS Code]=_xlpm.hs)))
)</f>
        <v>7</v>
      </c>
      <c r="AQ360" s="17" t="str">
        <f>IF(HS_DB[[#This Row],[Origin Count]]=1,"Single Source","Multiple Sources")</f>
        <v>Multiple Sources</v>
      </c>
      <c r="AR360" s="8">
        <f>HS_DB[[#This Row],[Annual Spend - USD]]*(HS_DB[[#This Row],[HS Code Risk Score]]/100)</f>
        <v>104748.90000000001</v>
      </c>
      <c r="AS360" s="8">
        <f>RANK(HS_DB[[#This Row],[Risk Exposure - USD]],HS_DB[Risk Exposure - USD],0)</f>
        <v>519</v>
      </c>
      <c r="AT360" s="8" t="str">
        <f>IF(HS_DB[[#This Row],[Risk Exposure Rank]]&lt;=10,"High",
 IF(HS_DB[[#This Row],[Risk Exposure Rank]]&lt;=30,"Medium",
 "Low"))</f>
        <v>Low</v>
      </c>
      <c r="AU360" s="8" t="str">
        <f>IF(HS_DB[[#This Row],[Risk Exposure Rank]]&lt;=5,"Immediate Action",
 IF(HS_DB[[#This Row],[Risk Exposure Rank]]&lt;=15,"Monitor Closely",
 "Routine Control"))</f>
        <v>Routine Control</v>
      </c>
      <c r="AV360" s="8">
        <f>SUMIFS(HS_DB[Trade Value - USD],HS_DB[HS Code],HS_DB[[#This Row],[HS Code]])</f>
        <v>308085</v>
      </c>
      <c r="AW360" s="6">
        <f>HS_DB[[#This Row],[Annual Spend - USD]]/HS_DB[[#This Row],[Total Market Size - USD]]</f>
        <v>1</v>
      </c>
      <c r="AX360" s="6" cm="1">
        <f t="array" ref="AX360">COUNTA(_xlfn.UNIQUE(_xlfn._xlws.FILTER(HS_DB[Partner],HS_DB[HS Code]=HS_DB[[#This Row],[HS Code]])))</f>
        <v>1</v>
      </c>
      <c r="AY360" s="8" t="str">
        <f>IF(HS_DB[[#This Row],[Competition Intensity]]&lt;=2,"Highly Concentrated",
 IF(HS_DB[[#This Row],[Competition Intensity]]&lt;=5,"Moderate",
 "Highly Competitive"))</f>
        <v>Highly Concentrated</v>
      </c>
      <c r="AZ360" s="8">
        <f>HS_DB[[#This Row],[Total Market Size - USD]]
*
(1+IFERROR(#REF!,0))
/
HS_DB[[#This Row],[Competition Intensity]]</f>
        <v>308085</v>
      </c>
      <c r="BA360" s="8" t="str">
        <f>IF(HS_DB[[#This Row],[Commercial Opportunity Score]]&gt;=PERCENTILE(HS_DB[Commercial Opportunity Score],0.9),"High Opportunity",
 IF(HS_DB[[#This Row],[Commercial Opportunity Score]]&gt;=PERCENTILE(HS_DB[Commercial Opportunity Score],0.6),"Medium Opportunity",
 "Routine Market"))</f>
        <v>Routine Market</v>
      </c>
      <c r="BB360" s="3" t="str">
        <f>IF(AND(HS_DB[[#This Row],[Product Rank]]&gt;0,HS_DB[[#This Row],[Product Rank]]&lt;=10),"Yes","No")</f>
        <v>No</v>
      </c>
      <c r="BC360" s="3" t="str">
        <f>IF(AND(HS_DB[[#This Row],[Origin Rank]]&gt;0,HS_DB[[#This Row],[Origin Rank]]&lt;=10),"Yes","No")</f>
        <v>No</v>
      </c>
    </row>
    <row r="361" spans="2:55" x14ac:dyDescent="0.3">
      <c r="B361" s="2">
        <f>HS_DB[[#This Row],[Commodity Code]]</f>
        <v>110630</v>
      </c>
      <c r="C361" s="2">
        <f>IFERROR(INDEX(HS_MD!C:C,MATCH(B361,HS_MD!B:B,0),1),"")</f>
        <v>29</v>
      </c>
      <c r="D361" s="17" t="str">
        <f>IFERROR(INDEX(HS_MD!D:D,MATCH(B361,HS_MD!B:B,0),1),"")</f>
        <v>Flour of dried vegetables</v>
      </c>
      <c r="E361" s="17" t="str">
        <f>IFERROR(INDEX(HS_MD!E:E,MATCH(B361,HS_MD!B:B,0),1),"")</f>
        <v>Mustard Flour</v>
      </c>
      <c r="F361" s="17" t="str">
        <f>IFERROR(INDEX(HS_MD!F:F,MATCH(B361,HS_MD!B:B,0),1),"")</f>
        <v>Agricultural Raw Materials</v>
      </c>
      <c r="G361" s="17" t="str">
        <f>IFERROR(INDEX(HS_MD!G:G,MATCH(B361,HS_MD!B:B,0),1),"")</f>
        <v>Spices</v>
      </c>
      <c r="H361" s="17" t="str">
        <f>IFERROR(INDEX(HS_MD!H:H,MATCH(B361,HS_MD!B:B,0),1),"")</f>
        <v>Processed Spice Powders</v>
      </c>
      <c r="I361" s="17" t="str">
        <f>IFERROR(INDEX(HS_MD!I:I,MATCH(B361,HS_MD!B:B,0),1),"")</f>
        <v>Sauces / Dressings</v>
      </c>
      <c r="J361" s="17">
        <f>IFERROR(INDEX(Heat_Map[Index],MATCH(HS_DB[[#This Row],[Reporter]],Heat_Map[Global],0),1),"")</f>
        <v>159</v>
      </c>
      <c r="K361" s="17" t="str">
        <f>IF(AND(HS_DB[[#This Row],[Origin Rank]]&gt;1,HS_DB[[#This Row],[Origin Rank]]&lt;=10),"Yes","No")</f>
        <v>No</v>
      </c>
      <c r="L361" s="2">
        <v>2024</v>
      </c>
      <c r="M361" s="2" t="s">
        <v>57</v>
      </c>
      <c r="N361" s="2" t="s">
        <v>30</v>
      </c>
      <c r="O361" s="2" t="s">
        <v>22</v>
      </c>
      <c r="P361" s="2" t="s">
        <v>23</v>
      </c>
      <c r="Q361" s="2" t="s">
        <v>24</v>
      </c>
      <c r="R361" s="2" t="s">
        <v>25</v>
      </c>
      <c r="S361" s="2">
        <v>110630</v>
      </c>
      <c r="T361" s="3">
        <v>138336</v>
      </c>
      <c r="U361" s="3">
        <v>26600</v>
      </c>
      <c r="V361" s="3">
        <v>0</v>
      </c>
      <c r="W361" s="3">
        <v>26600</v>
      </c>
      <c r="X361" s="3" t="s">
        <v>58</v>
      </c>
      <c r="Y361" s="3">
        <v>26600</v>
      </c>
      <c r="Z361" s="3" t="s">
        <v>58</v>
      </c>
      <c r="AA361" s="6">
        <f>SUMIFS(HS_DB[Trade Value - USD],HS_DB[Reporter],HS_DB[[#This Row],[Reporter]])/SUM(HS_DB[Trade Value - USD])</f>
        <v>6.110186869383482E-3</v>
      </c>
      <c r="AB361" s="8" cm="1">
        <f t="array" ref="AB361">SUMPRODUCT(
(HS_DB[Reporter]=HS_DB[[#This Row],[Reporter]])*
(HS_DB[Trade Value - USD]&gt;HS_DB[[#This Row],[Trade Value - USD]])
)+1</f>
        <v>13</v>
      </c>
      <c r="AC361" s="8" t="str">
        <f>IFERROR(IF(INDEX(Heat_Map[Crisis Impact %],MATCH(HS_DB[[#This Row],[Reporter]],Heat_Map[Global],0),1)&gt;0,"Yes","No"),"No")</f>
        <v>No</v>
      </c>
      <c r="AD361" s="6">
        <f>IFERROR(INDEX(Heat_Map[Crisis Impact %],MATCH(HS_DB[[#This Row],[Reporter]],Heat_Map[Global],0),1),0)</f>
        <v>0</v>
      </c>
      <c r="AE361" s="8">
        <f>HS_DB[[#This Row],[Crisis Impact%]]*HS_DB[[#This Row],[Trade Value - USD]]</f>
        <v>0</v>
      </c>
      <c r="AF361" s="8">
        <f>HS_DB[[#This Row],[Crisis Impact%]]*HS_DB[[#This Row],[Net Weight -KG]]</f>
        <v>0</v>
      </c>
      <c r="AG361" s="6">
        <f>SUMIFS(HS_DB[Trade Value - USD],HS_DB[Products],HS_DB[[#This Row],[Products]])/SUM(HS_DB[Trade Value - USD])</f>
        <v>1.6343959812769123E-4</v>
      </c>
      <c r="AH361" s="8">
        <f>_xlfn.RANK.EQ(HS_DB[[#This Row],[Trade Value - USD]], HS_DB[Trade Value - USD], 0)
 + COUNTIFS(HS_DB[Trade Value - USD],HS_DB[[#This Row],[Trade Value - USD]],
            HS_DB[HS Code],"&lt;"&amp;HS_DB[[#This Row],[HS Code]])</f>
        <v>254</v>
      </c>
      <c r="AI361" s="9">
        <f>IFERROR(HS_DB[[#This Row],[Trade Value - USD]]/HS_DB[[#This Row],[Net Weight -KG]],0)</f>
        <v>5.2006015037593984</v>
      </c>
      <c r="AJ361" s="17" cm="1">
        <f t="array" ref="AJ361">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61" s="17" t="str">
        <f>IF(HS_DB[[#This Row],[HS Code Risk Score]]&gt;=40,"High",
 IF(HS_DB[[#This Row],[HS Code Risk Score]]&gt;=25,"Medium","Low"))</f>
        <v>Medium</v>
      </c>
      <c r="AL361" s="17" t="str">
        <f>IF(RANK(HS_DB[[#This Row],[HS Code Risk Score]],HS_DB[HS Code Risk Score])&lt;=10,"Yes","No")</f>
        <v>No</v>
      </c>
      <c r="AM361" s="8">
        <f>SUMIFS(HS_DB[Net Weight -KG],HS_DB[HS Code],HS_DB[[#This Row],[HS Code]])</f>
        <v>61902</v>
      </c>
      <c r="AN361" s="8">
        <f>SUMIFS(HS_DB[Trade Value - USD],HS_DB[HS Code],HS_DB[[#This Row],[HS Code]])</f>
        <v>308085</v>
      </c>
      <c r="AO361" s="6">
        <f>_xlfn.MAXIFS(HS_DB[Origin Share%],HS_DB[HS Code],HS_DB[[#This Row],[HS Code]])</f>
        <v>2.2441761060335613E-2</v>
      </c>
      <c r="AP361" s="8" cm="1">
        <f t="array" ref="AP361">_xlfn.LET(
_xlpm.hs,HS_DB[[#This Row],[HS Code]],
COUNTA(_xlfn.UNIQUE(_xlfn._xlws.FILTER(HS_DB[Reporter],HS_DB[HS Code]=_xlpm.hs)))
)</f>
        <v>7</v>
      </c>
      <c r="AQ361" s="17" t="str">
        <f>IF(HS_DB[[#This Row],[Origin Count]]=1,"Single Source","Multiple Sources")</f>
        <v>Multiple Sources</v>
      </c>
      <c r="AR361" s="8">
        <f>HS_DB[[#This Row],[Annual Spend - USD]]*(HS_DB[[#This Row],[HS Code Risk Score]]/100)</f>
        <v>104748.90000000001</v>
      </c>
      <c r="AS361" s="8">
        <f>RANK(HS_DB[[#This Row],[Risk Exposure - USD]],HS_DB[Risk Exposure - USD],0)</f>
        <v>519</v>
      </c>
      <c r="AT361" s="8" t="str">
        <f>IF(HS_DB[[#This Row],[Risk Exposure Rank]]&lt;=10,"High",
 IF(HS_DB[[#This Row],[Risk Exposure Rank]]&lt;=30,"Medium",
 "Low"))</f>
        <v>Low</v>
      </c>
      <c r="AU361" s="8" t="str">
        <f>IF(HS_DB[[#This Row],[Risk Exposure Rank]]&lt;=5,"Immediate Action",
 IF(HS_DB[[#This Row],[Risk Exposure Rank]]&lt;=15,"Monitor Closely",
 "Routine Control"))</f>
        <v>Routine Control</v>
      </c>
      <c r="AV361" s="8">
        <f>SUMIFS(HS_DB[Trade Value - USD],HS_DB[HS Code],HS_DB[[#This Row],[HS Code]])</f>
        <v>308085</v>
      </c>
      <c r="AW361" s="6">
        <f>HS_DB[[#This Row],[Annual Spend - USD]]/HS_DB[[#This Row],[Total Market Size - USD]]</f>
        <v>1</v>
      </c>
      <c r="AX361" s="6" cm="1">
        <f t="array" ref="AX361">COUNTA(_xlfn.UNIQUE(_xlfn._xlws.FILTER(HS_DB[Partner],HS_DB[HS Code]=HS_DB[[#This Row],[HS Code]])))</f>
        <v>1</v>
      </c>
      <c r="AY361" s="8" t="str">
        <f>IF(HS_DB[[#This Row],[Competition Intensity]]&lt;=2,"Highly Concentrated",
 IF(HS_DB[[#This Row],[Competition Intensity]]&lt;=5,"Moderate",
 "Highly Competitive"))</f>
        <v>Highly Concentrated</v>
      </c>
      <c r="AZ361" s="8">
        <f>HS_DB[[#This Row],[Total Market Size - USD]]
*
(1+IFERROR(#REF!,0))
/
HS_DB[[#This Row],[Competition Intensity]]</f>
        <v>308085</v>
      </c>
      <c r="BA361" s="8" t="str">
        <f>IF(HS_DB[[#This Row],[Commercial Opportunity Score]]&gt;=PERCENTILE(HS_DB[Commercial Opportunity Score],0.9),"High Opportunity",
 IF(HS_DB[[#This Row],[Commercial Opportunity Score]]&gt;=PERCENTILE(HS_DB[Commercial Opportunity Score],0.6),"Medium Opportunity",
 "Routine Market"))</f>
        <v>Routine Market</v>
      </c>
      <c r="BB361" s="3" t="str">
        <f>IF(AND(HS_DB[[#This Row],[Product Rank]]&gt;0,HS_DB[[#This Row],[Product Rank]]&lt;=10),"Yes","No")</f>
        <v>No</v>
      </c>
      <c r="BC361" s="3" t="str">
        <f>IF(AND(HS_DB[[#This Row],[Origin Rank]]&gt;0,HS_DB[[#This Row],[Origin Rank]]&lt;=10),"Yes","No")</f>
        <v>No</v>
      </c>
    </row>
    <row r="362" spans="2:55" x14ac:dyDescent="0.3">
      <c r="B362" s="2">
        <f>HS_DB[[#This Row],[Commodity Code]]</f>
        <v>200290</v>
      </c>
      <c r="C362" s="2">
        <f>IFERROR(INDEX(HS_MD!C:C,MATCH(B362,HS_MD!B:B,0),1),"")</f>
        <v>23</v>
      </c>
      <c r="D362" s="17" t="str">
        <f>IFERROR(INDEX(HS_MD!D:D,MATCH(B362,HS_MD!B:B,0),1),"")</f>
        <v>Tomatoes prepared or preserved otherwise than by vinegar</v>
      </c>
      <c r="E362" s="17" t="str">
        <f>IFERROR(INDEX(HS_MD!E:E,MATCH(B362,HS_MD!B:B,0),1),"")</f>
        <v>Tomato Paste / Concentrate</v>
      </c>
      <c r="F362" s="17" t="str">
        <f>IFERROR(INDEX(HS_MD!F:F,MATCH(B362,HS_MD!B:B,0),1),"")</f>
        <v>Agricultural Processed Inputs</v>
      </c>
      <c r="G362" s="17" t="str">
        <f>IFERROR(INDEX(HS_MD!G:G,MATCH(B362,HS_MD!B:B,0),1),"")</f>
        <v>Tomato Derivatives</v>
      </c>
      <c r="H362" s="17" t="str">
        <f>IFERROR(INDEX(HS_MD!H:H,MATCH(B362,HS_MD!B:B,0),1),"")</f>
        <v>Industrial Tomato Paste (28-38 Brix)</v>
      </c>
      <c r="I362" s="17" t="str">
        <f>IFERROR(INDEX(HS_MD!I:I,MATCH(B362,HS_MD!B:B,0),1),"")</f>
        <v>Sauces Manufacturing</v>
      </c>
      <c r="J362" s="17">
        <f>IFERROR(INDEX(Heat_Map[Index],MATCH(HS_DB[[#This Row],[Reporter]],Heat_Map[Global],0),1),"")</f>
        <v>36</v>
      </c>
      <c r="K362" s="17" t="str">
        <f>IF(AND(HS_DB[[#This Row],[Origin Rank]]&gt;1,HS_DB[[#This Row],[Origin Rank]]&lt;=10),"Yes","No")</f>
        <v>Yes</v>
      </c>
      <c r="L362" s="2">
        <v>2024</v>
      </c>
      <c r="M362" s="2" t="s">
        <v>57</v>
      </c>
      <c r="N362" s="2" t="s">
        <v>1</v>
      </c>
      <c r="O362" s="2" t="s">
        <v>22</v>
      </c>
      <c r="P362" s="2" t="s">
        <v>23</v>
      </c>
      <c r="Q362" s="2" t="s">
        <v>24</v>
      </c>
      <c r="R362" s="2" t="s">
        <v>25</v>
      </c>
      <c r="S362" s="2">
        <v>200290</v>
      </c>
      <c r="T362" s="3">
        <v>4225728</v>
      </c>
      <c r="U362" s="3">
        <v>3836978</v>
      </c>
      <c r="V362" s="3">
        <v>0</v>
      </c>
      <c r="W362" s="3">
        <v>3836978</v>
      </c>
      <c r="X362" s="3" t="s">
        <v>58</v>
      </c>
      <c r="Y362" s="3">
        <v>3836978</v>
      </c>
      <c r="Z362" s="3" t="s">
        <v>58</v>
      </c>
      <c r="AA362" s="6">
        <f>SUMIFS(HS_DB[Trade Value - USD],HS_DB[Reporter],HS_DB[[#This Row],[Reporter]])/SUM(HS_DB[Trade Value - USD])</f>
        <v>6.321329281187793E-2</v>
      </c>
      <c r="AB362" s="8" cm="1">
        <f t="array" ref="AB362">SUMPRODUCT(
(HS_DB[Reporter]=HS_DB[[#This Row],[Reporter]])*
(HS_DB[Trade Value - USD]&gt;HS_DB[[#This Row],[Trade Value - USD]])
)+1</f>
        <v>10</v>
      </c>
      <c r="AC362" s="8" t="str">
        <f>IFERROR(IF(INDEX(Heat_Map[Crisis Impact %],MATCH(HS_DB[[#This Row],[Reporter]],Heat_Map[Global],0),1)&gt;0,"Yes","No"),"No")</f>
        <v>Yes</v>
      </c>
      <c r="AD362" s="6">
        <f>IFERROR(INDEX(Heat_Map[Crisis Impact %],MATCH(HS_DB[[#This Row],[Reporter]],Heat_Map[Global],0),1),0)</f>
        <v>0.14000000000000001</v>
      </c>
      <c r="AE362" s="8">
        <f>HS_DB[[#This Row],[Crisis Impact%]]*HS_DB[[#This Row],[Trade Value - USD]]</f>
        <v>591601.92000000004</v>
      </c>
      <c r="AF362" s="8">
        <f>HS_DB[[#This Row],[Crisis Impact%]]*HS_DB[[#This Row],[Net Weight -KG]]</f>
        <v>537176.92000000004</v>
      </c>
      <c r="AG362" s="6">
        <f>SUMIFS(HS_DB[Trade Value - USD],HS_DB[Products],HS_DB[[#This Row],[Products]])/SUM(HS_DB[Trade Value - USD])</f>
        <v>5.8462426743280359E-3</v>
      </c>
      <c r="AH362" s="8">
        <f>_xlfn.RANK.EQ(HS_DB[[#This Row],[Trade Value - USD]], HS_DB[Trade Value - USD], 0)
 + COUNTIFS(HS_DB[Trade Value - USD],HS_DB[[#This Row],[Trade Value - USD]],
            HS_DB[HS Code],"&lt;"&amp;HS_DB[[#This Row],[HS Code]])</f>
        <v>36</v>
      </c>
      <c r="AI362" s="9">
        <f>IFERROR(HS_DB[[#This Row],[Trade Value - USD]]/HS_DB[[#This Row],[Net Weight -KG]],0)</f>
        <v>1.1013167133092763</v>
      </c>
      <c r="AJ362" s="17" cm="1">
        <f t="array" ref="AJ362">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62" s="17" t="str">
        <f>IF(HS_DB[[#This Row],[HS Code Risk Score]]&gt;=40,"High",
 IF(HS_DB[[#This Row],[HS Code Risk Score]]&gt;=25,"Medium","Low"))</f>
        <v>Medium</v>
      </c>
      <c r="AL362" s="17" t="str">
        <f>IF(RANK(HS_DB[[#This Row],[HS Code Risk Score]],HS_DB[HS Code Risk Score])&lt;=10,"Yes","No")</f>
        <v>No</v>
      </c>
      <c r="AM362" s="8">
        <f>SUMIFS(HS_DB[Net Weight -KG],HS_DB[HS Code],HS_DB[[#This Row],[HS Code]])</f>
        <v>10652116.4</v>
      </c>
      <c r="AN362" s="8">
        <f>SUMIFS(HS_DB[Trade Value - USD],HS_DB[HS Code],HS_DB[[#This Row],[HS Code]])</f>
        <v>11020216</v>
      </c>
      <c r="AO362" s="6">
        <f>_xlfn.MAXIFS(HS_DB[Origin Share%],HS_DB[HS Code],HS_DB[[#This Row],[HS Code]])</f>
        <v>6.321329281187793E-2</v>
      </c>
      <c r="AP362" s="8" cm="1">
        <f t="array" ref="AP362">_xlfn.LET(
_xlpm.hs,HS_DB[[#This Row],[HS Code]],
COUNTA(_xlfn.UNIQUE(_xlfn._xlws.FILTER(HS_DB[Reporter],HS_DB[HS Code]=_xlpm.hs)))
)</f>
        <v>11</v>
      </c>
      <c r="AQ362" s="17" t="str">
        <f>IF(HS_DB[[#This Row],[Origin Count]]=1,"Single Source","Multiple Sources")</f>
        <v>Multiple Sources</v>
      </c>
      <c r="AR362" s="8">
        <f>HS_DB[[#This Row],[Annual Spend - USD]]*(HS_DB[[#This Row],[HS Code Risk Score]]/100)</f>
        <v>3746873.4400000004</v>
      </c>
      <c r="AS362" s="8">
        <f>RANK(HS_DB[[#This Row],[Risk Exposure - USD]],HS_DB[Risk Exposure - USD],0)</f>
        <v>280</v>
      </c>
      <c r="AT362" s="8" t="str">
        <f>IF(HS_DB[[#This Row],[Risk Exposure Rank]]&lt;=10,"High",
 IF(HS_DB[[#This Row],[Risk Exposure Rank]]&lt;=30,"Medium",
 "Low"))</f>
        <v>Low</v>
      </c>
      <c r="AU362" s="8" t="str">
        <f>IF(HS_DB[[#This Row],[Risk Exposure Rank]]&lt;=5,"Immediate Action",
 IF(HS_DB[[#This Row],[Risk Exposure Rank]]&lt;=15,"Monitor Closely",
 "Routine Control"))</f>
        <v>Routine Control</v>
      </c>
      <c r="AV362" s="8">
        <f>SUMIFS(HS_DB[Trade Value - USD],HS_DB[HS Code],HS_DB[[#This Row],[HS Code]])</f>
        <v>11020216</v>
      </c>
      <c r="AW362" s="6">
        <f>HS_DB[[#This Row],[Annual Spend - USD]]/HS_DB[[#This Row],[Total Market Size - USD]]</f>
        <v>1</v>
      </c>
      <c r="AX362" s="6" cm="1">
        <f t="array" ref="AX362">COUNTA(_xlfn.UNIQUE(_xlfn._xlws.FILTER(HS_DB[Partner],HS_DB[HS Code]=HS_DB[[#This Row],[HS Code]])))</f>
        <v>1</v>
      </c>
      <c r="AY362" s="8" t="str">
        <f>IF(HS_DB[[#This Row],[Competition Intensity]]&lt;=2,"Highly Concentrated",
 IF(HS_DB[[#This Row],[Competition Intensity]]&lt;=5,"Moderate",
 "Highly Competitive"))</f>
        <v>Highly Concentrated</v>
      </c>
      <c r="AZ362" s="8">
        <f>HS_DB[[#This Row],[Total Market Size - USD]]
*
(1+IFERROR(#REF!,0))
/
HS_DB[[#This Row],[Competition Intensity]]</f>
        <v>11020216</v>
      </c>
      <c r="BA362" s="8" t="str">
        <f>IF(HS_DB[[#This Row],[Commercial Opportunity Score]]&gt;=PERCENTILE(HS_DB[Commercial Opportunity Score],0.9),"High Opportunity",
 IF(HS_DB[[#This Row],[Commercial Opportunity Score]]&gt;=PERCENTILE(HS_DB[Commercial Opportunity Score],0.6),"Medium Opportunity",
 "Routine Market"))</f>
        <v>Routine Market</v>
      </c>
      <c r="BB362" s="3" t="str">
        <f>IF(AND(HS_DB[[#This Row],[Product Rank]]&gt;0,HS_DB[[#This Row],[Product Rank]]&lt;=10),"Yes","No")</f>
        <v>No</v>
      </c>
      <c r="BC362" s="3" t="str">
        <f>IF(AND(HS_DB[[#This Row],[Origin Rank]]&gt;0,HS_DB[[#This Row],[Origin Rank]]&lt;=10),"Yes","No")</f>
        <v>Yes</v>
      </c>
    </row>
    <row r="363" spans="2:55" x14ac:dyDescent="0.3">
      <c r="B363" s="2">
        <f>HS_DB[[#This Row],[Commodity Code]]</f>
        <v>200290</v>
      </c>
      <c r="C363" s="2">
        <f>IFERROR(INDEX(HS_MD!C:C,MATCH(B363,HS_MD!B:B,0),1),"")</f>
        <v>23</v>
      </c>
      <c r="D363" s="17" t="str">
        <f>IFERROR(INDEX(HS_MD!D:D,MATCH(B363,HS_MD!B:B,0),1),"")</f>
        <v>Tomatoes prepared or preserved otherwise than by vinegar</v>
      </c>
      <c r="E363" s="17" t="str">
        <f>IFERROR(INDEX(HS_MD!E:E,MATCH(B363,HS_MD!B:B,0),1),"")</f>
        <v>Tomato Paste / Concentrate</v>
      </c>
      <c r="F363" s="17" t="str">
        <f>IFERROR(INDEX(HS_MD!F:F,MATCH(B363,HS_MD!B:B,0),1),"")</f>
        <v>Agricultural Processed Inputs</v>
      </c>
      <c r="G363" s="17" t="str">
        <f>IFERROR(INDEX(HS_MD!G:G,MATCH(B363,HS_MD!B:B,0),1),"")</f>
        <v>Tomato Derivatives</v>
      </c>
      <c r="H363" s="17" t="str">
        <f>IFERROR(INDEX(HS_MD!H:H,MATCH(B363,HS_MD!B:B,0),1),"")</f>
        <v>Industrial Tomato Paste (28-38 Brix)</v>
      </c>
      <c r="I363" s="17" t="str">
        <f>IFERROR(INDEX(HS_MD!I:I,MATCH(B363,HS_MD!B:B,0),1),"")</f>
        <v>Sauces Manufacturing</v>
      </c>
      <c r="J363" s="17">
        <f>IFERROR(INDEX(Heat_Map[Index],MATCH(HS_DB[[#This Row],[Reporter]],Heat_Map[Global],0),1),"")</f>
        <v>63</v>
      </c>
      <c r="K363" s="17" t="str">
        <f>IF(AND(HS_DB[[#This Row],[Origin Rank]]&gt;1,HS_DB[[#This Row],[Origin Rank]]&lt;=10),"Yes","No")</f>
        <v>No</v>
      </c>
      <c r="L363" s="2">
        <v>2024</v>
      </c>
      <c r="M363" s="2" t="s">
        <v>57</v>
      </c>
      <c r="N363" s="2" t="s">
        <v>2</v>
      </c>
      <c r="O363" s="2" t="s">
        <v>22</v>
      </c>
      <c r="P363" s="2" t="s">
        <v>23</v>
      </c>
      <c r="Q363" s="2" t="s">
        <v>24</v>
      </c>
      <c r="R363" s="2" t="s">
        <v>25</v>
      </c>
      <c r="S363" s="2">
        <v>200290</v>
      </c>
      <c r="T363" s="3">
        <v>77939</v>
      </c>
      <c r="U363" s="3">
        <v>9200</v>
      </c>
      <c r="V363" s="3">
        <v>0</v>
      </c>
      <c r="W363" s="3">
        <v>9200</v>
      </c>
      <c r="X363" s="3" t="s">
        <v>58</v>
      </c>
      <c r="Y363" s="3">
        <v>9200</v>
      </c>
      <c r="Z363" s="3" t="s">
        <v>58</v>
      </c>
      <c r="AA363" s="6">
        <f>SUMIFS(HS_DB[Trade Value - USD],HS_DB[Reporter],HS_DB[[#This Row],[Reporter]])/SUM(HS_DB[Trade Value - USD])</f>
        <v>1.1674623358397021E-2</v>
      </c>
      <c r="AB363" s="8" cm="1">
        <f t="array" ref="AB363">SUMPRODUCT(
(HS_DB[Reporter]=HS_DB[[#This Row],[Reporter]])*
(HS_DB[Trade Value - USD]&gt;HS_DB[[#This Row],[Trade Value - USD]])
)+1</f>
        <v>23</v>
      </c>
      <c r="AC363" s="8" t="str">
        <f>IFERROR(IF(INDEX(Heat_Map[Crisis Impact %],MATCH(HS_DB[[#This Row],[Reporter]],Heat_Map[Global],0),1)&gt;0,"Yes","No"),"No")</f>
        <v>No</v>
      </c>
      <c r="AD363" s="6">
        <f>IFERROR(INDEX(Heat_Map[Crisis Impact %],MATCH(HS_DB[[#This Row],[Reporter]],Heat_Map[Global],0),1),0)</f>
        <v>0</v>
      </c>
      <c r="AE363" s="8">
        <f>HS_DB[[#This Row],[Crisis Impact%]]*HS_DB[[#This Row],[Trade Value - USD]]</f>
        <v>0</v>
      </c>
      <c r="AF363" s="8">
        <f>HS_DB[[#This Row],[Crisis Impact%]]*HS_DB[[#This Row],[Net Weight -KG]]</f>
        <v>0</v>
      </c>
      <c r="AG363" s="6">
        <f>SUMIFS(HS_DB[Trade Value - USD],HS_DB[Products],HS_DB[[#This Row],[Products]])/SUM(HS_DB[Trade Value - USD])</f>
        <v>5.8462426743280359E-3</v>
      </c>
      <c r="AH363" s="8">
        <f>_xlfn.RANK.EQ(HS_DB[[#This Row],[Trade Value - USD]], HS_DB[Trade Value - USD], 0)
 + COUNTIFS(HS_DB[Trade Value - USD],HS_DB[[#This Row],[Trade Value - USD]],
            HS_DB[HS Code],"&lt;"&amp;HS_DB[[#This Row],[HS Code]])</f>
        <v>294</v>
      </c>
      <c r="AI363" s="9">
        <f>IFERROR(HS_DB[[#This Row],[Trade Value - USD]]/HS_DB[[#This Row],[Net Weight -KG]],0)</f>
        <v>8.4716304347826092</v>
      </c>
      <c r="AJ363" s="17" cm="1">
        <f t="array" ref="AJ363">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63" s="17" t="str">
        <f>IF(HS_DB[[#This Row],[HS Code Risk Score]]&gt;=40,"High",
 IF(HS_DB[[#This Row],[HS Code Risk Score]]&gt;=25,"Medium","Low"))</f>
        <v>Medium</v>
      </c>
      <c r="AL363" s="17" t="str">
        <f>IF(RANK(HS_DB[[#This Row],[HS Code Risk Score]],HS_DB[HS Code Risk Score])&lt;=10,"Yes","No")</f>
        <v>No</v>
      </c>
      <c r="AM363" s="8">
        <f>SUMIFS(HS_DB[Net Weight -KG],HS_DB[HS Code],HS_DB[[#This Row],[HS Code]])</f>
        <v>10652116.4</v>
      </c>
      <c r="AN363" s="8">
        <f>SUMIFS(HS_DB[Trade Value - USD],HS_DB[HS Code],HS_DB[[#This Row],[HS Code]])</f>
        <v>11020216</v>
      </c>
      <c r="AO363" s="6">
        <f>_xlfn.MAXIFS(HS_DB[Origin Share%],HS_DB[HS Code],HS_DB[[#This Row],[HS Code]])</f>
        <v>6.321329281187793E-2</v>
      </c>
      <c r="AP363" s="8" cm="1">
        <f t="array" ref="AP363">_xlfn.LET(
_xlpm.hs,HS_DB[[#This Row],[HS Code]],
COUNTA(_xlfn.UNIQUE(_xlfn._xlws.FILTER(HS_DB[Reporter],HS_DB[HS Code]=_xlpm.hs)))
)</f>
        <v>11</v>
      </c>
      <c r="AQ363" s="17" t="str">
        <f>IF(HS_DB[[#This Row],[Origin Count]]=1,"Single Source","Multiple Sources")</f>
        <v>Multiple Sources</v>
      </c>
      <c r="AR363" s="8">
        <f>HS_DB[[#This Row],[Annual Spend - USD]]*(HS_DB[[#This Row],[HS Code Risk Score]]/100)</f>
        <v>3746873.4400000004</v>
      </c>
      <c r="AS363" s="8">
        <f>RANK(HS_DB[[#This Row],[Risk Exposure - USD]],HS_DB[Risk Exposure - USD],0)</f>
        <v>280</v>
      </c>
      <c r="AT363" s="8" t="str">
        <f>IF(HS_DB[[#This Row],[Risk Exposure Rank]]&lt;=10,"High",
 IF(HS_DB[[#This Row],[Risk Exposure Rank]]&lt;=30,"Medium",
 "Low"))</f>
        <v>Low</v>
      </c>
      <c r="AU363" s="8" t="str">
        <f>IF(HS_DB[[#This Row],[Risk Exposure Rank]]&lt;=5,"Immediate Action",
 IF(HS_DB[[#This Row],[Risk Exposure Rank]]&lt;=15,"Monitor Closely",
 "Routine Control"))</f>
        <v>Routine Control</v>
      </c>
      <c r="AV363" s="8">
        <f>SUMIFS(HS_DB[Trade Value - USD],HS_DB[HS Code],HS_DB[[#This Row],[HS Code]])</f>
        <v>11020216</v>
      </c>
      <c r="AW363" s="6">
        <f>HS_DB[[#This Row],[Annual Spend - USD]]/HS_DB[[#This Row],[Total Market Size - USD]]</f>
        <v>1</v>
      </c>
      <c r="AX363" s="6" cm="1">
        <f t="array" ref="AX363">COUNTA(_xlfn.UNIQUE(_xlfn._xlws.FILTER(HS_DB[Partner],HS_DB[HS Code]=HS_DB[[#This Row],[HS Code]])))</f>
        <v>1</v>
      </c>
      <c r="AY363" s="8" t="str">
        <f>IF(HS_DB[[#This Row],[Competition Intensity]]&lt;=2,"Highly Concentrated",
 IF(HS_DB[[#This Row],[Competition Intensity]]&lt;=5,"Moderate",
 "Highly Competitive"))</f>
        <v>Highly Concentrated</v>
      </c>
      <c r="AZ363" s="8">
        <f>HS_DB[[#This Row],[Total Market Size - USD]]
*
(1+IFERROR(#REF!,0))
/
HS_DB[[#This Row],[Competition Intensity]]</f>
        <v>11020216</v>
      </c>
      <c r="BA363" s="8" t="str">
        <f>IF(HS_DB[[#This Row],[Commercial Opportunity Score]]&gt;=PERCENTILE(HS_DB[Commercial Opportunity Score],0.9),"High Opportunity",
 IF(HS_DB[[#This Row],[Commercial Opportunity Score]]&gt;=PERCENTILE(HS_DB[Commercial Opportunity Score],0.6),"Medium Opportunity",
 "Routine Market"))</f>
        <v>Routine Market</v>
      </c>
      <c r="BB363" s="3" t="str">
        <f>IF(AND(HS_DB[[#This Row],[Product Rank]]&gt;0,HS_DB[[#This Row],[Product Rank]]&lt;=10),"Yes","No")</f>
        <v>No</v>
      </c>
      <c r="BC363" s="3" t="str">
        <f>IF(AND(HS_DB[[#This Row],[Origin Rank]]&gt;0,HS_DB[[#This Row],[Origin Rank]]&lt;=10),"Yes","No")</f>
        <v>No</v>
      </c>
    </row>
    <row r="364" spans="2:55" x14ac:dyDescent="0.3">
      <c r="B364" s="2">
        <f>HS_DB[[#This Row],[Commodity Code]]</f>
        <v>200290</v>
      </c>
      <c r="C364" s="2">
        <f>IFERROR(INDEX(HS_MD!C:C,MATCH(B364,HS_MD!B:B,0),1),"")</f>
        <v>23</v>
      </c>
      <c r="D364" s="17" t="str">
        <f>IFERROR(INDEX(HS_MD!D:D,MATCH(B364,HS_MD!B:B,0),1),"")</f>
        <v>Tomatoes prepared or preserved otherwise than by vinegar</v>
      </c>
      <c r="E364" s="17" t="str">
        <f>IFERROR(INDEX(HS_MD!E:E,MATCH(B364,HS_MD!B:B,0),1),"")</f>
        <v>Tomato Paste / Concentrate</v>
      </c>
      <c r="F364" s="17" t="str">
        <f>IFERROR(INDEX(HS_MD!F:F,MATCH(B364,HS_MD!B:B,0),1),"")</f>
        <v>Agricultural Processed Inputs</v>
      </c>
      <c r="G364" s="17" t="str">
        <f>IFERROR(INDEX(HS_MD!G:G,MATCH(B364,HS_MD!B:B,0),1),"")</f>
        <v>Tomato Derivatives</v>
      </c>
      <c r="H364" s="17" t="str">
        <f>IFERROR(INDEX(HS_MD!H:H,MATCH(B364,HS_MD!B:B,0),1),"")</f>
        <v>Industrial Tomato Paste (28-38 Brix)</v>
      </c>
      <c r="I364" s="17" t="str">
        <f>IFERROR(INDEX(HS_MD!I:I,MATCH(B364,HS_MD!B:B,0),1),"")</f>
        <v>Sauces Manufacturing</v>
      </c>
      <c r="J364" s="17">
        <f>IFERROR(INDEX(Heat_Map[Index],MATCH(HS_DB[[#This Row],[Reporter]],Heat_Map[Global],0),1),"")</f>
        <v>65</v>
      </c>
      <c r="K364" s="17" t="str">
        <f>IF(AND(HS_DB[[#This Row],[Origin Rank]]&gt;1,HS_DB[[#This Row],[Origin Rank]]&lt;=10),"Yes","No")</f>
        <v>Yes</v>
      </c>
      <c r="L364" s="2">
        <v>2024</v>
      </c>
      <c r="M364" s="2" t="s">
        <v>57</v>
      </c>
      <c r="N364" s="2" t="s">
        <v>45</v>
      </c>
      <c r="O364" s="2" t="s">
        <v>22</v>
      </c>
      <c r="P364" s="2" t="s">
        <v>23</v>
      </c>
      <c r="Q364" s="2" t="s">
        <v>24</v>
      </c>
      <c r="R364" s="2" t="s">
        <v>25</v>
      </c>
      <c r="S364" s="2">
        <v>200290</v>
      </c>
      <c r="T364" s="3">
        <v>231300</v>
      </c>
      <c r="U364" s="3">
        <v>120680</v>
      </c>
      <c r="V364" s="3">
        <v>0</v>
      </c>
      <c r="W364" s="3">
        <v>120680</v>
      </c>
      <c r="X364" s="3" t="s">
        <v>58</v>
      </c>
      <c r="Y364" s="3">
        <v>120680</v>
      </c>
      <c r="Z364" s="3" t="s">
        <v>58</v>
      </c>
      <c r="AA364" s="6">
        <f>SUMIFS(HS_DB[Trade Value - USD],HS_DB[Reporter],HS_DB[[#This Row],[Reporter]])/SUM(HS_DB[Trade Value - USD])</f>
        <v>7.8962835084717131E-4</v>
      </c>
      <c r="AB364" s="8" cm="1">
        <f t="array" ref="AB364">SUMPRODUCT(
(HS_DB[Reporter]=HS_DB[[#This Row],[Reporter]])*
(HS_DB[Trade Value - USD]&gt;HS_DB[[#This Row],[Trade Value - USD]])
)+1</f>
        <v>2</v>
      </c>
      <c r="AC364" s="8" t="str">
        <f>IFERROR(IF(INDEX(Heat_Map[Crisis Impact %],MATCH(HS_DB[[#This Row],[Reporter]],Heat_Map[Global],0),1)&gt;0,"Yes","No"),"No")</f>
        <v>No</v>
      </c>
      <c r="AD364" s="6">
        <f>IFERROR(INDEX(Heat_Map[Crisis Impact %],MATCH(HS_DB[[#This Row],[Reporter]],Heat_Map[Global],0),1),0)</f>
        <v>0</v>
      </c>
      <c r="AE364" s="8">
        <f>HS_DB[[#This Row],[Crisis Impact%]]*HS_DB[[#This Row],[Trade Value - USD]]</f>
        <v>0</v>
      </c>
      <c r="AF364" s="8">
        <f>HS_DB[[#This Row],[Crisis Impact%]]*HS_DB[[#This Row],[Net Weight -KG]]</f>
        <v>0</v>
      </c>
      <c r="AG364" s="6">
        <f>SUMIFS(HS_DB[Trade Value - USD],HS_DB[Products],HS_DB[[#This Row],[Products]])/SUM(HS_DB[Trade Value - USD])</f>
        <v>5.8462426743280359E-3</v>
      </c>
      <c r="AH364" s="8">
        <f>_xlfn.RANK.EQ(HS_DB[[#This Row],[Trade Value - USD]], HS_DB[Trade Value - USD], 0)
 + COUNTIFS(HS_DB[Trade Value - USD],HS_DB[[#This Row],[Trade Value - USD]],
            HS_DB[HS Code],"&lt;"&amp;HS_DB[[#This Row],[HS Code]])</f>
        <v>208</v>
      </c>
      <c r="AI364" s="9">
        <f>IFERROR(HS_DB[[#This Row],[Trade Value - USD]]/HS_DB[[#This Row],[Net Weight -KG]],0)</f>
        <v>1.9166390454093469</v>
      </c>
      <c r="AJ364" s="17" cm="1">
        <f t="array" ref="AJ364">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64" s="17" t="str">
        <f>IF(HS_DB[[#This Row],[HS Code Risk Score]]&gt;=40,"High",
 IF(HS_DB[[#This Row],[HS Code Risk Score]]&gt;=25,"Medium","Low"))</f>
        <v>Medium</v>
      </c>
      <c r="AL364" s="17" t="str">
        <f>IF(RANK(HS_DB[[#This Row],[HS Code Risk Score]],HS_DB[HS Code Risk Score])&lt;=10,"Yes","No")</f>
        <v>No</v>
      </c>
      <c r="AM364" s="8">
        <f>SUMIFS(HS_DB[Net Weight -KG],HS_DB[HS Code],HS_DB[[#This Row],[HS Code]])</f>
        <v>10652116.4</v>
      </c>
      <c r="AN364" s="8">
        <f>SUMIFS(HS_DB[Trade Value - USD],HS_DB[HS Code],HS_DB[[#This Row],[HS Code]])</f>
        <v>11020216</v>
      </c>
      <c r="AO364" s="6">
        <f>_xlfn.MAXIFS(HS_DB[Origin Share%],HS_DB[HS Code],HS_DB[[#This Row],[HS Code]])</f>
        <v>6.321329281187793E-2</v>
      </c>
      <c r="AP364" s="8" cm="1">
        <f t="array" ref="AP364">_xlfn.LET(
_xlpm.hs,HS_DB[[#This Row],[HS Code]],
COUNTA(_xlfn.UNIQUE(_xlfn._xlws.FILTER(HS_DB[Reporter],HS_DB[HS Code]=_xlpm.hs)))
)</f>
        <v>11</v>
      </c>
      <c r="AQ364" s="17" t="str">
        <f>IF(HS_DB[[#This Row],[Origin Count]]=1,"Single Source","Multiple Sources")</f>
        <v>Multiple Sources</v>
      </c>
      <c r="AR364" s="8">
        <f>HS_DB[[#This Row],[Annual Spend - USD]]*(HS_DB[[#This Row],[HS Code Risk Score]]/100)</f>
        <v>3746873.4400000004</v>
      </c>
      <c r="AS364" s="8">
        <f>RANK(HS_DB[[#This Row],[Risk Exposure - USD]],HS_DB[Risk Exposure - USD],0)</f>
        <v>280</v>
      </c>
      <c r="AT364" s="8" t="str">
        <f>IF(HS_DB[[#This Row],[Risk Exposure Rank]]&lt;=10,"High",
 IF(HS_DB[[#This Row],[Risk Exposure Rank]]&lt;=30,"Medium",
 "Low"))</f>
        <v>Low</v>
      </c>
      <c r="AU364" s="8" t="str">
        <f>IF(HS_DB[[#This Row],[Risk Exposure Rank]]&lt;=5,"Immediate Action",
 IF(HS_DB[[#This Row],[Risk Exposure Rank]]&lt;=15,"Monitor Closely",
 "Routine Control"))</f>
        <v>Routine Control</v>
      </c>
      <c r="AV364" s="8">
        <f>SUMIFS(HS_DB[Trade Value - USD],HS_DB[HS Code],HS_DB[[#This Row],[HS Code]])</f>
        <v>11020216</v>
      </c>
      <c r="AW364" s="6">
        <f>HS_DB[[#This Row],[Annual Spend - USD]]/HS_DB[[#This Row],[Total Market Size - USD]]</f>
        <v>1</v>
      </c>
      <c r="AX364" s="6" cm="1">
        <f t="array" ref="AX364">COUNTA(_xlfn.UNIQUE(_xlfn._xlws.FILTER(HS_DB[Partner],HS_DB[HS Code]=HS_DB[[#This Row],[HS Code]])))</f>
        <v>1</v>
      </c>
      <c r="AY364" s="8" t="str">
        <f>IF(HS_DB[[#This Row],[Competition Intensity]]&lt;=2,"Highly Concentrated",
 IF(HS_DB[[#This Row],[Competition Intensity]]&lt;=5,"Moderate",
 "Highly Competitive"))</f>
        <v>Highly Concentrated</v>
      </c>
      <c r="AZ364" s="8">
        <f>HS_DB[[#This Row],[Total Market Size - USD]]
*
(1+IFERROR(#REF!,0))
/
HS_DB[[#This Row],[Competition Intensity]]</f>
        <v>11020216</v>
      </c>
      <c r="BA364" s="8" t="str">
        <f>IF(HS_DB[[#This Row],[Commercial Opportunity Score]]&gt;=PERCENTILE(HS_DB[Commercial Opportunity Score],0.9),"High Opportunity",
 IF(HS_DB[[#This Row],[Commercial Opportunity Score]]&gt;=PERCENTILE(HS_DB[Commercial Opportunity Score],0.6),"Medium Opportunity",
 "Routine Market"))</f>
        <v>Routine Market</v>
      </c>
      <c r="BB364" s="3" t="str">
        <f>IF(AND(HS_DB[[#This Row],[Product Rank]]&gt;0,HS_DB[[#This Row],[Product Rank]]&lt;=10),"Yes","No")</f>
        <v>No</v>
      </c>
      <c r="BC364" s="3" t="str">
        <f>IF(AND(HS_DB[[#This Row],[Origin Rank]]&gt;0,HS_DB[[#This Row],[Origin Rank]]&lt;=10),"Yes","No")</f>
        <v>Yes</v>
      </c>
    </row>
    <row r="365" spans="2:55" x14ac:dyDescent="0.3">
      <c r="B365" s="2">
        <f>HS_DB[[#This Row],[Commodity Code]]</f>
        <v>200290</v>
      </c>
      <c r="C365" s="2">
        <f>IFERROR(INDEX(HS_MD!C:C,MATCH(B365,HS_MD!B:B,0),1),"")</f>
        <v>23</v>
      </c>
      <c r="D365" s="17" t="str">
        <f>IFERROR(INDEX(HS_MD!D:D,MATCH(B365,HS_MD!B:B,0),1),"")</f>
        <v>Tomatoes prepared or preserved otherwise than by vinegar</v>
      </c>
      <c r="E365" s="17" t="str">
        <f>IFERROR(INDEX(HS_MD!E:E,MATCH(B365,HS_MD!B:B,0),1),"")</f>
        <v>Tomato Paste / Concentrate</v>
      </c>
      <c r="F365" s="17" t="str">
        <f>IFERROR(INDEX(HS_MD!F:F,MATCH(B365,HS_MD!B:B,0),1),"")</f>
        <v>Agricultural Processed Inputs</v>
      </c>
      <c r="G365" s="17" t="str">
        <f>IFERROR(INDEX(HS_MD!G:G,MATCH(B365,HS_MD!B:B,0),1),"")</f>
        <v>Tomato Derivatives</v>
      </c>
      <c r="H365" s="17" t="str">
        <f>IFERROR(INDEX(HS_MD!H:H,MATCH(B365,HS_MD!B:B,0),1),"")</f>
        <v>Industrial Tomato Paste (28-38 Brix)</v>
      </c>
      <c r="I365" s="17" t="str">
        <f>IFERROR(INDEX(HS_MD!I:I,MATCH(B365,HS_MD!B:B,0),1),"")</f>
        <v>Sauces Manufacturing</v>
      </c>
      <c r="J365" s="17">
        <f>IFERROR(INDEX(Heat_Map[Index],MATCH(HS_DB[[#This Row],[Reporter]],Heat_Map[Global],0),1),"")</f>
        <v>73</v>
      </c>
      <c r="K365" s="17" t="str">
        <f>IF(AND(HS_DB[[#This Row],[Origin Rank]]&gt;1,HS_DB[[#This Row],[Origin Rank]]&lt;=10),"Yes","No")</f>
        <v>Yes</v>
      </c>
      <c r="L365" s="2">
        <v>2024</v>
      </c>
      <c r="M365" s="2" t="s">
        <v>57</v>
      </c>
      <c r="N365" s="2" t="s">
        <v>46</v>
      </c>
      <c r="O365" s="2" t="s">
        <v>22</v>
      </c>
      <c r="P365" s="2" t="s">
        <v>23</v>
      </c>
      <c r="Q365" s="2" t="s">
        <v>24</v>
      </c>
      <c r="R365" s="2" t="s">
        <v>25</v>
      </c>
      <c r="S365" s="2">
        <v>200290</v>
      </c>
      <c r="T365" s="3">
        <v>270</v>
      </c>
      <c r="U365" s="3">
        <v>25</v>
      </c>
      <c r="V365" s="3">
        <v>0</v>
      </c>
      <c r="W365" s="3">
        <v>25</v>
      </c>
      <c r="X365" s="3" t="s">
        <v>58</v>
      </c>
      <c r="Y365" s="3">
        <v>25</v>
      </c>
      <c r="Z365" s="3" t="s">
        <v>58</v>
      </c>
      <c r="AA365" s="6">
        <f>SUMIFS(HS_DB[Trade Value - USD],HS_DB[Reporter],HS_DB[[#This Row],[Reporter]])/SUM(HS_DB[Trade Value - USD])</f>
        <v>2.621940701411424E-4</v>
      </c>
      <c r="AB365" s="8" cm="1">
        <f t="array" ref="AB365">SUMPRODUCT(
(HS_DB[Reporter]=HS_DB[[#This Row],[Reporter]])*
(HS_DB[Trade Value - USD]&gt;HS_DB[[#This Row],[Trade Value - USD]])
)+1</f>
        <v>5</v>
      </c>
      <c r="AC365" s="8" t="str">
        <f>IFERROR(IF(INDEX(Heat_Map[Crisis Impact %],MATCH(HS_DB[[#This Row],[Reporter]],Heat_Map[Global],0),1)&gt;0,"Yes","No"),"No")</f>
        <v>No</v>
      </c>
      <c r="AD365" s="6">
        <f>IFERROR(INDEX(Heat_Map[Crisis Impact %],MATCH(HS_DB[[#This Row],[Reporter]],Heat_Map[Global],0),1),0)</f>
        <v>0</v>
      </c>
      <c r="AE365" s="8">
        <f>HS_DB[[#This Row],[Crisis Impact%]]*HS_DB[[#This Row],[Trade Value - USD]]</f>
        <v>0</v>
      </c>
      <c r="AF365" s="8">
        <f>HS_DB[[#This Row],[Crisis Impact%]]*HS_DB[[#This Row],[Net Weight -KG]]</f>
        <v>0</v>
      </c>
      <c r="AG365" s="6">
        <f>SUMIFS(HS_DB[Trade Value - USD],HS_DB[Products],HS_DB[[#This Row],[Products]])/SUM(HS_DB[Trade Value - USD])</f>
        <v>5.8462426743280359E-3</v>
      </c>
      <c r="AH365" s="8">
        <f>_xlfn.RANK.EQ(HS_DB[[#This Row],[Trade Value - USD]], HS_DB[Trade Value - USD], 0)
 + COUNTIFS(HS_DB[Trade Value - USD],HS_DB[[#This Row],[Trade Value - USD]],
            HS_DB[HS Code],"&lt;"&amp;HS_DB[[#This Row],[HS Code]])</f>
        <v>504</v>
      </c>
      <c r="AI365" s="9">
        <f>IFERROR(HS_DB[[#This Row],[Trade Value - USD]]/HS_DB[[#This Row],[Net Weight -KG]],0)</f>
        <v>10.8</v>
      </c>
      <c r="AJ365" s="17" cm="1">
        <f t="array" ref="AJ365">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65" s="17" t="str">
        <f>IF(HS_DB[[#This Row],[HS Code Risk Score]]&gt;=40,"High",
 IF(HS_DB[[#This Row],[HS Code Risk Score]]&gt;=25,"Medium","Low"))</f>
        <v>Medium</v>
      </c>
      <c r="AL365" s="17" t="str">
        <f>IF(RANK(HS_DB[[#This Row],[HS Code Risk Score]],HS_DB[HS Code Risk Score])&lt;=10,"Yes","No")</f>
        <v>No</v>
      </c>
      <c r="AM365" s="8">
        <f>SUMIFS(HS_DB[Net Weight -KG],HS_DB[HS Code],HS_DB[[#This Row],[HS Code]])</f>
        <v>10652116.4</v>
      </c>
      <c r="AN365" s="8">
        <f>SUMIFS(HS_DB[Trade Value - USD],HS_DB[HS Code],HS_DB[[#This Row],[HS Code]])</f>
        <v>11020216</v>
      </c>
      <c r="AO365" s="6">
        <f>_xlfn.MAXIFS(HS_DB[Origin Share%],HS_DB[HS Code],HS_DB[[#This Row],[HS Code]])</f>
        <v>6.321329281187793E-2</v>
      </c>
      <c r="AP365" s="8" cm="1">
        <f t="array" ref="AP365">_xlfn.LET(
_xlpm.hs,HS_DB[[#This Row],[HS Code]],
COUNTA(_xlfn.UNIQUE(_xlfn._xlws.FILTER(HS_DB[Reporter],HS_DB[HS Code]=_xlpm.hs)))
)</f>
        <v>11</v>
      </c>
      <c r="AQ365" s="17" t="str">
        <f>IF(HS_DB[[#This Row],[Origin Count]]=1,"Single Source","Multiple Sources")</f>
        <v>Multiple Sources</v>
      </c>
      <c r="AR365" s="8">
        <f>HS_DB[[#This Row],[Annual Spend - USD]]*(HS_DB[[#This Row],[HS Code Risk Score]]/100)</f>
        <v>3746873.4400000004</v>
      </c>
      <c r="AS365" s="8">
        <f>RANK(HS_DB[[#This Row],[Risk Exposure - USD]],HS_DB[Risk Exposure - USD],0)</f>
        <v>280</v>
      </c>
      <c r="AT365" s="8" t="str">
        <f>IF(HS_DB[[#This Row],[Risk Exposure Rank]]&lt;=10,"High",
 IF(HS_DB[[#This Row],[Risk Exposure Rank]]&lt;=30,"Medium",
 "Low"))</f>
        <v>Low</v>
      </c>
      <c r="AU365" s="8" t="str">
        <f>IF(HS_DB[[#This Row],[Risk Exposure Rank]]&lt;=5,"Immediate Action",
 IF(HS_DB[[#This Row],[Risk Exposure Rank]]&lt;=15,"Monitor Closely",
 "Routine Control"))</f>
        <v>Routine Control</v>
      </c>
      <c r="AV365" s="8">
        <f>SUMIFS(HS_DB[Trade Value - USD],HS_DB[HS Code],HS_DB[[#This Row],[HS Code]])</f>
        <v>11020216</v>
      </c>
      <c r="AW365" s="6">
        <f>HS_DB[[#This Row],[Annual Spend - USD]]/HS_DB[[#This Row],[Total Market Size - USD]]</f>
        <v>1</v>
      </c>
      <c r="AX365" s="6" cm="1">
        <f t="array" ref="AX365">COUNTA(_xlfn.UNIQUE(_xlfn._xlws.FILTER(HS_DB[Partner],HS_DB[HS Code]=HS_DB[[#This Row],[HS Code]])))</f>
        <v>1</v>
      </c>
      <c r="AY365" s="8" t="str">
        <f>IF(HS_DB[[#This Row],[Competition Intensity]]&lt;=2,"Highly Concentrated",
 IF(HS_DB[[#This Row],[Competition Intensity]]&lt;=5,"Moderate",
 "Highly Competitive"))</f>
        <v>Highly Concentrated</v>
      </c>
      <c r="AZ365" s="8">
        <f>HS_DB[[#This Row],[Total Market Size - USD]]
*
(1+IFERROR(#REF!,0))
/
HS_DB[[#This Row],[Competition Intensity]]</f>
        <v>11020216</v>
      </c>
      <c r="BA365" s="8" t="str">
        <f>IF(HS_DB[[#This Row],[Commercial Opportunity Score]]&gt;=PERCENTILE(HS_DB[Commercial Opportunity Score],0.9),"High Opportunity",
 IF(HS_DB[[#This Row],[Commercial Opportunity Score]]&gt;=PERCENTILE(HS_DB[Commercial Opportunity Score],0.6),"Medium Opportunity",
 "Routine Market"))</f>
        <v>Routine Market</v>
      </c>
      <c r="BB365" s="3" t="str">
        <f>IF(AND(HS_DB[[#This Row],[Product Rank]]&gt;0,HS_DB[[#This Row],[Product Rank]]&lt;=10),"Yes","No")</f>
        <v>No</v>
      </c>
      <c r="BC365" s="3" t="str">
        <f>IF(AND(HS_DB[[#This Row],[Origin Rank]]&gt;0,HS_DB[[#This Row],[Origin Rank]]&lt;=10),"Yes","No")</f>
        <v>Yes</v>
      </c>
    </row>
    <row r="366" spans="2:55" x14ac:dyDescent="0.3">
      <c r="B366" s="2">
        <f>HS_DB[[#This Row],[Commodity Code]]</f>
        <v>200290</v>
      </c>
      <c r="C366" s="2">
        <f>IFERROR(INDEX(HS_MD!C:C,MATCH(B366,HS_MD!B:B,0),1),"")</f>
        <v>23</v>
      </c>
      <c r="D366" s="17" t="str">
        <f>IFERROR(INDEX(HS_MD!D:D,MATCH(B366,HS_MD!B:B,0),1),"")</f>
        <v>Tomatoes prepared or preserved otherwise than by vinegar</v>
      </c>
      <c r="E366" s="17" t="str">
        <f>IFERROR(INDEX(HS_MD!E:E,MATCH(B366,HS_MD!B:B,0),1),"")</f>
        <v>Tomato Paste / Concentrate</v>
      </c>
      <c r="F366" s="17" t="str">
        <f>IFERROR(INDEX(HS_MD!F:F,MATCH(B366,HS_MD!B:B,0),1),"")</f>
        <v>Agricultural Processed Inputs</v>
      </c>
      <c r="G366" s="17" t="str">
        <f>IFERROR(INDEX(HS_MD!G:G,MATCH(B366,HS_MD!B:B,0),1),"")</f>
        <v>Tomato Derivatives</v>
      </c>
      <c r="H366" s="17" t="str">
        <f>IFERROR(INDEX(HS_MD!H:H,MATCH(B366,HS_MD!B:B,0),1),"")</f>
        <v>Industrial Tomato Paste (28-38 Brix)</v>
      </c>
      <c r="I366" s="17" t="str">
        <f>IFERROR(INDEX(HS_MD!I:I,MATCH(B366,HS_MD!B:B,0),1),"")</f>
        <v>Sauces Manufacturing</v>
      </c>
      <c r="J366" s="17">
        <f>IFERROR(INDEX(Heat_Map[Index],MATCH(HS_DB[[#This Row],[Reporter]],Heat_Map[Global],0),1),"")</f>
        <v>81</v>
      </c>
      <c r="K366" s="17" t="str">
        <f>IF(AND(HS_DB[[#This Row],[Origin Rank]]&gt;1,HS_DB[[#This Row],[Origin Rank]]&lt;=10),"Yes","No")</f>
        <v>No</v>
      </c>
      <c r="L366" s="2">
        <v>2024</v>
      </c>
      <c r="M366" s="2" t="s">
        <v>57</v>
      </c>
      <c r="N366" s="2" t="s">
        <v>49</v>
      </c>
      <c r="O366" s="2" t="s">
        <v>22</v>
      </c>
      <c r="P366" s="2" t="s">
        <v>23</v>
      </c>
      <c r="Q366" s="2" t="s">
        <v>24</v>
      </c>
      <c r="R366" s="2" t="s">
        <v>25</v>
      </c>
      <c r="S366" s="2">
        <v>200290</v>
      </c>
      <c r="T366" s="3">
        <v>94644</v>
      </c>
      <c r="U366" s="3">
        <v>62188</v>
      </c>
      <c r="V366" s="3">
        <v>0</v>
      </c>
      <c r="W366" s="3">
        <v>62188</v>
      </c>
      <c r="X366" s="3" t="s">
        <v>58</v>
      </c>
      <c r="Y366" s="3">
        <v>62188</v>
      </c>
      <c r="Z366" s="3" t="s">
        <v>58</v>
      </c>
      <c r="AA366" s="6">
        <f>SUMIFS(HS_DB[Trade Value - USD],HS_DB[Reporter],HS_DB[[#This Row],[Reporter]])/SUM(HS_DB[Trade Value - USD])</f>
        <v>1.1178535358665947E-2</v>
      </c>
      <c r="AB366" s="8" cm="1">
        <f t="array" ref="AB366">SUMPRODUCT(
(HS_DB[Reporter]=HS_DB[[#This Row],[Reporter]])*
(HS_DB[Trade Value - USD]&gt;HS_DB[[#This Row],[Trade Value - USD]])
)+1</f>
        <v>14</v>
      </c>
      <c r="AC366" s="8" t="str">
        <f>IFERROR(IF(INDEX(Heat_Map[Crisis Impact %],MATCH(HS_DB[[#This Row],[Reporter]],Heat_Map[Global],0),1)&gt;0,"Yes","No"),"No")</f>
        <v>No</v>
      </c>
      <c r="AD366" s="6">
        <f>IFERROR(INDEX(Heat_Map[Crisis Impact %],MATCH(HS_DB[[#This Row],[Reporter]],Heat_Map[Global],0),1),0)</f>
        <v>0</v>
      </c>
      <c r="AE366" s="8">
        <f>HS_DB[[#This Row],[Crisis Impact%]]*HS_DB[[#This Row],[Trade Value - USD]]</f>
        <v>0</v>
      </c>
      <c r="AF366" s="8">
        <f>HS_DB[[#This Row],[Crisis Impact%]]*HS_DB[[#This Row],[Net Weight -KG]]</f>
        <v>0</v>
      </c>
      <c r="AG366" s="6">
        <f>SUMIFS(HS_DB[Trade Value - USD],HS_DB[Products],HS_DB[[#This Row],[Products]])/SUM(HS_DB[Trade Value - USD])</f>
        <v>5.8462426743280359E-3</v>
      </c>
      <c r="AH366" s="8">
        <f>_xlfn.RANK.EQ(HS_DB[[#This Row],[Trade Value - USD]], HS_DB[Trade Value - USD], 0)
 + COUNTIFS(HS_DB[Trade Value - USD],HS_DB[[#This Row],[Trade Value - USD]],
            HS_DB[HS Code],"&lt;"&amp;HS_DB[[#This Row],[HS Code]])</f>
        <v>278</v>
      </c>
      <c r="AI366" s="9">
        <f>IFERROR(HS_DB[[#This Row],[Trade Value - USD]]/HS_DB[[#This Row],[Net Weight -KG]],0)</f>
        <v>1.5219013314465812</v>
      </c>
      <c r="AJ366" s="17" cm="1">
        <f t="array" ref="AJ366">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66" s="17" t="str">
        <f>IF(HS_DB[[#This Row],[HS Code Risk Score]]&gt;=40,"High",
 IF(HS_DB[[#This Row],[HS Code Risk Score]]&gt;=25,"Medium","Low"))</f>
        <v>Medium</v>
      </c>
      <c r="AL366" s="17" t="str">
        <f>IF(RANK(HS_DB[[#This Row],[HS Code Risk Score]],HS_DB[HS Code Risk Score])&lt;=10,"Yes","No")</f>
        <v>No</v>
      </c>
      <c r="AM366" s="8">
        <f>SUMIFS(HS_DB[Net Weight -KG],HS_DB[HS Code],HS_DB[[#This Row],[HS Code]])</f>
        <v>10652116.4</v>
      </c>
      <c r="AN366" s="8">
        <f>SUMIFS(HS_DB[Trade Value - USD],HS_DB[HS Code],HS_DB[[#This Row],[HS Code]])</f>
        <v>11020216</v>
      </c>
      <c r="AO366" s="6">
        <f>_xlfn.MAXIFS(HS_DB[Origin Share%],HS_DB[HS Code],HS_DB[[#This Row],[HS Code]])</f>
        <v>6.321329281187793E-2</v>
      </c>
      <c r="AP366" s="8" cm="1">
        <f t="array" ref="AP366">_xlfn.LET(
_xlpm.hs,HS_DB[[#This Row],[HS Code]],
COUNTA(_xlfn.UNIQUE(_xlfn._xlws.FILTER(HS_DB[Reporter],HS_DB[HS Code]=_xlpm.hs)))
)</f>
        <v>11</v>
      </c>
      <c r="AQ366" s="17" t="str">
        <f>IF(HS_DB[[#This Row],[Origin Count]]=1,"Single Source","Multiple Sources")</f>
        <v>Multiple Sources</v>
      </c>
      <c r="AR366" s="8">
        <f>HS_DB[[#This Row],[Annual Spend - USD]]*(HS_DB[[#This Row],[HS Code Risk Score]]/100)</f>
        <v>3746873.4400000004</v>
      </c>
      <c r="AS366" s="8">
        <f>RANK(HS_DB[[#This Row],[Risk Exposure - USD]],HS_DB[Risk Exposure - USD],0)</f>
        <v>280</v>
      </c>
      <c r="AT366" s="8" t="str">
        <f>IF(HS_DB[[#This Row],[Risk Exposure Rank]]&lt;=10,"High",
 IF(HS_DB[[#This Row],[Risk Exposure Rank]]&lt;=30,"Medium",
 "Low"))</f>
        <v>Low</v>
      </c>
      <c r="AU366" s="8" t="str">
        <f>IF(HS_DB[[#This Row],[Risk Exposure Rank]]&lt;=5,"Immediate Action",
 IF(HS_DB[[#This Row],[Risk Exposure Rank]]&lt;=15,"Monitor Closely",
 "Routine Control"))</f>
        <v>Routine Control</v>
      </c>
      <c r="AV366" s="8">
        <f>SUMIFS(HS_DB[Trade Value - USD],HS_DB[HS Code],HS_DB[[#This Row],[HS Code]])</f>
        <v>11020216</v>
      </c>
      <c r="AW366" s="6">
        <f>HS_DB[[#This Row],[Annual Spend - USD]]/HS_DB[[#This Row],[Total Market Size - USD]]</f>
        <v>1</v>
      </c>
      <c r="AX366" s="6" cm="1">
        <f t="array" ref="AX366">COUNTA(_xlfn.UNIQUE(_xlfn._xlws.FILTER(HS_DB[Partner],HS_DB[HS Code]=HS_DB[[#This Row],[HS Code]])))</f>
        <v>1</v>
      </c>
      <c r="AY366" s="8" t="str">
        <f>IF(HS_DB[[#This Row],[Competition Intensity]]&lt;=2,"Highly Concentrated",
 IF(HS_DB[[#This Row],[Competition Intensity]]&lt;=5,"Moderate",
 "Highly Competitive"))</f>
        <v>Highly Concentrated</v>
      </c>
      <c r="AZ366" s="8">
        <f>HS_DB[[#This Row],[Total Market Size - USD]]
*
(1+IFERROR(#REF!,0))
/
HS_DB[[#This Row],[Competition Intensity]]</f>
        <v>11020216</v>
      </c>
      <c r="BA366" s="8" t="str">
        <f>IF(HS_DB[[#This Row],[Commercial Opportunity Score]]&gt;=PERCENTILE(HS_DB[Commercial Opportunity Score],0.9),"High Opportunity",
 IF(HS_DB[[#This Row],[Commercial Opportunity Score]]&gt;=PERCENTILE(HS_DB[Commercial Opportunity Score],0.6),"Medium Opportunity",
 "Routine Market"))</f>
        <v>Routine Market</v>
      </c>
      <c r="BB366" s="3" t="str">
        <f>IF(AND(HS_DB[[#This Row],[Product Rank]]&gt;0,HS_DB[[#This Row],[Product Rank]]&lt;=10),"Yes","No")</f>
        <v>No</v>
      </c>
      <c r="BC366" s="3" t="str">
        <f>IF(AND(HS_DB[[#This Row],[Origin Rank]]&gt;0,HS_DB[[#This Row],[Origin Rank]]&lt;=10),"Yes","No")</f>
        <v>No</v>
      </c>
    </row>
    <row r="367" spans="2:55" x14ac:dyDescent="0.3">
      <c r="B367" s="2">
        <f>HS_DB[[#This Row],[Commodity Code]]</f>
        <v>200290</v>
      </c>
      <c r="C367" s="2">
        <f>IFERROR(INDEX(HS_MD!C:C,MATCH(B367,HS_MD!B:B,0),1),"")</f>
        <v>23</v>
      </c>
      <c r="D367" s="17" t="str">
        <f>IFERROR(INDEX(HS_MD!D:D,MATCH(B367,HS_MD!B:B,0),1),"")</f>
        <v>Tomatoes prepared or preserved otherwise than by vinegar</v>
      </c>
      <c r="E367" s="17" t="str">
        <f>IFERROR(INDEX(HS_MD!E:E,MATCH(B367,HS_MD!B:B,0),1),"")</f>
        <v>Tomato Paste / Concentrate</v>
      </c>
      <c r="F367" s="17" t="str">
        <f>IFERROR(INDEX(HS_MD!F:F,MATCH(B367,HS_MD!B:B,0),1),"")</f>
        <v>Agricultural Processed Inputs</v>
      </c>
      <c r="G367" s="17" t="str">
        <f>IFERROR(INDEX(HS_MD!G:G,MATCH(B367,HS_MD!B:B,0),1),"")</f>
        <v>Tomato Derivatives</v>
      </c>
      <c r="H367" s="17" t="str">
        <f>IFERROR(INDEX(HS_MD!H:H,MATCH(B367,HS_MD!B:B,0),1),"")</f>
        <v>Industrial Tomato Paste (28-38 Brix)</v>
      </c>
      <c r="I367" s="17" t="str">
        <f>IFERROR(INDEX(HS_MD!I:I,MATCH(B367,HS_MD!B:B,0),1),"")</f>
        <v>Sauces Manufacturing</v>
      </c>
      <c r="J367" s="17">
        <f>IFERROR(INDEX(Heat_Map[Index],MATCH(HS_DB[[#This Row],[Reporter]],Heat_Map[Global],0),1),"")</f>
        <v>112</v>
      </c>
      <c r="K367" s="17" t="str">
        <f>IF(AND(HS_DB[[#This Row],[Origin Rank]]&gt;1,HS_DB[[#This Row],[Origin Rank]]&lt;=10),"Yes","No")</f>
        <v>Yes</v>
      </c>
      <c r="L367" s="2">
        <v>2024</v>
      </c>
      <c r="M367" s="2" t="s">
        <v>57</v>
      </c>
      <c r="N367" s="2" t="s">
        <v>52</v>
      </c>
      <c r="O367" s="2" t="s">
        <v>22</v>
      </c>
      <c r="P367" s="2" t="s">
        <v>23</v>
      </c>
      <c r="Q367" s="2" t="s">
        <v>24</v>
      </c>
      <c r="R367" s="2" t="s">
        <v>25</v>
      </c>
      <c r="S367" s="2">
        <v>200290</v>
      </c>
      <c r="T367" s="3">
        <v>78</v>
      </c>
      <c r="U367" s="3">
        <v>7.4</v>
      </c>
      <c r="V367" s="3">
        <v>0</v>
      </c>
      <c r="W367" s="3">
        <v>7</v>
      </c>
      <c r="X367" s="3" t="s">
        <v>58</v>
      </c>
      <c r="Y367" s="3">
        <v>7</v>
      </c>
      <c r="Z367" s="3" t="s">
        <v>58</v>
      </c>
      <c r="AA367" s="6">
        <f>SUMIFS(HS_DB[Trade Value - USD],HS_DB[Reporter],HS_DB[[#This Row],[Reporter]])/SUM(HS_DB[Trade Value - USD])</f>
        <v>1.4429559760252854E-3</v>
      </c>
      <c r="AB367" s="8" cm="1">
        <f t="array" ref="AB367">SUMPRODUCT(
(HS_DB[Reporter]=HS_DB[[#This Row],[Reporter]])*
(HS_DB[Trade Value - USD]&gt;HS_DB[[#This Row],[Trade Value - USD]])
)+1</f>
        <v>8</v>
      </c>
      <c r="AC367" s="8" t="str">
        <f>IFERROR(IF(INDEX(Heat_Map[Crisis Impact %],MATCH(HS_DB[[#This Row],[Reporter]],Heat_Map[Global],0),1)&gt;0,"Yes","No"),"No")</f>
        <v>No</v>
      </c>
      <c r="AD367" s="6">
        <f>IFERROR(INDEX(Heat_Map[Crisis Impact %],MATCH(HS_DB[[#This Row],[Reporter]],Heat_Map[Global],0),1),0)</f>
        <v>0</v>
      </c>
      <c r="AE367" s="8">
        <f>HS_DB[[#This Row],[Crisis Impact%]]*HS_DB[[#This Row],[Trade Value - USD]]</f>
        <v>0</v>
      </c>
      <c r="AF367" s="8">
        <f>HS_DB[[#This Row],[Crisis Impact%]]*HS_DB[[#This Row],[Net Weight -KG]]</f>
        <v>0</v>
      </c>
      <c r="AG367" s="6">
        <f>SUMIFS(HS_DB[Trade Value - USD],HS_DB[Products],HS_DB[[#This Row],[Products]])/SUM(HS_DB[Trade Value - USD])</f>
        <v>5.8462426743280359E-3</v>
      </c>
      <c r="AH367" s="8">
        <f>_xlfn.RANK.EQ(HS_DB[[#This Row],[Trade Value - USD]], HS_DB[Trade Value - USD], 0)
 + COUNTIFS(HS_DB[Trade Value - USD],HS_DB[[#This Row],[Trade Value - USD]],
            HS_DB[HS Code],"&lt;"&amp;HS_DB[[#This Row],[HS Code]])</f>
        <v>521</v>
      </c>
      <c r="AI367" s="9">
        <f>IFERROR(HS_DB[[#This Row],[Trade Value - USD]]/HS_DB[[#This Row],[Net Weight -KG]],0)</f>
        <v>10.54054054054054</v>
      </c>
      <c r="AJ367" s="17" cm="1">
        <f t="array" ref="AJ367">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67" s="17" t="str">
        <f>IF(HS_DB[[#This Row],[HS Code Risk Score]]&gt;=40,"High",
 IF(HS_DB[[#This Row],[HS Code Risk Score]]&gt;=25,"Medium","Low"))</f>
        <v>Medium</v>
      </c>
      <c r="AL367" s="17" t="str">
        <f>IF(RANK(HS_DB[[#This Row],[HS Code Risk Score]],HS_DB[HS Code Risk Score])&lt;=10,"Yes","No")</f>
        <v>No</v>
      </c>
      <c r="AM367" s="8">
        <f>SUMIFS(HS_DB[Net Weight -KG],HS_DB[HS Code],HS_DB[[#This Row],[HS Code]])</f>
        <v>10652116.4</v>
      </c>
      <c r="AN367" s="8">
        <f>SUMIFS(HS_DB[Trade Value - USD],HS_DB[HS Code],HS_DB[[#This Row],[HS Code]])</f>
        <v>11020216</v>
      </c>
      <c r="AO367" s="6">
        <f>_xlfn.MAXIFS(HS_DB[Origin Share%],HS_DB[HS Code],HS_DB[[#This Row],[HS Code]])</f>
        <v>6.321329281187793E-2</v>
      </c>
      <c r="AP367" s="8" cm="1">
        <f t="array" ref="AP367">_xlfn.LET(
_xlpm.hs,HS_DB[[#This Row],[HS Code]],
COUNTA(_xlfn.UNIQUE(_xlfn._xlws.FILTER(HS_DB[Reporter],HS_DB[HS Code]=_xlpm.hs)))
)</f>
        <v>11</v>
      </c>
      <c r="AQ367" s="17" t="str">
        <f>IF(HS_DB[[#This Row],[Origin Count]]=1,"Single Source","Multiple Sources")</f>
        <v>Multiple Sources</v>
      </c>
      <c r="AR367" s="8">
        <f>HS_DB[[#This Row],[Annual Spend - USD]]*(HS_DB[[#This Row],[HS Code Risk Score]]/100)</f>
        <v>3746873.4400000004</v>
      </c>
      <c r="AS367" s="8">
        <f>RANK(HS_DB[[#This Row],[Risk Exposure - USD]],HS_DB[Risk Exposure - USD],0)</f>
        <v>280</v>
      </c>
      <c r="AT367" s="8" t="str">
        <f>IF(HS_DB[[#This Row],[Risk Exposure Rank]]&lt;=10,"High",
 IF(HS_DB[[#This Row],[Risk Exposure Rank]]&lt;=30,"Medium",
 "Low"))</f>
        <v>Low</v>
      </c>
      <c r="AU367" s="8" t="str">
        <f>IF(HS_DB[[#This Row],[Risk Exposure Rank]]&lt;=5,"Immediate Action",
 IF(HS_DB[[#This Row],[Risk Exposure Rank]]&lt;=15,"Monitor Closely",
 "Routine Control"))</f>
        <v>Routine Control</v>
      </c>
      <c r="AV367" s="8">
        <f>SUMIFS(HS_DB[Trade Value - USD],HS_DB[HS Code],HS_DB[[#This Row],[HS Code]])</f>
        <v>11020216</v>
      </c>
      <c r="AW367" s="6">
        <f>HS_DB[[#This Row],[Annual Spend - USD]]/HS_DB[[#This Row],[Total Market Size - USD]]</f>
        <v>1</v>
      </c>
      <c r="AX367" s="6" cm="1">
        <f t="array" ref="AX367">COUNTA(_xlfn.UNIQUE(_xlfn._xlws.FILTER(HS_DB[Partner],HS_DB[HS Code]=HS_DB[[#This Row],[HS Code]])))</f>
        <v>1</v>
      </c>
      <c r="AY367" s="8" t="str">
        <f>IF(HS_DB[[#This Row],[Competition Intensity]]&lt;=2,"Highly Concentrated",
 IF(HS_DB[[#This Row],[Competition Intensity]]&lt;=5,"Moderate",
 "Highly Competitive"))</f>
        <v>Highly Concentrated</v>
      </c>
      <c r="AZ367" s="8">
        <f>HS_DB[[#This Row],[Total Market Size - USD]]
*
(1+IFERROR(#REF!,0))
/
HS_DB[[#This Row],[Competition Intensity]]</f>
        <v>11020216</v>
      </c>
      <c r="BA367" s="8" t="str">
        <f>IF(HS_DB[[#This Row],[Commercial Opportunity Score]]&gt;=PERCENTILE(HS_DB[Commercial Opportunity Score],0.9),"High Opportunity",
 IF(HS_DB[[#This Row],[Commercial Opportunity Score]]&gt;=PERCENTILE(HS_DB[Commercial Opportunity Score],0.6),"Medium Opportunity",
 "Routine Market"))</f>
        <v>Routine Market</v>
      </c>
      <c r="BB367" s="3" t="str">
        <f>IF(AND(HS_DB[[#This Row],[Product Rank]]&gt;0,HS_DB[[#This Row],[Product Rank]]&lt;=10),"Yes","No")</f>
        <v>No</v>
      </c>
      <c r="BC367" s="3" t="str">
        <f>IF(AND(HS_DB[[#This Row],[Origin Rank]]&gt;0,HS_DB[[#This Row],[Origin Rank]]&lt;=10),"Yes","No")</f>
        <v>Yes</v>
      </c>
    </row>
    <row r="368" spans="2:55" x14ac:dyDescent="0.3">
      <c r="B368" s="2">
        <f>HS_DB[[#This Row],[Commodity Code]]</f>
        <v>200290</v>
      </c>
      <c r="C368" s="2">
        <f>IFERROR(INDEX(HS_MD!C:C,MATCH(B368,HS_MD!B:B,0),1),"")</f>
        <v>23</v>
      </c>
      <c r="D368" s="17" t="str">
        <f>IFERROR(INDEX(HS_MD!D:D,MATCH(B368,HS_MD!B:B,0),1),"")</f>
        <v>Tomatoes prepared or preserved otherwise than by vinegar</v>
      </c>
      <c r="E368" s="17" t="str">
        <f>IFERROR(INDEX(HS_MD!E:E,MATCH(B368,HS_MD!B:B,0),1),"")</f>
        <v>Tomato Paste / Concentrate</v>
      </c>
      <c r="F368" s="17" t="str">
        <f>IFERROR(INDEX(HS_MD!F:F,MATCH(B368,HS_MD!B:B,0),1),"")</f>
        <v>Agricultural Processed Inputs</v>
      </c>
      <c r="G368" s="17" t="str">
        <f>IFERROR(INDEX(HS_MD!G:G,MATCH(B368,HS_MD!B:B,0),1),"")</f>
        <v>Tomato Derivatives</v>
      </c>
      <c r="H368" s="17" t="str">
        <f>IFERROR(INDEX(HS_MD!H:H,MATCH(B368,HS_MD!B:B,0),1),"")</f>
        <v>Industrial Tomato Paste (28-38 Brix)</v>
      </c>
      <c r="I368" s="17" t="str">
        <f>IFERROR(INDEX(HS_MD!I:I,MATCH(B368,HS_MD!B:B,0),1),"")</f>
        <v>Sauces Manufacturing</v>
      </c>
      <c r="J368" s="17">
        <f>IFERROR(INDEX(Heat_Map[Index],MATCH(HS_DB[[#This Row],[Reporter]],Heat_Map[Global],0),1),"")</f>
        <v>75</v>
      </c>
      <c r="K368" s="17" t="str">
        <f>IF(AND(HS_DB[[#This Row],[Origin Rank]]&gt;1,HS_DB[[#This Row],[Origin Rank]]&lt;=10),"Yes","No")</f>
        <v>No</v>
      </c>
      <c r="L368" s="2">
        <v>2024</v>
      </c>
      <c r="M368" s="2" t="s">
        <v>57</v>
      </c>
      <c r="N368" s="2" t="s">
        <v>8</v>
      </c>
      <c r="O368" s="2" t="s">
        <v>22</v>
      </c>
      <c r="P368" s="2" t="s">
        <v>23</v>
      </c>
      <c r="Q368" s="2" t="s">
        <v>24</v>
      </c>
      <c r="R368" s="2" t="s">
        <v>25</v>
      </c>
      <c r="S368" s="2">
        <v>200290</v>
      </c>
      <c r="T368" s="3">
        <v>194081</v>
      </c>
      <c r="U368" s="3">
        <v>40000</v>
      </c>
      <c r="V368" s="3">
        <v>0</v>
      </c>
      <c r="W368" s="3">
        <v>40000</v>
      </c>
      <c r="X368" s="3" t="s">
        <v>58</v>
      </c>
      <c r="Y368" s="3">
        <v>40000</v>
      </c>
      <c r="Z368" s="3" t="s">
        <v>58</v>
      </c>
      <c r="AA368" s="6">
        <f>SUMIFS(HS_DB[Trade Value - USD],HS_DB[Reporter],HS_DB[[#This Row],[Reporter]])/SUM(HS_DB[Trade Value - USD])</f>
        <v>2.2441761060335613E-2</v>
      </c>
      <c r="AB368" s="8" cm="1">
        <f t="array" ref="AB368">SUMPRODUCT(
(HS_DB[Reporter]=HS_DB[[#This Row],[Reporter]])*
(HS_DB[Trade Value - USD]&gt;HS_DB[[#This Row],[Trade Value - USD]])
)+1</f>
        <v>20</v>
      </c>
      <c r="AC368" s="8" t="str">
        <f>IFERROR(IF(INDEX(Heat_Map[Crisis Impact %],MATCH(HS_DB[[#This Row],[Reporter]],Heat_Map[Global],0),1)&gt;0,"Yes","No"),"No")</f>
        <v>No</v>
      </c>
      <c r="AD368" s="6">
        <f>IFERROR(INDEX(Heat_Map[Crisis Impact %],MATCH(HS_DB[[#This Row],[Reporter]],Heat_Map[Global],0),1),0)</f>
        <v>0</v>
      </c>
      <c r="AE368" s="8">
        <f>HS_DB[[#This Row],[Crisis Impact%]]*HS_DB[[#This Row],[Trade Value - USD]]</f>
        <v>0</v>
      </c>
      <c r="AF368" s="8">
        <f>HS_DB[[#This Row],[Crisis Impact%]]*HS_DB[[#This Row],[Net Weight -KG]]</f>
        <v>0</v>
      </c>
      <c r="AG368" s="6">
        <f>SUMIFS(HS_DB[Trade Value - USD],HS_DB[Products],HS_DB[[#This Row],[Products]])/SUM(HS_DB[Trade Value - USD])</f>
        <v>5.8462426743280359E-3</v>
      </c>
      <c r="AH368" s="8">
        <f>_xlfn.RANK.EQ(HS_DB[[#This Row],[Trade Value - USD]], HS_DB[Trade Value - USD], 0)
 + COUNTIFS(HS_DB[Trade Value - USD],HS_DB[[#This Row],[Trade Value - USD]],
            HS_DB[HS Code],"&lt;"&amp;HS_DB[[#This Row],[HS Code]])</f>
        <v>221</v>
      </c>
      <c r="AI368" s="9">
        <f>IFERROR(HS_DB[[#This Row],[Trade Value - USD]]/HS_DB[[#This Row],[Net Weight -KG]],0)</f>
        <v>4.8520250000000003</v>
      </c>
      <c r="AJ368" s="17" cm="1">
        <f t="array" ref="AJ368">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68" s="17" t="str">
        <f>IF(HS_DB[[#This Row],[HS Code Risk Score]]&gt;=40,"High",
 IF(HS_DB[[#This Row],[HS Code Risk Score]]&gt;=25,"Medium","Low"))</f>
        <v>Medium</v>
      </c>
      <c r="AL368" s="17" t="str">
        <f>IF(RANK(HS_DB[[#This Row],[HS Code Risk Score]],HS_DB[HS Code Risk Score])&lt;=10,"Yes","No")</f>
        <v>No</v>
      </c>
      <c r="AM368" s="8">
        <f>SUMIFS(HS_DB[Net Weight -KG],HS_DB[HS Code],HS_DB[[#This Row],[HS Code]])</f>
        <v>10652116.4</v>
      </c>
      <c r="AN368" s="8">
        <f>SUMIFS(HS_DB[Trade Value - USD],HS_DB[HS Code],HS_DB[[#This Row],[HS Code]])</f>
        <v>11020216</v>
      </c>
      <c r="AO368" s="6">
        <f>_xlfn.MAXIFS(HS_DB[Origin Share%],HS_DB[HS Code],HS_DB[[#This Row],[HS Code]])</f>
        <v>6.321329281187793E-2</v>
      </c>
      <c r="AP368" s="8" cm="1">
        <f t="array" ref="AP368">_xlfn.LET(
_xlpm.hs,HS_DB[[#This Row],[HS Code]],
COUNTA(_xlfn.UNIQUE(_xlfn._xlws.FILTER(HS_DB[Reporter],HS_DB[HS Code]=_xlpm.hs)))
)</f>
        <v>11</v>
      </c>
      <c r="AQ368" s="17" t="str">
        <f>IF(HS_DB[[#This Row],[Origin Count]]=1,"Single Source","Multiple Sources")</f>
        <v>Multiple Sources</v>
      </c>
      <c r="AR368" s="8">
        <f>HS_DB[[#This Row],[Annual Spend - USD]]*(HS_DB[[#This Row],[HS Code Risk Score]]/100)</f>
        <v>3746873.4400000004</v>
      </c>
      <c r="AS368" s="8">
        <f>RANK(HS_DB[[#This Row],[Risk Exposure - USD]],HS_DB[Risk Exposure - USD],0)</f>
        <v>280</v>
      </c>
      <c r="AT368" s="8" t="str">
        <f>IF(HS_DB[[#This Row],[Risk Exposure Rank]]&lt;=10,"High",
 IF(HS_DB[[#This Row],[Risk Exposure Rank]]&lt;=30,"Medium",
 "Low"))</f>
        <v>Low</v>
      </c>
      <c r="AU368" s="8" t="str">
        <f>IF(HS_DB[[#This Row],[Risk Exposure Rank]]&lt;=5,"Immediate Action",
 IF(HS_DB[[#This Row],[Risk Exposure Rank]]&lt;=15,"Monitor Closely",
 "Routine Control"))</f>
        <v>Routine Control</v>
      </c>
      <c r="AV368" s="8">
        <f>SUMIFS(HS_DB[Trade Value - USD],HS_DB[HS Code],HS_DB[[#This Row],[HS Code]])</f>
        <v>11020216</v>
      </c>
      <c r="AW368" s="6">
        <f>HS_DB[[#This Row],[Annual Spend - USD]]/HS_DB[[#This Row],[Total Market Size - USD]]</f>
        <v>1</v>
      </c>
      <c r="AX368" s="6" cm="1">
        <f t="array" ref="AX368">COUNTA(_xlfn.UNIQUE(_xlfn._xlws.FILTER(HS_DB[Partner],HS_DB[HS Code]=HS_DB[[#This Row],[HS Code]])))</f>
        <v>1</v>
      </c>
      <c r="AY368" s="8" t="str">
        <f>IF(HS_DB[[#This Row],[Competition Intensity]]&lt;=2,"Highly Concentrated",
 IF(HS_DB[[#This Row],[Competition Intensity]]&lt;=5,"Moderate",
 "Highly Competitive"))</f>
        <v>Highly Concentrated</v>
      </c>
      <c r="AZ368" s="8">
        <f>HS_DB[[#This Row],[Total Market Size - USD]]
*
(1+IFERROR(#REF!,0))
/
HS_DB[[#This Row],[Competition Intensity]]</f>
        <v>11020216</v>
      </c>
      <c r="BA368" s="8" t="str">
        <f>IF(HS_DB[[#This Row],[Commercial Opportunity Score]]&gt;=PERCENTILE(HS_DB[Commercial Opportunity Score],0.9),"High Opportunity",
 IF(HS_DB[[#This Row],[Commercial Opportunity Score]]&gt;=PERCENTILE(HS_DB[Commercial Opportunity Score],0.6),"Medium Opportunity",
 "Routine Market"))</f>
        <v>Routine Market</v>
      </c>
      <c r="BB368" s="3" t="str">
        <f>IF(AND(HS_DB[[#This Row],[Product Rank]]&gt;0,HS_DB[[#This Row],[Product Rank]]&lt;=10),"Yes","No")</f>
        <v>No</v>
      </c>
      <c r="BC368" s="3" t="str">
        <f>IF(AND(HS_DB[[#This Row],[Origin Rank]]&gt;0,HS_DB[[#This Row],[Origin Rank]]&lt;=10),"Yes","No")</f>
        <v>No</v>
      </c>
    </row>
    <row r="369" spans="2:55" x14ac:dyDescent="0.3">
      <c r="B369" s="2">
        <f>HS_DB[[#This Row],[Commodity Code]]</f>
        <v>200290</v>
      </c>
      <c r="C369" s="2">
        <f>IFERROR(INDEX(HS_MD!C:C,MATCH(B369,HS_MD!B:B,0),1),"")</f>
        <v>23</v>
      </c>
      <c r="D369" s="17" t="str">
        <f>IFERROR(INDEX(HS_MD!D:D,MATCH(B369,HS_MD!B:B,0),1),"")</f>
        <v>Tomatoes prepared or preserved otherwise than by vinegar</v>
      </c>
      <c r="E369" s="17" t="str">
        <f>IFERROR(INDEX(HS_MD!E:E,MATCH(B369,HS_MD!B:B,0),1),"")</f>
        <v>Tomato Paste / Concentrate</v>
      </c>
      <c r="F369" s="17" t="str">
        <f>IFERROR(INDEX(HS_MD!F:F,MATCH(B369,HS_MD!B:B,0),1),"")</f>
        <v>Agricultural Processed Inputs</v>
      </c>
      <c r="G369" s="17" t="str">
        <f>IFERROR(INDEX(HS_MD!G:G,MATCH(B369,HS_MD!B:B,0),1),"")</f>
        <v>Tomato Derivatives</v>
      </c>
      <c r="H369" s="17" t="str">
        <f>IFERROR(INDEX(HS_MD!H:H,MATCH(B369,HS_MD!B:B,0),1),"")</f>
        <v>Industrial Tomato Paste (28-38 Brix)</v>
      </c>
      <c r="I369" s="17" t="str">
        <f>IFERROR(INDEX(HS_MD!I:I,MATCH(B369,HS_MD!B:B,0),1),"")</f>
        <v>Sauces Manufacturing</v>
      </c>
      <c r="J369" s="17">
        <f>IFERROR(INDEX(Heat_Map[Index],MATCH(HS_DB[[#This Row],[Reporter]],Heat_Map[Global],0),1),"")</f>
        <v>159</v>
      </c>
      <c r="K369" s="17" t="str">
        <f>IF(AND(HS_DB[[#This Row],[Origin Rank]]&gt;1,HS_DB[[#This Row],[Origin Rank]]&lt;=10),"Yes","No")</f>
        <v>Yes</v>
      </c>
      <c r="L369" s="2">
        <v>2024</v>
      </c>
      <c r="M369" s="2" t="s">
        <v>57</v>
      </c>
      <c r="N369" s="2" t="s">
        <v>30</v>
      </c>
      <c r="O369" s="2" t="s">
        <v>22</v>
      </c>
      <c r="P369" s="2" t="s">
        <v>23</v>
      </c>
      <c r="Q369" s="2" t="s">
        <v>24</v>
      </c>
      <c r="R369" s="2" t="s">
        <v>25</v>
      </c>
      <c r="S369" s="2">
        <v>200290</v>
      </c>
      <c r="T369" s="3">
        <v>422757</v>
      </c>
      <c r="U369" s="3">
        <v>189869</v>
      </c>
      <c r="V369" s="3">
        <v>0</v>
      </c>
      <c r="W369" s="3">
        <v>189869</v>
      </c>
      <c r="X369" s="3" t="s">
        <v>58</v>
      </c>
      <c r="Y369" s="3">
        <v>189869</v>
      </c>
      <c r="Z369" s="3" t="s">
        <v>58</v>
      </c>
      <c r="AA369" s="6">
        <f>SUMIFS(HS_DB[Trade Value - USD],HS_DB[Reporter],HS_DB[[#This Row],[Reporter]])/SUM(HS_DB[Trade Value - USD])</f>
        <v>6.110186869383482E-3</v>
      </c>
      <c r="AB369" s="8" cm="1">
        <f t="array" ref="AB369">SUMPRODUCT(
(HS_DB[Reporter]=HS_DB[[#This Row],[Reporter]])*
(HS_DB[Trade Value - USD]&gt;HS_DB[[#This Row],[Trade Value - USD]])
)+1</f>
        <v>7</v>
      </c>
      <c r="AC369" s="8" t="str">
        <f>IFERROR(IF(INDEX(Heat_Map[Crisis Impact %],MATCH(HS_DB[[#This Row],[Reporter]],Heat_Map[Global],0),1)&gt;0,"Yes","No"),"No")</f>
        <v>No</v>
      </c>
      <c r="AD369" s="6">
        <f>IFERROR(INDEX(Heat_Map[Crisis Impact %],MATCH(HS_DB[[#This Row],[Reporter]],Heat_Map[Global],0),1),0)</f>
        <v>0</v>
      </c>
      <c r="AE369" s="8">
        <f>HS_DB[[#This Row],[Crisis Impact%]]*HS_DB[[#This Row],[Trade Value - USD]]</f>
        <v>0</v>
      </c>
      <c r="AF369" s="8">
        <f>HS_DB[[#This Row],[Crisis Impact%]]*HS_DB[[#This Row],[Net Weight -KG]]</f>
        <v>0</v>
      </c>
      <c r="AG369" s="6">
        <f>SUMIFS(HS_DB[Trade Value - USD],HS_DB[Products],HS_DB[[#This Row],[Products]])/SUM(HS_DB[Trade Value - USD])</f>
        <v>5.8462426743280359E-3</v>
      </c>
      <c r="AH369" s="8">
        <f>_xlfn.RANK.EQ(HS_DB[[#This Row],[Trade Value - USD]], HS_DB[Trade Value - USD], 0)
 + COUNTIFS(HS_DB[Trade Value - USD],HS_DB[[#This Row],[Trade Value - USD]],
            HS_DB[HS Code],"&lt;"&amp;HS_DB[[#This Row],[HS Code]])</f>
        <v>158</v>
      </c>
      <c r="AI369" s="9">
        <f>IFERROR(HS_DB[[#This Row],[Trade Value - USD]]/HS_DB[[#This Row],[Net Weight -KG]],0)</f>
        <v>2.2265720049086477</v>
      </c>
      <c r="AJ369" s="17" cm="1">
        <f t="array" ref="AJ369">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69" s="17" t="str">
        <f>IF(HS_DB[[#This Row],[HS Code Risk Score]]&gt;=40,"High",
 IF(HS_DB[[#This Row],[HS Code Risk Score]]&gt;=25,"Medium","Low"))</f>
        <v>Medium</v>
      </c>
      <c r="AL369" s="17" t="str">
        <f>IF(RANK(HS_DB[[#This Row],[HS Code Risk Score]],HS_DB[HS Code Risk Score])&lt;=10,"Yes","No")</f>
        <v>No</v>
      </c>
      <c r="AM369" s="8">
        <f>SUMIFS(HS_DB[Net Weight -KG],HS_DB[HS Code],HS_DB[[#This Row],[HS Code]])</f>
        <v>10652116.4</v>
      </c>
      <c r="AN369" s="8">
        <f>SUMIFS(HS_DB[Trade Value - USD],HS_DB[HS Code],HS_DB[[#This Row],[HS Code]])</f>
        <v>11020216</v>
      </c>
      <c r="AO369" s="6">
        <f>_xlfn.MAXIFS(HS_DB[Origin Share%],HS_DB[HS Code],HS_DB[[#This Row],[HS Code]])</f>
        <v>6.321329281187793E-2</v>
      </c>
      <c r="AP369" s="8" cm="1">
        <f t="array" ref="AP369">_xlfn.LET(
_xlpm.hs,HS_DB[[#This Row],[HS Code]],
COUNTA(_xlfn.UNIQUE(_xlfn._xlws.FILTER(HS_DB[Reporter],HS_DB[HS Code]=_xlpm.hs)))
)</f>
        <v>11</v>
      </c>
      <c r="AQ369" s="17" t="str">
        <f>IF(HS_DB[[#This Row],[Origin Count]]=1,"Single Source","Multiple Sources")</f>
        <v>Multiple Sources</v>
      </c>
      <c r="AR369" s="8">
        <f>HS_DB[[#This Row],[Annual Spend - USD]]*(HS_DB[[#This Row],[HS Code Risk Score]]/100)</f>
        <v>3746873.4400000004</v>
      </c>
      <c r="AS369" s="8">
        <f>RANK(HS_DB[[#This Row],[Risk Exposure - USD]],HS_DB[Risk Exposure - USD],0)</f>
        <v>280</v>
      </c>
      <c r="AT369" s="8" t="str">
        <f>IF(HS_DB[[#This Row],[Risk Exposure Rank]]&lt;=10,"High",
 IF(HS_DB[[#This Row],[Risk Exposure Rank]]&lt;=30,"Medium",
 "Low"))</f>
        <v>Low</v>
      </c>
      <c r="AU369" s="8" t="str">
        <f>IF(HS_DB[[#This Row],[Risk Exposure Rank]]&lt;=5,"Immediate Action",
 IF(HS_DB[[#This Row],[Risk Exposure Rank]]&lt;=15,"Monitor Closely",
 "Routine Control"))</f>
        <v>Routine Control</v>
      </c>
      <c r="AV369" s="8">
        <f>SUMIFS(HS_DB[Trade Value - USD],HS_DB[HS Code],HS_DB[[#This Row],[HS Code]])</f>
        <v>11020216</v>
      </c>
      <c r="AW369" s="6">
        <f>HS_DB[[#This Row],[Annual Spend - USD]]/HS_DB[[#This Row],[Total Market Size - USD]]</f>
        <v>1</v>
      </c>
      <c r="AX369" s="6" cm="1">
        <f t="array" ref="AX369">COUNTA(_xlfn.UNIQUE(_xlfn._xlws.FILTER(HS_DB[Partner],HS_DB[HS Code]=HS_DB[[#This Row],[HS Code]])))</f>
        <v>1</v>
      </c>
      <c r="AY369" s="8" t="str">
        <f>IF(HS_DB[[#This Row],[Competition Intensity]]&lt;=2,"Highly Concentrated",
 IF(HS_DB[[#This Row],[Competition Intensity]]&lt;=5,"Moderate",
 "Highly Competitive"))</f>
        <v>Highly Concentrated</v>
      </c>
      <c r="AZ369" s="8">
        <f>HS_DB[[#This Row],[Total Market Size - USD]]
*
(1+IFERROR(#REF!,0))
/
HS_DB[[#This Row],[Competition Intensity]]</f>
        <v>11020216</v>
      </c>
      <c r="BA369" s="8" t="str">
        <f>IF(HS_DB[[#This Row],[Commercial Opportunity Score]]&gt;=PERCENTILE(HS_DB[Commercial Opportunity Score],0.9),"High Opportunity",
 IF(HS_DB[[#This Row],[Commercial Opportunity Score]]&gt;=PERCENTILE(HS_DB[Commercial Opportunity Score],0.6),"Medium Opportunity",
 "Routine Market"))</f>
        <v>Routine Market</v>
      </c>
      <c r="BB369" s="3" t="str">
        <f>IF(AND(HS_DB[[#This Row],[Product Rank]]&gt;0,HS_DB[[#This Row],[Product Rank]]&lt;=10),"Yes","No")</f>
        <v>No</v>
      </c>
      <c r="BC369" s="3" t="str">
        <f>IF(AND(HS_DB[[#This Row],[Origin Rank]]&gt;0,HS_DB[[#This Row],[Origin Rank]]&lt;=10),"Yes","No")</f>
        <v>Yes</v>
      </c>
    </row>
    <row r="370" spans="2:55" x14ac:dyDescent="0.3">
      <c r="B370" s="2">
        <f>HS_DB[[#This Row],[Commodity Code]]</f>
        <v>200290</v>
      </c>
      <c r="C370" s="2">
        <f>IFERROR(INDEX(HS_MD!C:C,MATCH(B370,HS_MD!B:B,0),1),"")</f>
        <v>23</v>
      </c>
      <c r="D370" s="17" t="str">
        <f>IFERROR(INDEX(HS_MD!D:D,MATCH(B370,HS_MD!B:B,0),1),"")</f>
        <v>Tomatoes prepared or preserved otherwise than by vinegar</v>
      </c>
      <c r="E370" s="17" t="str">
        <f>IFERROR(INDEX(HS_MD!E:E,MATCH(B370,HS_MD!B:B,0),1),"")</f>
        <v>Tomato Paste / Concentrate</v>
      </c>
      <c r="F370" s="17" t="str">
        <f>IFERROR(INDEX(HS_MD!F:F,MATCH(B370,HS_MD!B:B,0),1),"")</f>
        <v>Agricultural Processed Inputs</v>
      </c>
      <c r="G370" s="17" t="str">
        <f>IFERROR(INDEX(HS_MD!G:G,MATCH(B370,HS_MD!B:B,0),1),"")</f>
        <v>Tomato Derivatives</v>
      </c>
      <c r="H370" s="17" t="str">
        <f>IFERROR(INDEX(HS_MD!H:H,MATCH(B370,HS_MD!B:B,0),1),"")</f>
        <v>Industrial Tomato Paste (28-38 Brix)</v>
      </c>
      <c r="I370" s="17" t="str">
        <f>IFERROR(INDEX(HS_MD!I:I,MATCH(B370,HS_MD!B:B,0),1),"")</f>
        <v>Sauces Manufacturing</v>
      </c>
      <c r="J370" s="17">
        <f>IFERROR(INDEX(Heat_Map[Index],MATCH(HS_DB[[#This Row],[Reporter]],Heat_Map[Global],0),1),"")</f>
        <v>175</v>
      </c>
      <c r="K370" s="17" t="str">
        <f>IF(AND(HS_DB[[#This Row],[Origin Rank]]&gt;1,HS_DB[[#This Row],[Origin Rank]]&lt;=10),"Yes","No")</f>
        <v>Yes</v>
      </c>
      <c r="L370" s="2">
        <v>2024</v>
      </c>
      <c r="M370" s="2" t="s">
        <v>57</v>
      </c>
      <c r="N370" s="2" t="s">
        <v>34</v>
      </c>
      <c r="O370" s="2" t="s">
        <v>22</v>
      </c>
      <c r="P370" s="2" t="s">
        <v>23</v>
      </c>
      <c r="Q370" s="2" t="s">
        <v>24</v>
      </c>
      <c r="R370" s="2" t="s">
        <v>25</v>
      </c>
      <c r="S370" s="2">
        <v>200290</v>
      </c>
      <c r="T370" s="3">
        <v>3562982</v>
      </c>
      <c r="U370" s="3">
        <v>2636222</v>
      </c>
      <c r="V370" s="3">
        <v>0</v>
      </c>
      <c r="W370" s="3">
        <v>2636222</v>
      </c>
      <c r="X370" s="3" t="s">
        <v>58</v>
      </c>
      <c r="Y370" s="3">
        <v>2636222</v>
      </c>
      <c r="Z370" s="3" t="s">
        <v>58</v>
      </c>
      <c r="AA370" s="6">
        <f>SUMIFS(HS_DB[Trade Value - USD],HS_DB[Reporter],HS_DB[[#This Row],[Reporter]])/SUM(HS_DB[Trade Value - USD])</f>
        <v>4.7522902002533667E-2</v>
      </c>
      <c r="AB370" s="8" cm="1">
        <f t="array" ref="AB370">SUMPRODUCT(
(HS_DB[Reporter]=HS_DB[[#This Row],[Reporter]])*
(HS_DB[Trade Value - USD]&gt;HS_DB[[#This Row],[Trade Value - USD]])
)+1</f>
        <v>6</v>
      </c>
      <c r="AC370" s="8" t="str">
        <f>IFERROR(IF(INDEX(Heat_Map[Crisis Impact %],MATCH(HS_DB[[#This Row],[Reporter]],Heat_Map[Global],0),1)&gt;0,"Yes","No"),"No")</f>
        <v>Yes</v>
      </c>
      <c r="AD370" s="6">
        <f>IFERROR(INDEX(Heat_Map[Crisis Impact %],MATCH(HS_DB[[#This Row],[Reporter]],Heat_Map[Global],0),1),0)</f>
        <v>0.1</v>
      </c>
      <c r="AE370" s="8">
        <f>HS_DB[[#This Row],[Crisis Impact%]]*HS_DB[[#This Row],[Trade Value - USD]]</f>
        <v>356298.2</v>
      </c>
      <c r="AF370" s="8">
        <f>HS_DB[[#This Row],[Crisis Impact%]]*HS_DB[[#This Row],[Net Weight -KG]]</f>
        <v>263622.2</v>
      </c>
      <c r="AG370" s="6">
        <f>SUMIFS(HS_DB[Trade Value - USD],HS_DB[Products],HS_DB[[#This Row],[Products]])/SUM(HS_DB[Trade Value - USD])</f>
        <v>5.8462426743280359E-3</v>
      </c>
      <c r="AH370" s="8">
        <f>_xlfn.RANK.EQ(HS_DB[[#This Row],[Trade Value - USD]], HS_DB[Trade Value - USD], 0)
 + COUNTIFS(HS_DB[Trade Value - USD],HS_DB[[#This Row],[Trade Value - USD]],
            HS_DB[HS Code],"&lt;"&amp;HS_DB[[#This Row],[HS Code]])</f>
        <v>39</v>
      </c>
      <c r="AI370" s="9">
        <f>IFERROR(HS_DB[[#This Row],[Trade Value - USD]]/HS_DB[[#This Row],[Net Weight -KG]],0)</f>
        <v>1.3515485418147637</v>
      </c>
      <c r="AJ370" s="17" cm="1">
        <f t="array" ref="AJ370">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70" s="17" t="str">
        <f>IF(HS_DB[[#This Row],[HS Code Risk Score]]&gt;=40,"High",
 IF(HS_DB[[#This Row],[HS Code Risk Score]]&gt;=25,"Medium","Low"))</f>
        <v>Medium</v>
      </c>
      <c r="AL370" s="17" t="str">
        <f>IF(RANK(HS_DB[[#This Row],[HS Code Risk Score]],HS_DB[HS Code Risk Score])&lt;=10,"Yes","No")</f>
        <v>No</v>
      </c>
      <c r="AM370" s="8">
        <f>SUMIFS(HS_DB[Net Weight -KG],HS_DB[HS Code],HS_DB[[#This Row],[HS Code]])</f>
        <v>10652116.4</v>
      </c>
      <c r="AN370" s="8">
        <f>SUMIFS(HS_DB[Trade Value - USD],HS_DB[HS Code],HS_DB[[#This Row],[HS Code]])</f>
        <v>11020216</v>
      </c>
      <c r="AO370" s="6">
        <f>_xlfn.MAXIFS(HS_DB[Origin Share%],HS_DB[HS Code],HS_DB[[#This Row],[HS Code]])</f>
        <v>6.321329281187793E-2</v>
      </c>
      <c r="AP370" s="8" cm="1">
        <f t="array" ref="AP370">_xlfn.LET(
_xlpm.hs,HS_DB[[#This Row],[HS Code]],
COUNTA(_xlfn.UNIQUE(_xlfn._xlws.FILTER(HS_DB[Reporter],HS_DB[HS Code]=_xlpm.hs)))
)</f>
        <v>11</v>
      </c>
      <c r="AQ370" s="17" t="str">
        <f>IF(HS_DB[[#This Row],[Origin Count]]=1,"Single Source","Multiple Sources")</f>
        <v>Multiple Sources</v>
      </c>
      <c r="AR370" s="8">
        <f>HS_DB[[#This Row],[Annual Spend - USD]]*(HS_DB[[#This Row],[HS Code Risk Score]]/100)</f>
        <v>3746873.4400000004</v>
      </c>
      <c r="AS370" s="8">
        <f>RANK(HS_DB[[#This Row],[Risk Exposure - USD]],HS_DB[Risk Exposure - USD],0)</f>
        <v>280</v>
      </c>
      <c r="AT370" s="8" t="str">
        <f>IF(HS_DB[[#This Row],[Risk Exposure Rank]]&lt;=10,"High",
 IF(HS_DB[[#This Row],[Risk Exposure Rank]]&lt;=30,"Medium",
 "Low"))</f>
        <v>Low</v>
      </c>
      <c r="AU370" s="8" t="str">
        <f>IF(HS_DB[[#This Row],[Risk Exposure Rank]]&lt;=5,"Immediate Action",
 IF(HS_DB[[#This Row],[Risk Exposure Rank]]&lt;=15,"Monitor Closely",
 "Routine Control"))</f>
        <v>Routine Control</v>
      </c>
      <c r="AV370" s="8">
        <f>SUMIFS(HS_DB[Trade Value - USD],HS_DB[HS Code],HS_DB[[#This Row],[HS Code]])</f>
        <v>11020216</v>
      </c>
      <c r="AW370" s="6">
        <f>HS_DB[[#This Row],[Annual Spend - USD]]/HS_DB[[#This Row],[Total Market Size - USD]]</f>
        <v>1</v>
      </c>
      <c r="AX370" s="6" cm="1">
        <f t="array" ref="AX370">COUNTA(_xlfn.UNIQUE(_xlfn._xlws.FILTER(HS_DB[Partner],HS_DB[HS Code]=HS_DB[[#This Row],[HS Code]])))</f>
        <v>1</v>
      </c>
      <c r="AY370" s="8" t="str">
        <f>IF(HS_DB[[#This Row],[Competition Intensity]]&lt;=2,"Highly Concentrated",
 IF(HS_DB[[#This Row],[Competition Intensity]]&lt;=5,"Moderate",
 "Highly Competitive"))</f>
        <v>Highly Concentrated</v>
      </c>
      <c r="AZ370" s="8">
        <f>HS_DB[[#This Row],[Total Market Size - USD]]
*
(1+IFERROR(#REF!,0))
/
HS_DB[[#This Row],[Competition Intensity]]</f>
        <v>11020216</v>
      </c>
      <c r="BA370" s="8" t="str">
        <f>IF(HS_DB[[#This Row],[Commercial Opportunity Score]]&gt;=PERCENTILE(HS_DB[Commercial Opportunity Score],0.9),"High Opportunity",
 IF(HS_DB[[#This Row],[Commercial Opportunity Score]]&gt;=PERCENTILE(HS_DB[Commercial Opportunity Score],0.6),"Medium Opportunity",
 "Routine Market"))</f>
        <v>Routine Market</v>
      </c>
      <c r="BB370" s="3" t="str">
        <f>IF(AND(HS_DB[[#This Row],[Product Rank]]&gt;0,HS_DB[[#This Row],[Product Rank]]&lt;=10),"Yes","No")</f>
        <v>No</v>
      </c>
      <c r="BC370" s="3" t="str">
        <f>IF(AND(HS_DB[[#This Row],[Origin Rank]]&gt;0,HS_DB[[#This Row],[Origin Rank]]&lt;=10),"Yes","No")</f>
        <v>Yes</v>
      </c>
    </row>
    <row r="371" spans="2:55" x14ac:dyDescent="0.3">
      <c r="B371" s="2">
        <f>HS_DB[[#This Row],[Commodity Code]]</f>
        <v>200290</v>
      </c>
      <c r="C371" s="2">
        <f>IFERROR(INDEX(HS_MD!C:C,MATCH(B371,HS_MD!B:B,0),1),"")</f>
        <v>23</v>
      </c>
      <c r="D371" s="17" t="str">
        <f>IFERROR(INDEX(HS_MD!D:D,MATCH(B371,HS_MD!B:B,0),1),"")</f>
        <v>Tomatoes prepared or preserved otherwise than by vinegar</v>
      </c>
      <c r="E371" s="17" t="str">
        <f>IFERROR(INDEX(HS_MD!E:E,MATCH(B371,HS_MD!B:B,0),1),"")</f>
        <v>Tomato Paste / Concentrate</v>
      </c>
      <c r="F371" s="17" t="str">
        <f>IFERROR(INDEX(HS_MD!F:F,MATCH(B371,HS_MD!B:B,0),1),"")</f>
        <v>Agricultural Processed Inputs</v>
      </c>
      <c r="G371" s="17" t="str">
        <f>IFERROR(INDEX(HS_MD!G:G,MATCH(B371,HS_MD!B:B,0),1),"")</f>
        <v>Tomato Derivatives</v>
      </c>
      <c r="H371" s="17" t="str">
        <f>IFERROR(INDEX(HS_MD!H:H,MATCH(B371,HS_MD!B:B,0),1),"")</f>
        <v>Industrial Tomato Paste (28-38 Brix)</v>
      </c>
      <c r="I371" s="17" t="str">
        <f>IFERROR(INDEX(HS_MD!I:I,MATCH(B371,HS_MD!B:B,0),1),"")</f>
        <v>Sauces Manufacturing</v>
      </c>
      <c r="J371" s="17">
        <f>IFERROR(INDEX(Heat_Map[Index],MATCH(HS_DB[[#This Row],[Reporter]],Heat_Map[Global],0),1),"")</f>
        <v>181</v>
      </c>
      <c r="K371" s="17" t="str">
        <f>IF(AND(HS_DB[[#This Row],[Origin Rank]]&gt;1,HS_DB[[#This Row],[Origin Rank]]&lt;=10),"Yes","No")</f>
        <v>Yes</v>
      </c>
      <c r="L371" s="2">
        <v>2024</v>
      </c>
      <c r="M371" s="2" t="s">
        <v>57</v>
      </c>
      <c r="N371" s="2" t="s">
        <v>36</v>
      </c>
      <c r="O371" s="2" t="s">
        <v>22</v>
      </c>
      <c r="P371" s="2" t="s">
        <v>23</v>
      </c>
      <c r="Q371" s="2" t="s">
        <v>24</v>
      </c>
      <c r="R371" s="2" t="s">
        <v>25</v>
      </c>
      <c r="S371" s="2">
        <v>200290</v>
      </c>
      <c r="T371" s="3">
        <v>32146</v>
      </c>
      <c r="U371" s="3">
        <v>18400</v>
      </c>
      <c r="V371" s="3">
        <v>0</v>
      </c>
      <c r="W371" s="3">
        <v>18400</v>
      </c>
      <c r="X371" s="3" t="s">
        <v>58</v>
      </c>
      <c r="Y371" s="3">
        <v>18400</v>
      </c>
      <c r="Z371" s="3" t="s">
        <v>58</v>
      </c>
      <c r="AA371" s="6">
        <f>SUMIFS(HS_DB[Trade Value - USD],HS_DB[Reporter],HS_DB[[#This Row],[Reporter]])/SUM(HS_DB[Trade Value - USD])</f>
        <v>1.3104801671892474E-3</v>
      </c>
      <c r="AB371" s="8" cm="1">
        <f t="array" ref="AB371">SUMPRODUCT(
(HS_DB[Reporter]=HS_DB[[#This Row],[Reporter]])*
(HS_DB[Trade Value - USD]&gt;HS_DB[[#This Row],[Trade Value - USD]])
)+1</f>
        <v>10</v>
      </c>
      <c r="AC371" s="8" t="str">
        <f>IFERROR(IF(INDEX(Heat_Map[Crisis Impact %],MATCH(HS_DB[[#This Row],[Reporter]],Heat_Map[Global],0),1)&gt;0,"Yes","No"),"No")</f>
        <v>No</v>
      </c>
      <c r="AD371" s="6">
        <f>IFERROR(INDEX(Heat_Map[Crisis Impact %],MATCH(HS_DB[[#This Row],[Reporter]],Heat_Map[Global],0),1),0)</f>
        <v>0</v>
      </c>
      <c r="AE371" s="8">
        <f>HS_DB[[#This Row],[Crisis Impact%]]*HS_DB[[#This Row],[Trade Value - USD]]</f>
        <v>0</v>
      </c>
      <c r="AF371" s="8">
        <f>HS_DB[[#This Row],[Crisis Impact%]]*HS_DB[[#This Row],[Net Weight -KG]]</f>
        <v>0</v>
      </c>
      <c r="AG371" s="6">
        <f>SUMIFS(HS_DB[Trade Value - USD],HS_DB[Products],HS_DB[[#This Row],[Products]])/SUM(HS_DB[Trade Value - USD])</f>
        <v>5.8462426743280359E-3</v>
      </c>
      <c r="AH371" s="8">
        <f>_xlfn.RANK.EQ(HS_DB[[#This Row],[Trade Value - USD]], HS_DB[Trade Value - USD], 0)
 + COUNTIFS(HS_DB[Trade Value - USD],HS_DB[[#This Row],[Trade Value - USD]],
            HS_DB[HS Code],"&lt;"&amp;HS_DB[[#This Row],[HS Code]])</f>
        <v>351</v>
      </c>
      <c r="AI371" s="9">
        <f>IFERROR(HS_DB[[#This Row],[Trade Value - USD]]/HS_DB[[#This Row],[Net Weight -KG]],0)</f>
        <v>1.7470652173913044</v>
      </c>
      <c r="AJ371" s="17" cm="1">
        <f t="array" ref="AJ371">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71" s="17" t="str">
        <f>IF(HS_DB[[#This Row],[HS Code Risk Score]]&gt;=40,"High",
 IF(HS_DB[[#This Row],[HS Code Risk Score]]&gt;=25,"Medium","Low"))</f>
        <v>Medium</v>
      </c>
      <c r="AL371" s="17" t="str">
        <f>IF(RANK(HS_DB[[#This Row],[HS Code Risk Score]],HS_DB[HS Code Risk Score])&lt;=10,"Yes","No")</f>
        <v>No</v>
      </c>
      <c r="AM371" s="8">
        <f>SUMIFS(HS_DB[Net Weight -KG],HS_DB[HS Code],HS_DB[[#This Row],[HS Code]])</f>
        <v>10652116.4</v>
      </c>
      <c r="AN371" s="8">
        <f>SUMIFS(HS_DB[Trade Value - USD],HS_DB[HS Code],HS_DB[[#This Row],[HS Code]])</f>
        <v>11020216</v>
      </c>
      <c r="AO371" s="6">
        <f>_xlfn.MAXIFS(HS_DB[Origin Share%],HS_DB[HS Code],HS_DB[[#This Row],[HS Code]])</f>
        <v>6.321329281187793E-2</v>
      </c>
      <c r="AP371" s="8" cm="1">
        <f t="array" ref="AP371">_xlfn.LET(
_xlpm.hs,HS_DB[[#This Row],[HS Code]],
COUNTA(_xlfn.UNIQUE(_xlfn._xlws.FILTER(HS_DB[Reporter],HS_DB[HS Code]=_xlpm.hs)))
)</f>
        <v>11</v>
      </c>
      <c r="AQ371" s="17" t="str">
        <f>IF(HS_DB[[#This Row],[Origin Count]]=1,"Single Source","Multiple Sources")</f>
        <v>Multiple Sources</v>
      </c>
      <c r="AR371" s="8">
        <f>HS_DB[[#This Row],[Annual Spend - USD]]*(HS_DB[[#This Row],[HS Code Risk Score]]/100)</f>
        <v>3746873.4400000004</v>
      </c>
      <c r="AS371" s="8">
        <f>RANK(HS_DB[[#This Row],[Risk Exposure - USD]],HS_DB[Risk Exposure - USD],0)</f>
        <v>280</v>
      </c>
      <c r="AT371" s="8" t="str">
        <f>IF(HS_DB[[#This Row],[Risk Exposure Rank]]&lt;=10,"High",
 IF(HS_DB[[#This Row],[Risk Exposure Rank]]&lt;=30,"Medium",
 "Low"))</f>
        <v>Low</v>
      </c>
      <c r="AU371" s="8" t="str">
        <f>IF(HS_DB[[#This Row],[Risk Exposure Rank]]&lt;=5,"Immediate Action",
 IF(HS_DB[[#This Row],[Risk Exposure Rank]]&lt;=15,"Monitor Closely",
 "Routine Control"))</f>
        <v>Routine Control</v>
      </c>
      <c r="AV371" s="8">
        <f>SUMIFS(HS_DB[Trade Value - USD],HS_DB[HS Code],HS_DB[[#This Row],[HS Code]])</f>
        <v>11020216</v>
      </c>
      <c r="AW371" s="6">
        <f>HS_DB[[#This Row],[Annual Spend - USD]]/HS_DB[[#This Row],[Total Market Size - USD]]</f>
        <v>1</v>
      </c>
      <c r="AX371" s="6" cm="1">
        <f t="array" ref="AX371">COUNTA(_xlfn.UNIQUE(_xlfn._xlws.FILTER(HS_DB[Partner],HS_DB[HS Code]=HS_DB[[#This Row],[HS Code]])))</f>
        <v>1</v>
      </c>
      <c r="AY371" s="8" t="str">
        <f>IF(HS_DB[[#This Row],[Competition Intensity]]&lt;=2,"Highly Concentrated",
 IF(HS_DB[[#This Row],[Competition Intensity]]&lt;=5,"Moderate",
 "Highly Competitive"))</f>
        <v>Highly Concentrated</v>
      </c>
      <c r="AZ371" s="8">
        <f>HS_DB[[#This Row],[Total Market Size - USD]]
*
(1+IFERROR(#REF!,0))
/
HS_DB[[#This Row],[Competition Intensity]]</f>
        <v>11020216</v>
      </c>
      <c r="BA371" s="8" t="str">
        <f>IF(HS_DB[[#This Row],[Commercial Opportunity Score]]&gt;=PERCENTILE(HS_DB[Commercial Opportunity Score],0.9),"High Opportunity",
 IF(HS_DB[[#This Row],[Commercial Opportunity Score]]&gt;=PERCENTILE(HS_DB[Commercial Opportunity Score],0.6),"Medium Opportunity",
 "Routine Market"))</f>
        <v>Routine Market</v>
      </c>
      <c r="BB371" s="3" t="str">
        <f>IF(AND(HS_DB[[#This Row],[Product Rank]]&gt;0,HS_DB[[#This Row],[Product Rank]]&lt;=10),"Yes","No")</f>
        <v>No</v>
      </c>
      <c r="BC371" s="3" t="str">
        <f>IF(AND(HS_DB[[#This Row],[Origin Rank]]&gt;0,HS_DB[[#This Row],[Origin Rank]]&lt;=10),"Yes","No")</f>
        <v>Yes</v>
      </c>
    </row>
    <row r="372" spans="2:55" x14ac:dyDescent="0.3">
      <c r="B372" s="2">
        <f>HS_DB[[#This Row],[Commodity Code]]</f>
        <v>200290</v>
      </c>
      <c r="C372" s="2">
        <f>IFERROR(INDEX(HS_MD!C:C,MATCH(B372,HS_MD!B:B,0),1),"")</f>
        <v>23</v>
      </c>
      <c r="D372" s="17" t="str">
        <f>IFERROR(INDEX(HS_MD!D:D,MATCH(B372,HS_MD!B:B,0),1),"")</f>
        <v>Tomatoes prepared or preserved otherwise than by vinegar</v>
      </c>
      <c r="E372" s="17" t="str">
        <f>IFERROR(INDEX(HS_MD!E:E,MATCH(B372,HS_MD!B:B,0),1),"")</f>
        <v>Tomato Paste / Concentrate</v>
      </c>
      <c r="F372" s="17" t="str">
        <f>IFERROR(INDEX(HS_MD!F:F,MATCH(B372,HS_MD!B:B,0),1),"")</f>
        <v>Agricultural Processed Inputs</v>
      </c>
      <c r="G372" s="17" t="str">
        <f>IFERROR(INDEX(HS_MD!G:G,MATCH(B372,HS_MD!B:B,0),1),"")</f>
        <v>Tomato Derivatives</v>
      </c>
      <c r="H372" s="17" t="str">
        <f>IFERROR(INDEX(HS_MD!H:H,MATCH(B372,HS_MD!B:B,0),1),"")</f>
        <v>Industrial Tomato Paste (28-38 Brix)</v>
      </c>
      <c r="I372" s="17" t="str">
        <f>IFERROR(INDEX(HS_MD!I:I,MATCH(B372,HS_MD!B:B,0),1),"")</f>
        <v>Sauces Manufacturing</v>
      </c>
      <c r="J372" s="17">
        <f>IFERROR(INDEX(Heat_Map[Index],MATCH(HS_DB[[#This Row],[Reporter]],Heat_Map[Global],0),1),"")</f>
        <v>182</v>
      </c>
      <c r="K372" s="17" t="str">
        <f>IF(AND(HS_DB[[#This Row],[Origin Rank]]&gt;1,HS_DB[[#This Row],[Origin Rank]]&lt;=10),"Yes","No")</f>
        <v>Yes</v>
      </c>
      <c r="L372" s="2">
        <v>2024</v>
      </c>
      <c r="M372" s="2" t="s">
        <v>57</v>
      </c>
      <c r="N372" s="2" t="s">
        <v>56</v>
      </c>
      <c r="O372" s="2" t="s">
        <v>22</v>
      </c>
      <c r="P372" s="2" t="s">
        <v>23</v>
      </c>
      <c r="Q372" s="2" t="s">
        <v>24</v>
      </c>
      <c r="R372" s="2" t="s">
        <v>25</v>
      </c>
      <c r="S372" s="2">
        <v>200290</v>
      </c>
      <c r="T372" s="3">
        <v>2178291</v>
      </c>
      <c r="U372" s="3">
        <v>3738547</v>
      </c>
      <c r="V372" s="3">
        <v>0</v>
      </c>
      <c r="W372" s="3">
        <v>3738547</v>
      </c>
      <c r="X372" s="3" t="s">
        <v>58</v>
      </c>
      <c r="Y372" s="3">
        <v>3738547</v>
      </c>
      <c r="Z372" s="3" t="s">
        <v>58</v>
      </c>
      <c r="AA372" s="6">
        <f>SUMIFS(HS_DB[Trade Value - USD],HS_DB[Reporter],HS_DB[[#This Row],[Reporter]])/SUM(HS_DB[Trade Value - USD])</f>
        <v>9.425427433633813E-3</v>
      </c>
      <c r="AB372" s="8" cm="1">
        <f t="array" ref="AB372">SUMPRODUCT(
(HS_DB[Reporter]=HS_DB[[#This Row],[Reporter]])*
(HS_DB[Trade Value - USD]&gt;HS_DB[[#This Row],[Trade Value - USD]])
)+1</f>
        <v>4</v>
      </c>
      <c r="AC372" s="8" t="str">
        <f>IFERROR(IF(INDEX(Heat_Map[Crisis Impact %],MATCH(HS_DB[[#This Row],[Reporter]],Heat_Map[Global],0),1)&gt;0,"Yes","No"),"No")</f>
        <v>Yes</v>
      </c>
      <c r="AD372" s="6">
        <f>IFERROR(INDEX(Heat_Map[Crisis Impact %],MATCH(HS_DB[[#This Row],[Reporter]],Heat_Map[Global],0),1),0)</f>
        <v>4.0000000000000008E-2</v>
      </c>
      <c r="AE372" s="8">
        <f>HS_DB[[#This Row],[Crisis Impact%]]*HS_DB[[#This Row],[Trade Value - USD]]</f>
        <v>87131.640000000014</v>
      </c>
      <c r="AF372" s="8">
        <f>HS_DB[[#This Row],[Crisis Impact%]]*HS_DB[[#This Row],[Net Weight -KG]]</f>
        <v>149541.88000000003</v>
      </c>
      <c r="AG372" s="6">
        <f>SUMIFS(HS_DB[Trade Value - USD],HS_DB[Products],HS_DB[[#This Row],[Products]])/SUM(HS_DB[Trade Value - USD])</f>
        <v>5.8462426743280359E-3</v>
      </c>
      <c r="AH372" s="8">
        <f>_xlfn.RANK.EQ(HS_DB[[#This Row],[Trade Value - USD]], HS_DB[Trade Value - USD], 0)
 + COUNTIFS(HS_DB[Trade Value - USD],HS_DB[[#This Row],[Trade Value - USD]],
            HS_DB[HS Code],"&lt;"&amp;HS_DB[[#This Row],[HS Code]])</f>
        <v>61</v>
      </c>
      <c r="AI372" s="9">
        <f>IFERROR(HS_DB[[#This Row],[Trade Value - USD]]/HS_DB[[#This Row],[Net Weight -KG]],0)</f>
        <v>0.58265711250921814</v>
      </c>
      <c r="AJ372" s="17" cm="1">
        <f t="array" ref="AJ372">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72" s="17" t="str">
        <f>IF(HS_DB[[#This Row],[HS Code Risk Score]]&gt;=40,"High",
 IF(HS_DB[[#This Row],[HS Code Risk Score]]&gt;=25,"Medium","Low"))</f>
        <v>Medium</v>
      </c>
      <c r="AL372" s="17" t="str">
        <f>IF(RANK(HS_DB[[#This Row],[HS Code Risk Score]],HS_DB[HS Code Risk Score])&lt;=10,"Yes","No")</f>
        <v>No</v>
      </c>
      <c r="AM372" s="8">
        <f>SUMIFS(HS_DB[Net Weight -KG],HS_DB[HS Code],HS_DB[[#This Row],[HS Code]])</f>
        <v>10652116.4</v>
      </c>
      <c r="AN372" s="8">
        <f>SUMIFS(HS_DB[Trade Value - USD],HS_DB[HS Code],HS_DB[[#This Row],[HS Code]])</f>
        <v>11020216</v>
      </c>
      <c r="AO372" s="6">
        <f>_xlfn.MAXIFS(HS_DB[Origin Share%],HS_DB[HS Code],HS_DB[[#This Row],[HS Code]])</f>
        <v>6.321329281187793E-2</v>
      </c>
      <c r="AP372" s="8" cm="1">
        <f t="array" ref="AP372">_xlfn.LET(
_xlpm.hs,HS_DB[[#This Row],[HS Code]],
COUNTA(_xlfn.UNIQUE(_xlfn._xlws.FILTER(HS_DB[Reporter],HS_DB[HS Code]=_xlpm.hs)))
)</f>
        <v>11</v>
      </c>
      <c r="AQ372" s="17" t="str">
        <f>IF(HS_DB[[#This Row],[Origin Count]]=1,"Single Source","Multiple Sources")</f>
        <v>Multiple Sources</v>
      </c>
      <c r="AR372" s="8">
        <f>HS_DB[[#This Row],[Annual Spend - USD]]*(HS_DB[[#This Row],[HS Code Risk Score]]/100)</f>
        <v>3746873.4400000004</v>
      </c>
      <c r="AS372" s="8">
        <f>RANK(HS_DB[[#This Row],[Risk Exposure - USD]],HS_DB[Risk Exposure - USD],0)</f>
        <v>280</v>
      </c>
      <c r="AT372" s="8" t="str">
        <f>IF(HS_DB[[#This Row],[Risk Exposure Rank]]&lt;=10,"High",
 IF(HS_DB[[#This Row],[Risk Exposure Rank]]&lt;=30,"Medium",
 "Low"))</f>
        <v>Low</v>
      </c>
      <c r="AU372" s="8" t="str">
        <f>IF(HS_DB[[#This Row],[Risk Exposure Rank]]&lt;=5,"Immediate Action",
 IF(HS_DB[[#This Row],[Risk Exposure Rank]]&lt;=15,"Monitor Closely",
 "Routine Control"))</f>
        <v>Routine Control</v>
      </c>
      <c r="AV372" s="8">
        <f>SUMIFS(HS_DB[Trade Value - USD],HS_DB[HS Code],HS_DB[[#This Row],[HS Code]])</f>
        <v>11020216</v>
      </c>
      <c r="AW372" s="6">
        <f>HS_DB[[#This Row],[Annual Spend - USD]]/HS_DB[[#This Row],[Total Market Size - USD]]</f>
        <v>1</v>
      </c>
      <c r="AX372" s="6" cm="1">
        <f t="array" ref="AX372">COUNTA(_xlfn.UNIQUE(_xlfn._xlws.FILTER(HS_DB[Partner],HS_DB[HS Code]=HS_DB[[#This Row],[HS Code]])))</f>
        <v>1</v>
      </c>
      <c r="AY372" s="8" t="str">
        <f>IF(HS_DB[[#This Row],[Competition Intensity]]&lt;=2,"Highly Concentrated",
 IF(HS_DB[[#This Row],[Competition Intensity]]&lt;=5,"Moderate",
 "Highly Competitive"))</f>
        <v>Highly Concentrated</v>
      </c>
      <c r="AZ372" s="8">
        <f>HS_DB[[#This Row],[Total Market Size - USD]]
*
(1+IFERROR(#REF!,0))
/
HS_DB[[#This Row],[Competition Intensity]]</f>
        <v>11020216</v>
      </c>
      <c r="BA372" s="8" t="str">
        <f>IF(HS_DB[[#This Row],[Commercial Opportunity Score]]&gt;=PERCENTILE(HS_DB[Commercial Opportunity Score],0.9),"High Opportunity",
 IF(HS_DB[[#This Row],[Commercial Opportunity Score]]&gt;=PERCENTILE(HS_DB[Commercial Opportunity Score],0.6),"Medium Opportunity",
 "Routine Market"))</f>
        <v>Routine Market</v>
      </c>
      <c r="BB372" s="3" t="str">
        <f>IF(AND(HS_DB[[#This Row],[Product Rank]]&gt;0,HS_DB[[#This Row],[Product Rank]]&lt;=10),"Yes","No")</f>
        <v>No</v>
      </c>
      <c r="BC372" s="3" t="str">
        <f>IF(AND(HS_DB[[#This Row],[Origin Rank]]&gt;0,HS_DB[[#This Row],[Origin Rank]]&lt;=10),"Yes","No")</f>
        <v>Yes</v>
      </c>
    </row>
    <row r="373" spans="2:55" x14ac:dyDescent="0.3">
      <c r="B373" s="2">
        <f>HS_DB[[#This Row],[Commodity Code]]</f>
        <v>170199</v>
      </c>
      <c r="C373" s="2">
        <f>IFERROR(INDEX(HS_MD!C:C,MATCH(B373,HS_MD!B:B,0),1),"")</f>
        <v>30</v>
      </c>
      <c r="D373" s="17" t="str">
        <f>IFERROR(INDEX(HS_MD!D:D,MATCH(B373,HS_MD!B:B,0),1),"")</f>
        <v>Cane or beet sugar, refined</v>
      </c>
      <c r="E373" s="17" t="str">
        <f>IFERROR(INDEX(HS_MD!E:E,MATCH(B373,HS_MD!B:B,0),1),"")</f>
        <v>Sugar (White Crystal)</v>
      </c>
      <c r="F373" s="17" t="str">
        <f>IFERROR(INDEX(HS_MD!F:F,MATCH(B373,HS_MD!B:B,0),1),"")</f>
        <v>SWEETENERS</v>
      </c>
      <c r="G373" s="17" t="str">
        <f>IFERROR(INDEX(HS_MD!G:G,MATCH(B373,HS_MD!B:B,0),1),"")</f>
        <v>Bulk Sweeteners</v>
      </c>
      <c r="H373" s="17" t="str">
        <f>IFERROR(INDEX(HS_MD!H:H,MATCH(B373,HS_MD!B:B,0),1),"")</f>
        <v>Refined Sugar</v>
      </c>
      <c r="I373" s="17" t="str">
        <f>IFERROR(INDEX(HS_MD!I:I,MATCH(B373,HS_MD!B:B,0),1),"")</f>
        <v>Beverages / Confectionery / Sauces</v>
      </c>
      <c r="J373" s="17">
        <f>IFERROR(INDEX(Heat_Map[Index],MATCH(HS_DB[[#This Row],[Reporter]],Heat_Map[Global],0),1),"")</f>
        <v>10</v>
      </c>
      <c r="K373" s="17" t="str">
        <f>IF(AND(HS_DB[[#This Row],[Origin Rank]]&gt;1,HS_DB[[#This Row],[Origin Rank]]&lt;=10),"Yes","No")</f>
        <v>No</v>
      </c>
      <c r="L373" s="2">
        <v>2024</v>
      </c>
      <c r="M373" s="2" t="s">
        <v>57</v>
      </c>
      <c r="N373" s="2" t="s">
        <v>148</v>
      </c>
      <c r="O373" s="2" t="s">
        <v>22</v>
      </c>
      <c r="P373" s="2" t="s">
        <v>23</v>
      </c>
      <c r="Q373" s="2" t="s">
        <v>24</v>
      </c>
      <c r="R373" s="2" t="s">
        <v>25</v>
      </c>
      <c r="S373" s="2">
        <v>170199</v>
      </c>
      <c r="T373" s="3">
        <v>138016</v>
      </c>
      <c r="U373" s="3">
        <v>184000</v>
      </c>
      <c r="V373" s="3">
        <v>0</v>
      </c>
      <c r="W373" s="3">
        <v>184000</v>
      </c>
      <c r="X373" s="3" t="s">
        <v>58</v>
      </c>
      <c r="Y373" s="3">
        <v>184000</v>
      </c>
      <c r="Z373" s="3" t="s">
        <v>58</v>
      </c>
      <c r="AA373" s="6">
        <f>SUMIFS(HS_DB[Trade Value - USD],HS_DB[Reporter],HS_DB[[#This Row],[Reporter]])/SUM(HS_DB[Trade Value - USD])</f>
        <v>9.4529556942970843E-5</v>
      </c>
      <c r="AB373" s="8" cm="1">
        <f t="array" ref="AB373">SUMPRODUCT(
(HS_DB[Reporter]=HS_DB[[#This Row],[Reporter]])*
(HS_DB[Trade Value - USD]&gt;HS_DB[[#This Row],[Trade Value - USD]])
)+1</f>
        <v>1</v>
      </c>
      <c r="AC373" s="8" t="str">
        <f>IFERROR(IF(INDEX(Heat_Map[Crisis Impact %],MATCH(HS_DB[[#This Row],[Reporter]],Heat_Map[Global],0),1)&gt;0,"Yes","No"),"No")</f>
        <v>No</v>
      </c>
      <c r="AD373" s="6">
        <f>IFERROR(INDEX(Heat_Map[Crisis Impact %],MATCH(HS_DB[[#This Row],[Reporter]],Heat_Map[Global],0),1),0)</f>
        <v>0</v>
      </c>
      <c r="AE373" s="8">
        <f>HS_DB[[#This Row],[Crisis Impact%]]*HS_DB[[#This Row],[Trade Value - USD]]</f>
        <v>0</v>
      </c>
      <c r="AF373" s="8">
        <f>HS_DB[[#This Row],[Crisis Impact%]]*HS_DB[[#This Row],[Net Weight -KG]]</f>
        <v>0</v>
      </c>
      <c r="AG373" s="6">
        <f>SUMIFS(HS_DB[Trade Value - USD],HS_DB[Products],HS_DB[[#This Row],[Products]])/SUM(HS_DB[Trade Value - USD])</f>
        <v>2.7420426655669069E-2</v>
      </c>
      <c r="AH373" s="8">
        <f>_xlfn.RANK.EQ(HS_DB[[#This Row],[Trade Value - USD]], HS_DB[Trade Value - USD], 0)
 + COUNTIFS(HS_DB[Trade Value - USD],HS_DB[[#This Row],[Trade Value - USD]],
            HS_DB[HS Code],"&lt;"&amp;HS_DB[[#This Row],[HS Code]])</f>
        <v>255</v>
      </c>
      <c r="AI373" s="9">
        <f>IFERROR(HS_DB[[#This Row],[Trade Value - USD]]/HS_DB[[#This Row],[Net Weight -KG]],0)</f>
        <v>0.75008695652173918</v>
      </c>
      <c r="AJ373" s="17" cm="1">
        <f t="array" ref="AJ373">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73" s="17" t="str">
        <f>IF(HS_DB[[#This Row],[HS Code Risk Score]]&gt;=40,"High",
 IF(HS_DB[[#This Row],[HS Code Risk Score]]&gt;=25,"Medium","Low"))</f>
        <v>Medium</v>
      </c>
      <c r="AL373" s="17" t="str">
        <f>IF(RANK(HS_DB[[#This Row],[HS Code Risk Score]],HS_DB[HS Code Risk Score])&lt;=10,"Yes","No")</f>
        <v>No</v>
      </c>
      <c r="AM373" s="8">
        <f>SUMIFS(HS_DB[Net Weight -KG],HS_DB[HS Code],HS_DB[[#This Row],[HS Code]])</f>
        <v>76921435.099999994</v>
      </c>
      <c r="AN373" s="8">
        <f>SUMIFS(HS_DB[Trade Value - USD],HS_DB[HS Code],HS_DB[[#This Row],[HS Code]])</f>
        <v>51687732</v>
      </c>
      <c r="AO373" s="6">
        <f>_xlfn.MAXIFS(HS_DB[Origin Share%],HS_DB[HS Code],HS_DB[[#This Row],[HS Code]])</f>
        <v>7.6648679233989533E-2</v>
      </c>
      <c r="AP373" s="8" cm="1">
        <f t="array" ref="AP373">_xlfn.LET(
_xlpm.hs,HS_DB[[#This Row],[HS Code]],
COUNTA(_xlfn.UNIQUE(_xlfn._xlws.FILTER(HS_DB[Reporter],HS_DB[HS Code]=_xlpm.hs)))
)</f>
        <v>17</v>
      </c>
      <c r="AQ373" s="17" t="str">
        <f>IF(HS_DB[[#This Row],[Origin Count]]=1,"Single Source","Multiple Sources")</f>
        <v>Multiple Sources</v>
      </c>
      <c r="AR373" s="8">
        <f>HS_DB[[#This Row],[Annual Spend - USD]]*(HS_DB[[#This Row],[HS Code Risk Score]]/100)</f>
        <v>17573828.880000003</v>
      </c>
      <c r="AS373" s="8">
        <f>RANK(HS_DB[[#This Row],[Risk Exposure - USD]],HS_DB[Risk Exposure - USD],0)</f>
        <v>52</v>
      </c>
      <c r="AT373" s="8" t="str">
        <f>IF(HS_DB[[#This Row],[Risk Exposure Rank]]&lt;=10,"High",
 IF(HS_DB[[#This Row],[Risk Exposure Rank]]&lt;=30,"Medium",
 "Low"))</f>
        <v>Low</v>
      </c>
      <c r="AU373" s="8" t="str">
        <f>IF(HS_DB[[#This Row],[Risk Exposure Rank]]&lt;=5,"Immediate Action",
 IF(HS_DB[[#This Row],[Risk Exposure Rank]]&lt;=15,"Monitor Closely",
 "Routine Control"))</f>
        <v>Routine Control</v>
      </c>
      <c r="AV373" s="8">
        <f>SUMIFS(HS_DB[Trade Value - USD],HS_DB[HS Code],HS_DB[[#This Row],[HS Code]])</f>
        <v>51687732</v>
      </c>
      <c r="AW373" s="6">
        <f>HS_DB[[#This Row],[Annual Spend - USD]]/HS_DB[[#This Row],[Total Market Size - USD]]</f>
        <v>1</v>
      </c>
      <c r="AX373" s="6" cm="1">
        <f t="array" ref="AX373">COUNTA(_xlfn.UNIQUE(_xlfn._xlws.FILTER(HS_DB[Partner],HS_DB[HS Code]=HS_DB[[#This Row],[HS Code]])))</f>
        <v>1</v>
      </c>
      <c r="AY373" s="8" t="str">
        <f>IF(HS_DB[[#This Row],[Competition Intensity]]&lt;=2,"Highly Concentrated",
 IF(HS_DB[[#This Row],[Competition Intensity]]&lt;=5,"Moderate",
 "Highly Competitive"))</f>
        <v>Highly Concentrated</v>
      </c>
      <c r="AZ373" s="8">
        <f>HS_DB[[#This Row],[Total Market Size - USD]]
*
(1+IFERROR(#REF!,0))
/
HS_DB[[#This Row],[Competition Intensity]]</f>
        <v>51687732</v>
      </c>
      <c r="BA373" s="8" t="str">
        <f>IF(HS_DB[[#This Row],[Commercial Opportunity Score]]&gt;=PERCENTILE(HS_DB[Commercial Opportunity Score],0.9),"High Opportunity",
 IF(HS_DB[[#This Row],[Commercial Opportunity Score]]&gt;=PERCENTILE(HS_DB[Commercial Opportunity Score],0.6),"Medium Opportunity",
 "Routine Market"))</f>
        <v>High Opportunity</v>
      </c>
      <c r="BB373" s="3" t="str">
        <f>IF(AND(HS_DB[[#This Row],[Product Rank]]&gt;0,HS_DB[[#This Row],[Product Rank]]&lt;=10),"Yes","No")</f>
        <v>No</v>
      </c>
      <c r="BC373" s="3" t="str">
        <f>IF(AND(HS_DB[[#This Row],[Origin Rank]]&gt;0,HS_DB[[#This Row],[Origin Rank]]&lt;=10),"Yes","No")</f>
        <v>Yes</v>
      </c>
    </row>
    <row r="374" spans="2:55" x14ac:dyDescent="0.3">
      <c r="B374" s="2">
        <f>HS_DB[[#This Row],[Commodity Code]]</f>
        <v>170199</v>
      </c>
      <c r="C374" s="2">
        <f>IFERROR(INDEX(HS_MD!C:C,MATCH(B374,HS_MD!B:B,0),1),"")</f>
        <v>30</v>
      </c>
      <c r="D374" s="17" t="str">
        <f>IFERROR(INDEX(HS_MD!D:D,MATCH(B374,HS_MD!B:B,0),1),"")</f>
        <v>Cane or beet sugar, refined</v>
      </c>
      <c r="E374" s="17" t="str">
        <f>IFERROR(INDEX(HS_MD!E:E,MATCH(B374,HS_MD!B:B,0),1),"")</f>
        <v>Sugar (White Crystal)</v>
      </c>
      <c r="F374" s="17" t="str">
        <f>IFERROR(INDEX(HS_MD!F:F,MATCH(B374,HS_MD!B:B,0),1),"")</f>
        <v>SWEETENERS</v>
      </c>
      <c r="G374" s="17" t="str">
        <f>IFERROR(INDEX(HS_MD!G:G,MATCH(B374,HS_MD!B:B,0),1),"")</f>
        <v>Bulk Sweeteners</v>
      </c>
      <c r="H374" s="17" t="str">
        <f>IFERROR(INDEX(HS_MD!H:H,MATCH(B374,HS_MD!B:B,0),1),"")</f>
        <v>Refined Sugar</v>
      </c>
      <c r="I374" s="17" t="str">
        <f>IFERROR(INDEX(HS_MD!I:I,MATCH(B374,HS_MD!B:B,0),1),"")</f>
        <v>Beverages / Confectionery / Sauces</v>
      </c>
      <c r="J374" s="17">
        <f>IFERROR(INDEX(Heat_Map[Index],MATCH(HS_DB[[#This Row],[Reporter]],Heat_Map[Global],0),1),"")</f>
        <v>17</v>
      </c>
      <c r="K374" s="17" t="str">
        <f>IF(AND(HS_DB[[#This Row],[Origin Rank]]&gt;1,HS_DB[[#This Row],[Origin Rank]]&lt;=10),"Yes","No")</f>
        <v>No</v>
      </c>
      <c r="L374" s="2">
        <v>2024</v>
      </c>
      <c r="M374" s="2" t="s">
        <v>57</v>
      </c>
      <c r="N374" s="2" t="s">
        <v>5</v>
      </c>
      <c r="O374" s="2" t="s">
        <v>22</v>
      </c>
      <c r="P374" s="2" t="s">
        <v>23</v>
      </c>
      <c r="Q374" s="2" t="s">
        <v>24</v>
      </c>
      <c r="R374" s="2" t="s">
        <v>25</v>
      </c>
      <c r="S374" s="2">
        <v>170199</v>
      </c>
      <c r="T374" s="3">
        <v>4730996</v>
      </c>
      <c r="U374" s="3">
        <v>7100310</v>
      </c>
      <c r="V374" s="3">
        <v>0</v>
      </c>
      <c r="W374" s="3">
        <v>7100310</v>
      </c>
      <c r="X374" s="3" t="s">
        <v>58</v>
      </c>
      <c r="Y374" s="3">
        <v>7100310</v>
      </c>
      <c r="Z374" s="3" t="s">
        <v>58</v>
      </c>
      <c r="AA374" s="6">
        <f>SUMIFS(HS_DB[Trade Value - USD],HS_DB[Reporter],HS_DB[[#This Row],[Reporter]])/SUM(HS_DB[Trade Value - USD])</f>
        <v>5.3992075088500962E-3</v>
      </c>
      <c r="AB374" s="8" cm="1">
        <f t="array" ref="AB374">SUMPRODUCT(
(HS_DB[Reporter]=HS_DB[[#This Row],[Reporter]])*
(HS_DB[Trade Value - USD]&gt;HS_DB[[#This Row],[Trade Value - USD]])
)+1</f>
        <v>1</v>
      </c>
      <c r="AC374" s="8" t="str">
        <f>IFERROR(IF(INDEX(Heat_Map[Crisis Impact %],MATCH(HS_DB[[#This Row],[Reporter]],Heat_Map[Global],0),1)&gt;0,"Yes","No"),"No")</f>
        <v>No</v>
      </c>
      <c r="AD374" s="6">
        <f>IFERROR(INDEX(Heat_Map[Crisis Impact %],MATCH(HS_DB[[#This Row],[Reporter]],Heat_Map[Global],0),1),0)</f>
        <v>0</v>
      </c>
      <c r="AE374" s="8">
        <f>HS_DB[[#This Row],[Crisis Impact%]]*HS_DB[[#This Row],[Trade Value - USD]]</f>
        <v>0</v>
      </c>
      <c r="AF374" s="8">
        <f>HS_DB[[#This Row],[Crisis Impact%]]*HS_DB[[#This Row],[Net Weight -KG]]</f>
        <v>0</v>
      </c>
      <c r="AG374" s="6">
        <f>SUMIFS(HS_DB[Trade Value - USD],HS_DB[Products],HS_DB[[#This Row],[Products]])/SUM(HS_DB[Trade Value - USD])</f>
        <v>2.7420426655669069E-2</v>
      </c>
      <c r="AH374" s="8">
        <f>_xlfn.RANK.EQ(HS_DB[[#This Row],[Trade Value - USD]], HS_DB[Trade Value - USD], 0)
 + COUNTIFS(HS_DB[Trade Value - USD],HS_DB[[#This Row],[Trade Value - USD]],
            HS_DB[HS Code],"&lt;"&amp;HS_DB[[#This Row],[HS Code]])</f>
        <v>32</v>
      </c>
      <c r="AI374" s="9">
        <f>IFERROR(HS_DB[[#This Row],[Trade Value - USD]]/HS_DB[[#This Row],[Net Weight -KG]],0)</f>
        <v>0.66630837245134367</v>
      </c>
      <c r="AJ374" s="17" cm="1">
        <f t="array" ref="AJ374">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74" s="17" t="str">
        <f>IF(HS_DB[[#This Row],[HS Code Risk Score]]&gt;=40,"High",
 IF(HS_DB[[#This Row],[HS Code Risk Score]]&gt;=25,"Medium","Low"))</f>
        <v>Medium</v>
      </c>
      <c r="AL374" s="17" t="str">
        <f>IF(RANK(HS_DB[[#This Row],[HS Code Risk Score]],HS_DB[HS Code Risk Score])&lt;=10,"Yes","No")</f>
        <v>No</v>
      </c>
      <c r="AM374" s="8">
        <f>SUMIFS(HS_DB[Net Weight -KG],HS_DB[HS Code],HS_DB[[#This Row],[HS Code]])</f>
        <v>76921435.099999994</v>
      </c>
      <c r="AN374" s="8">
        <f>SUMIFS(HS_DB[Trade Value - USD],HS_DB[HS Code],HS_DB[[#This Row],[HS Code]])</f>
        <v>51687732</v>
      </c>
      <c r="AO374" s="6">
        <f>_xlfn.MAXIFS(HS_DB[Origin Share%],HS_DB[HS Code],HS_DB[[#This Row],[HS Code]])</f>
        <v>7.6648679233989533E-2</v>
      </c>
      <c r="AP374" s="8" cm="1">
        <f t="array" ref="AP374">_xlfn.LET(
_xlpm.hs,HS_DB[[#This Row],[HS Code]],
COUNTA(_xlfn.UNIQUE(_xlfn._xlws.FILTER(HS_DB[Reporter],HS_DB[HS Code]=_xlpm.hs)))
)</f>
        <v>17</v>
      </c>
      <c r="AQ374" s="17" t="str">
        <f>IF(HS_DB[[#This Row],[Origin Count]]=1,"Single Source","Multiple Sources")</f>
        <v>Multiple Sources</v>
      </c>
      <c r="AR374" s="8">
        <f>HS_DB[[#This Row],[Annual Spend - USD]]*(HS_DB[[#This Row],[HS Code Risk Score]]/100)</f>
        <v>17573828.880000003</v>
      </c>
      <c r="AS374" s="8">
        <f>RANK(HS_DB[[#This Row],[Risk Exposure - USD]],HS_DB[Risk Exposure - USD],0)</f>
        <v>52</v>
      </c>
      <c r="AT374" s="8" t="str">
        <f>IF(HS_DB[[#This Row],[Risk Exposure Rank]]&lt;=10,"High",
 IF(HS_DB[[#This Row],[Risk Exposure Rank]]&lt;=30,"Medium",
 "Low"))</f>
        <v>Low</v>
      </c>
      <c r="AU374" s="8" t="str">
        <f>IF(HS_DB[[#This Row],[Risk Exposure Rank]]&lt;=5,"Immediate Action",
 IF(HS_DB[[#This Row],[Risk Exposure Rank]]&lt;=15,"Monitor Closely",
 "Routine Control"))</f>
        <v>Routine Control</v>
      </c>
      <c r="AV374" s="8">
        <f>SUMIFS(HS_DB[Trade Value - USD],HS_DB[HS Code],HS_DB[[#This Row],[HS Code]])</f>
        <v>51687732</v>
      </c>
      <c r="AW374" s="6">
        <f>HS_DB[[#This Row],[Annual Spend - USD]]/HS_DB[[#This Row],[Total Market Size - USD]]</f>
        <v>1</v>
      </c>
      <c r="AX374" s="6" cm="1">
        <f t="array" ref="AX374">COUNTA(_xlfn.UNIQUE(_xlfn._xlws.FILTER(HS_DB[Partner],HS_DB[HS Code]=HS_DB[[#This Row],[HS Code]])))</f>
        <v>1</v>
      </c>
      <c r="AY374" s="8" t="str">
        <f>IF(HS_DB[[#This Row],[Competition Intensity]]&lt;=2,"Highly Concentrated",
 IF(HS_DB[[#This Row],[Competition Intensity]]&lt;=5,"Moderate",
 "Highly Competitive"))</f>
        <v>Highly Concentrated</v>
      </c>
      <c r="AZ374" s="8">
        <f>HS_DB[[#This Row],[Total Market Size - USD]]
*
(1+IFERROR(#REF!,0))
/
HS_DB[[#This Row],[Competition Intensity]]</f>
        <v>51687732</v>
      </c>
      <c r="BA374" s="8" t="str">
        <f>IF(HS_DB[[#This Row],[Commercial Opportunity Score]]&gt;=PERCENTILE(HS_DB[Commercial Opportunity Score],0.9),"High Opportunity",
 IF(HS_DB[[#This Row],[Commercial Opportunity Score]]&gt;=PERCENTILE(HS_DB[Commercial Opportunity Score],0.6),"Medium Opportunity",
 "Routine Market"))</f>
        <v>High Opportunity</v>
      </c>
      <c r="BB374" s="3" t="str">
        <f>IF(AND(HS_DB[[#This Row],[Product Rank]]&gt;0,HS_DB[[#This Row],[Product Rank]]&lt;=10),"Yes","No")</f>
        <v>No</v>
      </c>
      <c r="BC374" s="3" t="str">
        <f>IF(AND(HS_DB[[#This Row],[Origin Rank]]&gt;0,HS_DB[[#This Row],[Origin Rank]]&lt;=10),"Yes","No")</f>
        <v>Yes</v>
      </c>
    </row>
    <row r="375" spans="2:55" x14ac:dyDescent="0.3">
      <c r="B375" s="2">
        <f>HS_DB[[#This Row],[Commodity Code]]</f>
        <v>170199</v>
      </c>
      <c r="C375" s="2">
        <f>IFERROR(INDEX(HS_MD!C:C,MATCH(B375,HS_MD!B:B,0),1),"")</f>
        <v>30</v>
      </c>
      <c r="D375" s="17" t="str">
        <f>IFERROR(INDEX(HS_MD!D:D,MATCH(B375,HS_MD!B:B,0),1),"")</f>
        <v>Cane or beet sugar, refined</v>
      </c>
      <c r="E375" s="17" t="str">
        <f>IFERROR(INDEX(HS_MD!E:E,MATCH(B375,HS_MD!B:B,0),1),"")</f>
        <v>Sugar (White Crystal)</v>
      </c>
      <c r="F375" s="17" t="str">
        <f>IFERROR(INDEX(HS_MD!F:F,MATCH(B375,HS_MD!B:B,0),1),"")</f>
        <v>SWEETENERS</v>
      </c>
      <c r="G375" s="17" t="str">
        <f>IFERROR(INDEX(HS_MD!G:G,MATCH(B375,HS_MD!B:B,0),1),"")</f>
        <v>Bulk Sweeteners</v>
      </c>
      <c r="H375" s="17" t="str">
        <f>IFERROR(INDEX(HS_MD!H:H,MATCH(B375,HS_MD!B:B,0),1),"")</f>
        <v>Refined Sugar</v>
      </c>
      <c r="I375" s="17" t="str">
        <f>IFERROR(INDEX(HS_MD!I:I,MATCH(B375,HS_MD!B:B,0),1),"")</f>
        <v>Beverages / Confectionery / Sauces</v>
      </c>
      <c r="J375" s="17">
        <f>IFERROR(INDEX(Heat_Map[Index],MATCH(HS_DB[[#This Row],[Reporter]],Heat_Map[Global],0),1),"")</f>
        <v>36</v>
      </c>
      <c r="K375" s="17" t="str">
        <f>IF(AND(HS_DB[[#This Row],[Origin Rank]]&gt;1,HS_DB[[#This Row],[Origin Rank]]&lt;=10),"Yes","No")</f>
        <v>No</v>
      </c>
      <c r="L375" s="2">
        <v>2024</v>
      </c>
      <c r="M375" s="2" t="s">
        <v>57</v>
      </c>
      <c r="N375" s="2" t="s">
        <v>1</v>
      </c>
      <c r="O375" s="2" t="s">
        <v>22</v>
      </c>
      <c r="P375" s="2" t="s">
        <v>23</v>
      </c>
      <c r="Q375" s="2" t="s">
        <v>24</v>
      </c>
      <c r="R375" s="2" t="s">
        <v>25</v>
      </c>
      <c r="S375" s="2">
        <v>170199</v>
      </c>
      <c r="T375" s="3">
        <v>1320</v>
      </c>
      <c r="U375" s="3">
        <v>543</v>
      </c>
      <c r="V375" s="3">
        <v>0</v>
      </c>
      <c r="W375" s="3">
        <v>543</v>
      </c>
      <c r="X375" s="3" t="s">
        <v>58</v>
      </c>
      <c r="Y375" s="3">
        <v>543</v>
      </c>
      <c r="Z375" s="3" t="s">
        <v>58</v>
      </c>
      <c r="AA375" s="6">
        <f>SUMIFS(HS_DB[Trade Value - USD],HS_DB[Reporter],HS_DB[[#This Row],[Reporter]])/SUM(HS_DB[Trade Value - USD])</f>
        <v>6.321329281187793E-2</v>
      </c>
      <c r="AB375" s="8" cm="1">
        <f t="array" ref="AB375">SUMPRODUCT(
(HS_DB[Reporter]=HS_DB[[#This Row],[Reporter]])*
(HS_DB[Trade Value - USD]&gt;HS_DB[[#This Row],[Trade Value - USD]])
)+1</f>
        <v>35</v>
      </c>
      <c r="AC375" s="8" t="str">
        <f>IFERROR(IF(INDEX(Heat_Map[Crisis Impact %],MATCH(HS_DB[[#This Row],[Reporter]],Heat_Map[Global],0),1)&gt;0,"Yes","No"),"No")</f>
        <v>Yes</v>
      </c>
      <c r="AD375" s="6">
        <f>IFERROR(INDEX(Heat_Map[Crisis Impact %],MATCH(HS_DB[[#This Row],[Reporter]],Heat_Map[Global],0),1),0)</f>
        <v>0.14000000000000001</v>
      </c>
      <c r="AE375" s="8">
        <f>HS_DB[[#This Row],[Crisis Impact%]]*HS_DB[[#This Row],[Trade Value - USD]]</f>
        <v>184.8</v>
      </c>
      <c r="AF375" s="8">
        <f>HS_DB[[#This Row],[Crisis Impact%]]*HS_DB[[#This Row],[Net Weight -KG]]</f>
        <v>76.02000000000001</v>
      </c>
      <c r="AG375" s="6">
        <f>SUMIFS(HS_DB[Trade Value - USD],HS_DB[Products],HS_DB[[#This Row],[Products]])/SUM(HS_DB[Trade Value - USD])</f>
        <v>2.7420426655669069E-2</v>
      </c>
      <c r="AH375" s="8">
        <f>_xlfn.RANK.EQ(HS_DB[[#This Row],[Trade Value - USD]], HS_DB[Trade Value - USD], 0)
 + COUNTIFS(HS_DB[Trade Value - USD],HS_DB[[#This Row],[Trade Value - USD]],
            HS_DB[HS Code],"&lt;"&amp;HS_DB[[#This Row],[HS Code]])</f>
        <v>480</v>
      </c>
      <c r="AI375" s="9">
        <f>IFERROR(HS_DB[[#This Row],[Trade Value - USD]]/HS_DB[[#This Row],[Net Weight -KG]],0)</f>
        <v>2.430939226519337</v>
      </c>
      <c r="AJ375" s="17" cm="1">
        <f t="array" ref="AJ375">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75" s="17" t="str">
        <f>IF(HS_DB[[#This Row],[HS Code Risk Score]]&gt;=40,"High",
 IF(HS_DB[[#This Row],[HS Code Risk Score]]&gt;=25,"Medium","Low"))</f>
        <v>Medium</v>
      </c>
      <c r="AL375" s="17" t="str">
        <f>IF(RANK(HS_DB[[#This Row],[HS Code Risk Score]],HS_DB[HS Code Risk Score])&lt;=10,"Yes","No")</f>
        <v>No</v>
      </c>
      <c r="AM375" s="8">
        <f>SUMIFS(HS_DB[Net Weight -KG],HS_DB[HS Code],HS_DB[[#This Row],[HS Code]])</f>
        <v>76921435.099999994</v>
      </c>
      <c r="AN375" s="8">
        <f>SUMIFS(HS_DB[Trade Value - USD],HS_DB[HS Code],HS_DB[[#This Row],[HS Code]])</f>
        <v>51687732</v>
      </c>
      <c r="AO375" s="6">
        <f>_xlfn.MAXIFS(HS_DB[Origin Share%],HS_DB[HS Code],HS_DB[[#This Row],[HS Code]])</f>
        <v>7.6648679233989533E-2</v>
      </c>
      <c r="AP375" s="8" cm="1">
        <f t="array" ref="AP375">_xlfn.LET(
_xlpm.hs,HS_DB[[#This Row],[HS Code]],
COUNTA(_xlfn.UNIQUE(_xlfn._xlws.FILTER(HS_DB[Reporter],HS_DB[HS Code]=_xlpm.hs)))
)</f>
        <v>17</v>
      </c>
      <c r="AQ375" s="17" t="str">
        <f>IF(HS_DB[[#This Row],[Origin Count]]=1,"Single Source","Multiple Sources")</f>
        <v>Multiple Sources</v>
      </c>
      <c r="AR375" s="8">
        <f>HS_DB[[#This Row],[Annual Spend - USD]]*(HS_DB[[#This Row],[HS Code Risk Score]]/100)</f>
        <v>17573828.880000003</v>
      </c>
      <c r="AS375" s="8">
        <f>RANK(HS_DB[[#This Row],[Risk Exposure - USD]],HS_DB[Risk Exposure - USD],0)</f>
        <v>52</v>
      </c>
      <c r="AT375" s="8" t="str">
        <f>IF(HS_DB[[#This Row],[Risk Exposure Rank]]&lt;=10,"High",
 IF(HS_DB[[#This Row],[Risk Exposure Rank]]&lt;=30,"Medium",
 "Low"))</f>
        <v>Low</v>
      </c>
      <c r="AU375" s="8" t="str">
        <f>IF(HS_DB[[#This Row],[Risk Exposure Rank]]&lt;=5,"Immediate Action",
 IF(HS_DB[[#This Row],[Risk Exposure Rank]]&lt;=15,"Monitor Closely",
 "Routine Control"))</f>
        <v>Routine Control</v>
      </c>
      <c r="AV375" s="8">
        <f>SUMIFS(HS_DB[Trade Value - USD],HS_DB[HS Code],HS_DB[[#This Row],[HS Code]])</f>
        <v>51687732</v>
      </c>
      <c r="AW375" s="6">
        <f>HS_DB[[#This Row],[Annual Spend - USD]]/HS_DB[[#This Row],[Total Market Size - USD]]</f>
        <v>1</v>
      </c>
      <c r="AX375" s="6" cm="1">
        <f t="array" ref="AX375">COUNTA(_xlfn.UNIQUE(_xlfn._xlws.FILTER(HS_DB[Partner],HS_DB[HS Code]=HS_DB[[#This Row],[HS Code]])))</f>
        <v>1</v>
      </c>
      <c r="AY375" s="8" t="str">
        <f>IF(HS_DB[[#This Row],[Competition Intensity]]&lt;=2,"Highly Concentrated",
 IF(HS_DB[[#This Row],[Competition Intensity]]&lt;=5,"Moderate",
 "Highly Competitive"))</f>
        <v>Highly Concentrated</v>
      </c>
      <c r="AZ375" s="8">
        <f>HS_DB[[#This Row],[Total Market Size - USD]]
*
(1+IFERROR(#REF!,0))
/
HS_DB[[#This Row],[Competition Intensity]]</f>
        <v>51687732</v>
      </c>
      <c r="BA375" s="8" t="str">
        <f>IF(HS_DB[[#This Row],[Commercial Opportunity Score]]&gt;=PERCENTILE(HS_DB[Commercial Opportunity Score],0.9),"High Opportunity",
 IF(HS_DB[[#This Row],[Commercial Opportunity Score]]&gt;=PERCENTILE(HS_DB[Commercial Opportunity Score],0.6),"Medium Opportunity",
 "Routine Market"))</f>
        <v>High Opportunity</v>
      </c>
      <c r="BB375" s="3" t="str">
        <f>IF(AND(HS_DB[[#This Row],[Product Rank]]&gt;0,HS_DB[[#This Row],[Product Rank]]&lt;=10),"Yes","No")</f>
        <v>No</v>
      </c>
      <c r="BC375" s="3" t="str">
        <f>IF(AND(HS_DB[[#This Row],[Origin Rank]]&gt;0,HS_DB[[#This Row],[Origin Rank]]&lt;=10),"Yes","No")</f>
        <v>No</v>
      </c>
    </row>
    <row r="376" spans="2:55" x14ac:dyDescent="0.3">
      <c r="B376" s="2">
        <f>HS_DB[[#This Row],[Commodity Code]]</f>
        <v>170199</v>
      </c>
      <c r="C376" s="2">
        <f>IFERROR(INDEX(HS_MD!C:C,MATCH(B376,HS_MD!B:B,0),1),"")</f>
        <v>30</v>
      </c>
      <c r="D376" s="17" t="str">
        <f>IFERROR(INDEX(HS_MD!D:D,MATCH(B376,HS_MD!B:B,0),1),"")</f>
        <v>Cane or beet sugar, refined</v>
      </c>
      <c r="E376" s="17" t="str">
        <f>IFERROR(INDEX(HS_MD!E:E,MATCH(B376,HS_MD!B:B,0),1),"")</f>
        <v>Sugar (White Crystal)</v>
      </c>
      <c r="F376" s="17" t="str">
        <f>IFERROR(INDEX(HS_MD!F:F,MATCH(B376,HS_MD!B:B,0),1),"")</f>
        <v>SWEETENERS</v>
      </c>
      <c r="G376" s="17" t="str">
        <f>IFERROR(INDEX(HS_MD!G:G,MATCH(B376,HS_MD!B:B,0),1),"")</f>
        <v>Bulk Sweeteners</v>
      </c>
      <c r="H376" s="17" t="str">
        <f>IFERROR(INDEX(HS_MD!H:H,MATCH(B376,HS_MD!B:B,0),1),"")</f>
        <v>Refined Sugar</v>
      </c>
      <c r="I376" s="17" t="str">
        <f>IFERROR(INDEX(HS_MD!I:I,MATCH(B376,HS_MD!B:B,0),1),"")</f>
        <v>Beverages / Confectionery / Sauces</v>
      </c>
      <c r="J376" s="17">
        <f>IFERROR(INDEX(Heat_Map[Index],MATCH(HS_DB[[#This Row],[Reporter]],Heat_Map[Global],0),1),"")</f>
        <v>59</v>
      </c>
      <c r="K376" s="17" t="str">
        <f>IF(AND(HS_DB[[#This Row],[Origin Rank]]&gt;1,HS_DB[[#This Row],[Origin Rank]]&lt;=10),"Yes","No")</f>
        <v>No</v>
      </c>
      <c r="L376" s="2">
        <v>2024</v>
      </c>
      <c r="M376" s="2" t="s">
        <v>57</v>
      </c>
      <c r="N376" s="2" t="s">
        <v>44</v>
      </c>
      <c r="O376" s="2" t="s">
        <v>22</v>
      </c>
      <c r="P376" s="2" t="s">
        <v>23</v>
      </c>
      <c r="Q376" s="2" t="s">
        <v>24</v>
      </c>
      <c r="R376" s="2" t="s">
        <v>25</v>
      </c>
      <c r="S376" s="2">
        <v>170199</v>
      </c>
      <c r="T376" s="3">
        <v>11048426</v>
      </c>
      <c r="U376" s="3">
        <v>17134970</v>
      </c>
      <c r="V376" s="3">
        <v>0</v>
      </c>
      <c r="W376" s="3">
        <v>17134970</v>
      </c>
      <c r="X376" s="3" t="s">
        <v>58</v>
      </c>
      <c r="Y376" s="3">
        <v>17134970</v>
      </c>
      <c r="Z376" s="3" t="s">
        <v>58</v>
      </c>
      <c r="AA376" s="6">
        <f>SUMIFS(HS_DB[Trade Value - USD],HS_DB[Reporter],HS_DB[[#This Row],[Reporter]])/SUM(HS_DB[Trade Value - USD])</f>
        <v>1.6951290293147386E-2</v>
      </c>
      <c r="AB376" s="8" cm="1">
        <f t="array" ref="AB376">SUMPRODUCT(
(HS_DB[Reporter]=HS_DB[[#This Row],[Reporter]])*
(HS_DB[Trade Value - USD]&gt;HS_DB[[#This Row],[Trade Value - USD]])
)+1</f>
        <v>1</v>
      </c>
      <c r="AC376" s="8" t="str">
        <f>IFERROR(IF(INDEX(Heat_Map[Crisis Impact %],MATCH(HS_DB[[#This Row],[Reporter]],Heat_Map[Global],0),1)&gt;0,"Yes","No"),"No")</f>
        <v>No</v>
      </c>
      <c r="AD376" s="6">
        <f>IFERROR(INDEX(Heat_Map[Crisis Impact %],MATCH(HS_DB[[#This Row],[Reporter]],Heat_Map[Global],0),1),0)</f>
        <v>0</v>
      </c>
      <c r="AE376" s="8">
        <f>HS_DB[[#This Row],[Crisis Impact%]]*HS_DB[[#This Row],[Trade Value - USD]]</f>
        <v>0</v>
      </c>
      <c r="AF376" s="8">
        <f>HS_DB[[#This Row],[Crisis Impact%]]*HS_DB[[#This Row],[Net Weight -KG]]</f>
        <v>0</v>
      </c>
      <c r="AG376" s="6">
        <f>SUMIFS(HS_DB[Trade Value - USD],HS_DB[Products],HS_DB[[#This Row],[Products]])/SUM(HS_DB[Trade Value - USD])</f>
        <v>2.7420426655669069E-2</v>
      </c>
      <c r="AH376" s="8">
        <f>_xlfn.RANK.EQ(HS_DB[[#This Row],[Trade Value - USD]], HS_DB[Trade Value - USD], 0)
 + COUNTIFS(HS_DB[Trade Value - USD],HS_DB[[#This Row],[Trade Value - USD]],
            HS_DB[HS Code],"&lt;"&amp;HS_DB[[#This Row],[HS Code]])</f>
        <v>16</v>
      </c>
      <c r="AI376" s="9">
        <f>IFERROR(HS_DB[[#This Row],[Trade Value - USD]]/HS_DB[[#This Row],[Net Weight -KG]],0)</f>
        <v>0.64478817295857538</v>
      </c>
      <c r="AJ376" s="17" cm="1">
        <f t="array" ref="AJ376">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76" s="17" t="str">
        <f>IF(HS_DB[[#This Row],[HS Code Risk Score]]&gt;=40,"High",
 IF(HS_DB[[#This Row],[HS Code Risk Score]]&gt;=25,"Medium","Low"))</f>
        <v>Medium</v>
      </c>
      <c r="AL376" s="17" t="str">
        <f>IF(RANK(HS_DB[[#This Row],[HS Code Risk Score]],HS_DB[HS Code Risk Score])&lt;=10,"Yes","No")</f>
        <v>No</v>
      </c>
      <c r="AM376" s="8">
        <f>SUMIFS(HS_DB[Net Weight -KG],HS_DB[HS Code],HS_DB[[#This Row],[HS Code]])</f>
        <v>76921435.099999994</v>
      </c>
      <c r="AN376" s="8">
        <f>SUMIFS(HS_DB[Trade Value - USD],HS_DB[HS Code],HS_DB[[#This Row],[HS Code]])</f>
        <v>51687732</v>
      </c>
      <c r="AO376" s="6">
        <f>_xlfn.MAXIFS(HS_DB[Origin Share%],HS_DB[HS Code],HS_DB[[#This Row],[HS Code]])</f>
        <v>7.6648679233989533E-2</v>
      </c>
      <c r="AP376" s="8" cm="1">
        <f t="array" ref="AP376">_xlfn.LET(
_xlpm.hs,HS_DB[[#This Row],[HS Code]],
COUNTA(_xlfn.UNIQUE(_xlfn._xlws.FILTER(HS_DB[Reporter],HS_DB[HS Code]=_xlpm.hs)))
)</f>
        <v>17</v>
      </c>
      <c r="AQ376" s="17" t="str">
        <f>IF(HS_DB[[#This Row],[Origin Count]]=1,"Single Source","Multiple Sources")</f>
        <v>Multiple Sources</v>
      </c>
      <c r="AR376" s="8">
        <f>HS_DB[[#This Row],[Annual Spend - USD]]*(HS_DB[[#This Row],[HS Code Risk Score]]/100)</f>
        <v>17573828.880000003</v>
      </c>
      <c r="AS376" s="8">
        <f>RANK(HS_DB[[#This Row],[Risk Exposure - USD]],HS_DB[Risk Exposure - USD],0)</f>
        <v>52</v>
      </c>
      <c r="AT376" s="8" t="str">
        <f>IF(HS_DB[[#This Row],[Risk Exposure Rank]]&lt;=10,"High",
 IF(HS_DB[[#This Row],[Risk Exposure Rank]]&lt;=30,"Medium",
 "Low"))</f>
        <v>Low</v>
      </c>
      <c r="AU376" s="8" t="str">
        <f>IF(HS_DB[[#This Row],[Risk Exposure Rank]]&lt;=5,"Immediate Action",
 IF(HS_DB[[#This Row],[Risk Exposure Rank]]&lt;=15,"Monitor Closely",
 "Routine Control"))</f>
        <v>Routine Control</v>
      </c>
      <c r="AV376" s="8">
        <f>SUMIFS(HS_DB[Trade Value - USD],HS_DB[HS Code],HS_DB[[#This Row],[HS Code]])</f>
        <v>51687732</v>
      </c>
      <c r="AW376" s="6">
        <f>HS_DB[[#This Row],[Annual Spend - USD]]/HS_DB[[#This Row],[Total Market Size - USD]]</f>
        <v>1</v>
      </c>
      <c r="AX376" s="6" cm="1">
        <f t="array" ref="AX376">COUNTA(_xlfn.UNIQUE(_xlfn._xlws.FILTER(HS_DB[Partner],HS_DB[HS Code]=HS_DB[[#This Row],[HS Code]])))</f>
        <v>1</v>
      </c>
      <c r="AY376" s="8" t="str">
        <f>IF(HS_DB[[#This Row],[Competition Intensity]]&lt;=2,"Highly Concentrated",
 IF(HS_DB[[#This Row],[Competition Intensity]]&lt;=5,"Moderate",
 "Highly Competitive"))</f>
        <v>Highly Concentrated</v>
      </c>
      <c r="AZ376" s="8">
        <f>HS_DB[[#This Row],[Total Market Size - USD]]
*
(1+IFERROR(#REF!,0))
/
HS_DB[[#This Row],[Competition Intensity]]</f>
        <v>51687732</v>
      </c>
      <c r="BA376" s="8" t="str">
        <f>IF(HS_DB[[#This Row],[Commercial Opportunity Score]]&gt;=PERCENTILE(HS_DB[Commercial Opportunity Score],0.9),"High Opportunity",
 IF(HS_DB[[#This Row],[Commercial Opportunity Score]]&gt;=PERCENTILE(HS_DB[Commercial Opportunity Score],0.6),"Medium Opportunity",
 "Routine Market"))</f>
        <v>High Opportunity</v>
      </c>
      <c r="BB376" s="3" t="str">
        <f>IF(AND(HS_DB[[#This Row],[Product Rank]]&gt;0,HS_DB[[#This Row],[Product Rank]]&lt;=10),"Yes","No")</f>
        <v>No</v>
      </c>
      <c r="BC376" s="3" t="str">
        <f>IF(AND(HS_DB[[#This Row],[Origin Rank]]&gt;0,HS_DB[[#This Row],[Origin Rank]]&lt;=10),"Yes","No")</f>
        <v>Yes</v>
      </c>
    </row>
    <row r="377" spans="2:55" x14ac:dyDescent="0.3">
      <c r="B377" s="2">
        <f>HS_DB[[#This Row],[Commodity Code]]</f>
        <v>170199</v>
      </c>
      <c r="C377" s="2">
        <f>IFERROR(INDEX(HS_MD!C:C,MATCH(B377,HS_MD!B:B,0),1),"")</f>
        <v>30</v>
      </c>
      <c r="D377" s="17" t="str">
        <f>IFERROR(INDEX(HS_MD!D:D,MATCH(B377,HS_MD!B:B,0),1),"")</f>
        <v>Cane or beet sugar, refined</v>
      </c>
      <c r="E377" s="17" t="str">
        <f>IFERROR(INDEX(HS_MD!E:E,MATCH(B377,HS_MD!B:B,0),1),"")</f>
        <v>Sugar (White Crystal)</v>
      </c>
      <c r="F377" s="17" t="str">
        <f>IFERROR(INDEX(HS_MD!F:F,MATCH(B377,HS_MD!B:B,0),1),"")</f>
        <v>SWEETENERS</v>
      </c>
      <c r="G377" s="17" t="str">
        <f>IFERROR(INDEX(HS_MD!G:G,MATCH(B377,HS_MD!B:B,0),1),"")</f>
        <v>Bulk Sweeteners</v>
      </c>
      <c r="H377" s="17" t="str">
        <f>IFERROR(INDEX(HS_MD!H:H,MATCH(B377,HS_MD!B:B,0),1),"")</f>
        <v>Refined Sugar</v>
      </c>
      <c r="I377" s="17" t="str">
        <f>IFERROR(INDEX(HS_MD!I:I,MATCH(B377,HS_MD!B:B,0),1),"")</f>
        <v>Beverages / Confectionery / Sauces</v>
      </c>
      <c r="J377" s="17">
        <f>IFERROR(INDEX(Heat_Map[Index],MATCH(HS_DB[[#This Row],[Reporter]],Heat_Map[Global],0),1),"")</f>
        <v>63</v>
      </c>
      <c r="K377" s="17" t="str">
        <f>IF(AND(HS_DB[[#This Row],[Origin Rank]]&gt;1,HS_DB[[#This Row],[Origin Rank]]&lt;=10),"Yes","No")</f>
        <v>Yes</v>
      </c>
      <c r="L377" s="2">
        <v>2024</v>
      </c>
      <c r="M377" s="2" t="s">
        <v>57</v>
      </c>
      <c r="N377" s="2" t="s">
        <v>2</v>
      </c>
      <c r="O377" s="2" t="s">
        <v>22</v>
      </c>
      <c r="P377" s="2" t="s">
        <v>23</v>
      </c>
      <c r="Q377" s="2" t="s">
        <v>24</v>
      </c>
      <c r="R377" s="2" t="s">
        <v>25</v>
      </c>
      <c r="S377" s="2">
        <v>170199</v>
      </c>
      <c r="T377" s="3">
        <v>1294750</v>
      </c>
      <c r="U377" s="3">
        <v>2494522.1</v>
      </c>
      <c r="V377" s="3">
        <v>0</v>
      </c>
      <c r="W377" s="3">
        <v>2494522</v>
      </c>
      <c r="X377" s="3" t="s">
        <v>58</v>
      </c>
      <c r="Y377" s="3">
        <v>0</v>
      </c>
      <c r="Z377" s="3" t="s">
        <v>26</v>
      </c>
      <c r="AA377" s="6">
        <f>SUMIFS(HS_DB[Trade Value - USD],HS_DB[Reporter],HS_DB[[#This Row],[Reporter]])/SUM(HS_DB[Trade Value - USD])</f>
        <v>1.1674623358397021E-2</v>
      </c>
      <c r="AB377" s="8" cm="1">
        <f t="array" ref="AB377">SUMPRODUCT(
(HS_DB[Reporter]=HS_DB[[#This Row],[Reporter]])*
(HS_DB[Trade Value - USD]&gt;HS_DB[[#This Row],[Trade Value - USD]])
)+1</f>
        <v>7</v>
      </c>
      <c r="AC377" s="8" t="str">
        <f>IFERROR(IF(INDEX(Heat_Map[Crisis Impact %],MATCH(HS_DB[[#This Row],[Reporter]],Heat_Map[Global],0),1)&gt;0,"Yes","No"),"No")</f>
        <v>No</v>
      </c>
      <c r="AD377" s="6">
        <f>IFERROR(INDEX(Heat_Map[Crisis Impact %],MATCH(HS_DB[[#This Row],[Reporter]],Heat_Map[Global],0),1),0)</f>
        <v>0</v>
      </c>
      <c r="AE377" s="8">
        <f>HS_DB[[#This Row],[Crisis Impact%]]*HS_DB[[#This Row],[Trade Value - USD]]</f>
        <v>0</v>
      </c>
      <c r="AF377" s="8">
        <f>HS_DB[[#This Row],[Crisis Impact%]]*HS_DB[[#This Row],[Net Weight -KG]]</f>
        <v>0</v>
      </c>
      <c r="AG377" s="6">
        <f>SUMIFS(HS_DB[Trade Value - USD],HS_DB[Products],HS_DB[[#This Row],[Products]])/SUM(HS_DB[Trade Value - USD])</f>
        <v>2.7420426655669069E-2</v>
      </c>
      <c r="AH377" s="8">
        <f>_xlfn.RANK.EQ(HS_DB[[#This Row],[Trade Value - USD]], HS_DB[Trade Value - USD], 0)
 + COUNTIFS(HS_DB[Trade Value - USD],HS_DB[[#This Row],[Trade Value - USD]],
            HS_DB[HS Code],"&lt;"&amp;HS_DB[[#This Row],[HS Code]])</f>
        <v>86</v>
      </c>
      <c r="AI377" s="9">
        <f>IFERROR(HS_DB[[#This Row],[Trade Value - USD]]/HS_DB[[#This Row],[Net Weight -KG]],0)</f>
        <v>0.51903729375658769</v>
      </c>
      <c r="AJ377" s="17" cm="1">
        <f t="array" ref="AJ377">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77" s="17" t="str">
        <f>IF(HS_DB[[#This Row],[HS Code Risk Score]]&gt;=40,"High",
 IF(HS_DB[[#This Row],[HS Code Risk Score]]&gt;=25,"Medium","Low"))</f>
        <v>Medium</v>
      </c>
      <c r="AL377" s="17" t="str">
        <f>IF(RANK(HS_DB[[#This Row],[HS Code Risk Score]],HS_DB[HS Code Risk Score])&lt;=10,"Yes","No")</f>
        <v>No</v>
      </c>
      <c r="AM377" s="8">
        <f>SUMIFS(HS_DB[Net Weight -KG],HS_DB[HS Code],HS_DB[[#This Row],[HS Code]])</f>
        <v>76921435.099999994</v>
      </c>
      <c r="AN377" s="8">
        <f>SUMIFS(HS_DB[Trade Value - USD],HS_DB[HS Code],HS_DB[[#This Row],[HS Code]])</f>
        <v>51687732</v>
      </c>
      <c r="AO377" s="6">
        <f>_xlfn.MAXIFS(HS_DB[Origin Share%],HS_DB[HS Code],HS_DB[[#This Row],[HS Code]])</f>
        <v>7.6648679233989533E-2</v>
      </c>
      <c r="AP377" s="8" cm="1">
        <f t="array" ref="AP377">_xlfn.LET(
_xlpm.hs,HS_DB[[#This Row],[HS Code]],
COUNTA(_xlfn.UNIQUE(_xlfn._xlws.FILTER(HS_DB[Reporter],HS_DB[HS Code]=_xlpm.hs)))
)</f>
        <v>17</v>
      </c>
      <c r="AQ377" s="17" t="str">
        <f>IF(HS_DB[[#This Row],[Origin Count]]=1,"Single Source","Multiple Sources")</f>
        <v>Multiple Sources</v>
      </c>
      <c r="AR377" s="8">
        <f>HS_DB[[#This Row],[Annual Spend - USD]]*(HS_DB[[#This Row],[HS Code Risk Score]]/100)</f>
        <v>17573828.880000003</v>
      </c>
      <c r="AS377" s="8">
        <f>RANK(HS_DB[[#This Row],[Risk Exposure - USD]],HS_DB[Risk Exposure - USD],0)</f>
        <v>52</v>
      </c>
      <c r="AT377" s="8" t="str">
        <f>IF(HS_DB[[#This Row],[Risk Exposure Rank]]&lt;=10,"High",
 IF(HS_DB[[#This Row],[Risk Exposure Rank]]&lt;=30,"Medium",
 "Low"))</f>
        <v>Low</v>
      </c>
      <c r="AU377" s="8" t="str">
        <f>IF(HS_DB[[#This Row],[Risk Exposure Rank]]&lt;=5,"Immediate Action",
 IF(HS_DB[[#This Row],[Risk Exposure Rank]]&lt;=15,"Monitor Closely",
 "Routine Control"))</f>
        <v>Routine Control</v>
      </c>
      <c r="AV377" s="8">
        <f>SUMIFS(HS_DB[Trade Value - USD],HS_DB[HS Code],HS_DB[[#This Row],[HS Code]])</f>
        <v>51687732</v>
      </c>
      <c r="AW377" s="6">
        <f>HS_DB[[#This Row],[Annual Spend - USD]]/HS_DB[[#This Row],[Total Market Size - USD]]</f>
        <v>1</v>
      </c>
      <c r="AX377" s="6" cm="1">
        <f t="array" ref="AX377">COUNTA(_xlfn.UNIQUE(_xlfn._xlws.FILTER(HS_DB[Partner],HS_DB[HS Code]=HS_DB[[#This Row],[HS Code]])))</f>
        <v>1</v>
      </c>
      <c r="AY377" s="8" t="str">
        <f>IF(HS_DB[[#This Row],[Competition Intensity]]&lt;=2,"Highly Concentrated",
 IF(HS_DB[[#This Row],[Competition Intensity]]&lt;=5,"Moderate",
 "Highly Competitive"))</f>
        <v>Highly Concentrated</v>
      </c>
      <c r="AZ377" s="8">
        <f>HS_DB[[#This Row],[Total Market Size - USD]]
*
(1+IFERROR(#REF!,0))
/
HS_DB[[#This Row],[Competition Intensity]]</f>
        <v>51687732</v>
      </c>
      <c r="BA377" s="8" t="str">
        <f>IF(HS_DB[[#This Row],[Commercial Opportunity Score]]&gt;=PERCENTILE(HS_DB[Commercial Opportunity Score],0.9),"High Opportunity",
 IF(HS_DB[[#This Row],[Commercial Opportunity Score]]&gt;=PERCENTILE(HS_DB[Commercial Opportunity Score],0.6),"Medium Opportunity",
 "Routine Market"))</f>
        <v>High Opportunity</v>
      </c>
      <c r="BB377" s="3" t="str">
        <f>IF(AND(HS_DB[[#This Row],[Product Rank]]&gt;0,HS_DB[[#This Row],[Product Rank]]&lt;=10),"Yes","No")</f>
        <v>No</v>
      </c>
      <c r="BC377" s="3" t="str">
        <f>IF(AND(HS_DB[[#This Row],[Origin Rank]]&gt;0,HS_DB[[#This Row],[Origin Rank]]&lt;=10),"Yes","No")</f>
        <v>Yes</v>
      </c>
    </row>
    <row r="378" spans="2:55" x14ac:dyDescent="0.3">
      <c r="B378" s="2">
        <f>HS_DB[[#This Row],[Commodity Code]]</f>
        <v>170199</v>
      </c>
      <c r="C378" s="2">
        <f>IFERROR(INDEX(HS_MD!C:C,MATCH(B378,HS_MD!B:B,0),1),"")</f>
        <v>30</v>
      </c>
      <c r="D378" s="17" t="str">
        <f>IFERROR(INDEX(HS_MD!D:D,MATCH(B378,HS_MD!B:B,0),1),"")</f>
        <v>Cane or beet sugar, refined</v>
      </c>
      <c r="E378" s="17" t="str">
        <f>IFERROR(INDEX(HS_MD!E:E,MATCH(B378,HS_MD!B:B,0),1),"")</f>
        <v>Sugar (White Crystal)</v>
      </c>
      <c r="F378" s="17" t="str">
        <f>IFERROR(INDEX(HS_MD!F:F,MATCH(B378,HS_MD!B:B,0),1),"")</f>
        <v>SWEETENERS</v>
      </c>
      <c r="G378" s="17" t="str">
        <f>IFERROR(INDEX(HS_MD!G:G,MATCH(B378,HS_MD!B:B,0),1),"")</f>
        <v>Bulk Sweeteners</v>
      </c>
      <c r="H378" s="17" t="str">
        <f>IFERROR(INDEX(HS_MD!H:H,MATCH(B378,HS_MD!B:B,0),1),"")</f>
        <v>Refined Sugar</v>
      </c>
      <c r="I378" s="17" t="str">
        <f>IFERROR(INDEX(HS_MD!I:I,MATCH(B378,HS_MD!B:B,0),1),"")</f>
        <v>Beverages / Confectionery / Sauces</v>
      </c>
      <c r="J378" s="17">
        <f>IFERROR(INDEX(Heat_Map[Index],MATCH(HS_DB[[#This Row],[Reporter]],Heat_Map[Global],0),1),"")</f>
        <v>88</v>
      </c>
      <c r="K378" s="17" t="str">
        <f>IF(AND(HS_DB[[#This Row],[Origin Rank]]&gt;1,HS_DB[[#This Row],[Origin Rank]]&lt;=10),"Yes","No")</f>
        <v>Yes</v>
      </c>
      <c r="L378" s="2">
        <v>2024</v>
      </c>
      <c r="M378" s="2" t="s">
        <v>57</v>
      </c>
      <c r="N378" s="2" t="s">
        <v>157</v>
      </c>
      <c r="O378" s="2" t="s">
        <v>22</v>
      </c>
      <c r="P378" s="2" t="s">
        <v>23</v>
      </c>
      <c r="Q378" s="2" t="s">
        <v>24</v>
      </c>
      <c r="R378" s="2" t="s">
        <v>25</v>
      </c>
      <c r="S378" s="2">
        <v>170199</v>
      </c>
      <c r="T378" s="3">
        <v>4131</v>
      </c>
      <c r="U378" s="3">
        <v>48200</v>
      </c>
      <c r="V378" s="3">
        <v>0</v>
      </c>
      <c r="W378" s="3">
        <v>48200</v>
      </c>
      <c r="X378" s="3" t="s">
        <v>58</v>
      </c>
      <c r="Y378" s="3">
        <v>48200</v>
      </c>
      <c r="Z378" s="3" t="s">
        <v>58</v>
      </c>
      <c r="AA378" s="6">
        <f>SUMIFS(HS_DB[Trade Value - USD],HS_DB[Reporter],HS_DB[[#This Row],[Reporter]])/SUM(HS_DB[Trade Value - USD])</f>
        <v>8.2233059401702185E-6</v>
      </c>
      <c r="AB378" s="8" cm="1">
        <f t="array" ref="AB378">SUMPRODUCT(
(HS_DB[Reporter]=HS_DB[[#This Row],[Reporter]])*
(HS_DB[Trade Value - USD]&gt;HS_DB[[#This Row],[Trade Value - USD]])
)+1</f>
        <v>2</v>
      </c>
      <c r="AC378" s="8" t="str">
        <f>IFERROR(IF(INDEX(Heat_Map[Crisis Impact %],MATCH(HS_DB[[#This Row],[Reporter]],Heat_Map[Global],0),1)&gt;0,"Yes","No"),"No")</f>
        <v>No</v>
      </c>
      <c r="AD378" s="6">
        <f>IFERROR(INDEX(Heat_Map[Crisis Impact %],MATCH(HS_DB[[#This Row],[Reporter]],Heat_Map[Global],0),1),0)</f>
        <v>0</v>
      </c>
      <c r="AE378" s="8">
        <f>HS_DB[[#This Row],[Crisis Impact%]]*HS_DB[[#This Row],[Trade Value - USD]]</f>
        <v>0</v>
      </c>
      <c r="AF378" s="8">
        <f>HS_DB[[#This Row],[Crisis Impact%]]*HS_DB[[#This Row],[Net Weight -KG]]</f>
        <v>0</v>
      </c>
      <c r="AG378" s="6">
        <f>SUMIFS(HS_DB[Trade Value - USD],HS_DB[Products],HS_DB[[#This Row],[Products]])/SUM(HS_DB[Trade Value - USD])</f>
        <v>2.7420426655669069E-2</v>
      </c>
      <c r="AH378" s="8">
        <f>_xlfn.RANK.EQ(HS_DB[[#This Row],[Trade Value - USD]], HS_DB[Trade Value - USD], 0)
 + COUNTIFS(HS_DB[Trade Value - USD],HS_DB[[#This Row],[Trade Value - USD]],
            HS_DB[HS Code],"&lt;"&amp;HS_DB[[#This Row],[HS Code]])</f>
        <v>447</v>
      </c>
      <c r="AI378" s="9">
        <f>IFERROR(HS_DB[[#This Row],[Trade Value - USD]]/HS_DB[[#This Row],[Net Weight -KG]],0)</f>
        <v>8.5705394190871365E-2</v>
      </c>
      <c r="AJ378" s="17" cm="1">
        <f t="array" ref="AJ378">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78" s="17" t="str">
        <f>IF(HS_DB[[#This Row],[HS Code Risk Score]]&gt;=40,"High",
 IF(HS_DB[[#This Row],[HS Code Risk Score]]&gt;=25,"Medium","Low"))</f>
        <v>Medium</v>
      </c>
      <c r="AL378" s="17" t="str">
        <f>IF(RANK(HS_DB[[#This Row],[HS Code Risk Score]],HS_DB[HS Code Risk Score])&lt;=10,"Yes","No")</f>
        <v>No</v>
      </c>
      <c r="AM378" s="8">
        <f>SUMIFS(HS_DB[Net Weight -KG],HS_DB[HS Code],HS_DB[[#This Row],[HS Code]])</f>
        <v>76921435.099999994</v>
      </c>
      <c r="AN378" s="8">
        <f>SUMIFS(HS_DB[Trade Value - USD],HS_DB[HS Code],HS_DB[[#This Row],[HS Code]])</f>
        <v>51687732</v>
      </c>
      <c r="AO378" s="6">
        <f>_xlfn.MAXIFS(HS_DB[Origin Share%],HS_DB[HS Code],HS_DB[[#This Row],[HS Code]])</f>
        <v>7.6648679233989533E-2</v>
      </c>
      <c r="AP378" s="8" cm="1">
        <f t="array" ref="AP378">_xlfn.LET(
_xlpm.hs,HS_DB[[#This Row],[HS Code]],
COUNTA(_xlfn.UNIQUE(_xlfn._xlws.FILTER(HS_DB[Reporter],HS_DB[HS Code]=_xlpm.hs)))
)</f>
        <v>17</v>
      </c>
      <c r="AQ378" s="17" t="str">
        <f>IF(HS_DB[[#This Row],[Origin Count]]=1,"Single Source","Multiple Sources")</f>
        <v>Multiple Sources</v>
      </c>
      <c r="AR378" s="8">
        <f>HS_DB[[#This Row],[Annual Spend - USD]]*(HS_DB[[#This Row],[HS Code Risk Score]]/100)</f>
        <v>17573828.880000003</v>
      </c>
      <c r="AS378" s="8">
        <f>RANK(HS_DB[[#This Row],[Risk Exposure - USD]],HS_DB[Risk Exposure - USD],0)</f>
        <v>52</v>
      </c>
      <c r="AT378" s="8" t="str">
        <f>IF(HS_DB[[#This Row],[Risk Exposure Rank]]&lt;=10,"High",
 IF(HS_DB[[#This Row],[Risk Exposure Rank]]&lt;=30,"Medium",
 "Low"))</f>
        <v>Low</v>
      </c>
      <c r="AU378" s="8" t="str">
        <f>IF(HS_DB[[#This Row],[Risk Exposure Rank]]&lt;=5,"Immediate Action",
 IF(HS_DB[[#This Row],[Risk Exposure Rank]]&lt;=15,"Monitor Closely",
 "Routine Control"))</f>
        <v>Routine Control</v>
      </c>
      <c r="AV378" s="8">
        <f>SUMIFS(HS_DB[Trade Value - USD],HS_DB[HS Code],HS_DB[[#This Row],[HS Code]])</f>
        <v>51687732</v>
      </c>
      <c r="AW378" s="6">
        <f>HS_DB[[#This Row],[Annual Spend - USD]]/HS_DB[[#This Row],[Total Market Size - USD]]</f>
        <v>1</v>
      </c>
      <c r="AX378" s="6" cm="1">
        <f t="array" ref="AX378">COUNTA(_xlfn.UNIQUE(_xlfn._xlws.FILTER(HS_DB[Partner],HS_DB[HS Code]=HS_DB[[#This Row],[HS Code]])))</f>
        <v>1</v>
      </c>
      <c r="AY378" s="8" t="str">
        <f>IF(HS_DB[[#This Row],[Competition Intensity]]&lt;=2,"Highly Concentrated",
 IF(HS_DB[[#This Row],[Competition Intensity]]&lt;=5,"Moderate",
 "Highly Competitive"))</f>
        <v>Highly Concentrated</v>
      </c>
      <c r="AZ378" s="8">
        <f>HS_DB[[#This Row],[Total Market Size - USD]]
*
(1+IFERROR(#REF!,0))
/
HS_DB[[#This Row],[Competition Intensity]]</f>
        <v>51687732</v>
      </c>
      <c r="BA378" s="8" t="str">
        <f>IF(HS_DB[[#This Row],[Commercial Opportunity Score]]&gt;=PERCENTILE(HS_DB[Commercial Opportunity Score],0.9),"High Opportunity",
 IF(HS_DB[[#This Row],[Commercial Opportunity Score]]&gt;=PERCENTILE(HS_DB[Commercial Opportunity Score],0.6),"Medium Opportunity",
 "Routine Market"))</f>
        <v>High Opportunity</v>
      </c>
      <c r="BB378" s="3" t="str">
        <f>IF(AND(HS_DB[[#This Row],[Product Rank]]&gt;0,HS_DB[[#This Row],[Product Rank]]&lt;=10),"Yes","No")</f>
        <v>No</v>
      </c>
      <c r="BC378" s="3" t="str">
        <f>IF(AND(HS_DB[[#This Row],[Origin Rank]]&gt;0,HS_DB[[#This Row],[Origin Rank]]&lt;=10),"Yes","No")</f>
        <v>Yes</v>
      </c>
    </row>
    <row r="379" spans="2:55" x14ac:dyDescent="0.3">
      <c r="B379" s="2">
        <f>HS_DB[[#This Row],[Commodity Code]]</f>
        <v>170199</v>
      </c>
      <c r="C379" s="2">
        <f>IFERROR(INDEX(HS_MD!C:C,MATCH(B379,HS_MD!B:B,0),1),"")</f>
        <v>30</v>
      </c>
      <c r="D379" s="17" t="str">
        <f>IFERROR(INDEX(HS_MD!D:D,MATCH(B379,HS_MD!B:B,0),1),"")</f>
        <v>Cane or beet sugar, refined</v>
      </c>
      <c r="E379" s="17" t="str">
        <f>IFERROR(INDEX(HS_MD!E:E,MATCH(B379,HS_MD!B:B,0),1),"")</f>
        <v>Sugar (White Crystal)</v>
      </c>
      <c r="F379" s="17" t="str">
        <f>IFERROR(INDEX(HS_MD!F:F,MATCH(B379,HS_MD!B:B,0),1),"")</f>
        <v>SWEETENERS</v>
      </c>
      <c r="G379" s="17" t="str">
        <f>IFERROR(INDEX(HS_MD!G:G,MATCH(B379,HS_MD!B:B,0),1),"")</f>
        <v>Bulk Sweeteners</v>
      </c>
      <c r="H379" s="17" t="str">
        <f>IFERROR(INDEX(HS_MD!H:H,MATCH(B379,HS_MD!B:B,0),1),"")</f>
        <v>Refined Sugar</v>
      </c>
      <c r="I379" s="17" t="str">
        <f>IFERROR(INDEX(HS_MD!I:I,MATCH(B379,HS_MD!B:B,0),1),"")</f>
        <v>Beverages / Confectionery / Sauces</v>
      </c>
      <c r="J379" s="17">
        <f>IFERROR(INDEX(Heat_Map[Index],MATCH(HS_DB[[#This Row],[Reporter]],Heat_Map[Global],0),1),"")</f>
        <v>118</v>
      </c>
      <c r="K379" s="17" t="str">
        <f>IF(AND(HS_DB[[#This Row],[Origin Rank]]&gt;1,HS_DB[[#This Row],[Origin Rank]]&lt;=10),"Yes","No")</f>
        <v>Yes</v>
      </c>
      <c r="L379" s="2">
        <v>2024</v>
      </c>
      <c r="M379" s="2" t="s">
        <v>57</v>
      </c>
      <c r="N379" s="2" t="s">
        <v>53</v>
      </c>
      <c r="O379" s="2" t="s">
        <v>22</v>
      </c>
      <c r="P379" s="2" t="s">
        <v>23</v>
      </c>
      <c r="Q379" s="2" t="s">
        <v>24</v>
      </c>
      <c r="R379" s="2" t="s">
        <v>25</v>
      </c>
      <c r="S379" s="2">
        <v>170199</v>
      </c>
      <c r="T379" s="3">
        <v>7600040</v>
      </c>
      <c r="U379" s="3">
        <v>10416748</v>
      </c>
      <c r="V379" s="3">
        <v>0</v>
      </c>
      <c r="W379" s="3">
        <v>10416748</v>
      </c>
      <c r="X379" s="3" t="s">
        <v>58</v>
      </c>
      <c r="Y379" s="3">
        <v>10416748</v>
      </c>
      <c r="Z379" s="3" t="s">
        <v>58</v>
      </c>
      <c r="AA379" s="6">
        <f>SUMIFS(HS_DB[Trade Value - USD],HS_DB[Reporter],HS_DB[[#This Row],[Reporter]])/SUM(HS_DB[Trade Value - USD])</f>
        <v>1.4561232389604124E-2</v>
      </c>
      <c r="AB379" s="8" cm="1">
        <f t="array" ref="AB379">SUMPRODUCT(
(HS_DB[Reporter]=HS_DB[[#This Row],[Reporter]])*
(HS_DB[Trade Value - USD]&gt;HS_DB[[#This Row],[Trade Value - USD]])
)+1</f>
        <v>2</v>
      </c>
      <c r="AC379" s="8" t="str">
        <f>IFERROR(IF(INDEX(Heat_Map[Crisis Impact %],MATCH(HS_DB[[#This Row],[Reporter]],Heat_Map[Global],0),1)&gt;0,"Yes","No"),"No")</f>
        <v>No</v>
      </c>
      <c r="AD379" s="6">
        <f>IFERROR(INDEX(Heat_Map[Crisis Impact %],MATCH(HS_DB[[#This Row],[Reporter]],Heat_Map[Global],0),1),0)</f>
        <v>0</v>
      </c>
      <c r="AE379" s="8">
        <f>HS_DB[[#This Row],[Crisis Impact%]]*HS_DB[[#This Row],[Trade Value - USD]]</f>
        <v>0</v>
      </c>
      <c r="AF379" s="8">
        <f>HS_DB[[#This Row],[Crisis Impact%]]*HS_DB[[#This Row],[Net Weight -KG]]</f>
        <v>0</v>
      </c>
      <c r="AG379" s="6">
        <f>SUMIFS(HS_DB[Trade Value - USD],HS_DB[Products],HS_DB[[#This Row],[Products]])/SUM(HS_DB[Trade Value - USD])</f>
        <v>2.7420426655669069E-2</v>
      </c>
      <c r="AH379" s="8">
        <f>_xlfn.RANK.EQ(HS_DB[[#This Row],[Trade Value - USD]], HS_DB[Trade Value - USD], 0)
 + COUNTIFS(HS_DB[Trade Value - USD],HS_DB[[#This Row],[Trade Value - USD]],
            HS_DB[HS Code],"&lt;"&amp;HS_DB[[#This Row],[HS Code]])</f>
        <v>23</v>
      </c>
      <c r="AI379" s="9">
        <f>IFERROR(HS_DB[[#This Row],[Trade Value - USD]]/HS_DB[[#This Row],[Net Weight -KG]],0)</f>
        <v>0.72959814329769712</v>
      </c>
      <c r="AJ379" s="17" cm="1">
        <f t="array" ref="AJ379">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79" s="17" t="str">
        <f>IF(HS_DB[[#This Row],[HS Code Risk Score]]&gt;=40,"High",
 IF(HS_DB[[#This Row],[HS Code Risk Score]]&gt;=25,"Medium","Low"))</f>
        <v>Medium</v>
      </c>
      <c r="AL379" s="17" t="str">
        <f>IF(RANK(HS_DB[[#This Row],[HS Code Risk Score]],HS_DB[HS Code Risk Score])&lt;=10,"Yes","No")</f>
        <v>No</v>
      </c>
      <c r="AM379" s="8">
        <f>SUMIFS(HS_DB[Net Weight -KG],HS_DB[HS Code],HS_DB[[#This Row],[HS Code]])</f>
        <v>76921435.099999994</v>
      </c>
      <c r="AN379" s="8">
        <f>SUMIFS(HS_DB[Trade Value - USD],HS_DB[HS Code],HS_DB[[#This Row],[HS Code]])</f>
        <v>51687732</v>
      </c>
      <c r="AO379" s="6">
        <f>_xlfn.MAXIFS(HS_DB[Origin Share%],HS_DB[HS Code],HS_DB[[#This Row],[HS Code]])</f>
        <v>7.6648679233989533E-2</v>
      </c>
      <c r="AP379" s="8" cm="1">
        <f t="array" ref="AP379">_xlfn.LET(
_xlpm.hs,HS_DB[[#This Row],[HS Code]],
COUNTA(_xlfn.UNIQUE(_xlfn._xlws.FILTER(HS_DB[Reporter],HS_DB[HS Code]=_xlpm.hs)))
)</f>
        <v>17</v>
      </c>
      <c r="AQ379" s="17" t="str">
        <f>IF(HS_DB[[#This Row],[Origin Count]]=1,"Single Source","Multiple Sources")</f>
        <v>Multiple Sources</v>
      </c>
      <c r="AR379" s="8">
        <f>HS_DB[[#This Row],[Annual Spend - USD]]*(HS_DB[[#This Row],[HS Code Risk Score]]/100)</f>
        <v>17573828.880000003</v>
      </c>
      <c r="AS379" s="8">
        <f>RANK(HS_DB[[#This Row],[Risk Exposure - USD]],HS_DB[Risk Exposure - USD],0)</f>
        <v>52</v>
      </c>
      <c r="AT379" s="8" t="str">
        <f>IF(HS_DB[[#This Row],[Risk Exposure Rank]]&lt;=10,"High",
 IF(HS_DB[[#This Row],[Risk Exposure Rank]]&lt;=30,"Medium",
 "Low"))</f>
        <v>Low</v>
      </c>
      <c r="AU379" s="8" t="str">
        <f>IF(HS_DB[[#This Row],[Risk Exposure Rank]]&lt;=5,"Immediate Action",
 IF(HS_DB[[#This Row],[Risk Exposure Rank]]&lt;=15,"Monitor Closely",
 "Routine Control"))</f>
        <v>Routine Control</v>
      </c>
      <c r="AV379" s="8">
        <f>SUMIFS(HS_DB[Trade Value - USD],HS_DB[HS Code],HS_DB[[#This Row],[HS Code]])</f>
        <v>51687732</v>
      </c>
      <c r="AW379" s="6">
        <f>HS_DB[[#This Row],[Annual Spend - USD]]/HS_DB[[#This Row],[Total Market Size - USD]]</f>
        <v>1</v>
      </c>
      <c r="AX379" s="6" cm="1">
        <f t="array" ref="AX379">COUNTA(_xlfn.UNIQUE(_xlfn._xlws.FILTER(HS_DB[Partner],HS_DB[HS Code]=HS_DB[[#This Row],[HS Code]])))</f>
        <v>1</v>
      </c>
      <c r="AY379" s="8" t="str">
        <f>IF(HS_DB[[#This Row],[Competition Intensity]]&lt;=2,"Highly Concentrated",
 IF(HS_DB[[#This Row],[Competition Intensity]]&lt;=5,"Moderate",
 "Highly Competitive"))</f>
        <v>Highly Concentrated</v>
      </c>
      <c r="AZ379" s="8">
        <f>HS_DB[[#This Row],[Total Market Size - USD]]
*
(1+IFERROR(#REF!,0))
/
HS_DB[[#This Row],[Competition Intensity]]</f>
        <v>51687732</v>
      </c>
      <c r="BA379" s="8" t="str">
        <f>IF(HS_DB[[#This Row],[Commercial Opportunity Score]]&gt;=PERCENTILE(HS_DB[Commercial Opportunity Score],0.9),"High Opportunity",
 IF(HS_DB[[#This Row],[Commercial Opportunity Score]]&gt;=PERCENTILE(HS_DB[Commercial Opportunity Score],0.6),"Medium Opportunity",
 "Routine Market"))</f>
        <v>High Opportunity</v>
      </c>
      <c r="BB379" s="3" t="str">
        <f>IF(AND(HS_DB[[#This Row],[Product Rank]]&gt;0,HS_DB[[#This Row],[Product Rank]]&lt;=10),"Yes","No")</f>
        <v>No</v>
      </c>
      <c r="BC379" s="3" t="str">
        <f>IF(AND(HS_DB[[#This Row],[Origin Rank]]&gt;0,HS_DB[[#This Row],[Origin Rank]]&lt;=10),"Yes","No")</f>
        <v>Yes</v>
      </c>
    </row>
    <row r="380" spans="2:55" x14ac:dyDescent="0.3">
      <c r="B380" s="2">
        <f>HS_DB[[#This Row],[Commodity Code]]</f>
        <v>170199</v>
      </c>
      <c r="C380" s="2">
        <f>IFERROR(INDEX(HS_MD!C:C,MATCH(B380,HS_MD!B:B,0),1),"")</f>
        <v>30</v>
      </c>
      <c r="D380" s="17" t="str">
        <f>IFERROR(INDEX(HS_MD!D:D,MATCH(B380,HS_MD!B:B,0),1),"")</f>
        <v>Cane or beet sugar, refined</v>
      </c>
      <c r="E380" s="17" t="str">
        <f>IFERROR(INDEX(HS_MD!E:E,MATCH(B380,HS_MD!B:B,0),1),"")</f>
        <v>Sugar (White Crystal)</v>
      </c>
      <c r="F380" s="17" t="str">
        <f>IFERROR(INDEX(HS_MD!F:F,MATCH(B380,HS_MD!B:B,0),1),"")</f>
        <v>SWEETENERS</v>
      </c>
      <c r="G380" s="17" t="str">
        <f>IFERROR(INDEX(HS_MD!G:G,MATCH(B380,HS_MD!B:B,0),1),"")</f>
        <v>Bulk Sweeteners</v>
      </c>
      <c r="H380" s="17" t="str">
        <f>IFERROR(INDEX(HS_MD!H:H,MATCH(B380,HS_MD!B:B,0),1),"")</f>
        <v>Refined Sugar</v>
      </c>
      <c r="I380" s="17" t="str">
        <f>IFERROR(INDEX(HS_MD!I:I,MATCH(B380,HS_MD!B:B,0),1),"")</f>
        <v>Beverages / Confectionery / Sauces</v>
      </c>
      <c r="J380" s="17">
        <f>IFERROR(INDEX(Heat_Map[Index],MATCH(HS_DB[[#This Row],[Reporter]],Heat_Map[Global],0),1),"")</f>
        <v>134</v>
      </c>
      <c r="K380" s="17" t="str">
        <f>IF(AND(HS_DB[[#This Row],[Origin Rank]]&gt;1,HS_DB[[#This Row],[Origin Rank]]&lt;=10),"Yes","No")</f>
        <v>No</v>
      </c>
      <c r="L380" s="2">
        <v>2024</v>
      </c>
      <c r="M380" s="2" t="s">
        <v>57</v>
      </c>
      <c r="N380" s="2" t="s">
        <v>55</v>
      </c>
      <c r="O380" s="2" t="s">
        <v>22</v>
      </c>
      <c r="P380" s="2" t="s">
        <v>23</v>
      </c>
      <c r="Q380" s="2" t="s">
        <v>24</v>
      </c>
      <c r="R380" s="2" t="s">
        <v>25</v>
      </c>
      <c r="S380" s="2">
        <v>170199</v>
      </c>
      <c r="T380" s="3">
        <v>10245344</v>
      </c>
      <c r="U380" s="3">
        <v>16784250</v>
      </c>
      <c r="V380" s="3">
        <v>0</v>
      </c>
      <c r="W380" s="3">
        <v>16784250</v>
      </c>
      <c r="X380" s="3" t="s">
        <v>58</v>
      </c>
      <c r="Y380" s="3">
        <v>16784250</v>
      </c>
      <c r="Z380" s="3" t="s">
        <v>58</v>
      </c>
      <c r="AA380" s="6">
        <f>SUMIFS(HS_DB[Trade Value - USD],HS_DB[Reporter],HS_DB[[#This Row],[Reporter]])/SUM(HS_DB[Trade Value - USD])</f>
        <v>6.3855771678493602E-3</v>
      </c>
      <c r="AB380" s="8" cm="1">
        <f t="array" ref="AB380">SUMPRODUCT(
(HS_DB[Reporter]=HS_DB[[#This Row],[Reporter]])*
(HS_DB[Trade Value - USD]&gt;HS_DB[[#This Row],[Trade Value - USD]])
)+1</f>
        <v>1</v>
      </c>
      <c r="AC380" s="8" t="str">
        <f>IFERROR(IF(INDEX(Heat_Map[Crisis Impact %],MATCH(HS_DB[[#This Row],[Reporter]],Heat_Map[Global],0),1)&gt;0,"Yes","No"),"No")</f>
        <v>Yes</v>
      </c>
      <c r="AD380" s="6">
        <f>IFERROR(INDEX(Heat_Map[Crisis Impact %],MATCH(HS_DB[[#This Row],[Reporter]],Heat_Map[Global],0),1),0)</f>
        <v>0.06</v>
      </c>
      <c r="AE380" s="8">
        <f>HS_DB[[#This Row],[Crisis Impact%]]*HS_DB[[#This Row],[Trade Value - USD]]</f>
        <v>614720.64</v>
      </c>
      <c r="AF380" s="8">
        <f>HS_DB[[#This Row],[Crisis Impact%]]*HS_DB[[#This Row],[Net Weight -KG]]</f>
        <v>1007055</v>
      </c>
      <c r="AG380" s="6">
        <f>SUMIFS(HS_DB[Trade Value - USD],HS_DB[Products],HS_DB[[#This Row],[Products]])/SUM(HS_DB[Trade Value - USD])</f>
        <v>2.7420426655669069E-2</v>
      </c>
      <c r="AH380" s="8">
        <f>_xlfn.RANK.EQ(HS_DB[[#This Row],[Trade Value - USD]], HS_DB[Trade Value - USD], 0)
 + COUNTIFS(HS_DB[Trade Value - USD],HS_DB[[#This Row],[Trade Value - USD]],
            HS_DB[HS Code],"&lt;"&amp;HS_DB[[#This Row],[HS Code]])</f>
        <v>17</v>
      </c>
      <c r="AI380" s="9">
        <f>IFERROR(HS_DB[[#This Row],[Trade Value - USD]]/HS_DB[[#This Row],[Net Weight -KG]],0)</f>
        <v>0.61041416804444648</v>
      </c>
      <c r="AJ380" s="17" cm="1">
        <f t="array" ref="AJ380">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80" s="17" t="str">
        <f>IF(HS_DB[[#This Row],[HS Code Risk Score]]&gt;=40,"High",
 IF(HS_DB[[#This Row],[HS Code Risk Score]]&gt;=25,"Medium","Low"))</f>
        <v>Medium</v>
      </c>
      <c r="AL380" s="17" t="str">
        <f>IF(RANK(HS_DB[[#This Row],[HS Code Risk Score]],HS_DB[HS Code Risk Score])&lt;=10,"Yes","No")</f>
        <v>No</v>
      </c>
      <c r="AM380" s="8">
        <f>SUMIFS(HS_DB[Net Weight -KG],HS_DB[HS Code],HS_DB[[#This Row],[HS Code]])</f>
        <v>76921435.099999994</v>
      </c>
      <c r="AN380" s="8">
        <f>SUMIFS(HS_DB[Trade Value - USD],HS_DB[HS Code],HS_DB[[#This Row],[HS Code]])</f>
        <v>51687732</v>
      </c>
      <c r="AO380" s="6">
        <f>_xlfn.MAXIFS(HS_DB[Origin Share%],HS_DB[HS Code],HS_DB[[#This Row],[HS Code]])</f>
        <v>7.6648679233989533E-2</v>
      </c>
      <c r="AP380" s="8" cm="1">
        <f t="array" ref="AP380">_xlfn.LET(
_xlpm.hs,HS_DB[[#This Row],[HS Code]],
COUNTA(_xlfn.UNIQUE(_xlfn._xlws.FILTER(HS_DB[Reporter],HS_DB[HS Code]=_xlpm.hs)))
)</f>
        <v>17</v>
      </c>
      <c r="AQ380" s="17" t="str">
        <f>IF(HS_DB[[#This Row],[Origin Count]]=1,"Single Source","Multiple Sources")</f>
        <v>Multiple Sources</v>
      </c>
      <c r="AR380" s="8">
        <f>HS_DB[[#This Row],[Annual Spend - USD]]*(HS_DB[[#This Row],[HS Code Risk Score]]/100)</f>
        <v>17573828.880000003</v>
      </c>
      <c r="AS380" s="8">
        <f>RANK(HS_DB[[#This Row],[Risk Exposure - USD]],HS_DB[Risk Exposure - USD],0)</f>
        <v>52</v>
      </c>
      <c r="AT380" s="8" t="str">
        <f>IF(HS_DB[[#This Row],[Risk Exposure Rank]]&lt;=10,"High",
 IF(HS_DB[[#This Row],[Risk Exposure Rank]]&lt;=30,"Medium",
 "Low"))</f>
        <v>Low</v>
      </c>
      <c r="AU380" s="8" t="str">
        <f>IF(HS_DB[[#This Row],[Risk Exposure Rank]]&lt;=5,"Immediate Action",
 IF(HS_DB[[#This Row],[Risk Exposure Rank]]&lt;=15,"Monitor Closely",
 "Routine Control"))</f>
        <v>Routine Control</v>
      </c>
      <c r="AV380" s="8">
        <f>SUMIFS(HS_DB[Trade Value - USD],HS_DB[HS Code],HS_DB[[#This Row],[HS Code]])</f>
        <v>51687732</v>
      </c>
      <c r="AW380" s="6">
        <f>HS_DB[[#This Row],[Annual Spend - USD]]/HS_DB[[#This Row],[Total Market Size - USD]]</f>
        <v>1</v>
      </c>
      <c r="AX380" s="6" cm="1">
        <f t="array" ref="AX380">COUNTA(_xlfn.UNIQUE(_xlfn._xlws.FILTER(HS_DB[Partner],HS_DB[HS Code]=HS_DB[[#This Row],[HS Code]])))</f>
        <v>1</v>
      </c>
      <c r="AY380" s="8" t="str">
        <f>IF(HS_DB[[#This Row],[Competition Intensity]]&lt;=2,"Highly Concentrated",
 IF(HS_DB[[#This Row],[Competition Intensity]]&lt;=5,"Moderate",
 "Highly Competitive"))</f>
        <v>Highly Concentrated</v>
      </c>
      <c r="AZ380" s="8">
        <f>HS_DB[[#This Row],[Total Market Size - USD]]
*
(1+IFERROR(#REF!,0))
/
HS_DB[[#This Row],[Competition Intensity]]</f>
        <v>51687732</v>
      </c>
      <c r="BA380" s="8" t="str">
        <f>IF(HS_DB[[#This Row],[Commercial Opportunity Score]]&gt;=PERCENTILE(HS_DB[Commercial Opportunity Score],0.9),"High Opportunity",
 IF(HS_DB[[#This Row],[Commercial Opportunity Score]]&gt;=PERCENTILE(HS_DB[Commercial Opportunity Score],0.6),"Medium Opportunity",
 "Routine Market"))</f>
        <v>High Opportunity</v>
      </c>
      <c r="BB380" s="3" t="str">
        <f>IF(AND(HS_DB[[#This Row],[Product Rank]]&gt;0,HS_DB[[#This Row],[Product Rank]]&lt;=10),"Yes","No")</f>
        <v>No</v>
      </c>
      <c r="BC380" s="3" t="str">
        <f>IF(AND(HS_DB[[#This Row],[Origin Rank]]&gt;0,HS_DB[[#This Row],[Origin Rank]]&lt;=10),"Yes","No")</f>
        <v>Yes</v>
      </c>
    </row>
    <row r="381" spans="2:55" x14ac:dyDescent="0.3">
      <c r="B381" s="2">
        <f>HS_DB[[#This Row],[Commodity Code]]</f>
        <v>170199</v>
      </c>
      <c r="C381" s="2">
        <f>IFERROR(INDEX(HS_MD!C:C,MATCH(B381,HS_MD!B:B,0),1),"")</f>
        <v>30</v>
      </c>
      <c r="D381" s="17" t="str">
        <f>IFERROR(INDEX(HS_MD!D:D,MATCH(B381,HS_MD!B:B,0),1),"")</f>
        <v>Cane or beet sugar, refined</v>
      </c>
      <c r="E381" s="17" t="str">
        <f>IFERROR(INDEX(HS_MD!E:E,MATCH(B381,HS_MD!B:B,0),1),"")</f>
        <v>Sugar (White Crystal)</v>
      </c>
      <c r="F381" s="17" t="str">
        <f>IFERROR(INDEX(HS_MD!F:F,MATCH(B381,HS_MD!B:B,0),1),"")</f>
        <v>SWEETENERS</v>
      </c>
      <c r="G381" s="17" t="str">
        <f>IFERROR(INDEX(HS_MD!G:G,MATCH(B381,HS_MD!B:B,0),1),"")</f>
        <v>Bulk Sweeteners</v>
      </c>
      <c r="H381" s="17" t="str">
        <f>IFERROR(INDEX(HS_MD!H:H,MATCH(B381,HS_MD!B:B,0),1),"")</f>
        <v>Refined Sugar</v>
      </c>
      <c r="I381" s="17" t="str">
        <f>IFERROR(INDEX(HS_MD!I:I,MATCH(B381,HS_MD!B:B,0),1),"")</f>
        <v>Beverages / Confectionery / Sauces</v>
      </c>
      <c r="J381" s="17">
        <f>IFERROR(INDEX(Heat_Map[Index],MATCH(HS_DB[[#This Row],[Reporter]],Heat_Map[Global],0),1),"")</f>
        <v>146</v>
      </c>
      <c r="K381" s="17" t="str">
        <f>IF(AND(HS_DB[[#This Row],[Origin Rank]]&gt;1,HS_DB[[#This Row],[Origin Rank]]&lt;=10),"Yes","No")</f>
        <v>No</v>
      </c>
      <c r="L381" s="2">
        <v>2024</v>
      </c>
      <c r="M381" s="2" t="s">
        <v>57</v>
      </c>
      <c r="N381" s="2" t="s">
        <v>27</v>
      </c>
      <c r="O381" s="2" t="s">
        <v>22</v>
      </c>
      <c r="P381" s="2" t="s">
        <v>23</v>
      </c>
      <c r="Q381" s="2" t="s">
        <v>24</v>
      </c>
      <c r="R381" s="2" t="s">
        <v>25</v>
      </c>
      <c r="S381" s="2">
        <v>170199</v>
      </c>
      <c r="T381" s="3">
        <v>12849626</v>
      </c>
      <c r="U381" s="3">
        <v>17764842</v>
      </c>
      <c r="V381" s="3">
        <v>0</v>
      </c>
      <c r="W381" s="3">
        <v>17764842</v>
      </c>
      <c r="X381" s="3" t="s">
        <v>58</v>
      </c>
      <c r="Y381" s="3">
        <v>17764842</v>
      </c>
      <c r="Z381" s="3" t="s">
        <v>58</v>
      </c>
      <c r="AA381" s="6">
        <f>SUMIFS(HS_DB[Trade Value - USD],HS_DB[Reporter],HS_DB[[#This Row],[Reporter]])/SUM(HS_DB[Trade Value - USD])</f>
        <v>9.709938116315122E-3</v>
      </c>
      <c r="AB381" s="8" cm="1">
        <f t="array" ref="AB381">SUMPRODUCT(
(HS_DB[Reporter]=HS_DB[[#This Row],[Reporter]])*
(HS_DB[Trade Value - USD]&gt;HS_DB[[#This Row],[Trade Value - USD]])
)+1</f>
        <v>1</v>
      </c>
      <c r="AC381" s="8" t="str">
        <f>IFERROR(IF(INDEX(Heat_Map[Crisis Impact %],MATCH(HS_DB[[#This Row],[Reporter]],Heat_Map[Global],0),1)&gt;0,"Yes","No"),"No")</f>
        <v>No</v>
      </c>
      <c r="AD381" s="6">
        <f>IFERROR(INDEX(Heat_Map[Crisis Impact %],MATCH(HS_DB[[#This Row],[Reporter]],Heat_Map[Global],0),1),0)</f>
        <v>0</v>
      </c>
      <c r="AE381" s="8">
        <f>HS_DB[[#This Row],[Crisis Impact%]]*HS_DB[[#This Row],[Trade Value - USD]]</f>
        <v>0</v>
      </c>
      <c r="AF381" s="8">
        <f>HS_DB[[#This Row],[Crisis Impact%]]*HS_DB[[#This Row],[Net Weight -KG]]</f>
        <v>0</v>
      </c>
      <c r="AG381" s="6">
        <f>SUMIFS(HS_DB[Trade Value - USD],HS_DB[Products],HS_DB[[#This Row],[Products]])/SUM(HS_DB[Trade Value - USD])</f>
        <v>2.7420426655669069E-2</v>
      </c>
      <c r="AH381" s="8">
        <f>_xlfn.RANK.EQ(HS_DB[[#This Row],[Trade Value - USD]], HS_DB[Trade Value - USD], 0)
 + COUNTIFS(HS_DB[Trade Value - USD],HS_DB[[#This Row],[Trade Value - USD]],
            HS_DB[HS Code],"&lt;"&amp;HS_DB[[#This Row],[HS Code]])</f>
        <v>13</v>
      </c>
      <c r="AI381" s="9">
        <f>IFERROR(HS_DB[[#This Row],[Trade Value - USD]]/HS_DB[[#This Row],[Net Weight -KG]],0)</f>
        <v>0.72331777563797073</v>
      </c>
      <c r="AJ381" s="17" cm="1">
        <f t="array" ref="AJ381">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81" s="17" t="str">
        <f>IF(HS_DB[[#This Row],[HS Code Risk Score]]&gt;=40,"High",
 IF(HS_DB[[#This Row],[HS Code Risk Score]]&gt;=25,"Medium","Low"))</f>
        <v>Medium</v>
      </c>
      <c r="AL381" s="17" t="str">
        <f>IF(RANK(HS_DB[[#This Row],[HS Code Risk Score]],HS_DB[HS Code Risk Score])&lt;=10,"Yes","No")</f>
        <v>No</v>
      </c>
      <c r="AM381" s="8">
        <f>SUMIFS(HS_DB[Net Weight -KG],HS_DB[HS Code],HS_DB[[#This Row],[HS Code]])</f>
        <v>76921435.099999994</v>
      </c>
      <c r="AN381" s="8">
        <f>SUMIFS(HS_DB[Trade Value - USD],HS_DB[HS Code],HS_DB[[#This Row],[HS Code]])</f>
        <v>51687732</v>
      </c>
      <c r="AO381" s="6">
        <f>_xlfn.MAXIFS(HS_DB[Origin Share%],HS_DB[HS Code],HS_DB[[#This Row],[HS Code]])</f>
        <v>7.6648679233989533E-2</v>
      </c>
      <c r="AP381" s="8" cm="1">
        <f t="array" ref="AP381">_xlfn.LET(
_xlpm.hs,HS_DB[[#This Row],[HS Code]],
COUNTA(_xlfn.UNIQUE(_xlfn._xlws.FILTER(HS_DB[Reporter],HS_DB[HS Code]=_xlpm.hs)))
)</f>
        <v>17</v>
      </c>
      <c r="AQ381" s="17" t="str">
        <f>IF(HS_DB[[#This Row],[Origin Count]]=1,"Single Source","Multiple Sources")</f>
        <v>Multiple Sources</v>
      </c>
      <c r="AR381" s="8">
        <f>HS_DB[[#This Row],[Annual Spend - USD]]*(HS_DB[[#This Row],[HS Code Risk Score]]/100)</f>
        <v>17573828.880000003</v>
      </c>
      <c r="AS381" s="8">
        <f>RANK(HS_DB[[#This Row],[Risk Exposure - USD]],HS_DB[Risk Exposure - USD],0)</f>
        <v>52</v>
      </c>
      <c r="AT381" s="8" t="str">
        <f>IF(HS_DB[[#This Row],[Risk Exposure Rank]]&lt;=10,"High",
 IF(HS_DB[[#This Row],[Risk Exposure Rank]]&lt;=30,"Medium",
 "Low"))</f>
        <v>Low</v>
      </c>
      <c r="AU381" s="8" t="str">
        <f>IF(HS_DB[[#This Row],[Risk Exposure Rank]]&lt;=5,"Immediate Action",
 IF(HS_DB[[#This Row],[Risk Exposure Rank]]&lt;=15,"Monitor Closely",
 "Routine Control"))</f>
        <v>Routine Control</v>
      </c>
      <c r="AV381" s="8">
        <f>SUMIFS(HS_DB[Trade Value - USD],HS_DB[HS Code],HS_DB[[#This Row],[HS Code]])</f>
        <v>51687732</v>
      </c>
      <c r="AW381" s="6">
        <f>HS_DB[[#This Row],[Annual Spend - USD]]/HS_DB[[#This Row],[Total Market Size - USD]]</f>
        <v>1</v>
      </c>
      <c r="AX381" s="6" cm="1">
        <f t="array" ref="AX381">COUNTA(_xlfn.UNIQUE(_xlfn._xlws.FILTER(HS_DB[Partner],HS_DB[HS Code]=HS_DB[[#This Row],[HS Code]])))</f>
        <v>1</v>
      </c>
      <c r="AY381" s="8" t="str">
        <f>IF(HS_DB[[#This Row],[Competition Intensity]]&lt;=2,"Highly Concentrated",
 IF(HS_DB[[#This Row],[Competition Intensity]]&lt;=5,"Moderate",
 "Highly Competitive"))</f>
        <v>Highly Concentrated</v>
      </c>
      <c r="AZ381" s="8">
        <f>HS_DB[[#This Row],[Total Market Size - USD]]
*
(1+IFERROR(#REF!,0))
/
HS_DB[[#This Row],[Competition Intensity]]</f>
        <v>51687732</v>
      </c>
      <c r="BA381" s="8" t="str">
        <f>IF(HS_DB[[#This Row],[Commercial Opportunity Score]]&gt;=PERCENTILE(HS_DB[Commercial Opportunity Score],0.9),"High Opportunity",
 IF(HS_DB[[#This Row],[Commercial Opportunity Score]]&gt;=PERCENTILE(HS_DB[Commercial Opportunity Score],0.6),"Medium Opportunity",
 "Routine Market"))</f>
        <v>High Opportunity</v>
      </c>
      <c r="BB381" s="3" t="str">
        <f>IF(AND(HS_DB[[#This Row],[Product Rank]]&gt;0,HS_DB[[#This Row],[Product Rank]]&lt;=10),"Yes","No")</f>
        <v>No</v>
      </c>
      <c r="BC381" s="3" t="str">
        <f>IF(AND(HS_DB[[#This Row],[Origin Rank]]&gt;0,HS_DB[[#This Row],[Origin Rank]]&lt;=10),"Yes","No")</f>
        <v>Yes</v>
      </c>
    </row>
    <row r="382" spans="2:55" x14ac:dyDescent="0.3">
      <c r="B382" s="2">
        <f>HS_DB[[#This Row],[Commodity Code]]</f>
        <v>170199</v>
      </c>
      <c r="C382" s="2">
        <f>IFERROR(INDEX(HS_MD!C:C,MATCH(B382,HS_MD!B:B,0),1),"")</f>
        <v>30</v>
      </c>
      <c r="D382" s="17" t="str">
        <f>IFERROR(INDEX(HS_MD!D:D,MATCH(B382,HS_MD!B:B,0),1),"")</f>
        <v>Cane or beet sugar, refined</v>
      </c>
      <c r="E382" s="17" t="str">
        <f>IFERROR(INDEX(HS_MD!E:E,MATCH(B382,HS_MD!B:B,0),1),"")</f>
        <v>Sugar (White Crystal)</v>
      </c>
      <c r="F382" s="17" t="str">
        <f>IFERROR(INDEX(HS_MD!F:F,MATCH(B382,HS_MD!B:B,0),1),"")</f>
        <v>SWEETENERS</v>
      </c>
      <c r="G382" s="17" t="str">
        <f>IFERROR(INDEX(HS_MD!G:G,MATCH(B382,HS_MD!B:B,0),1),"")</f>
        <v>Bulk Sweeteners</v>
      </c>
      <c r="H382" s="17" t="str">
        <f>IFERROR(INDEX(HS_MD!H:H,MATCH(B382,HS_MD!B:B,0),1),"")</f>
        <v>Refined Sugar</v>
      </c>
      <c r="I382" s="17" t="str">
        <f>IFERROR(INDEX(HS_MD!I:I,MATCH(B382,HS_MD!B:B,0),1),"")</f>
        <v>Beverages / Confectionery / Sauces</v>
      </c>
      <c r="J382" s="17">
        <f>IFERROR(INDEX(Heat_Map[Index],MATCH(HS_DB[[#This Row],[Reporter]],Heat_Map[Global],0),1),"")</f>
        <v>75</v>
      </c>
      <c r="K382" s="17" t="str">
        <f>IF(AND(HS_DB[[#This Row],[Origin Rank]]&gt;1,HS_DB[[#This Row],[Origin Rank]]&lt;=10),"Yes","No")</f>
        <v>No</v>
      </c>
      <c r="L382" s="2">
        <v>2024</v>
      </c>
      <c r="M382" s="2" t="s">
        <v>57</v>
      </c>
      <c r="N382" s="2" t="s">
        <v>8</v>
      </c>
      <c r="O382" s="2" t="s">
        <v>22</v>
      </c>
      <c r="P382" s="2" t="s">
        <v>23</v>
      </c>
      <c r="Q382" s="2" t="s">
        <v>24</v>
      </c>
      <c r="R382" s="2" t="s">
        <v>25</v>
      </c>
      <c r="S382" s="2">
        <v>170199</v>
      </c>
      <c r="T382" s="3">
        <v>29</v>
      </c>
      <c r="U382" s="3">
        <v>10</v>
      </c>
      <c r="V382" s="3">
        <v>0</v>
      </c>
      <c r="W382" s="3">
        <v>10</v>
      </c>
      <c r="X382" s="3" t="s">
        <v>58</v>
      </c>
      <c r="Y382" s="3">
        <v>10</v>
      </c>
      <c r="Z382" s="3" t="s">
        <v>58</v>
      </c>
      <c r="AA382" s="6">
        <f>SUMIFS(HS_DB[Trade Value - USD],HS_DB[Reporter],HS_DB[[#This Row],[Reporter]])/SUM(HS_DB[Trade Value - USD])</f>
        <v>2.2441761060335613E-2</v>
      </c>
      <c r="AB382" s="8" cm="1">
        <f t="array" ref="AB382">SUMPRODUCT(
(HS_DB[Reporter]=HS_DB[[#This Row],[Reporter]])*
(HS_DB[Trade Value - USD]&gt;HS_DB[[#This Row],[Trade Value - USD]])
)+1</f>
        <v>38</v>
      </c>
      <c r="AC382" s="8" t="str">
        <f>IFERROR(IF(INDEX(Heat_Map[Crisis Impact %],MATCH(HS_DB[[#This Row],[Reporter]],Heat_Map[Global],0),1)&gt;0,"Yes","No"),"No")</f>
        <v>No</v>
      </c>
      <c r="AD382" s="6">
        <f>IFERROR(INDEX(Heat_Map[Crisis Impact %],MATCH(HS_DB[[#This Row],[Reporter]],Heat_Map[Global],0),1),0)</f>
        <v>0</v>
      </c>
      <c r="AE382" s="8">
        <f>HS_DB[[#This Row],[Crisis Impact%]]*HS_DB[[#This Row],[Trade Value - USD]]</f>
        <v>0</v>
      </c>
      <c r="AF382" s="8">
        <f>HS_DB[[#This Row],[Crisis Impact%]]*HS_DB[[#This Row],[Net Weight -KG]]</f>
        <v>0</v>
      </c>
      <c r="AG382" s="6">
        <f>SUMIFS(HS_DB[Trade Value - USD],HS_DB[Products],HS_DB[[#This Row],[Products]])/SUM(HS_DB[Trade Value - USD])</f>
        <v>2.7420426655669069E-2</v>
      </c>
      <c r="AH382" s="8">
        <f>_xlfn.RANK.EQ(HS_DB[[#This Row],[Trade Value - USD]], HS_DB[Trade Value - USD], 0)
 + COUNTIFS(HS_DB[Trade Value - USD],HS_DB[[#This Row],[Trade Value - USD]],
            HS_DB[HS Code],"&lt;"&amp;HS_DB[[#This Row],[HS Code]])</f>
        <v>528</v>
      </c>
      <c r="AI382" s="9">
        <f>IFERROR(HS_DB[[#This Row],[Trade Value - USD]]/HS_DB[[#This Row],[Net Weight -KG]],0)</f>
        <v>2.9</v>
      </c>
      <c r="AJ382" s="17" cm="1">
        <f t="array" ref="AJ382">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82" s="17" t="str">
        <f>IF(HS_DB[[#This Row],[HS Code Risk Score]]&gt;=40,"High",
 IF(HS_DB[[#This Row],[HS Code Risk Score]]&gt;=25,"Medium","Low"))</f>
        <v>Medium</v>
      </c>
      <c r="AL382" s="17" t="str">
        <f>IF(RANK(HS_DB[[#This Row],[HS Code Risk Score]],HS_DB[HS Code Risk Score])&lt;=10,"Yes","No")</f>
        <v>No</v>
      </c>
      <c r="AM382" s="8">
        <f>SUMIFS(HS_DB[Net Weight -KG],HS_DB[HS Code],HS_DB[[#This Row],[HS Code]])</f>
        <v>76921435.099999994</v>
      </c>
      <c r="AN382" s="8">
        <f>SUMIFS(HS_DB[Trade Value - USD],HS_DB[HS Code],HS_DB[[#This Row],[HS Code]])</f>
        <v>51687732</v>
      </c>
      <c r="AO382" s="6">
        <f>_xlfn.MAXIFS(HS_DB[Origin Share%],HS_DB[HS Code],HS_DB[[#This Row],[HS Code]])</f>
        <v>7.6648679233989533E-2</v>
      </c>
      <c r="AP382" s="8" cm="1">
        <f t="array" ref="AP382">_xlfn.LET(
_xlpm.hs,HS_DB[[#This Row],[HS Code]],
COUNTA(_xlfn.UNIQUE(_xlfn._xlws.FILTER(HS_DB[Reporter],HS_DB[HS Code]=_xlpm.hs)))
)</f>
        <v>17</v>
      </c>
      <c r="AQ382" s="17" t="str">
        <f>IF(HS_DB[[#This Row],[Origin Count]]=1,"Single Source","Multiple Sources")</f>
        <v>Multiple Sources</v>
      </c>
      <c r="AR382" s="8">
        <f>HS_DB[[#This Row],[Annual Spend - USD]]*(HS_DB[[#This Row],[HS Code Risk Score]]/100)</f>
        <v>17573828.880000003</v>
      </c>
      <c r="AS382" s="8">
        <f>RANK(HS_DB[[#This Row],[Risk Exposure - USD]],HS_DB[Risk Exposure - USD],0)</f>
        <v>52</v>
      </c>
      <c r="AT382" s="8" t="str">
        <f>IF(HS_DB[[#This Row],[Risk Exposure Rank]]&lt;=10,"High",
 IF(HS_DB[[#This Row],[Risk Exposure Rank]]&lt;=30,"Medium",
 "Low"))</f>
        <v>Low</v>
      </c>
      <c r="AU382" s="8" t="str">
        <f>IF(HS_DB[[#This Row],[Risk Exposure Rank]]&lt;=5,"Immediate Action",
 IF(HS_DB[[#This Row],[Risk Exposure Rank]]&lt;=15,"Monitor Closely",
 "Routine Control"))</f>
        <v>Routine Control</v>
      </c>
      <c r="AV382" s="8">
        <f>SUMIFS(HS_DB[Trade Value - USD],HS_DB[HS Code],HS_DB[[#This Row],[HS Code]])</f>
        <v>51687732</v>
      </c>
      <c r="AW382" s="6">
        <f>HS_DB[[#This Row],[Annual Spend - USD]]/HS_DB[[#This Row],[Total Market Size - USD]]</f>
        <v>1</v>
      </c>
      <c r="AX382" s="6" cm="1">
        <f t="array" ref="AX382">COUNTA(_xlfn.UNIQUE(_xlfn._xlws.FILTER(HS_DB[Partner],HS_DB[HS Code]=HS_DB[[#This Row],[HS Code]])))</f>
        <v>1</v>
      </c>
      <c r="AY382" s="8" t="str">
        <f>IF(HS_DB[[#This Row],[Competition Intensity]]&lt;=2,"Highly Concentrated",
 IF(HS_DB[[#This Row],[Competition Intensity]]&lt;=5,"Moderate",
 "Highly Competitive"))</f>
        <v>Highly Concentrated</v>
      </c>
      <c r="AZ382" s="8">
        <f>HS_DB[[#This Row],[Total Market Size - USD]]
*
(1+IFERROR(#REF!,0))
/
HS_DB[[#This Row],[Competition Intensity]]</f>
        <v>51687732</v>
      </c>
      <c r="BA382" s="8" t="str">
        <f>IF(HS_DB[[#This Row],[Commercial Opportunity Score]]&gt;=PERCENTILE(HS_DB[Commercial Opportunity Score],0.9),"High Opportunity",
 IF(HS_DB[[#This Row],[Commercial Opportunity Score]]&gt;=PERCENTILE(HS_DB[Commercial Opportunity Score],0.6),"Medium Opportunity",
 "Routine Market"))</f>
        <v>High Opportunity</v>
      </c>
      <c r="BB382" s="3" t="str">
        <f>IF(AND(HS_DB[[#This Row],[Product Rank]]&gt;0,HS_DB[[#This Row],[Product Rank]]&lt;=10),"Yes","No")</f>
        <v>No</v>
      </c>
      <c r="BC382" s="3" t="str">
        <f>IF(AND(HS_DB[[#This Row],[Origin Rank]]&gt;0,HS_DB[[#This Row],[Origin Rank]]&lt;=10),"Yes","No")</f>
        <v>No</v>
      </c>
    </row>
    <row r="383" spans="2:55" x14ac:dyDescent="0.3">
      <c r="B383" s="2">
        <f>HS_DB[[#This Row],[Commodity Code]]</f>
        <v>170199</v>
      </c>
      <c r="C383" s="2">
        <f>IFERROR(INDEX(HS_MD!C:C,MATCH(B383,HS_MD!B:B,0),1),"")</f>
        <v>30</v>
      </c>
      <c r="D383" s="17" t="str">
        <f>IFERROR(INDEX(HS_MD!D:D,MATCH(B383,HS_MD!B:B,0),1),"")</f>
        <v>Cane or beet sugar, refined</v>
      </c>
      <c r="E383" s="17" t="str">
        <f>IFERROR(INDEX(HS_MD!E:E,MATCH(B383,HS_MD!B:B,0),1),"")</f>
        <v>Sugar (White Crystal)</v>
      </c>
      <c r="F383" s="17" t="str">
        <f>IFERROR(INDEX(HS_MD!F:F,MATCH(B383,HS_MD!B:B,0),1),"")</f>
        <v>SWEETENERS</v>
      </c>
      <c r="G383" s="17" t="str">
        <f>IFERROR(INDEX(HS_MD!G:G,MATCH(B383,HS_MD!B:B,0),1),"")</f>
        <v>Bulk Sweeteners</v>
      </c>
      <c r="H383" s="17" t="str">
        <f>IFERROR(INDEX(HS_MD!H:H,MATCH(B383,HS_MD!B:B,0),1),"")</f>
        <v>Refined Sugar</v>
      </c>
      <c r="I383" s="17" t="str">
        <f>IFERROR(INDEX(HS_MD!I:I,MATCH(B383,HS_MD!B:B,0),1),"")</f>
        <v>Beverages / Confectionery / Sauces</v>
      </c>
      <c r="J383" s="17">
        <f>IFERROR(INDEX(Heat_Map[Index],MATCH(HS_DB[[#This Row],[Reporter]],Heat_Map[Global],0),1),"")</f>
        <v>159</v>
      </c>
      <c r="K383" s="17" t="str">
        <f>IF(AND(HS_DB[[#This Row],[Origin Rank]]&gt;1,HS_DB[[#This Row],[Origin Rank]]&lt;=10),"Yes","No")</f>
        <v>No</v>
      </c>
      <c r="L383" s="2">
        <v>2024</v>
      </c>
      <c r="M383" s="2" t="s">
        <v>57</v>
      </c>
      <c r="N383" s="2" t="s">
        <v>30</v>
      </c>
      <c r="O383" s="2" t="s">
        <v>22</v>
      </c>
      <c r="P383" s="2" t="s">
        <v>23</v>
      </c>
      <c r="Q383" s="2" t="s">
        <v>24</v>
      </c>
      <c r="R383" s="2" t="s">
        <v>25</v>
      </c>
      <c r="S383" s="2">
        <v>170199</v>
      </c>
      <c r="T383" s="3">
        <v>139</v>
      </c>
      <c r="U383" s="3">
        <v>18</v>
      </c>
      <c r="V383" s="3">
        <v>0</v>
      </c>
      <c r="W383" s="3">
        <v>18</v>
      </c>
      <c r="X383" s="3" t="s">
        <v>58</v>
      </c>
      <c r="Y383" s="3">
        <v>18</v>
      </c>
      <c r="Z383" s="3" t="s">
        <v>58</v>
      </c>
      <c r="AA383" s="6">
        <f>SUMIFS(HS_DB[Trade Value - USD],HS_DB[Reporter],HS_DB[[#This Row],[Reporter]])/SUM(HS_DB[Trade Value - USD])</f>
        <v>6.110186869383482E-3</v>
      </c>
      <c r="AB383" s="8" cm="1">
        <f t="array" ref="AB383">SUMPRODUCT(
(HS_DB[Reporter]=HS_DB[[#This Row],[Reporter]])*
(HS_DB[Trade Value - USD]&gt;HS_DB[[#This Row],[Trade Value - USD]])
)+1</f>
        <v>28</v>
      </c>
      <c r="AC383" s="8" t="str">
        <f>IFERROR(IF(INDEX(Heat_Map[Crisis Impact %],MATCH(HS_DB[[#This Row],[Reporter]],Heat_Map[Global],0),1)&gt;0,"Yes","No"),"No")</f>
        <v>No</v>
      </c>
      <c r="AD383" s="6">
        <f>IFERROR(INDEX(Heat_Map[Crisis Impact %],MATCH(HS_DB[[#This Row],[Reporter]],Heat_Map[Global],0),1),0)</f>
        <v>0</v>
      </c>
      <c r="AE383" s="8">
        <f>HS_DB[[#This Row],[Crisis Impact%]]*HS_DB[[#This Row],[Trade Value - USD]]</f>
        <v>0</v>
      </c>
      <c r="AF383" s="8">
        <f>HS_DB[[#This Row],[Crisis Impact%]]*HS_DB[[#This Row],[Net Weight -KG]]</f>
        <v>0</v>
      </c>
      <c r="AG383" s="6">
        <f>SUMIFS(HS_DB[Trade Value - USD],HS_DB[Products],HS_DB[[#This Row],[Products]])/SUM(HS_DB[Trade Value - USD])</f>
        <v>2.7420426655669069E-2</v>
      </c>
      <c r="AH383" s="8">
        <f>_xlfn.RANK.EQ(HS_DB[[#This Row],[Trade Value - USD]], HS_DB[Trade Value - USD], 0)
 + COUNTIFS(HS_DB[Trade Value - USD],HS_DB[[#This Row],[Trade Value - USD]],
            HS_DB[HS Code],"&lt;"&amp;HS_DB[[#This Row],[HS Code]])</f>
        <v>514</v>
      </c>
      <c r="AI383" s="9">
        <f>IFERROR(HS_DB[[#This Row],[Trade Value - USD]]/HS_DB[[#This Row],[Net Weight -KG]],0)</f>
        <v>7.7222222222222223</v>
      </c>
      <c r="AJ383" s="17" cm="1">
        <f t="array" ref="AJ383">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83" s="17" t="str">
        <f>IF(HS_DB[[#This Row],[HS Code Risk Score]]&gt;=40,"High",
 IF(HS_DB[[#This Row],[HS Code Risk Score]]&gt;=25,"Medium","Low"))</f>
        <v>Medium</v>
      </c>
      <c r="AL383" s="17" t="str">
        <f>IF(RANK(HS_DB[[#This Row],[HS Code Risk Score]],HS_DB[HS Code Risk Score])&lt;=10,"Yes","No")</f>
        <v>No</v>
      </c>
      <c r="AM383" s="8">
        <f>SUMIFS(HS_DB[Net Weight -KG],HS_DB[HS Code],HS_DB[[#This Row],[HS Code]])</f>
        <v>76921435.099999994</v>
      </c>
      <c r="AN383" s="8">
        <f>SUMIFS(HS_DB[Trade Value - USD],HS_DB[HS Code],HS_DB[[#This Row],[HS Code]])</f>
        <v>51687732</v>
      </c>
      <c r="AO383" s="6">
        <f>_xlfn.MAXIFS(HS_DB[Origin Share%],HS_DB[HS Code],HS_DB[[#This Row],[HS Code]])</f>
        <v>7.6648679233989533E-2</v>
      </c>
      <c r="AP383" s="8" cm="1">
        <f t="array" ref="AP383">_xlfn.LET(
_xlpm.hs,HS_DB[[#This Row],[HS Code]],
COUNTA(_xlfn.UNIQUE(_xlfn._xlws.FILTER(HS_DB[Reporter],HS_DB[HS Code]=_xlpm.hs)))
)</f>
        <v>17</v>
      </c>
      <c r="AQ383" s="17" t="str">
        <f>IF(HS_DB[[#This Row],[Origin Count]]=1,"Single Source","Multiple Sources")</f>
        <v>Multiple Sources</v>
      </c>
      <c r="AR383" s="8">
        <f>HS_DB[[#This Row],[Annual Spend - USD]]*(HS_DB[[#This Row],[HS Code Risk Score]]/100)</f>
        <v>17573828.880000003</v>
      </c>
      <c r="AS383" s="8">
        <f>RANK(HS_DB[[#This Row],[Risk Exposure - USD]],HS_DB[Risk Exposure - USD],0)</f>
        <v>52</v>
      </c>
      <c r="AT383" s="8" t="str">
        <f>IF(HS_DB[[#This Row],[Risk Exposure Rank]]&lt;=10,"High",
 IF(HS_DB[[#This Row],[Risk Exposure Rank]]&lt;=30,"Medium",
 "Low"))</f>
        <v>Low</v>
      </c>
      <c r="AU383" s="8" t="str">
        <f>IF(HS_DB[[#This Row],[Risk Exposure Rank]]&lt;=5,"Immediate Action",
 IF(HS_DB[[#This Row],[Risk Exposure Rank]]&lt;=15,"Monitor Closely",
 "Routine Control"))</f>
        <v>Routine Control</v>
      </c>
      <c r="AV383" s="8">
        <f>SUMIFS(HS_DB[Trade Value - USD],HS_DB[HS Code],HS_DB[[#This Row],[HS Code]])</f>
        <v>51687732</v>
      </c>
      <c r="AW383" s="6">
        <f>HS_DB[[#This Row],[Annual Spend - USD]]/HS_DB[[#This Row],[Total Market Size - USD]]</f>
        <v>1</v>
      </c>
      <c r="AX383" s="6" cm="1">
        <f t="array" ref="AX383">COUNTA(_xlfn.UNIQUE(_xlfn._xlws.FILTER(HS_DB[Partner],HS_DB[HS Code]=HS_DB[[#This Row],[HS Code]])))</f>
        <v>1</v>
      </c>
      <c r="AY383" s="8" t="str">
        <f>IF(HS_DB[[#This Row],[Competition Intensity]]&lt;=2,"Highly Concentrated",
 IF(HS_DB[[#This Row],[Competition Intensity]]&lt;=5,"Moderate",
 "Highly Competitive"))</f>
        <v>Highly Concentrated</v>
      </c>
      <c r="AZ383" s="8">
        <f>HS_DB[[#This Row],[Total Market Size - USD]]
*
(1+IFERROR(#REF!,0))
/
HS_DB[[#This Row],[Competition Intensity]]</f>
        <v>51687732</v>
      </c>
      <c r="BA383" s="8" t="str">
        <f>IF(HS_DB[[#This Row],[Commercial Opportunity Score]]&gt;=PERCENTILE(HS_DB[Commercial Opportunity Score],0.9),"High Opportunity",
 IF(HS_DB[[#This Row],[Commercial Opportunity Score]]&gt;=PERCENTILE(HS_DB[Commercial Opportunity Score],0.6),"Medium Opportunity",
 "Routine Market"))</f>
        <v>High Opportunity</v>
      </c>
      <c r="BB383" s="3" t="str">
        <f>IF(AND(HS_DB[[#This Row],[Product Rank]]&gt;0,HS_DB[[#This Row],[Product Rank]]&lt;=10),"Yes","No")</f>
        <v>No</v>
      </c>
      <c r="BC383" s="3" t="str">
        <f>IF(AND(HS_DB[[#This Row],[Origin Rank]]&gt;0,HS_DB[[#This Row],[Origin Rank]]&lt;=10),"Yes","No")</f>
        <v>No</v>
      </c>
    </row>
    <row r="384" spans="2:55" x14ac:dyDescent="0.3">
      <c r="B384" s="2">
        <f>HS_DB[[#This Row],[Commodity Code]]</f>
        <v>170199</v>
      </c>
      <c r="C384" s="2">
        <f>IFERROR(INDEX(HS_MD!C:C,MATCH(B384,HS_MD!B:B,0),1),"")</f>
        <v>30</v>
      </c>
      <c r="D384" s="17" t="str">
        <f>IFERROR(INDEX(HS_MD!D:D,MATCH(B384,HS_MD!B:B,0),1),"")</f>
        <v>Cane or beet sugar, refined</v>
      </c>
      <c r="E384" s="17" t="str">
        <f>IFERROR(INDEX(HS_MD!E:E,MATCH(B384,HS_MD!B:B,0),1),"")</f>
        <v>Sugar (White Crystal)</v>
      </c>
      <c r="F384" s="17" t="str">
        <f>IFERROR(INDEX(HS_MD!F:F,MATCH(B384,HS_MD!B:B,0),1),"")</f>
        <v>SWEETENERS</v>
      </c>
      <c r="G384" s="17" t="str">
        <f>IFERROR(INDEX(HS_MD!G:G,MATCH(B384,HS_MD!B:B,0),1),"")</f>
        <v>Bulk Sweeteners</v>
      </c>
      <c r="H384" s="17" t="str">
        <f>IFERROR(INDEX(HS_MD!H:H,MATCH(B384,HS_MD!B:B,0),1),"")</f>
        <v>Refined Sugar</v>
      </c>
      <c r="I384" s="17" t="str">
        <f>IFERROR(INDEX(HS_MD!I:I,MATCH(B384,HS_MD!B:B,0),1),"")</f>
        <v>Beverages / Confectionery / Sauces</v>
      </c>
      <c r="J384" s="17">
        <f>IFERROR(INDEX(Heat_Map[Index],MATCH(HS_DB[[#This Row],[Reporter]],Heat_Map[Global],0),1),"")</f>
        <v>164</v>
      </c>
      <c r="K384" s="17" t="str">
        <f>IF(AND(HS_DB[[#This Row],[Origin Rank]]&gt;1,HS_DB[[#This Row],[Origin Rank]]&lt;=10),"Yes","No")</f>
        <v>Yes</v>
      </c>
      <c r="L384" s="2">
        <v>2024</v>
      </c>
      <c r="M384" s="2" t="s">
        <v>57</v>
      </c>
      <c r="N384" s="2" t="s">
        <v>32</v>
      </c>
      <c r="O384" s="2" t="s">
        <v>22</v>
      </c>
      <c r="P384" s="2" t="s">
        <v>23</v>
      </c>
      <c r="Q384" s="2" t="s">
        <v>24</v>
      </c>
      <c r="R384" s="2" t="s">
        <v>25</v>
      </c>
      <c r="S384" s="2">
        <v>170199</v>
      </c>
      <c r="T384" s="3">
        <v>157233</v>
      </c>
      <c r="U384" s="3">
        <v>82500</v>
      </c>
      <c r="V384" s="3">
        <v>0</v>
      </c>
      <c r="W384" s="3">
        <v>82500</v>
      </c>
      <c r="X384" s="3" t="s">
        <v>58</v>
      </c>
      <c r="Y384" s="3">
        <v>82500</v>
      </c>
      <c r="Z384" s="3" t="s">
        <v>58</v>
      </c>
      <c r="AA384" s="6">
        <f>SUMIFS(HS_DB[Trade Value - USD],HS_DB[Reporter],HS_DB[[#This Row],[Reporter]])/SUM(HS_DB[Trade Value - USD])</f>
        <v>1.1630298885271862E-3</v>
      </c>
      <c r="AB384" s="8" cm="1">
        <f t="array" ref="AB384">SUMPRODUCT(
(HS_DB[Reporter]=HS_DB[[#This Row],[Reporter]])*
(HS_DB[Trade Value - USD]&gt;HS_DB[[#This Row],[Trade Value - USD]])
)+1</f>
        <v>4</v>
      </c>
      <c r="AC384" s="8" t="str">
        <f>IFERROR(IF(INDEX(Heat_Map[Crisis Impact %],MATCH(HS_DB[[#This Row],[Reporter]],Heat_Map[Global],0),1)&gt;0,"Yes","No"),"No")</f>
        <v>No</v>
      </c>
      <c r="AD384" s="6">
        <f>IFERROR(INDEX(Heat_Map[Crisis Impact %],MATCH(HS_DB[[#This Row],[Reporter]],Heat_Map[Global],0),1),0)</f>
        <v>0</v>
      </c>
      <c r="AE384" s="8">
        <f>HS_DB[[#This Row],[Crisis Impact%]]*HS_DB[[#This Row],[Trade Value - USD]]</f>
        <v>0</v>
      </c>
      <c r="AF384" s="8">
        <f>HS_DB[[#This Row],[Crisis Impact%]]*HS_DB[[#This Row],[Net Weight -KG]]</f>
        <v>0</v>
      </c>
      <c r="AG384" s="6">
        <f>SUMIFS(HS_DB[Trade Value - USD],HS_DB[Products],HS_DB[[#This Row],[Products]])/SUM(HS_DB[Trade Value - USD])</f>
        <v>2.7420426655669069E-2</v>
      </c>
      <c r="AH384" s="8">
        <f>_xlfn.RANK.EQ(HS_DB[[#This Row],[Trade Value - USD]], HS_DB[Trade Value - USD], 0)
 + COUNTIFS(HS_DB[Trade Value - USD],HS_DB[[#This Row],[Trade Value - USD]],
            HS_DB[HS Code],"&lt;"&amp;HS_DB[[#This Row],[HS Code]])</f>
        <v>240</v>
      </c>
      <c r="AI384" s="9">
        <f>IFERROR(HS_DB[[#This Row],[Trade Value - USD]]/HS_DB[[#This Row],[Net Weight -KG]],0)</f>
        <v>1.9058545454545455</v>
      </c>
      <c r="AJ384" s="17" cm="1">
        <f t="array" ref="AJ384">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84" s="17" t="str">
        <f>IF(HS_DB[[#This Row],[HS Code Risk Score]]&gt;=40,"High",
 IF(HS_DB[[#This Row],[HS Code Risk Score]]&gt;=25,"Medium","Low"))</f>
        <v>Medium</v>
      </c>
      <c r="AL384" s="17" t="str">
        <f>IF(RANK(HS_DB[[#This Row],[HS Code Risk Score]],HS_DB[HS Code Risk Score])&lt;=10,"Yes","No")</f>
        <v>No</v>
      </c>
      <c r="AM384" s="8">
        <f>SUMIFS(HS_DB[Net Weight -KG],HS_DB[HS Code],HS_DB[[#This Row],[HS Code]])</f>
        <v>76921435.099999994</v>
      </c>
      <c r="AN384" s="8">
        <f>SUMIFS(HS_DB[Trade Value - USD],HS_DB[HS Code],HS_DB[[#This Row],[HS Code]])</f>
        <v>51687732</v>
      </c>
      <c r="AO384" s="6">
        <f>_xlfn.MAXIFS(HS_DB[Origin Share%],HS_DB[HS Code],HS_DB[[#This Row],[HS Code]])</f>
        <v>7.6648679233989533E-2</v>
      </c>
      <c r="AP384" s="8" cm="1">
        <f t="array" ref="AP384">_xlfn.LET(
_xlpm.hs,HS_DB[[#This Row],[HS Code]],
COUNTA(_xlfn.UNIQUE(_xlfn._xlws.FILTER(HS_DB[Reporter],HS_DB[HS Code]=_xlpm.hs)))
)</f>
        <v>17</v>
      </c>
      <c r="AQ384" s="17" t="str">
        <f>IF(HS_DB[[#This Row],[Origin Count]]=1,"Single Source","Multiple Sources")</f>
        <v>Multiple Sources</v>
      </c>
      <c r="AR384" s="8">
        <f>HS_DB[[#This Row],[Annual Spend - USD]]*(HS_DB[[#This Row],[HS Code Risk Score]]/100)</f>
        <v>17573828.880000003</v>
      </c>
      <c r="AS384" s="8">
        <f>RANK(HS_DB[[#This Row],[Risk Exposure - USD]],HS_DB[Risk Exposure - USD],0)</f>
        <v>52</v>
      </c>
      <c r="AT384" s="8" t="str">
        <f>IF(HS_DB[[#This Row],[Risk Exposure Rank]]&lt;=10,"High",
 IF(HS_DB[[#This Row],[Risk Exposure Rank]]&lt;=30,"Medium",
 "Low"))</f>
        <v>Low</v>
      </c>
      <c r="AU384" s="8" t="str">
        <f>IF(HS_DB[[#This Row],[Risk Exposure Rank]]&lt;=5,"Immediate Action",
 IF(HS_DB[[#This Row],[Risk Exposure Rank]]&lt;=15,"Monitor Closely",
 "Routine Control"))</f>
        <v>Routine Control</v>
      </c>
      <c r="AV384" s="8">
        <f>SUMIFS(HS_DB[Trade Value - USD],HS_DB[HS Code],HS_DB[[#This Row],[HS Code]])</f>
        <v>51687732</v>
      </c>
      <c r="AW384" s="6">
        <f>HS_DB[[#This Row],[Annual Spend - USD]]/HS_DB[[#This Row],[Total Market Size - USD]]</f>
        <v>1</v>
      </c>
      <c r="AX384" s="6" cm="1">
        <f t="array" ref="AX384">COUNTA(_xlfn.UNIQUE(_xlfn._xlws.FILTER(HS_DB[Partner],HS_DB[HS Code]=HS_DB[[#This Row],[HS Code]])))</f>
        <v>1</v>
      </c>
      <c r="AY384" s="8" t="str">
        <f>IF(HS_DB[[#This Row],[Competition Intensity]]&lt;=2,"Highly Concentrated",
 IF(HS_DB[[#This Row],[Competition Intensity]]&lt;=5,"Moderate",
 "Highly Competitive"))</f>
        <v>Highly Concentrated</v>
      </c>
      <c r="AZ384" s="8">
        <f>HS_DB[[#This Row],[Total Market Size - USD]]
*
(1+IFERROR(#REF!,0))
/
HS_DB[[#This Row],[Competition Intensity]]</f>
        <v>51687732</v>
      </c>
      <c r="BA384" s="8" t="str">
        <f>IF(HS_DB[[#This Row],[Commercial Opportunity Score]]&gt;=PERCENTILE(HS_DB[Commercial Opportunity Score],0.9),"High Opportunity",
 IF(HS_DB[[#This Row],[Commercial Opportunity Score]]&gt;=PERCENTILE(HS_DB[Commercial Opportunity Score],0.6),"Medium Opportunity",
 "Routine Market"))</f>
        <v>High Opportunity</v>
      </c>
      <c r="BB384" s="3" t="str">
        <f>IF(AND(HS_DB[[#This Row],[Product Rank]]&gt;0,HS_DB[[#This Row],[Product Rank]]&lt;=10),"Yes","No")</f>
        <v>No</v>
      </c>
      <c r="BC384" s="3" t="str">
        <f>IF(AND(HS_DB[[#This Row],[Origin Rank]]&gt;0,HS_DB[[#This Row],[Origin Rank]]&lt;=10),"Yes","No")</f>
        <v>Yes</v>
      </c>
    </row>
    <row r="385" spans="2:55" x14ac:dyDescent="0.3">
      <c r="B385" s="2">
        <f>HS_DB[[#This Row],[Commodity Code]]</f>
        <v>170199</v>
      </c>
      <c r="C385" s="2">
        <f>IFERROR(INDEX(HS_MD!C:C,MATCH(B385,HS_MD!B:B,0),1),"")</f>
        <v>30</v>
      </c>
      <c r="D385" s="17" t="str">
        <f>IFERROR(INDEX(HS_MD!D:D,MATCH(B385,HS_MD!B:B,0),1),"")</f>
        <v>Cane or beet sugar, refined</v>
      </c>
      <c r="E385" s="17" t="str">
        <f>IFERROR(INDEX(HS_MD!E:E,MATCH(B385,HS_MD!B:B,0),1),"")</f>
        <v>Sugar (White Crystal)</v>
      </c>
      <c r="F385" s="17" t="str">
        <f>IFERROR(INDEX(HS_MD!F:F,MATCH(B385,HS_MD!B:B,0),1),"")</f>
        <v>SWEETENERS</v>
      </c>
      <c r="G385" s="17" t="str">
        <f>IFERROR(INDEX(HS_MD!G:G,MATCH(B385,HS_MD!B:B,0),1),"")</f>
        <v>Bulk Sweeteners</v>
      </c>
      <c r="H385" s="17" t="str">
        <f>IFERROR(INDEX(HS_MD!H:H,MATCH(B385,HS_MD!B:B,0),1),"")</f>
        <v>Refined Sugar</v>
      </c>
      <c r="I385" s="17" t="str">
        <f>IFERROR(INDEX(HS_MD!I:I,MATCH(B385,HS_MD!B:B,0),1),"")</f>
        <v>Beverages / Confectionery / Sauces</v>
      </c>
      <c r="J385" s="17">
        <f>IFERROR(INDEX(Heat_Map[Index],MATCH(HS_DB[[#This Row],[Reporter]],Heat_Map[Global],0),1),"")</f>
        <v>175</v>
      </c>
      <c r="K385" s="17" t="str">
        <f>IF(AND(HS_DB[[#This Row],[Origin Rank]]&gt;1,HS_DB[[#This Row],[Origin Rank]]&lt;=10),"Yes","No")</f>
        <v>No</v>
      </c>
      <c r="L385" s="2">
        <v>2024</v>
      </c>
      <c r="M385" s="2" t="s">
        <v>57</v>
      </c>
      <c r="N385" s="2" t="s">
        <v>34</v>
      </c>
      <c r="O385" s="2" t="s">
        <v>22</v>
      </c>
      <c r="P385" s="2" t="s">
        <v>23</v>
      </c>
      <c r="Q385" s="2" t="s">
        <v>24</v>
      </c>
      <c r="R385" s="2" t="s">
        <v>25</v>
      </c>
      <c r="S385" s="2">
        <v>170199</v>
      </c>
      <c r="T385" s="3">
        <v>508499</v>
      </c>
      <c r="U385" s="3">
        <v>550185</v>
      </c>
      <c r="V385" s="3">
        <v>0</v>
      </c>
      <c r="W385" s="3">
        <v>550185</v>
      </c>
      <c r="X385" s="3" t="s">
        <v>58</v>
      </c>
      <c r="Y385" s="3">
        <v>550185</v>
      </c>
      <c r="Z385" s="3" t="s">
        <v>58</v>
      </c>
      <c r="AA385" s="6">
        <f>SUMIFS(HS_DB[Trade Value - USD],HS_DB[Reporter],HS_DB[[#This Row],[Reporter]])/SUM(HS_DB[Trade Value - USD])</f>
        <v>4.7522902002533667E-2</v>
      </c>
      <c r="AB385" s="8" cm="1">
        <f t="array" ref="AB385">SUMPRODUCT(
(HS_DB[Reporter]=HS_DB[[#This Row],[Reporter]])*
(HS_DB[Trade Value - USD]&gt;HS_DB[[#This Row],[Trade Value - USD]])
)+1</f>
        <v>15</v>
      </c>
      <c r="AC385" s="8" t="str">
        <f>IFERROR(IF(INDEX(Heat_Map[Crisis Impact %],MATCH(HS_DB[[#This Row],[Reporter]],Heat_Map[Global],0),1)&gt;0,"Yes","No"),"No")</f>
        <v>Yes</v>
      </c>
      <c r="AD385" s="6">
        <f>IFERROR(INDEX(Heat_Map[Crisis Impact %],MATCH(HS_DB[[#This Row],[Reporter]],Heat_Map[Global],0),1),0)</f>
        <v>0.1</v>
      </c>
      <c r="AE385" s="8">
        <f>HS_DB[[#This Row],[Crisis Impact%]]*HS_DB[[#This Row],[Trade Value - USD]]</f>
        <v>50849.9</v>
      </c>
      <c r="AF385" s="8">
        <f>HS_DB[[#This Row],[Crisis Impact%]]*HS_DB[[#This Row],[Net Weight -KG]]</f>
        <v>55018.5</v>
      </c>
      <c r="AG385" s="6">
        <f>SUMIFS(HS_DB[Trade Value - USD],HS_DB[Products],HS_DB[[#This Row],[Products]])/SUM(HS_DB[Trade Value - USD])</f>
        <v>2.7420426655669069E-2</v>
      </c>
      <c r="AH385" s="8">
        <f>_xlfn.RANK.EQ(HS_DB[[#This Row],[Trade Value - USD]], HS_DB[Trade Value - USD], 0)
 + COUNTIFS(HS_DB[Trade Value - USD],HS_DB[[#This Row],[Trade Value - USD]],
            HS_DB[HS Code],"&lt;"&amp;HS_DB[[#This Row],[HS Code]])</f>
        <v>147</v>
      </c>
      <c r="AI385" s="9">
        <f>IFERROR(HS_DB[[#This Row],[Trade Value - USD]]/HS_DB[[#This Row],[Net Weight -KG]],0)</f>
        <v>0.92423275807228478</v>
      </c>
      <c r="AJ385" s="17" cm="1">
        <f t="array" ref="AJ385">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85" s="17" t="str">
        <f>IF(HS_DB[[#This Row],[HS Code Risk Score]]&gt;=40,"High",
 IF(HS_DB[[#This Row],[HS Code Risk Score]]&gt;=25,"Medium","Low"))</f>
        <v>Medium</v>
      </c>
      <c r="AL385" s="17" t="str">
        <f>IF(RANK(HS_DB[[#This Row],[HS Code Risk Score]],HS_DB[HS Code Risk Score])&lt;=10,"Yes","No")</f>
        <v>No</v>
      </c>
      <c r="AM385" s="8">
        <f>SUMIFS(HS_DB[Net Weight -KG],HS_DB[HS Code],HS_DB[[#This Row],[HS Code]])</f>
        <v>76921435.099999994</v>
      </c>
      <c r="AN385" s="8">
        <f>SUMIFS(HS_DB[Trade Value - USD],HS_DB[HS Code],HS_DB[[#This Row],[HS Code]])</f>
        <v>51687732</v>
      </c>
      <c r="AO385" s="6">
        <f>_xlfn.MAXIFS(HS_DB[Origin Share%],HS_DB[HS Code],HS_DB[[#This Row],[HS Code]])</f>
        <v>7.6648679233989533E-2</v>
      </c>
      <c r="AP385" s="8" cm="1">
        <f t="array" ref="AP385">_xlfn.LET(
_xlpm.hs,HS_DB[[#This Row],[HS Code]],
COUNTA(_xlfn.UNIQUE(_xlfn._xlws.FILTER(HS_DB[Reporter],HS_DB[HS Code]=_xlpm.hs)))
)</f>
        <v>17</v>
      </c>
      <c r="AQ385" s="17" t="str">
        <f>IF(HS_DB[[#This Row],[Origin Count]]=1,"Single Source","Multiple Sources")</f>
        <v>Multiple Sources</v>
      </c>
      <c r="AR385" s="8">
        <f>HS_DB[[#This Row],[Annual Spend - USD]]*(HS_DB[[#This Row],[HS Code Risk Score]]/100)</f>
        <v>17573828.880000003</v>
      </c>
      <c r="AS385" s="8">
        <f>RANK(HS_DB[[#This Row],[Risk Exposure - USD]],HS_DB[Risk Exposure - USD],0)</f>
        <v>52</v>
      </c>
      <c r="AT385" s="8" t="str">
        <f>IF(HS_DB[[#This Row],[Risk Exposure Rank]]&lt;=10,"High",
 IF(HS_DB[[#This Row],[Risk Exposure Rank]]&lt;=30,"Medium",
 "Low"))</f>
        <v>Low</v>
      </c>
      <c r="AU385" s="8" t="str">
        <f>IF(HS_DB[[#This Row],[Risk Exposure Rank]]&lt;=5,"Immediate Action",
 IF(HS_DB[[#This Row],[Risk Exposure Rank]]&lt;=15,"Monitor Closely",
 "Routine Control"))</f>
        <v>Routine Control</v>
      </c>
      <c r="AV385" s="8">
        <f>SUMIFS(HS_DB[Trade Value - USD],HS_DB[HS Code],HS_DB[[#This Row],[HS Code]])</f>
        <v>51687732</v>
      </c>
      <c r="AW385" s="6">
        <f>HS_DB[[#This Row],[Annual Spend - USD]]/HS_DB[[#This Row],[Total Market Size - USD]]</f>
        <v>1</v>
      </c>
      <c r="AX385" s="6" cm="1">
        <f t="array" ref="AX385">COUNTA(_xlfn.UNIQUE(_xlfn._xlws.FILTER(HS_DB[Partner],HS_DB[HS Code]=HS_DB[[#This Row],[HS Code]])))</f>
        <v>1</v>
      </c>
      <c r="AY385" s="8" t="str">
        <f>IF(HS_DB[[#This Row],[Competition Intensity]]&lt;=2,"Highly Concentrated",
 IF(HS_DB[[#This Row],[Competition Intensity]]&lt;=5,"Moderate",
 "Highly Competitive"))</f>
        <v>Highly Concentrated</v>
      </c>
      <c r="AZ385" s="8">
        <f>HS_DB[[#This Row],[Total Market Size - USD]]
*
(1+IFERROR(#REF!,0))
/
HS_DB[[#This Row],[Competition Intensity]]</f>
        <v>51687732</v>
      </c>
      <c r="BA385" s="8" t="str">
        <f>IF(HS_DB[[#This Row],[Commercial Opportunity Score]]&gt;=PERCENTILE(HS_DB[Commercial Opportunity Score],0.9),"High Opportunity",
 IF(HS_DB[[#This Row],[Commercial Opportunity Score]]&gt;=PERCENTILE(HS_DB[Commercial Opportunity Score],0.6),"Medium Opportunity",
 "Routine Market"))</f>
        <v>High Opportunity</v>
      </c>
      <c r="BB385" s="3" t="str">
        <f>IF(AND(HS_DB[[#This Row],[Product Rank]]&gt;0,HS_DB[[#This Row],[Product Rank]]&lt;=10),"Yes","No")</f>
        <v>No</v>
      </c>
      <c r="BC385" s="3" t="str">
        <f>IF(AND(HS_DB[[#This Row],[Origin Rank]]&gt;0,HS_DB[[#This Row],[Origin Rank]]&lt;=10),"Yes","No")</f>
        <v>No</v>
      </c>
    </row>
    <row r="386" spans="2:55" x14ac:dyDescent="0.3">
      <c r="B386" s="2">
        <f>HS_DB[[#This Row],[Commodity Code]]</f>
        <v>170199</v>
      </c>
      <c r="C386" s="2">
        <f>IFERROR(INDEX(HS_MD!C:C,MATCH(B386,HS_MD!B:B,0),1),"")</f>
        <v>30</v>
      </c>
      <c r="D386" s="17" t="str">
        <f>IFERROR(INDEX(HS_MD!D:D,MATCH(B386,HS_MD!B:B,0),1),"")</f>
        <v>Cane or beet sugar, refined</v>
      </c>
      <c r="E386" s="17" t="str">
        <f>IFERROR(INDEX(HS_MD!E:E,MATCH(B386,HS_MD!B:B,0),1),"")</f>
        <v>Sugar (White Crystal)</v>
      </c>
      <c r="F386" s="17" t="str">
        <f>IFERROR(INDEX(HS_MD!F:F,MATCH(B386,HS_MD!B:B,0),1),"")</f>
        <v>SWEETENERS</v>
      </c>
      <c r="G386" s="17" t="str">
        <f>IFERROR(INDEX(HS_MD!G:G,MATCH(B386,HS_MD!B:B,0),1),"")</f>
        <v>Bulk Sweeteners</v>
      </c>
      <c r="H386" s="17" t="str">
        <f>IFERROR(INDEX(HS_MD!H:H,MATCH(B386,HS_MD!B:B,0),1),"")</f>
        <v>Refined Sugar</v>
      </c>
      <c r="I386" s="17" t="str">
        <f>IFERROR(INDEX(HS_MD!I:I,MATCH(B386,HS_MD!B:B,0),1),"")</f>
        <v>Beverages / Confectionery / Sauces</v>
      </c>
      <c r="J386" s="17">
        <f>IFERROR(INDEX(Heat_Map[Index],MATCH(HS_DB[[#This Row],[Reporter]],Heat_Map[Global],0),1),"")</f>
        <v>178</v>
      </c>
      <c r="K386" s="17" t="str">
        <f>IF(AND(HS_DB[[#This Row],[Origin Rank]]&gt;1,HS_DB[[#This Row],[Origin Rank]]&lt;=10),"Yes","No")</f>
        <v>No</v>
      </c>
      <c r="L386" s="2">
        <v>2024</v>
      </c>
      <c r="M386" s="2" t="s">
        <v>57</v>
      </c>
      <c r="N386" s="2" t="s">
        <v>369</v>
      </c>
      <c r="O386" s="2" t="s">
        <v>22</v>
      </c>
      <c r="P386" s="2" t="s">
        <v>23</v>
      </c>
      <c r="Q386" s="2" t="s">
        <v>24</v>
      </c>
      <c r="R386" s="2" t="s">
        <v>25</v>
      </c>
      <c r="S386" s="2">
        <v>170199</v>
      </c>
      <c r="T386" s="3">
        <v>1605559</v>
      </c>
      <c r="U386" s="3">
        <v>1597130</v>
      </c>
      <c r="V386" s="3">
        <v>0</v>
      </c>
      <c r="W386" s="3">
        <v>1597130</v>
      </c>
      <c r="X386" s="3" t="s">
        <v>58</v>
      </c>
      <c r="Y386" s="3">
        <v>1597130</v>
      </c>
      <c r="Z386" s="3" t="s">
        <v>58</v>
      </c>
      <c r="AA386" s="6">
        <f>SUMIFS(HS_DB[Trade Value - USD],HS_DB[Reporter],HS_DB[[#This Row],[Reporter]])/SUM(HS_DB[Trade Value - USD])</f>
        <v>8.5175168453607863E-4</v>
      </c>
      <c r="AB386" s="8" cm="1">
        <f t="array" ref="AB386">SUMPRODUCT(
(HS_DB[Reporter]=HS_DB[[#This Row],[Reporter]])*
(HS_DB[Trade Value - USD]&gt;HS_DB[[#This Row],[Trade Value - USD]])
)+1</f>
        <v>1</v>
      </c>
      <c r="AC386" s="8" t="str">
        <f>IFERROR(IF(INDEX(Heat_Map[Crisis Impact %],MATCH(HS_DB[[#This Row],[Reporter]],Heat_Map[Global],0),1)&gt;0,"Yes","No"),"No")</f>
        <v>No</v>
      </c>
      <c r="AD386" s="6">
        <f>IFERROR(INDEX(Heat_Map[Crisis Impact %],MATCH(HS_DB[[#This Row],[Reporter]],Heat_Map[Global],0),1),0)</f>
        <v>0</v>
      </c>
      <c r="AE386" s="8">
        <f>HS_DB[[#This Row],[Crisis Impact%]]*HS_DB[[#This Row],[Trade Value - USD]]</f>
        <v>0</v>
      </c>
      <c r="AF386" s="8">
        <f>HS_DB[[#This Row],[Crisis Impact%]]*HS_DB[[#This Row],[Net Weight -KG]]</f>
        <v>0</v>
      </c>
      <c r="AG386" s="6">
        <f>SUMIFS(HS_DB[Trade Value - USD],HS_DB[Products],HS_DB[[#This Row],[Products]])/SUM(HS_DB[Trade Value - USD])</f>
        <v>2.7420426655669069E-2</v>
      </c>
      <c r="AH386" s="8">
        <f>_xlfn.RANK.EQ(HS_DB[[#This Row],[Trade Value - USD]], HS_DB[Trade Value - USD], 0)
 + COUNTIFS(HS_DB[Trade Value - USD],HS_DB[[#This Row],[Trade Value - USD]],
            HS_DB[HS Code],"&lt;"&amp;HS_DB[[#This Row],[HS Code]])</f>
        <v>71</v>
      </c>
      <c r="AI386" s="9">
        <f>IFERROR(HS_DB[[#This Row],[Trade Value - USD]]/HS_DB[[#This Row],[Net Weight -KG]],0)</f>
        <v>1.0052775916800762</v>
      </c>
      <c r="AJ386" s="17" cm="1">
        <f t="array" ref="AJ386">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86" s="17" t="str">
        <f>IF(HS_DB[[#This Row],[HS Code Risk Score]]&gt;=40,"High",
 IF(HS_DB[[#This Row],[HS Code Risk Score]]&gt;=25,"Medium","Low"))</f>
        <v>Medium</v>
      </c>
      <c r="AL386" s="17" t="str">
        <f>IF(RANK(HS_DB[[#This Row],[HS Code Risk Score]],HS_DB[HS Code Risk Score])&lt;=10,"Yes","No")</f>
        <v>No</v>
      </c>
      <c r="AM386" s="8">
        <f>SUMIFS(HS_DB[Net Weight -KG],HS_DB[HS Code],HS_DB[[#This Row],[HS Code]])</f>
        <v>76921435.099999994</v>
      </c>
      <c r="AN386" s="8">
        <f>SUMIFS(HS_DB[Trade Value - USD],HS_DB[HS Code],HS_DB[[#This Row],[HS Code]])</f>
        <v>51687732</v>
      </c>
      <c r="AO386" s="6">
        <f>_xlfn.MAXIFS(HS_DB[Origin Share%],HS_DB[HS Code],HS_DB[[#This Row],[HS Code]])</f>
        <v>7.6648679233989533E-2</v>
      </c>
      <c r="AP386" s="8" cm="1">
        <f t="array" ref="AP386">_xlfn.LET(
_xlpm.hs,HS_DB[[#This Row],[HS Code]],
COUNTA(_xlfn.UNIQUE(_xlfn._xlws.FILTER(HS_DB[Reporter],HS_DB[HS Code]=_xlpm.hs)))
)</f>
        <v>17</v>
      </c>
      <c r="AQ386" s="17" t="str">
        <f>IF(HS_DB[[#This Row],[Origin Count]]=1,"Single Source","Multiple Sources")</f>
        <v>Multiple Sources</v>
      </c>
      <c r="AR386" s="8">
        <f>HS_DB[[#This Row],[Annual Spend - USD]]*(HS_DB[[#This Row],[HS Code Risk Score]]/100)</f>
        <v>17573828.880000003</v>
      </c>
      <c r="AS386" s="8">
        <f>RANK(HS_DB[[#This Row],[Risk Exposure - USD]],HS_DB[Risk Exposure - USD],0)</f>
        <v>52</v>
      </c>
      <c r="AT386" s="8" t="str">
        <f>IF(HS_DB[[#This Row],[Risk Exposure Rank]]&lt;=10,"High",
 IF(HS_DB[[#This Row],[Risk Exposure Rank]]&lt;=30,"Medium",
 "Low"))</f>
        <v>Low</v>
      </c>
      <c r="AU386" s="8" t="str">
        <f>IF(HS_DB[[#This Row],[Risk Exposure Rank]]&lt;=5,"Immediate Action",
 IF(HS_DB[[#This Row],[Risk Exposure Rank]]&lt;=15,"Monitor Closely",
 "Routine Control"))</f>
        <v>Routine Control</v>
      </c>
      <c r="AV386" s="8">
        <f>SUMIFS(HS_DB[Trade Value - USD],HS_DB[HS Code],HS_DB[[#This Row],[HS Code]])</f>
        <v>51687732</v>
      </c>
      <c r="AW386" s="6">
        <f>HS_DB[[#This Row],[Annual Spend - USD]]/HS_DB[[#This Row],[Total Market Size - USD]]</f>
        <v>1</v>
      </c>
      <c r="AX386" s="6" cm="1">
        <f t="array" ref="AX386">COUNTA(_xlfn.UNIQUE(_xlfn._xlws.FILTER(HS_DB[Partner],HS_DB[HS Code]=HS_DB[[#This Row],[HS Code]])))</f>
        <v>1</v>
      </c>
      <c r="AY386" s="8" t="str">
        <f>IF(HS_DB[[#This Row],[Competition Intensity]]&lt;=2,"Highly Concentrated",
 IF(HS_DB[[#This Row],[Competition Intensity]]&lt;=5,"Moderate",
 "Highly Competitive"))</f>
        <v>Highly Concentrated</v>
      </c>
      <c r="AZ386" s="8">
        <f>HS_DB[[#This Row],[Total Market Size - USD]]
*
(1+IFERROR(#REF!,0))
/
HS_DB[[#This Row],[Competition Intensity]]</f>
        <v>51687732</v>
      </c>
      <c r="BA386" s="8" t="str">
        <f>IF(HS_DB[[#This Row],[Commercial Opportunity Score]]&gt;=PERCENTILE(HS_DB[Commercial Opportunity Score],0.9),"High Opportunity",
 IF(HS_DB[[#This Row],[Commercial Opportunity Score]]&gt;=PERCENTILE(HS_DB[Commercial Opportunity Score],0.6),"Medium Opportunity",
 "Routine Market"))</f>
        <v>High Opportunity</v>
      </c>
      <c r="BB386" s="3" t="str">
        <f>IF(AND(HS_DB[[#This Row],[Product Rank]]&gt;0,HS_DB[[#This Row],[Product Rank]]&lt;=10),"Yes","No")</f>
        <v>No</v>
      </c>
      <c r="BC386" s="3" t="str">
        <f>IF(AND(HS_DB[[#This Row],[Origin Rank]]&gt;0,HS_DB[[#This Row],[Origin Rank]]&lt;=10),"Yes","No")</f>
        <v>Yes</v>
      </c>
    </row>
    <row r="387" spans="2:55" x14ac:dyDescent="0.3">
      <c r="B387" s="2">
        <f>HS_DB[[#This Row],[Commodity Code]]</f>
        <v>170199</v>
      </c>
      <c r="C387" s="2">
        <f>IFERROR(INDEX(HS_MD!C:C,MATCH(B387,HS_MD!B:B,0),1),"")</f>
        <v>30</v>
      </c>
      <c r="D387" s="17" t="str">
        <f>IFERROR(INDEX(HS_MD!D:D,MATCH(B387,HS_MD!B:B,0),1),"")</f>
        <v>Cane or beet sugar, refined</v>
      </c>
      <c r="E387" s="17" t="str">
        <f>IFERROR(INDEX(HS_MD!E:E,MATCH(B387,HS_MD!B:B,0),1),"")</f>
        <v>Sugar (White Crystal)</v>
      </c>
      <c r="F387" s="17" t="str">
        <f>IFERROR(INDEX(HS_MD!F:F,MATCH(B387,HS_MD!B:B,0),1),"")</f>
        <v>SWEETENERS</v>
      </c>
      <c r="G387" s="17" t="str">
        <f>IFERROR(INDEX(HS_MD!G:G,MATCH(B387,HS_MD!B:B,0),1),"")</f>
        <v>Bulk Sweeteners</v>
      </c>
      <c r="H387" s="17" t="str">
        <f>IFERROR(INDEX(HS_MD!H:H,MATCH(B387,HS_MD!B:B,0),1),"")</f>
        <v>Refined Sugar</v>
      </c>
      <c r="I387" s="17" t="str">
        <f>IFERROR(INDEX(HS_MD!I:I,MATCH(B387,HS_MD!B:B,0),1),"")</f>
        <v>Beverages / Confectionery / Sauces</v>
      </c>
      <c r="J387" s="17">
        <f>IFERROR(INDEX(Heat_Map[Index],MATCH(HS_DB[[#This Row],[Reporter]],Heat_Map[Global],0),1),"")</f>
        <v>179</v>
      </c>
      <c r="K387" s="17" t="str">
        <f>IF(AND(HS_DB[[#This Row],[Origin Rank]]&gt;1,HS_DB[[#This Row],[Origin Rank]]&lt;=10),"Yes","No")</f>
        <v>Yes</v>
      </c>
      <c r="L387" s="2">
        <v>2024</v>
      </c>
      <c r="M387" s="2" t="s">
        <v>57</v>
      </c>
      <c r="N387" s="2" t="s">
        <v>35</v>
      </c>
      <c r="O387" s="2" t="s">
        <v>22</v>
      </c>
      <c r="P387" s="2" t="s">
        <v>23</v>
      </c>
      <c r="Q387" s="2" t="s">
        <v>24</v>
      </c>
      <c r="R387" s="2" t="s">
        <v>25</v>
      </c>
      <c r="S387" s="2">
        <v>170199</v>
      </c>
      <c r="T387" s="3">
        <v>1438636</v>
      </c>
      <c r="U387" s="3">
        <v>2723650</v>
      </c>
      <c r="V387" s="3">
        <v>0</v>
      </c>
      <c r="W387" s="3">
        <v>2723650</v>
      </c>
      <c r="X387" s="3" t="s">
        <v>58</v>
      </c>
      <c r="Y387" s="3">
        <v>2723650</v>
      </c>
      <c r="Z387" s="3" t="s">
        <v>58</v>
      </c>
      <c r="AA387" s="6">
        <f>SUMIFS(HS_DB[Trade Value - USD],HS_DB[Reporter],HS_DB[[#This Row],[Reporter]])/SUM(HS_DB[Trade Value - USD])</f>
        <v>7.6648679233989533E-2</v>
      </c>
      <c r="AB387" s="8" cm="1">
        <f t="array" ref="AB387">SUMPRODUCT(
(HS_DB[Reporter]=HS_DB[[#This Row],[Reporter]])*
(HS_DB[Trade Value - USD]&gt;HS_DB[[#This Row],[Trade Value - USD]])
)+1</f>
        <v>3</v>
      </c>
      <c r="AC387" s="8" t="str">
        <f>IFERROR(IF(INDEX(Heat_Map[Crisis Impact %],MATCH(HS_DB[[#This Row],[Reporter]],Heat_Map[Global],0),1)&gt;0,"Yes","No"),"No")</f>
        <v>Yes</v>
      </c>
      <c r="AD387" s="6">
        <f>IFERROR(INDEX(Heat_Map[Crisis Impact %],MATCH(HS_DB[[#This Row],[Reporter]],Heat_Map[Global],0),1),0)</f>
        <v>0.44999999999999996</v>
      </c>
      <c r="AE387" s="8">
        <f>HS_DB[[#This Row],[Crisis Impact%]]*HS_DB[[#This Row],[Trade Value - USD]]</f>
        <v>647386.19999999995</v>
      </c>
      <c r="AF387" s="8">
        <f>HS_DB[[#This Row],[Crisis Impact%]]*HS_DB[[#This Row],[Net Weight -KG]]</f>
        <v>1225642.4999999998</v>
      </c>
      <c r="AG387" s="6">
        <f>SUMIFS(HS_DB[Trade Value - USD],HS_DB[Products],HS_DB[[#This Row],[Products]])/SUM(HS_DB[Trade Value - USD])</f>
        <v>2.7420426655669069E-2</v>
      </c>
      <c r="AH387" s="8">
        <f>_xlfn.RANK.EQ(HS_DB[[#This Row],[Trade Value - USD]], HS_DB[Trade Value - USD], 0)
 + COUNTIFS(HS_DB[Trade Value - USD],HS_DB[[#This Row],[Trade Value - USD]],
            HS_DB[HS Code],"&lt;"&amp;HS_DB[[#This Row],[HS Code]])</f>
        <v>80</v>
      </c>
      <c r="AI387" s="9">
        <f>IFERROR(HS_DB[[#This Row],[Trade Value - USD]]/HS_DB[[#This Row],[Net Weight -KG]],0)</f>
        <v>0.52820149431828611</v>
      </c>
      <c r="AJ387" s="17" cm="1">
        <f t="array" ref="AJ387">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87" s="17" t="str">
        <f>IF(HS_DB[[#This Row],[HS Code Risk Score]]&gt;=40,"High",
 IF(HS_DB[[#This Row],[HS Code Risk Score]]&gt;=25,"Medium","Low"))</f>
        <v>Medium</v>
      </c>
      <c r="AL387" s="17" t="str">
        <f>IF(RANK(HS_DB[[#This Row],[HS Code Risk Score]],HS_DB[HS Code Risk Score])&lt;=10,"Yes","No")</f>
        <v>No</v>
      </c>
      <c r="AM387" s="8">
        <f>SUMIFS(HS_DB[Net Weight -KG],HS_DB[HS Code],HS_DB[[#This Row],[HS Code]])</f>
        <v>76921435.099999994</v>
      </c>
      <c r="AN387" s="8">
        <f>SUMIFS(HS_DB[Trade Value - USD],HS_DB[HS Code],HS_DB[[#This Row],[HS Code]])</f>
        <v>51687732</v>
      </c>
      <c r="AO387" s="6">
        <f>_xlfn.MAXIFS(HS_DB[Origin Share%],HS_DB[HS Code],HS_DB[[#This Row],[HS Code]])</f>
        <v>7.6648679233989533E-2</v>
      </c>
      <c r="AP387" s="8" cm="1">
        <f t="array" ref="AP387">_xlfn.LET(
_xlpm.hs,HS_DB[[#This Row],[HS Code]],
COUNTA(_xlfn.UNIQUE(_xlfn._xlws.FILTER(HS_DB[Reporter],HS_DB[HS Code]=_xlpm.hs)))
)</f>
        <v>17</v>
      </c>
      <c r="AQ387" s="17" t="str">
        <f>IF(HS_DB[[#This Row],[Origin Count]]=1,"Single Source","Multiple Sources")</f>
        <v>Multiple Sources</v>
      </c>
      <c r="AR387" s="8">
        <f>HS_DB[[#This Row],[Annual Spend - USD]]*(HS_DB[[#This Row],[HS Code Risk Score]]/100)</f>
        <v>17573828.880000003</v>
      </c>
      <c r="AS387" s="8">
        <f>RANK(HS_DB[[#This Row],[Risk Exposure - USD]],HS_DB[Risk Exposure - USD],0)</f>
        <v>52</v>
      </c>
      <c r="AT387" s="8" t="str">
        <f>IF(HS_DB[[#This Row],[Risk Exposure Rank]]&lt;=10,"High",
 IF(HS_DB[[#This Row],[Risk Exposure Rank]]&lt;=30,"Medium",
 "Low"))</f>
        <v>Low</v>
      </c>
      <c r="AU387" s="8" t="str">
        <f>IF(HS_DB[[#This Row],[Risk Exposure Rank]]&lt;=5,"Immediate Action",
 IF(HS_DB[[#This Row],[Risk Exposure Rank]]&lt;=15,"Monitor Closely",
 "Routine Control"))</f>
        <v>Routine Control</v>
      </c>
      <c r="AV387" s="8">
        <f>SUMIFS(HS_DB[Trade Value - USD],HS_DB[HS Code],HS_DB[[#This Row],[HS Code]])</f>
        <v>51687732</v>
      </c>
      <c r="AW387" s="6">
        <f>HS_DB[[#This Row],[Annual Spend - USD]]/HS_DB[[#This Row],[Total Market Size - USD]]</f>
        <v>1</v>
      </c>
      <c r="AX387" s="6" cm="1">
        <f t="array" ref="AX387">COUNTA(_xlfn.UNIQUE(_xlfn._xlws.FILTER(HS_DB[Partner],HS_DB[HS Code]=HS_DB[[#This Row],[HS Code]])))</f>
        <v>1</v>
      </c>
      <c r="AY387" s="8" t="str">
        <f>IF(HS_DB[[#This Row],[Competition Intensity]]&lt;=2,"Highly Concentrated",
 IF(HS_DB[[#This Row],[Competition Intensity]]&lt;=5,"Moderate",
 "Highly Competitive"))</f>
        <v>Highly Concentrated</v>
      </c>
      <c r="AZ387" s="8">
        <f>HS_DB[[#This Row],[Total Market Size - USD]]
*
(1+IFERROR(#REF!,0))
/
HS_DB[[#This Row],[Competition Intensity]]</f>
        <v>51687732</v>
      </c>
      <c r="BA387" s="8" t="str">
        <f>IF(HS_DB[[#This Row],[Commercial Opportunity Score]]&gt;=PERCENTILE(HS_DB[Commercial Opportunity Score],0.9),"High Opportunity",
 IF(HS_DB[[#This Row],[Commercial Opportunity Score]]&gt;=PERCENTILE(HS_DB[Commercial Opportunity Score],0.6),"Medium Opportunity",
 "Routine Market"))</f>
        <v>High Opportunity</v>
      </c>
      <c r="BB387" s="3" t="str">
        <f>IF(AND(HS_DB[[#This Row],[Product Rank]]&gt;0,HS_DB[[#This Row],[Product Rank]]&lt;=10),"Yes","No")</f>
        <v>No</v>
      </c>
      <c r="BC387" s="3" t="str">
        <f>IF(AND(HS_DB[[#This Row],[Origin Rank]]&gt;0,HS_DB[[#This Row],[Origin Rank]]&lt;=10),"Yes","No")</f>
        <v>Yes</v>
      </c>
    </row>
    <row r="388" spans="2:55" x14ac:dyDescent="0.3">
      <c r="B388" s="2">
        <f>HS_DB[[#This Row],[Commodity Code]]</f>
        <v>170199</v>
      </c>
      <c r="C388" s="2">
        <f>IFERROR(INDEX(HS_MD!C:C,MATCH(B388,HS_MD!B:B,0),1),"")</f>
        <v>30</v>
      </c>
      <c r="D388" s="17" t="str">
        <f>IFERROR(INDEX(HS_MD!D:D,MATCH(B388,HS_MD!B:B,0),1),"")</f>
        <v>Cane or beet sugar, refined</v>
      </c>
      <c r="E388" s="17" t="str">
        <f>IFERROR(INDEX(HS_MD!E:E,MATCH(B388,HS_MD!B:B,0),1),"")</f>
        <v>Sugar (White Crystal)</v>
      </c>
      <c r="F388" s="17" t="str">
        <f>IFERROR(INDEX(HS_MD!F:F,MATCH(B388,HS_MD!B:B,0),1),"")</f>
        <v>SWEETENERS</v>
      </c>
      <c r="G388" s="17" t="str">
        <f>IFERROR(INDEX(HS_MD!G:G,MATCH(B388,HS_MD!B:B,0),1),"")</f>
        <v>Bulk Sweeteners</v>
      </c>
      <c r="H388" s="17" t="str">
        <f>IFERROR(INDEX(HS_MD!H:H,MATCH(B388,HS_MD!B:B,0),1),"")</f>
        <v>Refined Sugar</v>
      </c>
      <c r="I388" s="17" t="str">
        <f>IFERROR(INDEX(HS_MD!I:I,MATCH(B388,HS_MD!B:B,0),1),"")</f>
        <v>Beverages / Confectionery / Sauces</v>
      </c>
      <c r="J388" s="17">
        <f>IFERROR(INDEX(Heat_Map[Index],MATCH(HS_DB[[#This Row],[Reporter]],Heat_Map[Global],0),1),"")</f>
        <v>181</v>
      </c>
      <c r="K388" s="17" t="str">
        <f>IF(AND(HS_DB[[#This Row],[Origin Rank]]&gt;1,HS_DB[[#This Row],[Origin Rank]]&lt;=10),"Yes","No")</f>
        <v>Yes</v>
      </c>
      <c r="L388" s="2">
        <v>2024</v>
      </c>
      <c r="M388" s="2" t="s">
        <v>57</v>
      </c>
      <c r="N388" s="2" t="s">
        <v>36</v>
      </c>
      <c r="O388" s="2" t="s">
        <v>22</v>
      </c>
      <c r="P388" s="2" t="s">
        <v>23</v>
      </c>
      <c r="Q388" s="2" t="s">
        <v>24</v>
      </c>
      <c r="R388" s="2" t="s">
        <v>25</v>
      </c>
      <c r="S388" s="2">
        <v>170199</v>
      </c>
      <c r="T388" s="3">
        <v>62260</v>
      </c>
      <c r="U388" s="3">
        <v>38400</v>
      </c>
      <c r="V388" s="3">
        <v>0</v>
      </c>
      <c r="W388" s="3">
        <v>38400</v>
      </c>
      <c r="X388" s="3" t="s">
        <v>58</v>
      </c>
      <c r="Y388" s="3">
        <v>38400</v>
      </c>
      <c r="Z388" s="3" t="s">
        <v>58</v>
      </c>
      <c r="AA388" s="6">
        <f>SUMIFS(HS_DB[Trade Value - USD],HS_DB[Reporter],HS_DB[[#This Row],[Reporter]])/SUM(HS_DB[Trade Value - USD])</f>
        <v>1.3104801671892474E-3</v>
      </c>
      <c r="AB388" s="8" cm="1">
        <f t="array" ref="AB388">SUMPRODUCT(
(HS_DB[Reporter]=HS_DB[[#This Row],[Reporter]])*
(HS_DB[Trade Value - USD]&gt;HS_DB[[#This Row],[Trade Value - USD]])
)+1</f>
        <v>8</v>
      </c>
      <c r="AC388" s="8" t="str">
        <f>IFERROR(IF(INDEX(Heat_Map[Crisis Impact %],MATCH(HS_DB[[#This Row],[Reporter]],Heat_Map[Global],0),1)&gt;0,"Yes","No"),"No")</f>
        <v>No</v>
      </c>
      <c r="AD388" s="6">
        <f>IFERROR(INDEX(Heat_Map[Crisis Impact %],MATCH(HS_DB[[#This Row],[Reporter]],Heat_Map[Global],0),1),0)</f>
        <v>0</v>
      </c>
      <c r="AE388" s="8">
        <f>HS_DB[[#This Row],[Crisis Impact%]]*HS_DB[[#This Row],[Trade Value - USD]]</f>
        <v>0</v>
      </c>
      <c r="AF388" s="8">
        <f>HS_DB[[#This Row],[Crisis Impact%]]*HS_DB[[#This Row],[Net Weight -KG]]</f>
        <v>0</v>
      </c>
      <c r="AG388" s="6">
        <f>SUMIFS(HS_DB[Trade Value - USD],HS_DB[Products],HS_DB[[#This Row],[Products]])/SUM(HS_DB[Trade Value - USD])</f>
        <v>2.7420426655669069E-2</v>
      </c>
      <c r="AH388" s="8">
        <f>_xlfn.RANK.EQ(HS_DB[[#This Row],[Trade Value - USD]], HS_DB[Trade Value - USD], 0)
 + COUNTIFS(HS_DB[Trade Value - USD],HS_DB[[#This Row],[Trade Value - USD]],
            HS_DB[HS Code],"&lt;"&amp;HS_DB[[#This Row],[HS Code]])</f>
        <v>315</v>
      </c>
      <c r="AI388" s="9">
        <f>IFERROR(HS_DB[[#This Row],[Trade Value - USD]]/HS_DB[[#This Row],[Net Weight -KG]],0)</f>
        <v>1.6213541666666667</v>
      </c>
      <c r="AJ388" s="17" cm="1">
        <f t="array" ref="AJ388">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88" s="17" t="str">
        <f>IF(HS_DB[[#This Row],[HS Code Risk Score]]&gt;=40,"High",
 IF(HS_DB[[#This Row],[HS Code Risk Score]]&gt;=25,"Medium","Low"))</f>
        <v>Medium</v>
      </c>
      <c r="AL388" s="17" t="str">
        <f>IF(RANK(HS_DB[[#This Row],[HS Code Risk Score]],HS_DB[HS Code Risk Score])&lt;=10,"Yes","No")</f>
        <v>No</v>
      </c>
      <c r="AM388" s="8">
        <f>SUMIFS(HS_DB[Net Weight -KG],HS_DB[HS Code],HS_DB[[#This Row],[HS Code]])</f>
        <v>76921435.099999994</v>
      </c>
      <c r="AN388" s="8">
        <f>SUMIFS(HS_DB[Trade Value - USD],HS_DB[HS Code],HS_DB[[#This Row],[HS Code]])</f>
        <v>51687732</v>
      </c>
      <c r="AO388" s="6">
        <f>_xlfn.MAXIFS(HS_DB[Origin Share%],HS_DB[HS Code],HS_DB[[#This Row],[HS Code]])</f>
        <v>7.6648679233989533E-2</v>
      </c>
      <c r="AP388" s="8" cm="1">
        <f t="array" ref="AP388">_xlfn.LET(
_xlpm.hs,HS_DB[[#This Row],[HS Code]],
COUNTA(_xlfn.UNIQUE(_xlfn._xlws.FILTER(HS_DB[Reporter],HS_DB[HS Code]=_xlpm.hs)))
)</f>
        <v>17</v>
      </c>
      <c r="AQ388" s="17" t="str">
        <f>IF(HS_DB[[#This Row],[Origin Count]]=1,"Single Source","Multiple Sources")</f>
        <v>Multiple Sources</v>
      </c>
      <c r="AR388" s="8">
        <f>HS_DB[[#This Row],[Annual Spend - USD]]*(HS_DB[[#This Row],[HS Code Risk Score]]/100)</f>
        <v>17573828.880000003</v>
      </c>
      <c r="AS388" s="8">
        <f>RANK(HS_DB[[#This Row],[Risk Exposure - USD]],HS_DB[Risk Exposure - USD],0)</f>
        <v>52</v>
      </c>
      <c r="AT388" s="8" t="str">
        <f>IF(HS_DB[[#This Row],[Risk Exposure Rank]]&lt;=10,"High",
 IF(HS_DB[[#This Row],[Risk Exposure Rank]]&lt;=30,"Medium",
 "Low"))</f>
        <v>Low</v>
      </c>
      <c r="AU388" s="8" t="str">
        <f>IF(HS_DB[[#This Row],[Risk Exposure Rank]]&lt;=5,"Immediate Action",
 IF(HS_DB[[#This Row],[Risk Exposure Rank]]&lt;=15,"Monitor Closely",
 "Routine Control"))</f>
        <v>Routine Control</v>
      </c>
      <c r="AV388" s="8">
        <f>SUMIFS(HS_DB[Trade Value - USD],HS_DB[HS Code],HS_DB[[#This Row],[HS Code]])</f>
        <v>51687732</v>
      </c>
      <c r="AW388" s="6">
        <f>HS_DB[[#This Row],[Annual Spend - USD]]/HS_DB[[#This Row],[Total Market Size - USD]]</f>
        <v>1</v>
      </c>
      <c r="AX388" s="6" cm="1">
        <f t="array" ref="AX388">COUNTA(_xlfn.UNIQUE(_xlfn._xlws.FILTER(HS_DB[Partner],HS_DB[HS Code]=HS_DB[[#This Row],[HS Code]])))</f>
        <v>1</v>
      </c>
      <c r="AY388" s="8" t="str">
        <f>IF(HS_DB[[#This Row],[Competition Intensity]]&lt;=2,"Highly Concentrated",
 IF(HS_DB[[#This Row],[Competition Intensity]]&lt;=5,"Moderate",
 "Highly Competitive"))</f>
        <v>Highly Concentrated</v>
      </c>
      <c r="AZ388" s="8">
        <f>HS_DB[[#This Row],[Total Market Size - USD]]
*
(1+IFERROR(#REF!,0))
/
HS_DB[[#This Row],[Competition Intensity]]</f>
        <v>51687732</v>
      </c>
      <c r="BA388" s="8" t="str">
        <f>IF(HS_DB[[#This Row],[Commercial Opportunity Score]]&gt;=PERCENTILE(HS_DB[Commercial Opportunity Score],0.9),"High Opportunity",
 IF(HS_DB[[#This Row],[Commercial Opportunity Score]]&gt;=PERCENTILE(HS_DB[Commercial Opportunity Score],0.6),"Medium Opportunity",
 "Routine Market"))</f>
        <v>High Opportunity</v>
      </c>
      <c r="BB388" s="3" t="str">
        <f>IF(AND(HS_DB[[#This Row],[Product Rank]]&gt;0,HS_DB[[#This Row],[Product Rank]]&lt;=10),"Yes","No")</f>
        <v>No</v>
      </c>
      <c r="BC388" s="3" t="str">
        <f>IF(AND(HS_DB[[#This Row],[Origin Rank]]&gt;0,HS_DB[[#This Row],[Origin Rank]]&lt;=10),"Yes","No")</f>
        <v>Yes</v>
      </c>
    </row>
    <row r="389" spans="2:55" x14ac:dyDescent="0.3">
      <c r="B389" s="2">
        <f>HS_DB[[#This Row],[Commodity Code]]</f>
        <v>170199</v>
      </c>
      <c r="C389" s="2">
        <f>IFERROR(INDEX(HS_MD!C:C,MATCH(B389,HS_MD!B:B,0),1),"")</f>
        <v>30</v>
      </c>
      <c r="D389" s="17" t="str">
        <f>IFERROR(INDEX(HS_MD!D:D,MATCH(B389,HS_MD!B:B,0),1),"")</f>
        <v>Cane or beet sugar, refined</v>
      </c>
      <c r="E389" s="17" t="str">
        <f>IFERROR(INDEX(HS_MD!E:E,MATCH(B389,HS_MD!B:B,0),1),"")</f>
        <v>Sugar (White Crystal)</v>
      </c>
      <c r="F389" s="17" t="str">
        <f>IFERROR(INDEX(HS_MD!F:F,MATCH(B389,HS_MD!B:B,0),1),"")</f>
        <v>SWEETENERS</v>
      </c>
      <c r="G389" s="17" t="str">
        <f>IFERROR(INDEX(HS_MD!G:G,MATCH(B389,HS_MD!B:B,0),1),"")</f>
        <v>Bulk Sweeteners</v>
      </c>
      <c r="H389" s="17" t="str">
        <f>IFERROR(INDEX(HS_MD!H:H,MATCH(B389,HS_MD!B:B,0),1),"")</f>
        <v>Refined Sugar</v>
      </c>
      <c r="I389" s="17" t="str">
        <f>IFERROR(INDEX(HS_MD!I:I,MATCH(B389,HS_MD!B:B,0),1),"")</f>
        <v>Beverages / Confectionery / Sauces</v>
      </c>
      <c r="J389" s="17">
        <f>IFERROR(INDEX(Heat_Map[Index],MATCH(HS_DB[[#This Row],[Reporter]],Heat_Map[Global],0),1),"")</f>
        <v>182</v>
      </c>
      <c r="K389" s="17" t="str">
        <f>IF(AND(HS_DB[[#This Row],[Origin Rank]]&gt;1,HS_DB[[#This Row],[Origin Rank]]&lt;=10),"Yes","No")</f>
        <v>No</v>
      </c>
      <c r="L389" s="2">
        <v>2024</v>
      </c>
      <c r="M389" s="2" t="s">
        <v>57</v>
      </c>
      <c r="N389" s="2" t="s">
        <v>56</v>
      </c>
      <c r="O389" s="2" t="s">
        <v>22</v>
      </c>
      <c r="P389" s="2" t="s">
        <v>23</v>
      </c>
      <c r="Q389" s="2" t="s">
        <v>24</v>
      </c>
      <c r="R389" s="2" t="s">
        <v>25</v>
      </c>
      <c r="S389" s="2">
        <v>170199</v>
      </c>
      <c r="T389" s="3">
        <v>2728</v>
      </c>
      <c r="U389" s="3">
        <v>1157</v>
      </c>
      <c r="V389" s="3">
        <v>0</v>
      </c>
      <c r="W389" s="3">
        <v>1157</v>
      </c>
      <c r="X389" s="3" t="s">
        <v>58</v>
      </c>
      <c r="Y389" s="3">
        <v>1157</v>
      </c>
      <c r="Z389" s="3" t="s">
        <v>58</v>
      </c>
      <c r="AA389" s="6">
        <f>SUMIFS(HS_DB[Trade Value - USD],HS_DB[Reporter],HS_DB[[#This Row],[Reporter]])/SUM(HS_DB[Trade Value - USD])</f>
        <v>9.425427433633813E-3</v>
      </c>
      <c r="AB389" s="8" cm="1">
        <f t="array" ref="AB389">SUMPRODUCT(
(HS_DB[Reporter]=HS_DB[[#This Row],[Reporter]])*
(HS_DB[Trade Value - USD]&gt;HS_DB[[#This Row],[Trade Value - USD]])
)+1</f>
        <v>27</v>
      </c>
      <c r="AC389" s="8" t="str">
        <f>IFERROR(IF(INDEX(Heat_Map[Crisis Impact %],MATCH(HS_DB[[#This Row],[Reporter]],Heat_Map[Global],0),1)&gt;0,"Yes","No"),"No")</f>
        <v>Yes</v>
      </c>
      <c r="AD389" s="6">
        <f>IFERROR(INDEX(Heat_Map[Crisis Impact %],MATCH(HS_DB[[#This Row],[Reporter]],Heat_Map[Global],0),1),0)</f>
        <v>4.0000000000000008E-2</v>
      </c>
      <c r="AE389" s="8">
        <f>HS_DB[[#This Row],[Crisis Impact%]]*HS_DB[[#This Row],[Trade Value - USD]]</f>
        <v>109.12000000000002</v>
      </c>
      <c r="AF389" s="8">
        <f>HS_DB[[#This Row],[Crisis Impact%]]*HS_DB[[#This Row],[Net Weight -KG]]</f>
        <v>46.280000000000008</v>
      </c>
      <c r="AG389" s="6">
        <f>SUMIFS(HS_DB[Trade Value - USD],HS_DB[Products],HS_DB[[#This Row],[Products]])/SUM(HS_DB[Trade Value - USD])</f>
        <v>2.7420426655669069E-2</v>
      </c>
      <c r="AH389" s="8">
        <f>_xlfn.RANK.EQ(HS_DB[[#This Row],[Trade Value - USD]], HS_DB[Trade Value - USD], 0)
 + COUNTIFS(HS_DB[Trade Value - USD],HS_DB[[#This Row],[Trade Value - USD]],
            HS_DB[HS Code],"&lt;"&amp;HS_DB[[#This Row],[HS Code]])</f>
        <v>463</v>
      </c>
      <c r="AI389" s="9">
        <f>IFERROR(HS_DB[[#This Row],[Trade Value - USD]]/HS_DB[[#This Row],[Net Weight -KG]],0)</f>
        <v>2.3578219533275715</v>
      </c>
      <c r="AJ389" s="17" cm="1">
        <f t="array" ref="AJ389">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89" s="17" t="str">
        <f>IF(HS_DB[[#This Row],[HS Code Risk Score]]&gt;=40,"High",
 IF(HS_DB[[#This Row],[HS Code Risk Score]]&gt;=25,"Medium","Low"))</f>
        <v>Medium</v>
      </c>
      <c r="AL389" s="17" t="str">
        <f>IF(RANK(HS_DB[[#This Row],[HS Code Risk Score]],HS_DB[HS Code Risk Score])&lt;=10,"Yes","No")</f>
        <v>No</v>
      </c>
      <c r="AM389" s="8">
        <f>SUMIFS(HS_DB[Net Weight -KG],HS_DB[HS Code],HS_DB[[#This Row],[HS Code]])</f>
        <v>76921435.099999994</v>
      </c>
      <c r="AN389" s="8">
        <f>SUMIFS(HS_DB[Trade Value - USD],HS_DB[HS Code],HS_DB[[#This Row],[HS Code]])</f>
        <v>51687732</v>
      </c>
      <c r="AO389" s="6">
        <f>_xlfn.MAXIFS(HS_DB[Origin Share%],HS_DB[HS Code],HS_DB[[#This Row],[HS Code]])</f>
        <v>7.6648679233989533E-2</v>
      </c>
      <c r="AP389" s="8" cm="1">
        <f t="array" ref="AP389">_xlfn.LET(
_xlpm.hs,HS_DB[[#This Row],[HS Code]],
COUNTA(_xlfn.UNIQUE(_xlfn._xlws.FILTER(HS_DB[Reporter],HS_DB[HS Code]=_xlpm.hs)))
)</f>
        <v>17</v>
      </c>
      <c r="AQ389" s="17" t="str">
        <f>IF(HS_DB[[#This Row],[Origin Count]]=1,"Single Source","Multiple Sources")</f>
        <v>Multiple Sources</v>
      </c>
      <c r="AR389" s="8">
        <f>HS_DB[[#This Row],[Annual Spend - USD]]*(HS_DB[[#This Row],[HS Code Risk Score]]/100)</f>
        <v>17573828.880000003</v>
      </c>
      <c r="AS389" s="8">
        <f>RANK(HS_DB[[#This Row],[Risk Exposure - USD]],HS_DB[Risk Exposure - USD],0)</f>
        <v>52</v>
      </c>
      <c r="AT389" s="8" t="str">
        <f>IF(HS_DB[[#This Row],[Risk Exposure Rank]]&lt;=10,"High",
 IF(HS_DB[[#This Row],[Risk Exposure Rank]]&lt;=30,"Medium",
 "Low"))</f>
        <v>Low</v>
      </c>
      <c r="AU389" s="8" t="str">
        <f>IF(HS_DB[[#This Row],[Risk Exposure Rank]]&lt;=5,"Immediate Action",
 IF(HS_DB[[#This Row],[Risk Exposure Rank]]&lt;=15,"Monitor Closely",
 "Routine Control"))</f>
        <v>Routine Control</v>
      </c>
      <c r="AV389" s="8">
        <f>SUMIFS(HS_DB[Trade Value - USD],HS_DB[HS Code],HS_DB[[#This Row],[HS Code]])</f>
        <v>51687732</v>
      </c>
      <c r="AW389" s="6">
        <f>HS_DB[[#This Row],[Annual Spend - USD]]/HS_DB[[#This Row],[Total Market Size - USD]]</f>
        <v>1</v>
      </c>
      <c r="AX389" s="6" cm="1">
        <f t="array" ref="AX389">COUNTA(_xlfn.UNIQUE(_xlfn._xlws.FILTER(HS_DB[Partner],HS_DB[HS Code]=HS_DB[[#This Row],[HS Code]])))</f>
        <v>1</v>
      </c>
      <c r="AY389" s="8" t="str">
        <f>IF(HS_DB[[#This Row],[Competition Intensity]]&lt;=2,"Highly Concentrated",
 IF(HS_DB[[#This Row],[Competition Intensity]]&lt;=5,"Moderate",
 "Highly Competitive"))</f>
        <v>Highly Concentrated</v>
      </c>
      <c r="AZ389" s="8">
        <f>HS_DB[[#This Row],[Total Market Size - USD]]
*
(1+IFERROR(#REF!,0))
/
HS_DB[[#This Row],[Competition Intensity]]</f>
        <v>51687732</v>
      </c>
      <c r="BA389" s="8" t="str">
        <f>IF(HS_DB[[#This Row],[Commercial Opportunity Score]]&gt;=PERCENTILE(HS_DB[Commercial Opportunity Score],0.9),"High Opportunity",
 IF(HS_DB[[#This Row],[Commercial Opportunity Score]]&gt;=PERCENTILE(HS_DB[Commercial Opportunity Score],0.6),"Medium Opportunity",
 "Routine Market"))</f>
        <v>High Opportunity</v>
      </c>
      <c r="BB389" s="3" t="str">
        <f>IF(AND(HS_DB[[#This Row],[Product Rank]]&gt;0,HS_DB[[#This Row],[Product Rank]]&lt;=10),"Yes","No")</f>
        <v>No</v>
      </c>
      <c r="BC389" s="3" t="str">
        <f>IF(AND(HS_DB[[#This Row],[Origin Rank]]&gt;0,HS_DB[[#This Row],[Origin Rank]]&lt;=10),"Yes","No")</f>
        <v>No</v>
      </c>
    </row>
    <row r="390" spans="2:55" x14ac:dyDescent="0.3">
      <c r="B390" s="2">
        <f>HS_DB[[#This Row],[Commodity Code]]</f>
        <v>170113</v>
      </c>
      <c r="C390" s="2">
        <f>IFERROR(INDEX(HS_MD!C:C,MATCH(B390,HS_MD!B:B,0),1),"")</f>
        <v>31</v>
      </c>
      <c r="D390" s="17" t="str">
        <f>IFERROR(INDEX(HS_MD!D:D,MATCH(B390,HS_MD!B:B,0),1),"")</f>
        <v>Cane sugar, raw</v>
      </c>
      <c r="E390" s="17" t="str">
        <f>IFERROR(INDEX(HS_MD!E:E,MATCH(B390,HS_MD!B:B,0),1),"")</f>
        <v>Raw Sugar</v>
      </c>
      <c r="F390" s="17" t="str">
        <f>IFERROR(INDEX(HS_MD!F:F,MATCH(B390,HS_MD!B:B,0),1),"")</f>
        <v>SWEETENERS</v>
      </c>
      <c r="G390" s="17" t="str">
        <f>IFERROR(INDEX(HS_MD!G:G,MATCH(B390,HS_MD!B:B,0),1),"")</f>
        <v>Bulk Sweeteners</v>
      </c>
      <c r="H390" s="17" t="str">
        <f>IFERROR(INDEX(HS_MD!H:H,MATCH(B390,HS_MD!B:B,0),1),"")</f>
        <v>Raw Sugar Refining</v>
      </c>
      <c r="I390" s="17" t="str">
        <f>IFERROR(INDEX(HS_MD!I:I,MATCH(B390,HS_MD!B:B,0),1),"")</f>
        <v>Beverages / Industrial Use</v>
      </c>
      <c r="J390" s="17">
        <f>IFERROR(INDEX(Heat_Map[Index],MATCH(HS_DB[[#This Row],[Reporter]],Heat_Map[Global],0),1),"")</f>
        <v>88</v>
      </c>
      <c r="K390" s="17" t="str">
        <f>IF(AND(HS_DB[[#This Row],[Origin Rank]]&gt;1,HS_DB[[#This Row],[Origin Rank]]&lt;=10),"Yes","No")</f>
        <v>Yes</v>
      </c>
      <c r="L390" s="2">
        <v>2024</v>
      </c>
      <c r="M390" s="2" t="s">
        <v>57</v>
      </c>
      <c r="N390" s="2" t="s">
        <v>157</v>
      </c>
      <c r="O390" s="2" t="s">
        <v>22</v>
      </c>
      <c r="P390" s="2" t="s">
        <v>23</v>
      </c>
      <c r="Q390" s="2" t="s">
        <v>24</v>
      </c>
      <c r="R390" s="2" t="s">
        <v>25</v>
      </c>
      <c r="S390" s="2">
        <v>170113</v>
      </c>
      <c r="T390" s="3">
        <v>3509</v>
      </c>
      <c r="U390" s="3">
        <v>42100</v>
      </c>
      <c r="V390" s="3">
        <v>0</v>
      </c>
      <c r="W390" s="3">
        <v>42100</v>
      </c>
      <c r="X390" s="3" t="s">
        <v>58</v>
      </c>
      <c r="Y390" s="3">
        <v>42100</v>
      </c>
      <c r="Z390" s="3" t="s">
        <v>58</v>
      </c>
      <c r="AA390" s="6">
        <f>SUMIFS(HS_DB[Trade Value - USD],HS_DB[Reporter],HS_DB[[#This Row],[Reporter]])/SUM(HS_DB[Trade Value - USD])</f>
        <v>8.2233059401702185E-6</v>
      </c>
      <c r="AB390" s="8" cm="1">
        <f t="array" ref="AB390">SUMPRODUCT(
(HS_DB[Reporter]=HS_DB[[#This Row],[Reporter]])*
(HS_DB[Trade Value - USD]&gt;HS_DB[[#This Row],[Trade Value - USD]])
)+1</f>
        <v>3</v>
      </c>
      <c r="AC390" s="8" t="str">
        <f>IFERROR(IF(INDEX(Heat_Map[Crisis Impact %],MATCH(HS_DB[[#This Row],[Reporter]],Heat_Map[Global],0),1)&gt;0,"Yes","No"),"No")</f>
        <v>No</v>
      </c>
      <c r="AD390" s="6">
        <f>IFERROR(INDEX(Heat_Map[Crisis Impact %],MATCH(HS_DB[[#This Row],[Reporter]],Heat_Map[Global],0),1),0)</f>
        <v>0</v>
      </c>
      <c r="AE390" s="8">
        <f>HS_DB[[#This Row],[Crisis Impact%]]*HS_DB[[#This Row],[Trade Value - USD]]</f>
        <v>0</v>
      </c>
      <c r="AF390" s="8">
        <f>HS_DB[[#This Row],[Crisis Impact%]]*HS_DB[[#This Row],[Net Weight -KG]]</f>
        <v>0</v>
      </c>
      <c r="AG390" s="6">
        <f>SUMIFS(HS_DB[Trade Value - USD],HS_DB[Products],HS_DB[[#This Row],[Products]])/SUM(HS_DB[Trade Value - USD])</f>
        <v>2.9290056613681573E-5</v>
      </c>
      <c r="AH390" s="8">
        <f>_xlfn.RANK.EQ(HS_DB[[#This Row],[Trade Value - USD]], HS_DB[Trade Value - USD], 0)
 + COUNTIFS(HS_DB[Trade Value - USD],HS_DB[[#This Row],[Trade Value - USD]],
            HS_DB[HS Code],"&lt;"&amp;HS_DB[[#This Row],[HS Code]])</f>
        <v>453</v>
      </c>
      <c r="AI390" s="9">
        <f>IFERROR(HS_DB[[#This Row],[Trade Value - USD]]/HS_DB[[#This Row],[Net Weight -KG]],0)</f>
        <v>8.334916864608076E-2</v>
      </c>
      <c r="AJ390" s="17" cm="1">
        <f t="array" ref="AJ390">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47</v>
      </c>
      <c r="AK390" s="17" t="str">
        <f>IF(HS_DB[[#This Row],[HS Code Risk Score]]&gt;=40,"High",
 IF(HS_DB[[#This Row],[HS Code Risk Score]]&gt;=25,"Medium","Low"))</f>
        <v>High</v>
      </c>
      <c r="AL390" s="17" t="str">
        <f>IF(RANK(HS_DB[[#This Row],[HS Code Risk Score]],HS_DB[HS Code Risk Score])&lt;=10,"Yes","No")</f>
        <v>Yes</v>
      </c>
      <c r="AM390" s="8">
        <f>SUMIFS(HS_DB[Net Weight -KG],HS_DB[HS Code],HS_DB[[#This Row],[HS Code]])</f>
        <v>42300</v>
      </c>
      <c r="AN390" s="8">
        <f>SUMIFS(HS_DB[Trade Value - USD],HS_DB[HS Code],HS_DB[[#This Row],[HS Code]])</f>
        <v>55212</v>
      </c>
      <c r="AO390" s="6">
        <f>_xlfn.MAXIFS(HS_DB[Origin Share%],HS_DB[HS Code],HS_DB[[#This Row],[HS Code]])</f>
        <v>2.2441761060335613E-2</v>
      </c>
      <c r="AP390" s="8" cm="1">
        <f t="array" ref="AP390">_xlfn.LET(
_xlpm.hs,HS_DB[[#This Row],[HS Code]],
COUNTA(_xlfn.UNIQUE(_xlfn._xlws.FILTER(HS_DB[Reporter],HS_DB[HS Code]=_xlpm.hs)))
)</f>
        <v>3</v>
      </c>
      <c r="AQ390" s="17" t="str">
        <f>IF(HS_DB[[#This Row],[Origin Count]]=1,"Single Source","Multiple Sources")</f>
        <v>Multiple Sources</v>
      </c>
      <c r="AR390" s="8">
        <f>HS_DB[[#This Row],[Annual Spend - USD]]*(HS_DB[[#This Row],[HS Code Risk Score]]/100)</f>
        <v>25949.64</v>
      </c>
      <c r="AS390" s="8">
        <f>RANK(HS_DB[[#This Row],[Risk Exposure - USD]],HS_DB[Risk Exposure - USD],0)</f>
        <v>534</v>
      </c>
      <c r="AT390" s="8" t="str">
        <f>IF(HS_DB[[#This Row],[Risk Exposure Rank]]&lt;=10,"High",
 IF(HS_DB[[#This Row],[Risk Exposure Rank]]&lt;=30,"Medium",
 "Low"))</f>
        <v>Low</v>
      </c>
      <c r="AU390" s="8" t="str">
        <f>IF(HS_DB[[#This Row],[Risk Exposure Rank]]&lt;=5,"Immediate Action",
 IF(HS_DB[[#This Row],[Risk Exposure Rank]]&lt;=15,"Monitor Closely",
 "Routine Control"))</f>
        <v>Routine Control</v>
      </c>
      <c r="AV390" s="8">
        <f>SUMIFS(HS_DB[Trade Value - USD],HS_DB[HS Code],HS_DB[[#This Row],[HS Code]])</f>
        <v>55212</v>
      </c>
      <c r="AW390" s="6">
        <f>HS_DB[[#This Row],[Annual Spend - USD]]/HS_DB[[#This Row],[Total Market Size - USD]]</f>
        <v>1</v>
      </c>
      <c r="AX390" s="6" cm="1">
        <f t="array" ref="AX390">COUNTA(_xlfn.UNIQUE(_xlfn._xlws.FILTER(HS_DB[Partner],HS_DB[HS Code]=HS_DB[[#This Row],[HS Code]])))</f>
        <v>1</v>
      </c>
      <c r="AY390" s="8" t="str">
        <f>IF(HS_DB[[#This Row],[Competition Intensity]]&lt;=2,"Highly Concentrated",
 IF(HS_DB[[#This Row],[Competition Intensity]]&lt;=5,"Moderate",
 "Highly Competitive"))</f>
        <v>Highly Concentrated</v>
      </c>
      <c r="AZ390" s="8">
        <f>HS_DB[[#This Row],[Total Market Size - USD]]
*
(1+IFERROR(#REF!,0))
/
HS_DB[[#This Row],[Competition Intensity]]</f>
        <v>55212</v>
      </c>
      <c r="BA390" s="8" t="str">
        <f>IF(HS_DB[[#This Row],[Commercial Opportunity Score]]&gt;=PERCENTILE(HS_DB[Commercial Opportunity Score],0.9),"High Opportunity",
 IF(HS_DB[[#This Row],[Commercial Opportunity Score]]&gt;=PERCENTILE(HS_DB[Commercial Opportunity Score],0.6),"Medium Opportunity",
 "Routine Market"))</f>
        <v>Routine Market</v>
      </c>
      <c r="BB390" s="3" t="str">
        <f>IF(AND(HS_DB[[#This Row],[Product Rank]]&gt;0,HS_DB[[#This Row],[Product Rank]]&lt;=10),"Yes","No")</f>
        <v>No</v>
      </c>
      <c r="BC390" s="3" t="str">
        <f>IF(AND(HS_DB[[#This Row],[Origin Rank]]&gt;0,HS_DB[[#This Row],[Origin Rank]]&lt;=10),"Yes","No")</f>
        <v>Yes</v>
      </c>
    </row>
    <row r="391" spans="2:55" x14ac:dyDescent="0.3">
      <c r="B391" s="2">
        <f>HS_DB[[#This Row],[Commodity Code]]</f>
        <v>170113</v>
      </c>
      <c r="C391" s="2">
        <f>IFERROR(INDEX(HS_MD!C:C,MATCH(B391,HS_MD!B:B,0),1),"")</f>
        <v>31</v>
      </c>
      <c r="D391" s="17" t="str">
        <f>IFERROR(INDEX(HS_MD!D:D,MATCH(B391,HS_MD!B:B,0),1),"")</f>
        <v>Cane sugar, raw</v>
      </c>
      <c r="E391" s="17" t="str">
        <f>IFERROR(INDEX(HS_MD!E:E,MATCH(B391,HS_MD!B:B,0),1),"")</f>
        <v>Raw Sugar</v>
      </c>
      <c r="F391" s="17" t="str">
        <f>IFERROR(INDEX(HS_MD!F:F,MATCH(B391,HS_MD!B:B,0),1),"")</f>
        <v>SWEETENERS</v>
      </c>
      <c r="G391" s="17" t="str">
        <f>IFERROR(INDEX(HS_MD!G:G,MATCH(B391,HS_MD!B:B,0),1),"")</f>
        <v>Bulk Sweeteners</v>
      </c>
      <c r="H391" s="17" t="str">
        <f>IFERROR(INDEX(HS_MD!H:H,MATCH(B391,HS_MD!B:B,0),1),"")</f>
        <v>Raw Sugar Refining</v>
      </c>
      <c r="I391" s="17" t="str">
        <f>IFERROR(INDEX(HS_MD!I:I,MATCH(B391,HS_MD!B:B,0),1),"")</f>
        <v>Beverages / Industrial Use</v>
      </c>
      <c r="J391" s="17">
        <f>IFERROR(INDEX(Heat_Map[Index],MATCH(HS_DB[[#This Row],[Reporter]],Heat_Map[Global],0),1),"")</f>
        <v>106</v>
      </c>
      <c r="K391" s="17" t="str">
        <f>IF(AND(HS_DB[[#This Row],[Origin Rank]]&gt;1,HS_DB[[#This Row],[Origin Rank]]&lt;=10),"Yes","No")</f>
        <v>No</v>
      </c>
      <c r="L391" s="2">
        <v>2024</v>
      </c>
      <c r="M391" s="2" t="s">
        <v>57</v>
      </c>
      <c r="N391" s="2" t="s">
        <v>315</v>
      </c>
      <c r="O391" s="2" t="s">
        <v>22</v>
      </c>
      <c r="P391" s="2" t="s">
        <v>23</v>
      </c>
      <c r="Q391" s="2" t="s">
        <v>24</v>
      </c>
      <c r="R391" s="2" t="s">
        <v>25</v>
      </c>
      <c r="S391" s="2">
        <v>170113</v>
      </c>
      <c r="T391" s="3">
        <v>51529</v>
      </c>
      <c r="U391" s="3">
        <v>0</v>
      </c>
      <c r="V391" s="3">
        <v>0</v>
      </c>
      <c r="W391" s="3">
        <v>44209</v>
      </c>
      <c r="X391" s="3" t="s">
        <v>58</v>
      </c>
      <c r="Y391" s="3">
        <v>44209</v>
      </c>
      <c r="Z391" s="3" t="s">
        <v>58</v>
      </c>
      <c r="AA391" s="6">
        <f>SUMIFS(HS_DB[Trade Value - USD],HS_DB[Reporter],HS_DB[[#This Row],[Reporter]])/SUM(HS_DB[Trade Value - USD])</f>
        <v>2.733621906915884E-5</v>
      </c>
      <c r="AB391" s="8" cm="1">
        <f t="array" ref="AB391">SUMPRODUCT(
(HS_DB[Reporter]=HS_DB[[#This Row],[Reporter]])*
(HS_DB[Trade Value - USD]&gt;HS_DB[[#This Row],[Trade Value - USD]])
)+1</f>
        <v>1</v>
      </c>
      <c r="AC391" s="8" t="str">
        <f>IFERROR(IF(INDEX(Heat_Map[Crisis Impact %],MATCH(HS_DB[[#This Row],[Reporter]],Heat_Map[Global],0),1)&gt;0,"Yes","No"),"No")</f>
        <v>No</v>
      </c>
      <c r="AD391" s="6">
        <f>IFERROR(INDEX(Heat_Map[Crisis Impact %],MATCH(HS_DB[[#This Row],[Reporter]],Heat_Map[Global],0),1),0)</f>
        <v>0</v>
      </c>
      <c r="AE391" s="8">
        <f>HS_DB[[#This Row],[Crisis Impact%]]*HS_DB[[#This Row],[Trade Value - USD]]</f>
        <v>0</v>
      </c>
      <c r="AF391" s="8">
        <f>HS_DB[[#This Row],[Crisis Impact%]]*HS_DB[[#This Row],[Net Weight -KG]]</f>
        <v>0</v>
      </c>
      <c r="AG391" s="6">
        <f>SUMIFS(HS_DB[Trade Value - USD],HS_DB[Products],HS_DB[[#This Row],[Products]])/SUM(HS_DB[Trade Value - USD])</f>
        <v>2.9290056613681573E-5</v>
      </c>
      <c r="AH391" s="8">
        <f>_xlfn.RANK.EQ(HS_DB[[#This Row],[Trade Value - USD]], HS_DB[Trade Value - USD], 0)
 + COUNTIFS(HS_DB[Trade Value - USD],HS_DB[[#This Row],[Trade Value - USD]],
            HS_DB[HS Code],"&lt;"&amp;HS_DB[[#This Row],[HS Code]])</f>
        <v>322</v>
      </c>
      <c r="AI391" s="9">
        <f>IFERROR(HS_DB[[#This Row],[Trade Value - USD]]/HS_DB[[#This Row],[Net Weight -KG]],0)</f>
        <v>0</v>
      </c>
      <c r="AJ391" s="17" cm="1">
        <f t="array" ref="AJ391">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47</v>
      </c>
      <c r="AK391" s="17" t="str">
        <f>IF(HS_DB[[#This Row],[HS Code Risk Score]]&gt;=40,"High",
 IF(HS_DB[[#This Row],[HS Code Risk Score]]&gt;=25,"Medium","Low"))</f>
        <v>High</v>
      </c>
      <c r="AL391" s="17" t="str">
        <f>IF(RANK(HS_DB[[#This Row],[HS Code Risk Score]],HS_DB[HS Code Risk Score])&lt;=10,"Yes","No")</f>
        <v>Yes</v>
      </c>
      <c r="AM391" s="8">
        <f>SUMIFS(HS_DB[Net Weight -KG],HS_DB[HS Code],HS_DB[[#This Row],[HS Code]])</f>
        <v>42300</v>
      </c>
      <c r="AN391" s="8">
        <f>SUMIFS(HS_DB[Trade Value - USD],HS_DB[HS Code],HS_DB[[#This Row],[HS Code]])</f>
        <v>55212</v>
      </c>
      <c r="AO391" s="6">
        <f>_xlfn.MAXIFS(HS_DB[Origin Share%],HS_DB[HS Code],HS_DB[[#This Row],[HS Code]])</f>
        <v>2.2441761060335613E-2</v>
      </c>
      <c r="AP391" s="8" cm="1">
        <f t="array" ref="AP391">_xlfn.LET(
_xlpm.hs,HS_DB[[#This Row],[HS Code]],
COUNTA(_xlfn.UNIQUE(_xlfn._xlws.FILTER(HS_DB[Reporter],HS_DB[HS Code]=_xlpm.hs)))
)</f>
        <v>3</v>
      </c>
      <c r="AQ391" s="17" t="str">
        <f>IF(HS_DB[[#This Row],[Origin Count]]=1,"Single Source","Multiple Sources")</f>
        <v>Multiple Sources</v>
      </c>
      <c r="AR391" s="8">
        <f>HS_DB[[#This Row],[Annual Spend - USD]]*(HS_DB[[#This Row],[HS Code Risk Score]]/100)</f>
        <v>25949.64</v>
      </c>
      <c r="AS391" s="8">
        <f>RANK(HS_DB[[#This Row],[Risk Exposure - USD]],HS_DB[Risk Exposure - USD],0)</f>
        <v>534</v>
      </c>
      <c r="AT391" s="8" t="str">
        <f>IF(HS_DB[[#This Row],[Risk Exposure Rank]]&lt;=10,"High",
 IF(HS_DB[[#This Row],[Risk Exposure Rank]]&lt;=30,"Medium",
 "Low"))</f>
        <v>Low</v>
      </c>
      <c r="AU391" s="8" t="str">
        <f>IF(HS_DB[[#This Row],[Risk Exposure Rank]]&lt;=5,"Immediate Action",
 IF(HS_DB[[#This Row],[Risk Exposure Rank]]&lt;=15,"Monitor Closely",
 "Routine Control"))</f>
        <v>Routine Control</v>
      </c>
      <c r="AV391" s="8">
        <f>SUMIFS(HS_DB[Trade Value - USD],HS_DB[HS Code],HS_DB[[#This Row],[HS Code]])</f>
        <v>55212</v>
      </c>
      <c r="AW391" s="6">
        <f>HS_DB[[#This Row],[Annual Spend - USD]]/HS_DB[[#This Row],[Total Market Size - USD]]</f>
        <v>1</v>
      </c>
      <c r="AX391" s="6" cm="1">
        <f t="array" ref="AX391">COUNTA(_xlfn.UNIQUE(_xlfn._xlws.FILTER(HS_DB[Partner],HS_DB[HS Code]=HS_DB[[#This Row],[HS Code]])))</f>
        <v>1</v>
      </c>
      <c r="AY391" s="8" t="str">
        <f>IF(HS_DB[[#This Row],[Competition Intensity]]&lt;=2,"Highly Concentrated",
 IF(HS_DB[[#This Row],[Competition Intensity]]&lt;=5,"Moderate",
 "Highly Competitive"))</f>
        <v>Highly Concentrated</v>
      </c>
      <c r="AZ391" s="8">
        <f>HS_DB[[#This Row],[Total Market Size - USD]]
*
(1+IFERROR(#REF!,0))
/
HS_DB[[#This Row],[Competition Intensity]]</f>
        <v>55212</v>
      </c>
      <c r="BA391" s="8" t="str">
        <f>IF(HS_DB[[#This Row],[Commercial Opportunity Score]]&gt;=PERCENTILE(HS_DB[Commercial Opportunity Score],0.9),"High Opportunity",
 IF(HS_DB[[#This Row],[Commercial Opportunity Score]]&gt;=PERCENTILE(HS_DB[Commercial Opportunity Score],0.6),"Medium Opportunity",
 "Routine Market"))</f>
        <v>Routine Market</v>
      </c>
      <c r="BB391" s="3" t="str">
        <f>IF(AND(HS_DB[[#This Row],[Product Rank]]&gt;0,HS_DB[[#This Row],[Product Rank]]&lt;=10),"Yes","No")</f>
        <v>No</v>
      </c>
      <c r="BC391" s="3" t="str">
        <f>IF(AND(HS_DB[[#This Row],[Origin Rank]]&gt;0,HS_DB[[#This Row],[Origin Rank]]&lt;=10),"Yes","No")</f>
        <v>Yes</v>
      </c>
    </row>
    <row r="392" spans="2:55" x14ac:dyDescent="0.3">
      <c r="B392" s="2">
        <f>HS_DB[[#This Row],[Commodity Code]]</f>
        <v>170113</v>
      </c>
      <c r="C392" s="2">
        <f>IFERROR(INDEX(HS_MD!C:C,MATCH(B392,HS_MD!B:B,0),1),"")</f>
        <v>31</v>
      </c>
      <c r="D392" s="17" t="str">
        <f>IFERROR(INDEX(HS_MD!D:D,MATCH(B392,HS_MD!B:B,0),1),"")</f>
        <v>Cane sugar, raw</v>
      </c>
      <c r="E392" s="17" t="str">
        <f>IFERROR(INDEX(HS_MD!E:E,MATCH(B392,HS_MD!B:B,0),1),"")</f>
        <v>Raw Sugar</v>
      </c>
      <c r="F392" s="17" t="str">
        <f>IFERROR(INDEX(HS_MD!F:F,MATCH(B392,HS_MD!B:B,0),1),"")</f>
        <v>SWEETENERS</v>
      </c>
      <c r="G392" s="17" t="str">
        <f>IFERROR(INDEX(HS_MD!G:G,MATCH(B392,HS_MD!B:B,0),1),"")</f>
        <v>Bulk Sweeteners</v>
      </c>
      <c r="H392" s="17" t="str">
        <f>IFERROR(INDEX(HS_MD!H:H,MATCH(B392,HS_MD!B:B,0),1),"")</f>
        <v>Raw Sugar Refining</v>
      </c>
      <c r="I392" s="17" t="str">
        <f>IFERROR(INDEX(HS_MD!I:I,MATCH(B392,HS_MD!B:B,0),1),"")</f>
        <v>Beverages / Industrial Use</v>
      </c>
      <c r="J392" s="17">
        <f>IFERROR(INDEX(Heat_Map[Index],MATCH(HS_DB[[#This Row],[Reporter]],Heat_Map[Global],0),1),"")</f>
        <v>75</v>
      </c>
      <c r="K392" s="17" t="str">
        <f>IF(AND(HS_DB[[#This Row],[Origin Rank]]&gt;1,HS_DB[[#This Row],[Origin Rank]]&lt;=10),"Yes","No")</f>
        <v>No</v>
      </c>
      <c r="L392" s="2">
        <v>2024</v>
      </c>
      <c r="M392" s="2" t="s">
        <v>57</v>
      </c>
      <c r="N392" s="2" t="s">
        <v>8</v>
      </c>
      <c r="O392" s="2" t="s">
        <v>22</v>
      </c>
      <c r="P392" s="2" t="s">
        <v>23</v>
      </c>
      <c r="Q392" s="2" t="s">
        <v>24</v>
      </c>
      <c r="R392" s="2" t="s">
        <v>25</v>
      </c>
      <c r="S392" s="2">
        <v>170113</v>
      </c>
      <c r="T392" s="3">
        <v>174</v>
      </c>
      <c r="U392" s="3">
        <v>200</v>
      </c>
      <c r="V392" s="3">
        <v>0</v>
      </c>
      <c r="W392" s="3">
        <v>200</v>
      </c>
      <c r="X392" s="3" t="s">
        <v>58</v>
      </c>
      <c r="Y392" s="3">
        <v>200</v>
      </c>
      <c r="Z392" s="3" t="s">
        <v>58</v>
      </c>
      <c r="AA392" s="6">
        <f>SUMIFS(HS_DB[Trade Value - USD],HS_DB[Reporter],HS_DB[[#This Row],[Reporter]])/SUM(HS_DB[Trade Value - USD])</f>
        <v>2.2441761060335613E-2</v>
      </c>
      <c r="AB392" s="8" cm="1">
        <f t="array" ref="AB392">SUMPRODUCT(
(HS_DB[Reporter]=HS_DB[[#This Row],[Reporter]])*
(HS_DB[Trade Value - USD]&gt;HS_DB[[#This Row],[Trade Value - USD]])
)+1</f>
        <v>37</v>
      </c>
      <c r="AC392" s="8" t="str">
        <f>IFERROR(IF(INDEX(Heat_Map[Crisis Impact %],MATCH(HS_DB[[#This Row],[Reporter]],Heat_Map[Global],0),1)&gt;0,"Yes","No"),"No")</f>
        <v>No</v>
      </c>
      <c r="AD392" s="6">
        <f>IFERROR(INDEX(Heat_Map[Crisis Impact %],MATCH(HS_DB[[#This Row],[Reporter]],Heat_Map[Global],0),1),0)</f>
        <v>0</v>
      </c>
      <c r="AE392" s="8">
        <f>HS_DB[[#This Row],[Crisis Impact%]]*HS_DB[[#This Row],[Trade Value - USD]]</f>
        <v>0</v>
      </c>
      <c r="AF392" s="8">
        <f>HS_DB[[#This Row],[Crisis Impact%]]*HS_DB[[#This Row],[Net Weight -KG]]</f>
        <v>0</v>
      </c>
      <c r="AG392" s="6">
        <f>SUMIFS(HS_DB[Trade Value - USD],HS_DB[Products],HS_DB[[#This Row],[Products]])/SUM(HS_DB[Trade Value - USD])</f>
        <v>2.9290056613681573E-5</v>
      </c>
      <c r="AH392" s="8">
        <f>_xlfn.RANK.EQ(HS_DB[[#This Row],[Trade Value - USD]], HS_DB[Trade Value - USD], 0)
 + COUNTIFS(HS_DB[Trade Value - USD],HS_DB[[#This Row],[Trade Value - USD]],
            HS_DB[HS Code],"&lt;"&amp;HS_DB[[#This Row],[HS Code]])</f>
        <v>510</v>
      </c>
      <c r="AI392" s="9">
        <f>IFERROR(HS_DB[[#This Row],[Trade Value - USD]]/HS_DB[[#This Row],[Net Weight -KG]],0)</f>
        <v>0.87</v>
      </c>
      <c r="AJ392" s="17" cm="1">
        <f t="array" ref="AJ392">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47</v>
      </c>
      <c r="AK392" s="17" t="str">
        <f>IF(HS_DB[[#This Row],[HS Code Risk Score]]&gt;=40,"High",
 IF(HS_DB[[#This Row],[HS Code Risk Score]]&gt;=25,"Medium","Low"))</f>
        <v>High</v>
      </c>
      <c r="AL392" s="17" t="str">
        <f>IF(RANK(HS_DB[[#This Row],[HS Code Risk Score]],HS_DB[HS Code Risk Score])&lt;=10,"Yes","No")</f>
        <v>Yes</v>
      </c>
      <c r="AM392" s="8">
        <f>SUMIFS(HS_DB[Net Weight -KG],HS_DB[HS Code],HS_DB[[#This Row],[HS Code]])</f>
        <v>42300</v>
      </c>
      <c r="AN392" s="8">
        <f>SUMIFS(HS_DB[Trade Value - USD],HS_DB[HS Code],HS_DB[[#This Row],[HS Code]])</f>
        <v>55212</v>
      </c>
      <c r="AO392" s="6">
        <f>_xlfn.MAXIFS(HS_DB[Origin Share%],HS_DB[HS Code],HS_DB[[#This Row],[HS Code]])</f>
        <v>2.2441761060335613E-2</v>
      </c>
      <c r="AP392" s="8" cm="1">
        <f t="array" ref="AP392">_xlfn.LET(
_xlpm.hs,HS_DB[[#This Row],[HS Code]],
COUNTA(_xlfn.UNIQUE(_xlfn._xlws.FILTER(HS_DB[Reporter],HS_DB[HS Code]=_xlpm.hs)))
)</f>
        <v>3</v>
      </c>
      <c r="AQ392" s="17" t="str">
        <f>IF(HS_DB[[#This Row],[Origin Count]]=1,"Single Source","Multiple Sources")</f>
        <v>Multiple Sources</v>
      </c>
      <c r="AR392" s="8">
        <f>HS_DB[[#This Row],[Annual Spend - USD]]*(HS_DB[[#This Row],[HS Code Risk Score]]/100)</f>
        <v>25949.64</v>
      </c>
      <c r="AS392" s="8">
        <f>RANK(HS_DB[[#This Row],[Risk Exposure - USD]],HS_DB[Risk Exposure - USD],0)</f>
        <v>534</v>
      </c>
      <c r="AT392" s="8" t="str">
        <f>IF(HS_DB[[#This Row],[Risk Exposure Rank]]&lt;=10,"High",
 IF(HS_DB[[#This Row],[Risk Exposure Rank]]&lt;=30,"Medium",
 "Low"))</f>
        <v>Low</v>
      </c>
      <c r="AU392" s="8" t="str">
        <f>IF(HS_DB[[#This Row],[Risk Exposure Rank]]&lt;=5,"Immediate Action",
 IF(HS_DB[[#This Row],[Risk Exposure Rank]]&lt;=15,"Monitor Closely",
 "Routine Control"))</f>
        <v>Routine Control</v>
      </c>
      <c r="AV392" s="8">
        <f>SUMIFS(HS_DB[Trade Value - USD],HS_DB[HS Code],HS_DB[[#This Row],[HS Code]])</f>
        <v>55212</v>
      </c>
      <c r="AW392" s="6">
        <f>HS_DB[[#This Row],[Annual Spend - USD]]/HS_DB[[#This Row],[Total Market Size - USD]]</f>
        <v>1</v>
      </c>
      <c r="AX392" s="6" cm="1">
        <f t="array" ref="AX392">COUNTA(_xlfn.UNIQUE(_xlfn._xlws.FILTER(HS_DB[Partner],HS_DB[HS Code]=HS_DB[[#This Row],[HS Code]])))</f>
        <v>1</v>
      </c>
      <c r="AY392" s="8" t="str">
        <f>IF(HS_DB[[#This Row],[Competition Intensity]]&lt;=2,"Highly Concentrated",
 IF(HS_DB[[#This Row],[Competition Intensity]]&lt;=5,"Moderate",
 "Highly Competitive"))</f>
        <v>Highly Concentrated</v>
      </c>
      <c r="AZ392" s="8">
        <f>HS_DB[[#This Row],[Total Market Size - USD]]
*
(1+IFERROR(#REF!,0))
/
HS_DB[[#This Row],[Competition Intensity]]</f>
        <v>55212</v>
      </c>
      <c r="BA392" s="8" t="str">
        <f>IF(HS_DB[[#This Row],[Commercial Opportunity Score]]&gt;=PERCENTILE(HS_DB[Commercial Opportunity Score],0.9),"High Opportunity",
 IF(HS_DB[[#This Row],[Commercial Opportunity Score]]&gt;=PERCENTILE(HS_DB[Commercial Opportunity Score],0.6),"Medium Opportunity",
 "Routine Market"))</f>
        <v>Routine Market</v>
      </c>
      <c r="BB392" s="3" t="str">
        <f>IF(AND(HS_DB[[#This Row],[Product Rank]]&gt;0,HS_DB[[#This Row],[Product Rank]]&lt;=10),"Yes","No")</f>
        <v>No</v>
      </c>
      <c r="BC392" s="3" t="str">
        <f>IF(AND(HS_DB[[#This Row],[Origin Rank]]&gt;0,HS_DB[[#This Row],[Origin Rank]]&lt;=10),"Yes","No")</f>
        <v>No</v>
      </c>
    </row>
    <row r="393" spans="2:55" x14ac:dyDescent="0.3">
      <c r="B393" s="2">
        <f>HS_DB[[#This Row],[Commodity Code]]</f>
        <v>110100</v>
      </c>
      <c r="C393" s="2">
        <f>IFERROR(INDEX(HS_MD!C:C,MATCH(B393,HS_MD!B:B,0),1),"")</f>
        <v>32</v>
      </c>
      <c r="D393" s="17" t="str">
        <f>IFERROR(INDEX(HS_MD!D:D,MATCH(B393,HS_MD!B:B,0),1),"")</f>
        <v>Wheat flour</v>
      </c>
      <c r="E393" s="17" t="str">
        <f>IFERROR(INDEX(HS_MD!E:E,MATCH(B393,HS_MD!B:B,0),1),"")</f>
        <v>Wheat Flour</v>
      </c>
      <c r="F393" s="17" t="str">
        <f>IFERROR(INDEX(HS_MD!F:F,MATCH(B393,HS_MD!B:B,0),1),"")</f>
        <v>Agricultural Raw Materials</v>
      </c>
      <c r="G393" s="17" t="str">
        <f>IFERROR(INDEX(HS_MD!G:G,MATCH(B393,HS_MD!B:B,0),1),"")</f>
        <v>Cereals &amp; Flours</v>
      </c>
      <c r="H393" s="17" t="str">
        <f>IFERROR(INDEX(HS_MD!H:H,MATCH(B393,HS_MD!B:B,0),1),"")</f>
        <v>Milled Wheat Flour</v>
      </c>
      <c r="I393" s="17" t="str">
        <f>IFERROR(INDEX(HS_MD!I:I,MATCH(B393,HS_MD!B:B,0),1),"")</f>
        <v>Bakery / Noodles / Sauces</v>
      </c>
      <c r="J393" s="17">
        <f>IFERROR(INDEX(Heat_Map[Index],MATCH(HS_DB[[#This Row],[Reporter]],Heat_Map[Global],0),1),"")</f>
        <v>17</v>
      </c>
      <c r="K393" s="17" t="str">
        <f>IF(AND(HS_DB[[#This Row],[Origin Rank]]&gt;1,HS_DB[[#This Row],[Origin Rank]]&lt;=10),"Yes","No")</f>
        <v>No</v>
      </c>
      <c r="L393" s="2">
        <v>2024</v>
      </c>
      <c r="M393" s="2" t="s">
        <v>57</v>
      </c>
      <c r="N393" s="2" t="s">
        <v>5</v>
      </c>
      <c r="O393" s="2" t="s">
        <v>22</v>
      </c>
      <c r="P393" s="2" t="s">
        <v>23</v>
      </c>
      <c r="Q393" s="2" t="s">
        <v>24</v>
      </c>
      <c r="R393" s="2" t="s">
        <v>25</v>
      </c>
      <c r="S393" s="2">
        <v>110100</v>
      </c>
      <c r="T393" s="3">
        <v>567</v>
      </c>
      <c r="U393" s="3">
        <v>591.79999999999995</v>
      </c>
      <c r="V393" s="3">
        <v>0</v>
      </c>
      <c r="W393" s="3">
        <v>592</v>
      </c>
      <c r="X393" s="3" t="s">
        <v>58</v>
      </c>
      <c r="Y393" s="3">
        <v>0</v>
      </c>
      <c r="Z393" s="3" t="s">
        <v>26</v>
      </c>
      <c r="AA393" s="6">
        <f>SUMIFS(HS_DB[Trade Value - USD],HS_DB[Reporter],HS_DB[[#This Row],[Reporter]])/SUM(HS_DB[Trade Value - USD])</f>
        <v>5.3992075088500962E-3</v>
      </c>
      <c r="AB393" s="8" cm="1">
        <f t="array" ref="AB393">SUMPRODUCT(
(HS_DB[Reporter]=HS_DB[[#This Row],[Reporter]])*
(HS_DB[Trade Value - USD]&gt;HS_DB[[#This Row],[Trade Value - USD]])
)+1</f>
        <v>24</v>
      </c>
      <c r="AC393" s="8" t="str">
        <f>IFERROR(IF(INDEX(Heat_Map[Crisis Impact %],MATCH(HS_DB[[#This Row],[Reporter]],Heat_Map[Global],0),1)&gt;0,"Yes","No"),"No")</f>
        <v>No</v>
      </c>
      <c r="AD393" s="6">
        <f>IFERROR(INDEX(Heat_Map[Crisis Impact %],MATCH(HS_DB[[#This Row],[Reporter]],Heat_Map[Global],0),1),0)</f>
        <v>0</v>
      </c>
      <c r="AE393" s="8">
        <f>HS_DB[[#This Row],[Crisis Impact%]]*HS_DB[[#This Row],[Trade Value - USD]]</f>
        <v>0</v>
      </c>
      <c r="AF393" s="8">
        <f>HS_DB[[#This Row],[Crisis Impact%]]*HS_DB[[#This Row],[Net Weight -KG]]</f>
        <v>0</v>
      </c>
      <c r="AG393" s="6">
        <f>SUMIFS(HS_DB[Trade Value - USD],HS_DB[Products],HS_DB[[#This Row],[Products]])/SUM(HS_DB[Trade Value - USD])</f>
        <v>6.9002247674976556E-3</v>
      </c>
      <c r="AH393" s="8">
        <f>_xlfn.RANK.EQ(HS_DB[[#This Row],[Trade Value - USD]], HS_DB[Trade Value - USD], 0)
 + COUNTIFS(HS_DB[Trade Value - USD],HS_DB[[#This Row],[Trade Value - USD]],
            HS_DB[HS Code],"&lt;"&amp;HS_DB[[#This Row],[HS Code]])</f>
        <v>496</v>
      </c>
      <c r="AI393" s="9">
        <f>IFERROR(HS_DB[[#This Row],[Trade Value - USD]]/HS_DB[[#This Row],[Net Weight -KG]],0)</f>
        <v>0.95809395065900649</v>
      </c>
      <c r="AJ393" s="17" cm="1">
        <f t="array" ref="AJ393">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93" s="17" t="str">
        <f>IF(HS_DB[[#This Row],[HS Code Risk Score]]&gt;=40,"High",
 IF(HS_DB[[#This Row],[HS Code Risk Score]]&gt;=25,"Medium","Low"))</f>
        <v>Medium</v>
      </c>
      <c r="AL393" s="17" t="str">
        <f>IF(RANK(HS_DB[[#This Row],[HS Code Risk Score]],HS_DB[HS Code Risk Score])&lt;=10,"Yes","No")</f>
        <v>No</v>
      </c>
      <c r="AM393" s="8">
        <f>SUMIFS(HS_DB[Net Weight -KG],HS_DB[HS Code],HS_DB[[#This Row],[HS Code]])</f>
        <v>26881115.800000001</v>
      </c>
      <c r="AN393" s="8">
        <f>SUMIFS(HS_DB[Trade Value - USD],HS_DB[HS Code],HS_DB[[#This Row],[HS Code]])</f>
        <v>13006981</v>
      </c>
      <c r="AO393" s="6">
        <f>_xlfn.MAXIFS(HS_DB[Origin Share%],HS_DB[HS Code],HS_DB[[#This Row],[HS Code]])</f>
        <v>6.321329281187793E-2</v>
      </c>
      <c r="AP393" s="8" cm="1">
        <f t="array" ref="AP393">_xlfn.LET(
_xlpm.hs,HS_DB[[#This Row],[HS Code]],
COUNTA(_xlfn.UNIQUE(_xlfn._xlws.FILTER(HS_DB[Reporter],HS_DB[HS Code]=_xlpm.hs)))
)</f>
        <v>12</v>
      </c>
      <c r="AQ393" s="17" t="str">
        <f>IF(HS_DB[[#This Row],[Origin Count]]=1,"Single Source","Multiple Sources")</f>
        <v>Multiple Sources</v>
      </c>
      <c r="AR393" s="8">
        <f>HS_DB[[#This Row],[Annual Spend - USD]]*(HS_DB[[#This Row],[HS Code Risk Score]]/100)</f>
        <v>4422373.54</v>
      </c>
      <c r="AS393" s="8">
        <f>RANK(HS_DB[[#This Row],[Risk Exposure - USD]],HS_DB[Risk Exposure - USD],0)</f>
        <v>197</v>
      </c>
      <c r="AT393" s="8" t="str">
        <f>IF(HS_DB[[#This Row],[Risk Exposure Rank]]&lt;=10,"High",
 IF(HS_DB[[#This Row],[Risk Exposure Rank]]&lt;=30,"Medium",
 "Low"))</f>
        <v>Low</v>
      </c>
      <c r="AU393" s="8" t="str">
        <f>IF(HS_DB[[#This Row],[Risk Exposure Rank]]&lt;=5,"Immediate Action",
 IF(HS_DB[[#This Row],[Risk Exposure Rank]]&lt;=15,"Monitor Closely",
 "Routine Control"))</f>
        <v>Routine Control</v>
      </c>
      <c r="AV393" s="8">
        <f>SUMIFS(HS_DB[Trade Value - USD],HS_DB[HS Code],HS_DB[[#This Row],[HS Code]])</f>
        <v>13006981</v>
      </c>
      <c r="AW393" s="6">
        <f>HS_DB[[#This Row],[Annual Spend - USD]]/HS_DB[[#This Row],[Total Market Size - USD]]</f>
        <v>1</v>
      </c>
      <c r="AX393" s="6" cm="1">
        <f t="array" ref="AX393">COUNTA(_xlfn.UNIQUE(_xlfn._xlws.FILTER(HS_DB[Partner],HS_DB[HS Code]=HS_DB[[#This Row],[HS Code]])))</f>
        <v>1</v>
      </c>
      <c r="AY393" s="8" t="str">
        <f>IF(HS_DB[[#This Row],[Competition Intensity]]&lt;=2,"Highly Concentrated",
 IF(HS_DB[[#This Row],[Competition Intensity]]&lt;=5,"Moderate",
 "Highly Competitive"))</f>
        <v>Highly Concentrated</v>
      </c>
      <c r="AZ393" s="8">
        <f>HS_DB[[#This Row],[Total Market Size - USD]]
*
(1+IFERROR(#REF!,0))
/
HS_DB[[#This Row],[Competition Intensity]]</f>
        <v>13006981</v>
      </c>
      <c r="BA393" s="8" t="str">
        <f>IF(HS_DB[[#This Row],[Commercial Opportunity Score]]&gt;=PERCENTILE(HS_DB[Commercial Opportunity Score],0.9),"High Opportunity",
 IF(HS_DB[[#This Row],[Commercial Opportunity Score]]&gt;=PERCENTILE(HS_DB[Commercial Opportunity Score],0.6),"Medium Opportunity",
 "Routine Market"))</f>
        <v>Medium Opportunity</v>
      </c>
      <c r="BB393" s="3" t="str">
        <f>IF(AND(HS_DB[[#This Row],[Product Rank]]&gt;0,HS_DB[[#This Row],[Product Rank]]&lt;=10),"Yes","No")</f>
        <v>No</v>
      </c>
      <c r="BC393" s="3" t="str">
        <f>IF(AND(HS_DB[[#This Row],[Origin Rank]]&gt;0,HS_DB[[#This Row],[Origin Rank]]&lt;=10),"Yes","No")</f>
        <v>No</v>
      </c>
    </row>
    <row r="394" spans="2:55" x14ac:dyDescent="0.3">
      <c r="B394" s="2">
        <f>HS_DB[[#This Row],[Commodity Code]]</f>
        <v>110100</v>
      </c>
      <c r="C394" s="2">
        <f>IFERROR(INDEX(HS_MD!C:C,MATCH(B394,HS_MD!B:B,0),1),"")</f>
        <v>32</v>
      </c>
      <c r="D394" s="17" t="str">
        <f>IFERROR(INDEX(HS_MD!D:D,MATCH(B394,HS_MD!B:B,0),1),"")</f>
        <v>Wheat flour</v>
      </c>
      <c r="E394" s="17" t="str">
        <f>IFERROR(INDEX(HS_MD!E:E,MATCH(B394,HS_MD!B:B,0),1),"")</f>
        <v>Wheat Flour</v>
      </c>
      <c r="F394" s="17" t="str">
        <f>IFERROR(INDEX(HS_MD!F:F,MATCH(B394,HS_MD!B:B,0),1),"")</f>
        <v>Agricultural Raw Materials</v>
      </c>
      <c r="G394" s="17" t="str">
        <f>IFERROR(INDEX(HS_MD!G:G,MATCH(B394,HS_MD!B:B,0),1),"")</f>
        <v>Cereals &amp; Flours</v>
      </c>
      <c r="H394" s="17" t="str">
        <f>IFERROR(INDEX(HS_MD!H:H,MATCH(B394,HS_MD!B:B,0),1),"")</f>
        <v>Milled Wheat Flour</v>
      </c>
      <c r="I394" s="17" t="str">
        <f>IFERROR(INDEX(HS_MD!I:I,MATCH(B394,HS_MD!B:B,0),1),"")</f>
        <v>Bakery / Noodles / Sauces</v>
      </c>
      <c r="J394" s="17">
        <f>IFERROR(INDEX(Heat_Map[Index],MATCH(HS_DB[[#This Row],[Reporter]],Heat_Map[Global],0),1),"")</f>
        <v>24</v>
      </c>
      <c r="K394" s="17" t="str">
        <f>IF(AND(HS_DB[[#This Row],[Origin Rank]]&gt;1,HS_DB[[#This Row],[Origin Rank]]&lt;=10),"Yes","No")</f>
        <v>Yes</v>
      </c>
      <c r="L394" s="2">
        <v>2024</v>
      </c>
      <c r="M394" s="2" t="s">
        <v>57</v>
      </c>
      <c r="N394" s="2" t="s">
        <v>38</v>
      </c>
      <c r="O394" s="2" t="s">
        <v>22</v>
      </c>
      <c r="P394" s="2" t="s">
        <v>23</v>
      </c>
      <c r="Q394" s="2" t="s">
        <v>24</v>
      </c>
      <c r="R394" s="2" t="s">
        <v>25</v>
      </c>
      <c r="S394" s="2">
        <v>110100</v>
      </c>
      <c r="T394" s="3">
        <v>132</v>
      </c>
      <c r="U394" s="3">
        <v>50</v>
      </c>
      <c r="V394" s="3">
        <v>0</v>
      </c>
      <c r="W394" s="3">
        <v>50</v>
      </c>
      <c r="X394" s="3" t="s">
        <v>58</v>
      </c>
      <c r="Y394" s="3">
        <v>50</v>
      </c>
      <c r="Z394" s="3" t="s">
        <v>58</v>
      </c>
      <c r="AA394" s="6">
        <f>SUMIFS(HS_DB[Trade Value - USD],HS_DB[Reporter],HS_DB[[#This Row],[Reporter]])/SUM(HS_DB[Trade Value - USD])</f>
        <v>1.3771095818184687E-3</v>
      </c>
      <c r="AB394" s="8" cm="1">
        <f t="array" ref="AB394">SUMPRODUCT(
(HS_DB[Reporter]=HS_DB[[#This Row],[Reporter]])*
(HS_DB[Trade Value - USD]&gt;HS_DB[[#This Row],[Trade Value - USD]])
)+1</f>
        <v>3</v>
      </c>
      <c r="AC394" s="8" t="str">
        <f>IFERROR(IF(INDEX(Heat_Map[Crisis Impact %],MATCH(HS_DB[[#This Row],[Reporter]],Heat_Map[Global],0),1)&gt;0,"Yes","No"),"No")</f>
        <v>No</v>
      </c>
      <c r="AD394" s="6">
        <f>IFERROR(INDEX(Heat_Map[Crisis Impact %],MATCH(HS_DB[[#This Row],[Reporter]],Heat_Map[Global],0),1),0)</f>
        <v>0</v>
      </c>
      <c r="AE394" s="8">
        <f>HS_DB[[#This Row],[Crisis Impact%]]*HS_DB[[#This Row],[Trade Value - USD]]</f>
        <v>0</v>
      </c>
      <c r="AF394" s="8">
        <f>HS_DB[[#This Row],[Crisis Impact%]]*HS_DB[[#This Row],[Net Weight -KG]]</f>
        <v>0</v>
      </c>
      <c r="AG394" s="6">
        <f>SUMIFS(HS_DB[Trade Value - USD],HS_DB[Products],HS_DB[[#This Row],[Products]])/SUM(HS_DB[Trade Value - USD])</f>
        <v>6.9002247674976556E-3</v>
      </c>
      <c r="AH394" s="8">
        <f>_xlfn.RANK.EQ(HS_DB[[#This Row],[Trade Value - USD]], HS_DB[Trade Value - USD], 0)
 + COUNTIFS(HS_DB[Trade Value - USD],HS_DB[[#This Row],[Trade Value - USD]],
            HS_DB[HS Code],"&lt;"&amp;HS_DB[[#This Row],[HS Code]])</f>
        <v>515</v>
      </c>
      <c r="AI394" s="9">
        <f>IFERROR(HS_DB[[#This Row],[Trade Value - USD]]/HS_DB[[#This Row],[Net Weight -KG]],0)</f>
        <v>2.64</v>
      </c>
      <c r="AJ394" s="17" cm="1">
        <f t="array" ref="AJ394">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94" s="17" t="str">
        <f>IF(HS_DB[[#This Row],[HS Code Risk Score]]&gt;=40,"High",
 IF(HS_DB[[#This Row],[HS Code Risk Score]]&gt;=25,"Medium","Low"))</f>
        <v>Medium</v>
      </c>
      <c r="AL394" s="17" t="str">
        <f>IF(RANK(HS_DB[[#This Row],[HS Code Risk Score]],HS_DB[HS Code Risk Score])&lt;=10,"Yes","No")</f>
        <v>No</v>
      </c>
      <c r="AM394" s="8">
        <f>SUMIFS(HS_DB[Net Weight -KG],HS_DB[HS Code],HS_DB[[#This Row],[HS Code]])</f>
        <v>26881115.800000001</v>
      </c>
      <c r="AN394" s="8">
        <f>SUMIFS(HS_DB[Trade Value - USD],HS_DB[HS Code],HS_DB[[#This Row],[HS Code]])</f>
        <v>13006981</v>
      </c>
      <c r="AO394" s="6">
        <f>_xlfn.MAXIFS(HS_DB[Origin Share%],HS_DB[HS Code],HS_DB[[#This Row],[HS Code]])</f>
        <v>6.321329281187793E-2</v>
      </c>
      <c r="AP394" s="8" cm="1">
        <f t="array" ref="AP394">_xlfn.LET(
_xlpm.hs,HS_DB[[#This Row],[HS Code]],
COUNTA(_xlfn.UNIQUE(_xlfn._xlws.FILTER(HS_DB[Reporter],HS_DB[HS Code]=_xlpm.hs)))
)</f>
        <v>12</v>
      </c>
      <c r="AQ394" s="17" t="str">
        <f>IF(HS_DB[[#This Row],[Origin Count]]=1,"Single Source","Multiple Sources")</f>
        <v>Multiple Sources</v>
      </c>
      <c r="AR394" s="8">
        <f>HS_DB[[#This Row],[Annual Spend - USD]]*(HS_DB[[#This Row],[HS Code Risk Score]]/100)</f>
        <v>4422373.54</v>
      </c>
      <c r="AS394" s="8">
        <f>RANK(HS_DB[[#This Row],[Risk Exposure - USD]],HS_DB[Risk Exposure - USD],0)</f>
        <v>197</v>
      </c>
      <c r="AT394" s="8" t="str">
        <f>IF(HS_DB[[#This Row],[Risk Exposure Rank]]&lt;=10,"High",
 IF(HS_DB[[#This Row],[Risk Exposure Rank]]&lt;=30,"Medium",
 "Low"))</f>
        <v>Low</v>
      </c>
      <c r="AU394" s="8" t="str">
        <f>IF(HS_DB[[#This Row],[Risk Exposure Rank]]&lt;=5,"Immediate Action",
 IF(HS_DB[[#This Row],[Risk Exposure Rank]]&lt;=15,"Monitor Closely",
 "Routine Control"))</f>
        <v>Routine Control</v>
      </c>
      <c r="AV394" s="8">
        <f>SUMIFS(HS_DB[Trade Value - USD],HS_DB[HS Code],HS_DB[[#This Row],[HS Code]])</f>
        <v>13006981</v>
      </c>
      <c r="AW394" s="6">
        <f>HS_DB[[#This Row],[Annual Spend - USD]]/HS_DB[[#This Row],[Total Market Size - USD]]</f>
        <v>1</v>
      </c>
      <c r="AX394" s="6" cm="1">
        <f t="array" ref="AX394">COUNTA(_xlfn.UNIQUE(_xlfn._xlws.FILTER(HS_DB[Partner],HS_DB[HS Code]=HS_DB[[#This Row],[HS Code]])))</f>
        <v>1</v>
      </c>
      <c r="AY394" s="8" t="str">
        <f>IF(HS_DB[[#This Row],[Competition Intensity]]&lt;=2,"Highly Concentrated",
 IF(HS_DB[[#This Row],[Competition Intensity]]&lt;=5,"Moderate",
 "Highly Competitive"))</f>
        <v>Highly Concentrated</v>
      </c>
      <c r="AZ394" s="8">
        <f>HS_DB[[#This Row],[Total Market Size - USD]]
*
(1+IFERROR(#REF!,0))
/
HS_DB[[#This Row],[Competition Intensity]]</f>
        <v>13006981</v>
      </c>
      <c r="BA394" s="8" t="str">
        <f>IF(HS_DB[[#This Row],[Commercial Opportunity Score]]&gt;=PERCENTILE(HS_DB[Commercial Opportunity Score],0.9),"High Opportunity",
 IF(HS_DB[[#This Row],[Commercial Opportunity Score]]&gt;=PERCENTILE(HS_DB[Commercial Opportunity Score],0.6),"Medium Opportunity",
 "Routine Market"))</f>
        <v>Medium Opportunity</v>
      </c>
      <c r="BB394" s="3" t="str">
        <f>IF(AND(HS_DB[[#This Row],[Product Rank]]&gt;0,HS_DB[[#This Row],[Product Rank]]&lt;=10),"Yes","No")</f>
        <v>No</v>
      </c>
      <c r="BC394" s="3" t="str">
        <f>IF(AND(HS_DB[[#This Row],[Origin Rank]]&gt;0,HS_DB[[#This Row],[Origin Rank]]&lt;=10),"Yes","No")</f>
        <v>Yes</v>
      </c>
    </row>
    <row r="395" spans="2:55" x14ac:dyDescent="0.3">
      <c r="B395" s="2">
        <f>HS_DB[[#This Row],[Commodity Code]]</f>
        <v>110100</v>
      </c>
      <c r="C395" s="2">
        <f>IFERROR(INDEX(HS_MD!C:C,MATCH(B395,HS_MD!B:B,0),1),"")</f>
        <v>32</v>
      </c>
      <c r="D395" s="17" t="str">
        <f>IFERROR(INDEX(HS_MD!D:D,MATCH(B395,HS_MD!B:B,0),1),"")</f>
        <v>Wheat flour</v>
      </c>
      <c r="E395" s="17" t="str">
        <f>IFERROR(INDEX(HS_MD!E:E,MATCH(B395,HS_MD!B:B,0),1),"")</f>
        <v>Wheat Flour</v>
      </c>
      <c r="F395" s="17" t="str">
        <f>IFERROR(INDEX(HS_MD!F:F,MATCH(B395,HS_MD!B:B,0),1),"")</f>
        <v>Agricultural Raw Materials</v>
      </c>
      <c r="G395" s="17" t="str">
        <f>IFERROR(INDEX(HS_MD!G:G,MATCH(B395,HS_MD!B:B,0),1),"")</f>
        <v>Cereals &amp; Flours</v>
      </c>
      <c r="H395" s="17" t="str">
        <f>IFERROR(INDEX(HS_MD!H:H,MATCH(B395,HS_MD!B:B,0),1),"")</f>
        <v>Milled Wheat Flour</v>
      </c>
      <c r="I395" s="17" t="str">
        <f>IFERROR(INDEX(HS_MD!I:I,MATCH(B395,HS_MD!B:B,0),1),"")</f>
        <v>Bakery / Noodles / Sauces</v>
      </c>
      <c r="J395" s="17">
        <f>IFERROR(INDEX(Heat_Map[Index],MATCH(HS_DB[[#This Row],[Reporter]],Heat_Map[Global],0),1),"")</f>
        <v>36</v>
      </c>
      <c r="K395" s="17" t="str">
        <f>IF(AND(HS_DB[[#This Row],[Origin Rank]]&gt;1,HS_DB[[#This Row],[Origin Rank]]&lt;=10),"Yes","No")</f>
        <v>No</v>
      </c>
      <c r="L395" s="2">
        <v>2024</v>
      </c>
      <c r="M395" s="2" t="s">
        <v>57</v>
      </c>
      <c r="N395" s="2" t="s">
        <v>1</v>
      </c>
      <c r="O395" s="2" t="s">
        <v>22</v>
      </c>
      <c r="P395" s="2" t="s">
        <v>23</v>
      </c>
      <c r="Q395" s="2" t="s">
        <v>24</v>
      </c>
      <c r="R395" s="2" t="s">
        <v>25</v>
      </c>
      <c r="S395" s="2">
        <v>110100</v>
      </c>
      <c r="T395" s="3">
        <v>296191</v>
      </c>
      <c r="U395" s="3">
        <v>450000</v>
      </c>
      <c r="V395" s="3">
        <v>0</v>
      </c>
      <c r="W395" s="3">
        <v>450000</v>
      </c>
      <c r="X395" s="3" t="s">
        <v>58</v>
      </c>
      <c r="Y395" s="3">
        <v>450000</v>
      </c>
      <c r="Z395" s="3" t="s">
        <v>58</v>
      </c>
      <c r="AA395" s="6">
        <f>SUMIFS(HS_DB[Trade Value - USD],HS_DB[Reporter],HS_DB[[#This Row],[Reporter]])/SUM(HS_DB[Trade Value - USD])</f>
        <v>6.321329281187793E-2</v>
      </c>
      <c r="AB395" s="8" cm="1">
        <f t="array" ref="AB395">SUMPRODUCT(
(HS_DB[Reporter]=HS_DB[[#This Row],[Reporter]])*
(HS_DB[Trade Value - USD]&gt;HS_DB[[#This Row],[Trade Value - USD]])
)+1</f>
        <v>24</v>
      </c>
      <c r="AC395" s="8" t="str">
        <f>IFERROR(IF(INDEX(Heat_Map[Crisis Impact %],MATCH(HS_DB[[#This Row],[Reporter]],Heat_Map[Global],0),1)&gt;0,"Yes","No"),"No")</f>
        <v>Yes</v>
      </c>
      <c r="AD395" s="6">
        <f>IFERROR(INDEX(Heat_Map[Crisis Impact %],MATCH(HS_DB[[#This Row],[Reporter]],Heat_Map[Global],0),1),0)</f>
        <v>0.14000000000000001</v>
      </c>
      <c r="AE395" s="8">
        <f>HS_DB[[#This Row],[Crisis Impact%]]*HS_DB[[#This Row],[Trade Value - USD]]</f>
        <v>41466.740000000005</v>
      </c>
      <c r="AF395" s="8">
        <f>HS_DB[[#This Row],[Crisis Impact%]]*HS_DB[[#This Row],[Net Weight -KG]]</f>
        <v>63000.000000000007</v>
      </c>
      <c r="AG395" s="6">
        <f>SUMIFS(HS_DB[Trade Value - USD],HS_DB[Products],HS_DB[[#This Row],[Products]])/SUM(HS_DB[Trade Value - USD])</f>
        <v>6.9002247674976556E-3</v>
      </c>
      <c r="AH395" s="8">
        <f>_xlfn.RANK.EQ(HS_DB[[#This Row],[Trade Value - USD]], HS_DB[Trade Value - USD], 0)
 + COUNTIFS(HS_DB[Trade Value - USD],HS_DB[[#This Row],[Trade Value - USD]],
            HS_DB[HS Code],"&lt;"&amp;HS_DB[[#This Row],[HS Code]])</f>
        <v>191</v>
      </c>
      <c r="AI395" s="9">
        <f>IFERROR(HS_DB[[#This Row],[Trade Value - USD]]/HS_DB[[#This Row],[Net Weight -KG]],0)</f>
        <v>0.65820222222222224</v>
      </c>
      <c r="AJ395" s="17" cm="1">
        <f t="array" ref="AJ395">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95" s="17" t="str">
        <f>IF(HS_DB[[#This Row],[HS Code Risk Score]]&gt;=40,"High",
 IF(HS_DB[[#This Row],[HS Code Risk Score]]&gt;=25,"Medium","Low"))</f>
        <v>Medium</v>
      </c>
      <c r="AL395" s="17" t="str">
        <f>IF(RANK(HS_DB[[#This Row],[HS Code Risk Score]],HS_DB[HS Code Risk Score])&lt;=10,"Yes","No")</f>
        <v>No</v>
      </c>
      <c r="AM395" s="8">
        <f>SUMIFS(HS_DB[Net Weight -KG],HS_DB[HS Code],HS_DB[[#This Row],[HS Code]])</f>
        <v>26881115.800000001</v>
      </c>
      <c r="AN395" s="8">
        <f>SUMIFS(HS_DB[Trade Value - USD],HS_DB[HS Code],HS_DB[[#This Row],[HS Code]])</f>
        <v>13006981</v>
      </c>
      <c r="AO395" s="6">
        <f>_xlfn.MAXIFS(HS_DB[Origin Share%],HS_DB[HS Code],HS_DB[[#This Row],[HS Code]])</f>
        <v>6.321329281187793E-2</v>
      </c>
      <c r="AP395" s="8" cm="1">
        <f t="array" ref="AP395">_xlfn.LET(
_xlpm.hs,HS_DB[[#This Row],[HS Code]],
COUNTA(_xlfn.UNIQUE(_xlfn._xlws.FILTER(HS_DB[Reporter],HS_DB[HS Code]=_xlpm.hs)))
)</f>
        <v>12</v>
      </c>
      <c r="AQ395" s="17" t="str">
        <f>IF(HS_DB[[#This Row],[Origin Count]]=1,"Single Source","Multiple Sources")</f>
        <v>Multiple Sources</v>
      </c>
      <c r="AR395" s="8">
        <f>HS_DB[[#This Row],[Annual Spend - USD]]*(HS_DB[[#This Row],[HS Code Risk Score]]/100)</f>
        <v>4422373.54</v>
      </c>
      <c r="AS395" s="8">
        <f>RANK(HS_DB[[#This Row],[Risk Exposure - USD]],HS_DB[Risk Exposure - USD],0)</f>
        <v>197</v>
      </c>
      <c r="AT395" s="8" t="str">
        <f>IF(HS_DB[[#This Row],[Risk Exposure Rank]]&lt;=10,"High",
 IF(HS_DB[[#This Row],[Risk Exposure Rank]]&lt;=30,"Medium",
 "Low"))</f>
        <v>Low</v>
      </c>
      <c r="AU395" s="8" t="str">
        <f>IF(HS_DB[[#This Row],[Risk Exposure Rank]]&lt;=5,"Immediate Action",
 IF(HS_DB[[#This Row],[Risk Exposure Rank]]&lt;=15,"Monitor Closely",
 "Routine Control"))</f>
        <v>Routine Control</v>
      </c>
      <c r="AV395" s="8">
        <f>SUMIFS(HS_DB[Trade Value - USD],HS_DB[HS Code],HS_DB[[#This Row],[HS Code]])</f>
        <v>13006981</v>
      </c>
      <c r="AW395" s="6">
        <f>HS_DB[[#This Row],[Annual Spend - USD]]/HS_DB[[#This Row],[Total Market Size - USD]]</f>
        <v>1</v>
      </c>
      <c r="AX395" s="6" cm="1">
        <f t="array" ref="AX395">COUNTA(_xlfn.UNIQUE(_xlfn._xlws.FILTER(HS_DB[Partner],HS_DB[HS Code]=HS_DB[[#This Row],[HS Code]])))</f>
        <v>1</v>
      </c>
      <c r="AY395" s="8" t="str">
        <f>IF(HS_DB[[#This Row],[Competition Intensity]]&lt;=2,"Highly Concentrated",
 IF(HS_DB[[#This Row],[Competition Intensity]]&lt;=5,"Moderate",
 "Highly Competitive"))</f>
        <v>Highly Concentrated</v>
      </c>
      <c r="AZ395" s="8">
        <f>HS_DB[[#This Row],[Total Market Size - USD]]
*
(1+IFERROR(#REF!,0))
/
HS_DB[[#This Row],[Competition Intensity]]</f>
        <v>13006981</v>
      </c>
      <c r="BA395" s="8" t="str">
        <f>IF(HS_DB[[#This Row],[Commercial Opportunity Score]]&gt;=PERCENTILE(HS_DB[Commercial Opportunity Score],0.9),"High Opportunity",
 IF(HS_DB[[#This Row],[Commercial Opportunity Score]]&gt;=PERCENTILE(HS_DB[Commercial Opportunity Score],0.6),"Medium Opportunity",
 "Routine Market"))</f>
        <v>Medium Opportunity</v>
      </c>
      <c r="BB395" s="3" t="str">
        <f>IF(AND(HS_DB[[#This Row],[Product Rank]]&gt;0,HS_DB[[#This Row],[Product Rank]]&lt;=10),"Yes","No")</f>
        <v>No</v>
      </c>
      <c r="BC395" s="3" t="str">
        <f>IF(AND(HS_DB[[#This Row],[Origin Rank]]&gt;0,HS_DB[[#This Row],[Origin Rank]]&lt;=10),"Yes","No")</f>
        <v>No</v>
      </c>
    </row>
    <row r="396" spans="2:55" x14ac:dyDescent="0.3">
      <c r="B396" s="2">
        <f>HS_DB[[#This Row],[Commodity Code]]</f>
        <v>110100</v>
      </c>
      <c r="C396" s="2">
        <f>IFERROR(INDEX(HS_MD!C:C,MATCH(B396,HS_MD!B:B,0),1),"")</f>
        <v>32</v>
      </c>
      <c r="D396" s="17" t="str">
        <f>IFERROR(INDEX(HS_MD!D:D,MATCH(B396,HS_MD!B:B,0),1),"")</f>
        <v>Wheat flour</v>
      </c>
      <c r="E396" s="17" t="str">
        <f>IFERROR(INDEX(HS_MD!E:E,MATCH(B396,HS_MD!B:B,0),1),"")</f>
        <v>Wheat Flour</v>
      </c>
      <c r="F396" s="17" t="str">
        <f>IFERROR(INDEX(HS_MD!F:F,MATCH(B396,HS_MD!B:B,0),1),"")</f>
        <v>Agricultural Raw Materials</v>
      </c>
      <c r="G396" s="17" t="str">
        <f>IFERROR(INDEX(HS_MD!G:G,MATCH(B396,HS_MD!B:B,0),1),"")</f>
        <v>Cereals &amp; Flours</v>
      </c>
      <c r="H396" s="17" t="str">
        <f>IFERROR(INDEX(HS_MD!H:H,MATCH(B396,HS_MD!B:B,0),1),"")</f>
        <v>Milled Wheat Flour</v>
      </c>
      <c r="I396" s="17" t="str">
        <f>IFERROR(INDEX(HS_MD!I:I,MATCH(B396,HS_MD!B:B,0),1),"")</f>
        <v>Bakery / Noodles / Sauces</v>
      </c>
      <c r="J396" s="17">
        <f>IFERROR(INDEX(Heat_Map[Index],MATCH(HS_DB[[#This Row],[Reporter]],Heat_Map[Global],0),1),"")</f>
        <v>41</v>
      </c>
      <c r="K396" s="17" t="str">
        <f>IF(AND(HS_DB[[#This Row],[Origin Rank]]&gt;1,HS_DB[[#This Row],[Origin Rank]]&lt;=10),"Yes","No")</f>
        <v>No</v>
      </c>
      <c r="L396" s="2">
        <v>2024</v>
      </c>
      <c r="M396" s="2" t="s">
        <v>57</v>
      </c>
      <c r="N396" s="2" t="s">
        <v>269</v>
      </c>
      <c r="O396" s="2" t="s">
        <v>22</v>
      </c>
      <c r="P396" s="2" t="s">
        <v>23</v>
      </c>
      <c r="Q396" s="2" t="s">
        <v>24</v>
      </c>
      <c r="R396" s="2" t="s">
        <v>25</v>
      </c>
      <c r="S396" s="2">
        <v>110100</v>
      </c>
      <c r="T396" s="3">
        <v>159381</v>
      </c>
      <c r="U396" s="3">
        <v>400000</v>
      </c>
      <c r="V396" s="3">
        <v>0</v>
      </c>
      <c r="W396" s="3">
        <v>400000</v>
      </c>
      <c r="X396" s="3" t="s">
        <v>58</v>
      </c>
      <c r="Y396" s="3">
        <v>400000</v>
      </c>
      <c r="Z396" s="3" t="s">
        <v>58</v>
      </c>
      <c r="AA396" s="6">
        <f>SUMIFS(HS_DB[Trade Value - USD],HS_DB[Reporter],HS_DB[[#This Row],[Reporter]])/SUM(HS_DB[Trade Value - USD])</f>
        <v>8.4551882075367362E-5</v>
      </c>
      <c r="AB396" s="8" cm="1">
        <f t="array" ref="AB396">SUMPRODUCT(
(HS_DB[Reporter]=HS_DB[[#This Row],[Reporter]])*
(HS_DB[Trade Value - USD]&gt;HS_DB[[#This Row],[Trade Value - USD]])
)+1</f>
        <v>1</v>
      </c>
      <c r="AC396" s="8" t="str">
        <f>IFERROR(IF(INDEX(Heat_Map[Crisis Impact %],MATCH(HS_DB[[#This Row],[Reporter]],Heat_Map[Global],0),1)&gt;0,"Yes","No"),"No")</f>
        <v>No</v>
      </c>
      <c r="AD396" s="6">
        <f>IFERROR(INDEX(Heat_Map[Crisis Impact %],MATCH(HS_DB[[#This Row],[Reporter]],Heat_Map[Global],0),1),0)</f>
        <v>0</v>
      </c>
      <c r="AE396" s="8">
        <f>HS_DB[[#This Row],[Crisis Impact%]]*HS_DB[[#This Row],[Trade Value - USD]]</f>
        <v>0</v>
      </c>
      <c r="AF396" s="8">
        <f>HS_DB[[#This Row],[Crisis Impact%]]*HS_DB[[#This Row],[Net Weight -KG]]</f>
        <v>0</v>
      </c>
      <c r="AG396" s="6">
        <f>SUMIFS(HS_DB[Trade Value - USD],HS_DB[Products],HS_DB[[#This Row],[Products]])/SUM(HS_DB[Trade Value - USD])</f>
        <v>6.9002247674976556E-3</v>
      </c>
      <c r="AH396" s="8">
        <f>_xlfn.RANK.EQ(HS_DB[[#This Row],[Trade Value - USD]], HS_DB[Trade Value - USD], 0)
 + COUNTIFS(HS_DB[Trade Value - USD],HS_DB[[#This Row],[Trade Value - USD]],
            HS_DB[HS Code],"&lt;"&amp;HS_DB[[#This Row],[HS Code]])</f>
        <v>238</v>
      </c>
      <c r="AI396" s="9">
        <f>IFERROR(HS_DB[[#This Row],[Trade Value - USD]]/HS_DB[[#This Row],[Net Weight -KG]],0)</f>
        <v>0.39845249999999999</v>
      </c>
      <c r="AJ396" s="17" cm="1">
        <f t="array" ref="AJ396">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96" s="17" t="str">
        <f>IF(HS_DB[[#This Row],[HS Code Risk Score]]&gt;=40,"High",
 IF(HS_DB[[#This Row],[HS Code Risk Score]]&gt;=25,"Medium","Low"))</f>
        <v>Medium</v>
      </c>
      <c r="AL396" s="17" t="str">
        <f>IF(RANK(HS_DB[[#This Row],[HS Code Risk Score]],HS_DB[HS Code Risk Score])&lt;=10,"Yes","No")</f>
        <v>No</v>
      </c>
      <c r="AM396" s="8">
        <f>SUMIFS(HS_DB[Net Weight -KG],HS_DB[HS Code],HS_DB[[#This Row],[HS Code]])</f>
        <v>26881115.800000001</v>
      </c>
      <c r="AN396" s="8">
        <f>SUMIFS(HS_DB[Trade Value - USD],HS_DB[HS Code],HS_DB[[#This Row],[HS Code]])</f>
        <v>13006981</v>
      </c>
      <c r="AO396" s="6">
        <f>_xlfn.MAXIFS(HS_DB[Origin Share%],HS_DB[HS Code],HS_DB[[#This Row],[HS Code]])</f>
        <v>6.321329281187793E-2</v>
      </c>
      <c r="AP396" s="8" cm="1">
        <f t="array" ref="AP396">_xlfn.LET(
_xlpm.hs,HS_DB[[#This Row],[HS Code]],
COUNTA(_xlfn.UNIQUE(_xlfn._xlws.FILTER(HS_DB[Reporter],HS_DB[HS Code]=_xlpm.hs)))
)</f>
        <v>12</v>
      </c>
      <c r="AQ396" s="17" t="str">
        <f>IF(HS_DB[[#This Row],[Origin Count]]=1,"Single Source","Multiple Sources")</f>
        <v>Multiple Sources</v>
      </c>
      <c r="AR396" s="8">
        <f>HS_DB[[#This Row],[Annual Spend - USD]]*(HS_DB[[#This Row],[HS Code Risk Score]]/100)</f>
        <v>4422373.54</v>
      </c>
      <c r="AS396" s="8">
        <f>RANK(HS_DB[[#This Row],[Risk Exposure - USD]],HS_DB[Risk Exposure - USD],0)</f>
        <v>197</v>
      </c>
      <c r="AT396" s="8" t="str">
        <f>IF(HS_DB[[#This Row],[Risk Exposure Rank]]&lt;=10,"High",
 IF(HS_DB[[#This Row],[Risk Exposure Rank]]&lt;=30,"Medium",
 "Low"))</f>
        <v>Low</v>
      </c>
      <c r="AU396" s="8" t="str">
        <f>IF(HS_DB[[#This Row],[Risk Exposure Rank]]&lt;=5,"Immediate Action",
 IF(HS_DB[[#This Row],[Risk Exposure Rank]]&lt;=15,"Monitor Closely",
 "Routine Control"))</f>
        <v>Routine Control</v>
      </c>
      <c r="AV396" s="8">
        <f>SUMIFS(HS_DB[Trade Value - USD],HS_DB[HS Code],HS_DB[[#This Row],[HS Code]])</f>
        <v>13006981</v>
      </c>
      <c r="AW396" s="6">
        <f>HS_DB[[#This Row],[Annual Spend - USD]]/HS_DB[[#This Row],[Total Market Size - USD]]</f>
        <v>1</v>
      </c>
      <c r="AX396" s="6" cm="1">
        <f t="array" ref="AX396">COUNTA(_xlfn.UNIQUE(_xlfn._xlws.FILTER(HS_DB[Partner],HS_DB[HS Code]=HS_DB[[#This Row],[HS Code]])))</f>
        <v>1</v>
      </c>
      <c r="AY396" s="8" t="str">
        <f>IF(HS_DB[[#This Row],[Competition Intensity]]&lt;=2,"Highly Concentrated",
 IF(HS_DB[[#This Row],[Competition Intensity]]&lt;=5,"Moderate",
 "Highly Competitive"))</f>
        <v>Highly Concentrated</v>
      </c>
      <c r="AZ396" s="8">
        <f>HS_DB[[#This Row],[Total Market Size - USD]]
*
(1+IFERROR(#REF!,0))
/
HS_DB[[#This Row],[Competition Intensity]]</f>
        <v>13006981</v>
      </c>
      <c r="BA396" s="8" t="str">
        <f>IF(HS_DB[[#This Row],[Commercial Opportunity Score]]&gt;=PERCENTILE(HS_DB[Commercial Opportunity Score],0.9),"High Opportunity",
 IF(HS_DB[[#This Row],[Commercial Opportunity Score]]&gt;=PERCENTILE(HS_DB[Commercial Opportunity Score],0.6),"Medium Opportunity",
 "Routine Market"))</f>
        <v>Medium Opportunity</v>
      </c>
      <c r="BB396" s="3" t="str">
        <f>IF(AND(HS_DB[[#This Row],[Product Rank]]&gt;0,HS_DB[[#This Row],[Product Rank]]&lt;=10),"Yes","No")</f>
        <v>No</v>
      </c>
      <c r="BC396" s="3" t="str">
        <f>IF(AND(HS_DB[[#This Row],[Origin Rank]]&gt;0,HS_DB[[#This Row],[Origin Rank]]&lt;=10),"Yes","No")</f>
        <v>Yes</v>
      </c>
    </row>
    <row r="397" spans="2:55" x14ac:dyDescent="0.3">
      <c r="B397" s="2">
        <f>HS_DB[[#This Row],[Commodity Code]]</f>
        <v>110100</v>
      </c>
      <c r="C397" s="2">
        <f>IFERROR(INDEX(HS_MD!C:C,MATCH(B397,HS_MD!B:B,0),1),"")</f>
        <v>32</v>
      </c>
      <c r="D397" s="17" t="str">
        <f>IFERROR(INDEX(HS_MD!D:D,MATCH(B397,HS_MD!B:B,0),1),"")</f>
        <v>Wheat flour</v>
      </c>
      <c r="E397" s="17" t="str">
        <f>IFERROR(INDEX(HS_MD!E:E,MATCH(B397,HS_MD!B:B,0),1),"")</f>
        <v>Wheat Flour</v>
      </c>
      <c r="F397" s="17" t="str">
        <f>IFERROR(INDEX(HS_MD!F:F,MATCH(B397,HS_MD!B:B,0),1),"")</f>
        <v>Agricultural Raw Materials</v>
      </c>
      <c r="G397" s="17" t="str">
        <f>IFERROR(INDEX(HS_MD!G:G,MATCH(B397,HS_MD!B:B,0),1),"")</f>
        <v>Cereals &amp; Flours</v>
      </c>
      <c r="H397" s="17" t="str">
        <f>IFERROR(INDEX(HS_MD!H:H,MATCH(B397,HS_MD!B:B,0),1),"")</f>
        <v>Milled Wheat Flour</v>
      </c>
      <c r="I397" s="17" t="str">
        <f>IFERROR(INDEX(HS_MD!I:I,MATCH(B397,HS_MD!B:B,0),1),"")</f>
        <v>Bakery / Noodles / Sauces</v>
      </c>
      <c r="J397" s="17">
        <f>IFERROR(INDEX(Heat_Map[Index],MATCH(HS_DB[[#This Row],[Reporter]],Heat_Map[Global],0),1),"")</f>
        <v>19</v>
      </c>
      <c r="K397" s="17" t="str">
        <f>IF(AND(HS_DB[[#This Row],[Origin Rank]]&gt;1,HS_DB[[#This Row],[Origin Rank]]&lt;=10),"Yes","No")</f>
        <v>No</v>
      </c>
      <c r="L397" s="2">
        <v>2024</v>
      </c>
      <c r="M397" s="2" t="s">
        <v>57</v>
      </c>
      <c r="N397" s="2" t="s">
        <v>253</v>
      </c>
      <c r="O397" s="2" t="s">
        <v>22</v>
      </c>
      <c r="P397" s="2" t="s">
        <v>23</v>
      </c>
      <c r="Q397" s="2" t="s">
        <v>24</v>
      </c>
      <c r="R397" s="2" t="s">
        <v>25</v>
      </c>
      <c r="S397" s="2">
        <v>110100</v>
      </c>
      <c r="T397" s="3">
        <v>24135</v>
      </c>
      <c r="U397" s="3">
        <v>54128</v>
      </c>
      <c r="V397" s="3">
        <v>0</v>
      </c>
      <c r="W397" s="3">
        <v>54128</v>
      </c>
      <c r="X397" s="3" t="s">
        <v>58</v>
      </c>
      <c r="Y397" s="3">
        <v>54128</v>
      </c>
      <c r="Z397" s="3" t="s">
        <v>58</v>
      </c>
      <c r="AA397" s="6">
        <f>SUMIFS(HS_DB[Trade Value - USD],HS_DB[Reporter],HS_DB[[#This Row],[Reporter]])/SUM(HS_DB[Trade Value - USD])</f>
        <v>1.2803657110251482E-5</v>
      </c>
      <c r="AB397" s="8" cm="1">
        <f t="array" ref="AB397">SUMPRODUCT(
(HS_DB[Reporter]=HS_DB[[#This Row],[Reporter]])*
(HS_DB[Trade Value - USD]&gt;HS_DB[[#This Row],[Trade Value - USD]])
)+1</f>
        <v>1</v>
      </c>
      <c r="AC397" s="8" t="str">
        <f>IFERROR(IF(INDEX(Heat_Map[Crisis Impact %],MATCH(HS_DB[[#This Row],[Reporter]],Heat_Map[Global],0),1)&gt;0,"Yes","No"),"No")</f>
        <v>No</v>
      </c>
      <c r="AD397" s="6">
        <f>IFERROR(INDEX(Heat_Map[Crisis Impact %],MATCH(HS_DB[[#This Row],[Reporter]],Heat_Map[Global],0),1),0)</f>
        <v>0</v>
      </c>
      <c r="AE397" s="8">
        <f>HS_DB[[#This Row],[Crisis Impact%]]*HS_DB[[#This Row],[Trade Value - USD]]</f>
        <v>0</v>
      </c>
      <c r="AF397" s="8">
        <f>HS_DB[[#This Row],[Crisis Impact%]]*HS_DB[[#This Row],[Net Weight -KG]]</f>
        <v>0</v>
      </c>
      <c r="AG397" s="6">
        <f>SUMIFS(HS_DB[Trade Value - USD],HS_DB[Products],HS_DB[[#This Row],[Products]])/SUM(HS_DB[Trade Value - USD])</f>
        <v>6.9002247674976556E-3</v>
      </c>
      <c r="AH397" s="8">
        <f>_xlfn.RANK.EQ(HS_DB[[#This Row],[Trade Value - USD]], HS_DB[Trade Value - USD], 0)
 + COUNTIFS(HS_DB[Trade Value - USD],HS_DB[[#This Row],[Trade Value - USD]],
            HS_DB[HS Code],"&lt;"&amp;HS_DB[[#This Row],[HS Code]])</f>
        <v>370</v>
      </c>
      <c r="AI397" s="9">
        <f>IFERROR(HS_DB[[#This Row],[Trade Value - USD]]/HS_DB[[#This Row],[Net Weight -KG]],0)</f>
        <v>0.44588752586461722</v>
      </c>
      <c r="AJ397" s="17" cm="1">
        <f t="array" ref="AJ397">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97" s="17" t="str">
        <f>IF(HS_DB[[#This Row],[HS Code Risk Score]]&gt;=40,"High",
 IF(HS_DB[[#This Row],[HS Code Risk Score]]&gt;=25,"Medium","Low"))</f>
        <v>Medium</v>
      </c>
      <c r="AL397" s="17" t="str">
        <f>IF(RANK(HS_DB[[#This Row],[HS Code Risk Score]],HS_DB[HS Code Risk Score])&lt;=10,"Yes","No")</f>
        <v>No</v>
      </c>
      <c r="AM397" s="8">
        <f>SUMIFS(HS_DB[Net Weight -KG],HS_DB[HS Code],HS_DB[[#This Row],[HS Code]])</f>
        <v>26881115.800000001</v>
      </c>
      <c r="AN397" s="8">
        <f>SUMIFS(HS_DB[Trade Value - USD],HS_DB[HS Code],HS_DB[[#This Row],[HS Code]])</f>
        <v>13006981</v>
      </c>
      <c r="AO397" s="6">
        <f>_xlfn.MAXIFS(HS_DB[Origin Share%],HS_DB[HS Code],HS_DB[[#This Row],[HS Code]])</f>
        <v>6.321329281187793E-2</v>
      </c>
      <c r="AP397" s="8" cm="1">
        <f t="array" ref="AP397">_xlfn.LET(
_xlpm.hs,HS_DB[[#This Row],[HS Code]],
COUNTA(_xlfn.UNIQUE(_xlfn._xlws.FILTER(HS_DB[Reporter],HS_DB[HS Code]=_xlpm.hs)))
)</f>
        <v>12</v>
      </c>
      <c r="AQ397" s="17" t="str">
        <f>IF(HS_DB[[#This Row],[Origin Count]]=1,"Single Source","Multiple Sources")</f>
        <v>Multiple Sources</v>
      </c>
      <c r="AR397" s="8">
        <f>HS_DB[[#This Row],[Annual Spend - USD]]*(HS_DB[[#This Row],[HS Code Risk Score]]/100)</f>
        <v>4422373.54</v>
      </c>
      <c r="AS397" s="8">
        <f>RANK(HS_DB[[#This Row],[Risk Exposure - USD]],HS_DB[Risk Exposure - USD],0)</f>
        <v>197</v>
      </c>
      <c r="AT397" s="8" t="str">
        <f>IF(HS_DB[[#This Row],[Risk Exposure Rank]]&lt;=10,"High",
 IF(HS_DB[[#This Row],[Risk Exposure Rank]]&lt;=30,"Medium",
 "Low"))</f>
        <v>Low</v>
      </c>
      <c r="AU397" s="8" t="str">
        <f>IF(HS_DB[[#This Row],[Risk Exposure Rank]]&lt;=5,"Immediate Action",
 IF(HS_DB[[#This Row],[Risk Exposure Rank]]&lt;=15,"Monitor Closely",
 "Routine Control"))</f>
        <v>Routine Control</v>
      </c>
      <c r="AV397" s="8">
        <f>SUMIFS(HS_DB[Trade Value - USD],HS_DB[HS Code],HS_DB[[#This Row],[HS Code]])</f>
        <v>13006981</v>
      </c>
      <c r="AW397" s="6">
        <f>HS_DB[[#This Row],[Annual Spend - USD]]/HS_DB[[#This Row],[Total Market Size - USD]]</f>
        <v>1</v>
      </c>
      <c r="AX397" s="6" cm="1">
        <f t="array" ref="AX397">COUNTA(_xlfn.UNIQUE(_xlfn._xlws.FILTER(HS_DB[Partner],HS_DB[HS Code]=HS_DB[[#This Row],[HS Code]])))</f>
        <v>1</v>
      </c>
      <c r="AY397" s="8" t="str">
        <f>IF(HS_DB[[#This Row],[Competition Intensity]]&lt;=2,"Highly Concentrated",
 IF(HS_DB[[#This Row],[Competition Intensity]]&lt;=5,"Moderate",
 "Highly Competitive"))</f>
        <v>Highly Concentrated</v>
      </c>
      <c r="AZ397" s="8">
        <f>HS_DB[[#This Row],[Total Market Size - USD]]
*
(1+IFERROR(#REF!,0))
/
HS_DB[[#This Row],[Competition Intensity]]</f>
        <v>13006981</v>
      </c>
      <c r="BA397" s="8" t="str">
        <f>IF(HS_DB[[#This Row],[Commercial Opportunity Score]]&gt;=PERCENTILE(HS_DB[Commercial Opportunity Score],0.9),"High Opportunity",
 IF(HS_DB[[#This Row],[Commercial Opportunity Score]]&gt;=PERCENTILE(HS_DB[Commercial Opportunity Score],0.6),"Medium Opportunity",
 "Routine Market"))</f>
        <v>Medium Opportunity</v>
      </c>
      <c r="BB397" s="3" t="str">
        <f>IF(AND(HS_DB[[#This Row],[Product Rank]]&gt;0,HS_DB[[#This Row],[Product Rank]]&lt;=10),"Yes","No")</f>
        <v>No</v>
      </c>
      <c r="BC397" s="3" t="str">
        <f>IF(AND(HS_DB[[#This Row],[Origin Rank]]&gt;0,HS_DB[[#This Row],[Origin Rank]]&lt;=10),"Yes","No")</f>
        <v>Yes</v>
      </c>
    </row>
    <row r="398" spans="2:55" x14ac:dyDescent="0.3">
      <c r="B398" s="2">
        <f>HS_DB[[#This Row],[Commodity Code]]</f>
        <v>110100</v>
      </c>
      <c r="C398" s="2">
        <f>IFERROR(INDEX(HS_MD!C:C,MATCH(B398,HS_MD!B:B,0),1),"")</f>
        <v>32</v>
      </c>
      <c r="D398" s="17" t="str">
        <f>IFERROR(INDEX(HS_MD!D:D,MATCH(B398,HS_MD!B:B,0),1),"")</f>
        <v>Wheat flour</v>
      </c>
      <c r="E398" s="17" t="str">
        <f>IFERROR(INDEX(HS_MD!E:E,MATCH(B398,HS_MD!B:B,0),1),"")</f>
        <v>Wheat Flour</v>
      </c>
      <c r="F398" s="17" t="str">
        <f>IFERROR(INDEX(HS_MD!F:F,MATCH(B398,HS_MD!B:B,0),1),"")</f>
        <v>Agricultural Raw Materials</v>
      </c>
      <c r="G398" s="17" t="str">
        <f>IFERROR(INDEX(HS_MD!G:G,MATCH(B398,HS_MD!B:B,0),1),"")</f>
        <v>Cereals &amp; Flours</v>
      </c>
      <c r="H398" s="17" t="str">
        <f>IFERROR(INDEX(HS_MD!H:H,MATCH(B398,HS_MD!B:B,0),1),"")</f>
        <v>Milled Wheat Flour</v>
      </c>
      <c r="I398" s="17" t="str">
        <f>IFERROR(INDEX(HS_MD!I:I,MATCH(B398,HS_MD!B:B,0),1),"")</f>
        <v>Bakery / Noodles / Sauces</v>
      </c>
      <c r="J398" s="17">
        <f>IFERROR(INDEX(Heat_Map[Index],MATCH(HS_DB[[#This Row],[Reporter]],Heat_Map[Global],0),1),"")</f>
        <v>59</v>
      </c>
      <c r="K398" s="17" t="str">
        <f>IF(AND(HS_DB[[#This Row],[Origin Rank]]&gt;1,HS_DB[[#This Row],[Origin Rank]]&lt;=10),"Yes","No")</f>
        <v>Yes</v>
      </c>
      <c r="L398" s="2">
        <v>2024</v>
      </c>
      <c r="M398" s="2" t="s">
        <v>57</v>
      </c>
      <c r="N398" s="2" t="s">
        <v>44</v>
      </c>
      <c r="O398" s="2" t="s">
        <v>22</v>
      </c>
      <c r="P398" s="2" t="s">
        <v>23</v>
      </c>
      <c r="Q398" s="2" t="s">
        <v>24</v>
      </c>
      <c r="R398" s="2" t="s">
        <v>25</v>
      </c>
      <c r="S398" s="2">
        <v>110100</v>
      </c>
      <c r="T398" s="3">
        <v>726930</v>
      </c>
      <c r="U398" s="3">
        <v>820466</v>
      </c>
      <c r="V398" s="3">
        <v>0</v>
      </c>
      <c r="W398" s="3">
        <v>820466</v>
      </c>
      <c r="X398" s="3" t="s">
        <v>58</v>
      </c>
      <c r="Y398" s="3">
        <v>820466</v>
      </c>
      <c r="Z398" s="3" t="s">
        <v>58</v>
      </c>
      <c r="AA398" s="6">
        <f>SUMIFS(HS_DB[Trade Value - USD],HS_DB[Reporter],HS_DB[[#This Row],[Reporter]])/SUM(HS_DB[Trade Value - USD])</f>
        <v>1.6951290293147386E-2</v>
      </c>
      <c r="AB398" s="8" cm="1">
        <f t="array" ref="AB398">SUMPRODUCT(
(HS_DB[Reporter]=HS_DB[[#This Row],[Reporter]])*
(HS_DB[Trade Value - USD]&gt;HS_DB[[#This Row],[Trade Value - USD]])
)+1</f>
        <v>8</v>
      </c>
      <c r="AC398" s="8" t="str">
        <f>IFERROR(IF(INDEX(Heat_Map[Crisis Impact %],MATCH(HS_DB[[#This Row],[Reporter]],Heat_Map[Global],0),1)&gt;0,"Yes","No"),"No")</f>
        <v>No</v>
      </c>
      <c r="AD398" s="6">
        <f>IFERROR(INDEX(Heat_Map[Crisis Impact %],MATCH(HS_DB[[#This Row],[Reporter]],Heat_Map[Global],0),1),0)</f>
        <v>0</v>
      </c>
      <c r="AE398" s="8">
        <f>HS_DB[[#This Row],[Crisis Impact%]]*HS_DB[[#This Row],[Trade Value - USD]]</f>
        <v>0</v>
      </c>
      <c r="AF398" s="8">
        <f>HS_DB[[#This Row],[Crisis Impact%]]*HS_DB[[#This Row],[Net Weight -KG]]</f>
        <v>0</v>
      </c>
      <c r="AG398" s="6">
        <f>SUMIFS(HS_DB[Trade Value - USD],HS_DB[Products],HS_DB[[#This Row],[Products]])/SUM(HS_DB[Trade Value - USD])</f>
        <v>6.9002247674976556E-3</v>
      </c>
      <c r="AH398" s="8">
        <f>_xlfn.RANK.EQ(HS_DB[[#This Row],[Trade Value - USD]], HS_DB[Trade Value - USD], 0)
 + COUNTIFS(HS_DB[Trade Value - USD],HS_DB[[#This Row],[Trade Value - USD]],
            HS_DB[HS Code],"&lt;"&amp;HS_DB[[#This Row],[HS Code]])</f>
        <v>120</v>
      </c>
      <c r="AI398" s="9">
        <f>IFERROR(HS_DB[[#This Row],[Trade Value - USD]]/HS_DB[[#This Row],[Net Weight -KG]],0)</f>
        <v>0.88599649467497743</v>
      </c>
      <c r="AJ398" s="17" cm="1">
        <f t="array" ref="AJ398">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98" s="17" t="str">
        <f>IF(HS_DB[[#This Row],[HS Code Risk Score]]&gt;=40,"High",
 IF(HS_DB[[#This Row],[HS Code Risk Score]]&gt;=25,"Medium","Low"))</f>
        <v>Medium</v>
      </c>
      <c r="AL398" s="17" t="str">
        <f>IF(RANK(HS_DB[[#This Row],[HS Code Risk Score]],HS_DB[HS Code Risk Score])&lt;=10,"Yes","No")</f>
        <v>No</v>
      </c>
      <c r="AM398" s="8">
        <f>SUMIFS(HS_DB[Net Weight -KG],HS_DB[HS Code],HS_DB[[#This Row],[HS Code]])</f>
        <v>26881115.800000001</v>
      </c>
      <c r="AN398" s="8">
        <f>SUMIFS(HS_DB[Trade Value - USD],HS_DB[HS Code],HS_DB[[#This Row],[HS Code]])</f>
        <v>13006981</v>
      </c>
      <c r="AO398" s="6">
        <f>_xlfn.MAXIFS(HS_DB[Origin Share%],HS_DB[HS Code],HS_DB[[#This Row],[HS Code]])</f>
        <v>6.321329281187793E-2</v>
      </c>
      <c r="AP398" s="8" cm="1">
        <f t="array" ref="AP398">_xlfn.LET(
_xlpm.hs,HS_DB[[#This Row],[HS Code]],
COUNTA(_xlfn.UNIQUE(_xlfn._xlws.FILTER(HS_DB[Reporter],HS_DB[HS Code]=_xlpm.hs)))
)</f>
        <v>12</v>
      </c>
      <c r="AQ398" s="17" t="str">
        <f>IF(HS_DB[[#This Row],[Origin Count]]=1,"Single Source","Multiple Sources")</f>
        <v>Multiple Sources</v>
      </c>
      <c r="AR398" s="8">
        <f>HS_DB[[#This Row],[Annual Spend - USD]]*(HS_DB[[#This Row],[HS Code Risk Score]]/100)</f>
        <v>4422373.54</v>
      </c>
      <c r="AS398" s="8">
        <f>RANK(HS_DB[[#This Row],[Risk Exposure - USD]],HS_DB[Risk Exposure - USD],0)</f>
        <v>197</v>
      </c>
      <c r="AT398" s="8" t="str">
        <f>IF(HS_DB[[#This Row],[Risk Exposure Rank]]&lt;=10,"High",
 IF(HS_DB[[#This Row],[Risk Exposure Rank]]&lt;=30,"Medium",
 "Low"))</f>
        <v>Low</v>
      </c>
      <c r="AU398" s="8" t="str">
        <f>IF(HS_DB[[#This Row],[Risk Exposure Rank]]&lt;=5,"Immediate Action",
 IF(HS_DB[[#This Row],[Risk Exposure Rank]]&lt;=15,"Monitor Closely",
 "Routine Control"))</f>
        <v>Routine Control</v>
      </c>
      <c r="AV398" s="8">
        <f>SUMIFS(HS_DB[Trade Value - USD],HS_DB[HS Code],HS_DB[[#This Row],[HS Code]])</f>
        <v>13006981</v>
      </c>
      <c r="AW398" s="6">
        <f>HS_DB[[#This Row],[Annual Spend - USD]]/HS_DB[[#This Row],[Total Market Size - USD]]</f>
        <v>1</v>
      </c>
      <c r="AX398" s="6" cm="1">
        <f t="array" ref="AX398">COUNTA(_xlfn.UNIQUE(_xlfn._xlws.FILTER(HS_DB[Partner],HS_DB[HS Code]=HS_DB[[#This Row],[HS Code]])))</f>
        <v>1</v>
      </c>
      <c r="AY398" s="8" t="str">
        <f>IF(HS_DB[[#This Row],[Competition Intensity]]&lt;=2,"Highly Concentrated",
 IF(HS_DB[[#This Row],[Competition Intensity]]&lt;=5,"Moderate",
 "Highly Competitive"))</f>
        <v>Highly Concentrated</v>
      </c>
      <c r="AZ398" s="8">
        <f>HS_DB[[#This Row],[Total Market Size - USD]]
*
(1+IFERROR(#REF!,0))
/
HS_DB[[#This Row],[Competition Intensity]]</f>
        <v>13006981</v>
      </c>
      <c r="BA398" s="8" t="str">
        <f>IF(HS_DB[[#This Row],[Commercial Opportunity Score]]&gt;=PERCENTILE(HS_DB[Commercial Opportunity Score],0.9),"High Opportunity",
 IF(HS_DB[[#This Row],[Commercial Opportunity Score]]&gt;=PERCENTILE(HS_DB[Commercial Opportunity Score],0.6),"Medium Opportunity",
 "Routine Market"))</f>
        <v>Medium Opportunity</v>
      </c>
      <c r="BB398" s="3" t="str">
        <f>IF(AND(HS_DB[[#This Row],[Product Rank]]&gt;0,HS_DB[[#This Row],[Product Rank]]&lt;=10),"Yes","No")</f>
        <v>No</v>
      </c>
      <c r="BC398" s="3" t="str">
        <f>IF(AND(HS_DB[[#This Row],[Origin Rank]]&gt;0,HS_DB[[#This Row],[Origin Rank]]&lt;=10),"Yes","No")</f>
        <v>Yes</v>
      </c>
    </row>
    <row r="399" spans="2:55" x14ac:dyDescent="0.3">
      <c r="B399" s="2">
        <f>HS_DB[[#This Row],[Commodity Code]]</f>
        <v>110100</v>
      </c>
      <c r="C399" s="2">
        <f>IFERROR(INDEX(HS_MD!C:C,MATCH(B399,HS_MD!B:B,0),1),"")</f>
        <v>32</v>
      </c>
      <c r="D399" s="17" t="str">
        <f>IFERROR(INDEX(HS_MD!D:D,MATCH(B399,HS_MD!B:B,0),1),"")</f>
        <v>Wheat flour</v>
      </c>
      <c r="E399" s="17" t="str">
        <f>IFERROR(INDEX(HS_MD!E:E,MATCH(B399,HS_MD!B:B,0),1),"")</f>
        <v>Wheat Flour</v>
      </c>
      <c r="F399" s="17" t="str">
        <f>IFERROR(INDEX(HS_MD!F:F,MATCH(B399,HS_MD!B:B,0),1),"")</f>
        <v>Agricultural Raw Materials</v>
      </c>
      <c r="G399" s="17" t="str">
        <f>IFERROR(INDEX(HS_MD!G:G,MATCH(B399,HS_MD!B:B,0),1),"")</f>
        <v>Cereals &amp; Flours</v>
      </c>
      <c r="H399" s="17" t="str">
        <f>IFERROR(INDEX(HS_MD!H:H,MATCH(B399,HS_MD!B:B,0),1),"")</f>
        <v>Milled Wheat Flour</v>
      </c>
      <c r="I399" s="17" t="str">
        <f>IFERROR(INDEX(HS_MD!I:I,MATCH(B399,HS_MD!B:B,0),1),"")</f>
        <v>Bakery / Noodles / Sauces</v>
      </c>
      <c r="J399" s="17">
        <f>IFERROR(INDEX(Heat_Map[Index],MATCH(HS_DB[[#This Row],[Reporter]],Heat_Map[Global],0),1),"")</f>
        <v>63</v>
      </c>
      <c r="K399" s="17" t="str">
        <f>IF(AND(HS_DB[[#This Row],[Origin Rank]]&gt;1,HS_DB[[#This Row],[Origin Rank]]&lt;=10),"Yes","No")</f>
        <v>No</v>
      </c>
      <c r="L399" s="2">
        <v>2024</v>
      </c>
      <c r="M399" s="2" t="s">
        <v>57</v>
      </c>
      <c r="N399" s="2" t="s">
        <v>2</v>
      </c>
      <c r="O399" s="2" t="s">
        <v>22</v>
      </c>
      <c r="P399" s="2" t="s">
        <v>23</v>
      </c>
      <c r="Q399" s="2" t="s">
        <v>24</v>
      </c>
      <c r="R399" s="2" t="s">
        <v>25</v>
      </c>
      <c r="S399" s="2">
        <v>110100</v>
      </c>
      <c r="T399" s="3">
        <v>637</v>
      </c>
      <c r="U399" s="3">
        <v>1045</v>
      </c>
      <c r="V399" s="3">
        <v>0</v>
      </c>
      <c r="W399" s="3">
        <v>1045</v>
      </c>
      <c r="X399" s="3" t="s">
        <v>58</v>
      </c>
      <c r="Y399" s="3">
        <v>1045</v>
      </c>
      <c r="Z399" s="3" t="s">
        <v>58</v>
      </c>
      <c r="AA399" s="6">
        <f>SUMIFS(HS_DB[Trade Value - USD],HS_DB[Reporter],HS_DB[[#This Row],[Reporter]])/SUM(HS_DB[Trade Value - USD])</f>
        <v>1.1674623358397021E-2</v>
      </c>
      <c r="AB399" s="8" cm="1">
        <f t="array" ref="AB399">SUMPRODUCT(
(HS_DB[Reporter]=HS_DB[[#This Row],[Reporter]])*
(HS_DB[Trade Value - USD]&gt;HS_DB[[#This Row],[Trade Value - USD]])
)+1</f>
        <v>32</v>
      </c>
      <c r="AC399" s="8" t="str">
        <f>IFERROR(IF(INDEX(Heat_Map[Crisis Impact %],MATCH(HS_DB[[#This Row],[Reporter]],Heat_Map[Global],0),1)&gt;0,"Yes","No"),"No")</f>
        <v>No</v>
      </c>
      <c r="AD399" s="6">
        <f>IFERROR(INDEX(Heat_Map[Crisis Impact %],MATCH(HS_DB[[#This Row],[Reporter]],Heat_Map[Global],0),1),0)</f>
        <v>0</v>
      </c>
      <c r="AE399" s="8">
        <f>HS_DB[[#This Row],[Crisis Impact%]]*HS_DB[[#This Row],[Trade Value - USD]]</f>
        <v>0</v>
      </c>
      <c r="AF399" s="8">
        <f>HS_DB[[#This Row],[Crisis Impact%]]*HS_DB[[#This Row],[Net Weight -KG]]</f>
        <v>0</v>
      </c>
      <c r="AG399" s="6">
        <f>SUMIFS(HS_DB[Trade Value - USD],HS_DB[Products],HS_DB[[#This Row],[Products]])/SUM(HS_DB[Trade Value - USD])</f>
        <v>6.9002247674976556E-3</v>
      </c>
      <c r="AH399" s="8">
        <f>_xlfn.RANK.EQ(HS_DB[[#This Row],[Trade Value - USD]], HS_DB[Trade Value - USD], 0)
 + COUNTIFS(HS_DB[Trade Value - USD],HS_DB[[#This Row],[Trade Value - USD]],
            HS_DB[HS Code],"&lt;"&amp;HS_DB[[#This Row],[HS Code]])</f>
        <v>493</v>
      </c>
      <c r="AI399" s="9">
        <f>IFERROR(HS_DB[[#This Row],[Trade Value - USD]]/HS_DB[[#This Row],[Net Weight -KG]],0)</f>
        <v>0.60956937799043065</v>
      </c>
      <c r="AJ399" s="17" cm="1">
        <f t="array" ref="AJ399">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399" s="17" t="str">
        <f>IF(HS_DB[[#This Row],[HS Code Risk Score]]&gt;=40,"High",
 IF(HS_DB[[#This Row],[HS Code Risk Score]]&gt;=25,"Medium","Low"))</f>
        <v>Medium</v>
      </c>
      <c r="AL399" s="17" t="str">
        <f>IF(RANK(HS_DB[[#This Row],[HS Code Risk Score]],HS_DB[HS Code Risk Score])&lt;=10,"Yes","No")</f>
        <v>No</v>
      </c>
      <c r="AM399" s="8">
        <f>SUMIFS(HS_DB[Net Weight -KG],HS_DB[HS Code],HS_DB[[#This Row],[HS Code]])</f>
        <v>26881115.800000001</v>
      </c>
      <c r="AN399" s="8">
        <f>SUMIFS(HS_DB[Trade Value - USD],HS_DB[HS Code],HS_DB[[#This Row],[HS Code]])</f>
        <v>13006981</v>
      </c>
      <c r="AO399" s="6">
        <f>_xlfn.MAXIFS(HS_DB[Origin Share%],HS_DB[HS Code],HS_DB[[#This Row],[HS Code]])</f>
        <v>6.321329281187793E-2</v>
      </c>
      <c r="AP399" s="8" cm="1">
        <f t="array" ref="AP399">_xlfn.LET(
_xlpm.hs,HS_DB[[#This Row],[HS Code]],
COUNTA(_xlfn.UNIQUE(_xlfn._xlws.FILTER(HS_DB[Reporter],HS_DB[HS Code]=_xlpm.hs)))
)</f>
        <v>12</v>
      </c>
      <c r="AQ399" s="17" t="str">
        <f>IF(HS_DB[[#This Row],[Origin Count]]=1,"Single Source","Multiple Sources")</f>
        <v>Multiple Sources</v>
      </c>
      <c r="AR399" s="8">
        <f>HS_DB[[#This Row],[Annual Spend - USD]]*(HS_DB[[#This Row],[HS Code Risk Score]]/100)</f>
        <v>4422373.54</v>
      </c>
      <c r="AS399" s="8">
        <f>RANK(HS_DB[[#This Row],[Risk Exposure - USD]],HS_DB[Risk Exposure - USD],0)</f>
        <v>197</v>
      </c>
      <c r="AT399" s="8" t="str">
        <f>IF(HS_DB[[#This Row],[Risk Exposure Rank]]&lt;=10,"High",
 IF(HS_DB[[#This Row],[Risk Exposure Rank]]&lt;=30,"Medium",
 "Low"))</f>
        <v>Low</v>
      </c>
      <c r="AU399" s="8" t="str">
        <f>IF(HS_DB[[#This Row],[Risk Exposure Rank]]&lt;=5,"Immediate Action",
 IF(HS_DB[[#This Row],[Risk Exposure Rank]]&lt;=15,"Monitor Closely",
 "Routine Control"))</f>
        <v>Routine Control</v>
      </c>
      <c r="AV399" s="8">
        <f>SUMIFS(HS_DB[Trade Value - USD],HS_DB[HS Code],HS_DB[[#This Row],[HS Code]])</f>
        <v>13006981</v>
      </c>
      <c r="AW399" s="6">
        <f>HS_DB[[#This Row],[Annual Spend - USD]]/HS_DB[[#This Row],[Total Market Size - USD]]</f>
        <v>1</v>
      </c>
      <c r="AX399" s="6" cm="1">
        <f t="array" ref="AX399">COUNTA(_xlfn.UNIQUE(_xlfn._xlws.FILTER(HS_DB[Partner],HS_DB[HS Code]=HS_DB[[#This Row],[HS Code]])))</f>
        <v>1</v>
      </c>
      <c r="AY399" s="8" t="str">
        <f>IF(HS_DB[[#This Row],[Competition Intensity]]&lt;=2,"Highly Concentrated",
 IF(HS_DB[[#This Row],[Competition Intensity]]&lt;=5,"Moderate",
 "Highly Competitive"))</f>
        <v>Highly Concentrated</v>
      </c>
      <c r="AZ399" s="8">
        <f>HS_DB[[#This Row],[Total Market Size - USD]]
*
(1+IFERROR(#REF!,0))
/
HS_DB[[#This Row],[Competition Intensity]]</f>
        <v>13006981</v>
      </c>
      <c r="BA399" s="8" t="str">
        <f>IF(HS_DB[[#This Row],[Commercial Opportunity Score]]&gt;=PERCENTILE(HS_DB[Commercial Opportunity Score],0.9),"High Opportunity",
 IF(HS_DB[[#This Row],[Commercial Opportunity Score]]&gt;=PERCENTILE(HS_DB[Commercial Opportunity Score],0.6),"Medium Opportunity",
 "Routine Market"))</f>
        <v>Medium Opportunity</v>
      </c>
      <c r="BB399" s="3" t="str">
        <f>IF(AND(HS_DB[[#This Row],[Product Rank]]&gt;0,HS_DB[[#This Row],[Product Rank]]&lt;=10),"Yes","No")</f>
        <v>No</v>
      </c>
      <c r="BC399" s="3" t="str">
        <f>IF(AND(HS_DB[[#This Row],[Origin Rank]]&gt;0,HS_DB[[#This Row],[Origin Rank]]&lt;=10),"Yes","No")</f>
        <v>No</v>
      </c>
    </row>
    <row r="400" spans="2:55" x14ac:dyDescent="0.3">
      <c r="B400" s="2">
        <f>HS_DB[[#This Row],[Commodity Code]]</f>
        <v>110100</v>
      </c>
      <c r="C400" s="2">
        <f>IFERROR(INDEX(HS_MD!C:C,MATCH(B400,HS_MD!B:B,0),1),"")</f>
        <v>32</v>
      </c>
      <c r="D400" s="17" t="str">
        <f>IFERROR(INDEX(HS_MD!D:D,MATCH(B400,HS_MD!B:B,0),1),"")</f>
        <v>Wheat flour</v>
      </c>
      <c r="E400" s="17" t="str">
        <f>IFERROR(INDEX(HS_MD!E:E,MATCH(B400,HS_MD!B:B,0),1),"")</f>
        <v>Wheat Flour</v>
      </c>
      <c r="F400" s="17" t="str">
        <f>IFERROR(INDEX(HS_MD!F:F,MATCH(B400,HS_MD!B:B,0),1),"")</f>
        <v>Agricultural Raw Materials</v>
      </c>
      <c r="G400" s="17" t="str">
        <f>IFERROR(INDEX(HS_MD!G:G,MATCH(B400,HS_MD!B:B,0),1),"")</f>
        <v>Cereals &amp; Flours</v>
      </c>
      <c r="H400" s="17" t="str">
        <f>IFERROR(INDEX(HS_MD!H:H,MATCH(B400,HS_MD!B:B,0),1),"")</f>
        <v>Milled Wheat Flour</v>
      </c>
      <c r="I400" s="17" t="str">
        <f>IFERROR(INDEX(HS_MD!I:I,MATCH(B400,HS_MD!B:B,0),1),"")</f>
        <v>Bakery / Noodles / Sauces</v>
      </c>
      <c r="J400" s="17">
        <f>IFERROR(INDEX(Heat_Map[Index],MATCH(HS_DB[[#This Row],[Reporter]],Heat_Map[Global],0),1),"")</f>
        <v>81</v>
      </c>
      <c r="K400" s="17" t="str">
        <f>IF(AND(HS_DB[[#This Row],[Origin Rank]]&gt;1,HS_DB[[#This Row],[Origin Rank]]&lt;=10),"Yes","No")</f>
        <v>Yes</v>
      </c>
      <c r="L400" s="2">
        <v>2024</v>
      </c>
      <c r="M400" s="2" t="s">
        <v>57</v>
      </c>
      <c r="N400" s="2" t="s">
        <v>49</v>
      </c>
      <c r="O400" s="2" t="s">
        <v>22</v>
      </c>
      <c r="P400" s="2" t="s">
        <v>23</v>
      </c>
      <c r="Q400" s="2" t="s">
        <v>24</v>
      </c>
      <c r="R400" s="2" t="s">
        <v>25</v>
      </c>
      <c r="S400" s="2">
        <v>110100</v>
      </c>
      <c r="T400" s="3">
        <v>681544</v>
      </c>
      <c r="U400" s="3">
        <v>943435</v>
      </c>
      <c r="V400" s="3">
        <v>0</v>
      </c>
      <c r="W400" s="3">
        <v>943435</v>
      </c>
      <c r="X400" s="3" t="s">
        <v>58</v>
      </c>
      <c r="Y400" s="3">
        <v>943435</v>
      </c>
      <c r="Z400" s="3" t="s">
        <v>58</v>
      </c>
      <c r="AA400" s="6">
        <f>SUMIFS(HS_DB[Trade Value - USD],HS_DB[Reporter],HS_DB[[#This Row],[Reporter]])/SUM(HS_DB[Trade Value - USD])</f>
        <v>1.1178535358665947E-2</v>
      </c>
      <c r="AB400" s="8" cm="1">
        <f t="array" ref="AB400">SUMPRODUCT(
(HS_DB[Reporter]=HS_DB[[#This Row],[Reporter]])*
(HS_DB[Trade Value - USD]&gt;HS_DB[[#This Row],[Trade Value - USD]])
)+1</f>
        <v>5</v>
      </c>
      <c r="AC400" s="8" t="str">
        <f>IFERROR(IF(INDEX(Heat_Map[Crisis Impact %],MATCH(HS_DB[[#This Row],[Reporter]],Heat_Map[Global],0),1)&gt;0,"Yes","No"),"No")</f>
        <v>No</v>
      </c>
      <c r="AD400" s="6">
        <f>IFERROR(INDEX(Heat_Map[Crisis Impact %],MATCH(HS_DB[[#This Row],[Reporter]],Heat_Map[Global],0),1),0)</f>
        <v>0</v>
      </c>
      <c r="AE400" s="8">
        <f>HS_DB[[#This Row],[Crisis Impact%]]*HS_DB[[#This Row],[Trade Value - USD]]</f>
        <v>0</v>
      </c>
      <c r="AF400" s="8">
        <f>HS_DB[[#This Row],[Crisis Impact%]]*HS_DB[[#This Row],[Net Weight -KG]]</f>
        <v>0</v>
      </c>
      <c r="AG400" s="6">
        <f>SUMIFS(HS_DB[Trade Value - USD],HS_DB[Products],HS_DB[[#This Row],[Products]])/SUM(HS_DB[Trade Value - USD])</f>
        <v>6.9002247674976556E-3</v>
      </c>
      <c r="AH400" s="8">
        <f>_xlfn.RANK.EQ(HS_DB[[#This Row],[Trade Value - USD]], HS_DB[Trade Value - USD], 0)
 + COUNTIFS(HS_DB[Trade Value - USD],HS_DB[[#This Row],[Trade Value - USD]],
            HS_DB[HS Code],"&lt;"&amp;HS_DB[[#This Row],[HS Code]])</f>
        <v>129</v>
      </c>
      <c r="AI400" s="9">
        <f>IFERROR(HS_DB[[#This Row],[Trade Value - USD]]/HS_DB[[#This Row],[Net Weight -KG]],0)</f>
        <v>0.72240694907439307</v>
      </c>
      <c r="AJ400" s="17" cm="1">
        <f t="array" ref="AJ400">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00" s="17" t="str">
        <f>IF(HS_DB[[#This Row],[HS Code Risk Score]]&gt;=40,"High",
 IF(HS_DB[[#This Row],[HS Code Risk Score]]&gt;=25,"Medium","Low"))</f>
        <v>Medium</v>
      </c>
      <c r="AL400" s="17" t="str">
        <f>IF(RANK(HS_DB[[#This Row],[HS Code Risk Score]],HS_DB[HS Code Risk Score])&lt;=10,"Yes","No")</f>
        <v>No</v>
      </c>
      <c r="AM400" s="8">
        <f>SUMIFS(HS_DB[Net Weight -KG],HS_DB[HS Code],HS_DB[[#This Row],[HS Code]])</f>
        <v>26881115.800000001</v>
      </c>
      <c r="AN400" s="8">
        <f>SUMIFS(HS_DB[Trade Value - USD],HS_DB[HS Code],HS_DB[[#This Row],[HS Code]])</f>
        <v>13006981</v>
      </c>
      <c r="AO400" s="6">
        <f>_xlfn.MAXIFS(HS_DB[Origin Share%],HS_DB[HS Code],HS_DB[[#This Row],[HS Code]])</f>
        <v>6.321329281187793E-2</v>
      </c>
      <c r="AP400" s="8" cm="1">
        <f t="array" ref="AP400">_xlfn.LET(
_xlpm.hs,HS_DB[[#This Row],[HS Code]],
COUNTA(_xlfn.UNIQUE(_xlfn._xlws.FILTER(HS_DB[Reporter],HS_DB[HS Code]=_xlpm.hs)))
)</f>
        <v>12</v>
      </c>
      <c r="AQ400" s="17" t="str">
        <f>IF(HS_DB[[#This Row],[Origin Count]]=1,"Single Source","Multiple Sources")</f>
        <v>Multiple Sources</v>
      </c>
      <c r="AR400" s="8">
        <f>HS_DB[[#This Row],[Annual Spend - USD]]*(HS_DB[[#This Row],[HS Code Risk Score]]/100)</f>
        <v>4422373.54</v>
      </c>
      <c r="AS400" s="8">
        <f>RANK(HS_DB[[#This Row],[Risk Exposure - USD]],HS_DB[Risk Exposure - USD],0)</f>
        <v>197</v>
      </c>
      <c r="AT400" s="8" t="str">
        <f>IF(HS_DB[[#This Row],[Risk Exposure Rank]]&lt;=10,"High",
 IF(HS_DB[[#This Row],[Risk Exposure Rank]]&lt;=30,"Medium",
 "Low"))</f>
        <v>Low</v>
      </c>
      <c r="AU400" s="8" t="str">
        <f>IF(HS_DB[[#This Row],[Risk Exposure Rank]]&lt;=5,"Immediate Action",
 IF(HS_DB[[#This Row],[Risk Exposure Rank]]&lt;=15,"Monitor Closely",
 "Routine Control"))</f>
        <v>Routine Control</v>
      </c>
      <c r="AV400" s="8">
        <f>SUMIFS(HS_DB[Trade Value - USD],HS_DB[HS Code],HS_DB[[#This Row],[HS Code]])</f>
        <v>13006981</v>
      </c>
      <c r="AW400" s="6">
        <f>HS_DB[[#This Row],[Annual Spend - USD]]/HS_DB[[#This Row],[Total Market Size - USD]]</f>
        <v>1</v>
      </c>
      <c r="AX400" s="6" cm="1">
        <f t="array" ref="AX400">COUNTA(_xlfn.UNIQUE(_xlfn._xlws.FILTER(HS_DB[Partner],HS_DB[HS Code]=HS_DB[[#This Row],[HS Code]])))</f>
        <v>1</v>
      </c>
      <c r="AY400" s="8" t="str">
        <f>IF(HS_DB[[#This Row],[Competition Intensity]]&lt;=2,"Highly Concentrated",
 IF(HS_DB[[#This Row],[Competition Intensity]]&lt;=5,"Moderate",
 "Highly Competitive"))</f>
        <v>Highly Concentrated</v>
      </c>
      <c r="AZ400" s="8">
        <f>HS_DB[[#This Row],[Total Market Size - USD]]
*
(1+IFERROR(#REF!,0))
/
HS_DB[[#This Row],[Competition Intensity]]</f>
        <v>13006981</v>
      </c>
      <c r="BA400" s="8" t="str">
        <f>IF(HS_DB[[#This Row],[Commercial Opportunity Score]]&gt;=PERCENTILE(HS_DB[Commercial Opportunity Score],0.9),"High Opportunity",
 IF(HS_DB[[#This Row],[Commercial Opportunity Score]]&gt;=PERCENTILE(HS_DB[Commercial Opportunity Score],0.6),"Medium Opportunity",
 "Routine Market"))</f>
        <v>Medium Opportunity</v>
      </c>
      <c r="BB400" s="3" t="str">
        <f>IF(AND(HS_DB[[#This Row],[Product Rank]]&gt;0,HS_DB[[#This Row],[Product Rank]]&lt;=10),"Yes","No")</f>
        <v>No</v>
      </c>
      <c r="BC400" s="3" t="str">
        <f>IF(AND(HS_DB[[#This Row],[Origin Rank]]&gt;0,HS_DB[[#This Row],[Origin Rank]]&lt;=10),"Yes","No")</f>
        <v>Yes</v>
      </c>
    </row>
    <row r="401" spans="2:55" x14ac:dyDescent="0.3">
      <c r="B401" s="2">
        <f>HS_DB[[#This Row],[Commodity Code]]</f>
        <v>110100</v>
      </c>
      <c r="C401" s="2">
        <f>IFERROR(INDEX(HS_MD!C:C,MATCH(B401,HS_MD!B:B,0),1),"")</f>
        <v>32</v>
      </c>
      <c r="D401" s="17" t="str">
        <f>IFERROR(INDEX(HS_MD!D:D,MATCH(B401,HS_MD!B:B,0),1),"")</f>
        <v>Wheat flour</v>
      </c>
      <c r="E401" s="17" t="str">
        <f>IFERROR(INDEX(HS_MD!E:E,MATCH(B401,HS_MD!B:B,0),1),"")</f>
        <v>Wheat Flour</v>
      </c>
      <c r="F401" s="17" t="str">
        <f>IFERROR(INDEX(HS_MD!F:F,MATCH(B401,HS_MD!B:B,0),1),"")</f>
        <v>Agricultural Raw Materials</v>
      </c>
      <c r="G401" s="17" t="str">
        <f>IFERROR(INDEX(HS_MD!G:G,MATCH(B401,HS_MD!B:B,0),1),"")</f>
        <v>Cereals &amp; Flours</v>
      </c>
      <c r="H401" s="17" t="str">
        <f>IFERROR(INDEX(HS_MD!H:H,MATCH(B401,HS_MD!B:B,0),1),"")</f>
        <v>Milled Wheat Flour</v>
      </c>
      <c r="I401" s="17" t="str">
        <f>IFERROR(INDEX(HS_MD!I:I,MATCH(B401,HS_MD!B:B,0),1),"")</f>
        <v>Bakery / Noodles / Sauces</v>
      </c>
      <c r="J401" s="17">
        <f>IFERROR(INDEX(Heat_Map[Index],MATCH(HS_DB[[#This Row],[Reporter]],Heat_Map[Global],0),1),"")</f>
        <v>103</v>
      </c>
      <c r="K401" s="17" t="str">
        <f>IF(AND(HS_DB[[#This Row],[Origin Rank]]&gt;1,HS_DB[[#This Row],[Origin Rank]]&lt;=10),"Yes","No")</f>
        <v>Yes</v>
      </c>
      <c r="L401" s="2">
        <v>2024</v>
      </c>
      <c r="M401" s="2" t="s">
        <v>57</v>
      </c>
      <c r="N401" s="2" t="s">
        <v>154</v>
      </c>
      <c r="O401" s="2" t="s">
        <v>22</v>
      </c>
      <c r="P401" s="2" t="s">
        <v>23</v>
      </c>
      <c r="Q401" s="2" t="s">
        <v>24</v>
      </c>
      <c r="R401" s="2" t="s">
        <v>25</v>
      </c>
      <c r="S401" s="2">
        <v>110100</v>
      </c>
      <c r="T401" s="3">
        <v>1731</v>
      </c>
      <c r="U401" s="3">
        <v>2250</v>
      </c>
      <c r="V401" s="3">
        <v>0</v>
      </c>
      <c r="W401" s="3">
        <v>2250</v>
      </c>
      <c r="X401" s="3" t="s">
        <v>58</v>
      </c>
      <c r="Y401" s="3">
        <v>2250</v>
      </c>
      <c r="Z401" s="3" t="s">
        <v>58</v>
      </c>
      <c r="AA401" s="6">
        <f>SUMIFS(HS_DB[Trade Value - USD],HS_DB[Reporter],HS_DB[[#This Row],[Reporter]])/SUM(HS_DB[Trade Value - USD])</f>
        <v>1.9736783059034436E-5</v>
      </c>
      <c r="AB401" s="8" cm="1">
        <f t="array" ref="AB401">SUMPRODUCT(
(HS_DB[Reporter]=HS_DB[[#This Row],[Reporter]])*
(HS_DB[Trade Value - USD]&gt;HS_DB[[#This Row],[Trade Value - USD]])
)+1</f>
        <v>2</v>
      </c>
      <c r="AC401" s="8" t="str">
        <f>IFERROR(IF(INDEX(Heat_Map[Crisis Impact %],MATCH(HS_DB[[#This Row],[Reporter]],Heat_Map[Global],0),1)&gt;0,"Yes","No"),"No")</f>
        <v>No</v>
      </c>
      <c r="AD401" s="6">
        <f>IFERROR(INDEX(Heat_Map[Crisis Impact %],MATCH(HS_DB[[#This Row],[Reporter]],Heat_Map[Global],0),1),0)</f>
        <v>0</v>
      </c>
      <c r="AE401" s="8">
        <f>HS_DB[[#This Row],[Crisis Impact%]]*HS_DB[[#This Row],[Trade Value - USD]]</f>
        <v>0</v>
      </c>
      <c r="AF401" s="8">
        <f>HS_DB[[#This Row],[Crisis Impact%]]*HS_DB[[#This Row],[Net Weight -KG]]</f>
        <v>0</v>
      </c>
      <c r="AG401" s="6">
        <f>SUMIFS(HS_DB[Trade Value - USD],HS_DB[Products],HS_DB[[#This Row],[Products]])/SUM(HS_DB[Trade Value - USD])</f>
        <v>6.9002247674976556E-3</v>
      </c>
      <c r="AH401" s="8">
        <f>_xlfn.RANK.EQ(HS_DB[[#This Row],[Trade Value - USD]], HS_DB[Trade Value - USD], 0)
 + COUNTIFS(HS_DB[Trade Value - USD],HS_DB[[#This Row],[Trade Value - USD]],
            HS_DB[HS Code],"&lt;"&amp;HS_DB[[#This Row],[HS Code]])</f>
        <v>473</v>
      </c>
      <c r="AI401" s="9">
        <f>IFERROR(HS_DB[[#This Row],[Trade Value - USD]]/HS_DB[[#This Row],[Net Weight -KG]],0)</f>
        <v>0.76933333333333331</v>
      </c>
      <c r="AJ401" s="17" cm="1">
        <f t="array" ref="AJ401">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01" s="17" t="str">
        <f>IF(HS_DB[[#This Row],[HS Code Risk Score]]&gt;=40,"High",
 IF(HS_DB[[#This Row],[HS Code Risk Score]]&gt;=25,"Medium","Low"))</f>
        <v>Medium</v>
      </c>
      <c r="AL401" s="17" t="str">
        <f>IF(RANK(HS_DB[[#This Row],[HS Code Risk Score]],HS_DB[HS Code Risk Score])&lt;=10,"Yes","No")</f>
        <v>No</v>
      </c>
      <c r="AM401" s="8">
        <f>SUMIFS(HS_DB[Net Weight -KG],HS_DB[HS Code],HS_DB[[#This Row],[HS Code]])</f>
        <v>26881115.800000001</v>
      </c>
      <c r="AN401" s="8">
        <f>SUMIFS(HS_DB[Trade Value - USD],HS_DB[HS Code],HS_DB[[#This Row],[HS Code]])</f>
        <v>13006981</v>
      </c>
      <c r="AO401" s="6">
        <f>_xlfn.MAXIFS(HS_DB[Origin Share%],HS_DB[HS Code],HS_DB[[#This Row],[HS Code]])</f>
        <v>6.321329281187793E-2</v>
      </c>
      <c r="AP401" s="8" cm="1">
        <f t="array" ref="AP401">_xlfn.LET(
_xlpm.hs,HS_DB[[#This Row],[HS Code]],
COUNTA(_xlfn.UNIQUE(_xlfn._xlws.FILTER(HS_DB[Reporter],HS_DB[HS Code]=_xlpm.hs)))
)</f>
        <v>12</v>
      </c>
      <c r="AQ401" s="17" t="str">
        <f>IF(HS_DB[[#This Row],[Origin Count]]=1,"Single Source","Multiple Sources")</f>
        <v>Multiple Sources</v>
      </c>
      <c r="AR401" s="8">
        <f>HS_DB[[#This Row],[Annual Spend - USD]]*(HS_DB[[#This Row],[HS Code Risk Score]]/100)</f>
        <v>4422373.54</v>
      </c>
      <c r="AS401" s="8">
        <f>RANK(HS_DB[[#This Row],[Risk Exposure - USD]],HS_DB[Risk Exposure - USD],0)</f>
        <v>197</v>
      </c>
      <c r="AT401" s="8" t="str">
        <f>IF(HS_DB[[#This Row],[Risk Exposure Rank]]&lt;=10,"High",
 IF(HS_DB[[#This Row],[Risk Exposure Rank]]&lt;=30,"Medium",
 "Low"))</f>
        <v>Low</v>
      </c>
      <c r="AU401" s="8" t="str">
        <f>IF(HS_DB[[#This Row],[Risk Exposure Rank]]&lt;=5,"Immediate Action",
 IF(HS_DB[[#This Row],[Risk Exposure Rank]]&lt;=15,"Monitor Closely",
 "Routine Control"))</f>
        <v>Routine Control</v>
      </c>
      <c r="AV401" s="8">
        <f>SUMIFS(HS_DB[Trade Value - USD],HS_DB[HS Code],HS_DB[[#This Row],[HS Code]])</f>
        <v>13006981</v>
      </c>
      <c r="AW401" s="6">
        <f>HS_DB[[#This Row],[Annual Spend - USD]]/HS_DB[[#This Row],[Total Market Size - USD]]</f>
        <v>1</v>
      </c>
      <c r="AX401" s="6" cm="1">
        <f t="array" ref="AX401">COUNTA(_xlfn.UNIQUE(_xlfn._xlws.FILTER(HS_DB[Partner],HS_DB[HS Code]=HS_DB[[#This Row],[HS Code]])))</f>
        <v>1</v>
      </c>
      <c r="AY401" s="8" t="str">
        <f>IF(HS_DB[[#This Row],[Competition Intensity]]&lt;=2,"Highly Concentrated",
 IF(HS_DB[[#This Row],[Competition Intensity]]&lt;=5,"Moderate",
 "Highly Competitive"))</f>
        <v>Highly Concentrated</v>
      </c>
      <c r="AZ401" s="8">
        <f>HS_DB[[#This Row],[Total Market Size - USD]]
*
(1+IFERROR(#REF!,0))
/
HS_DB[[#This Row],[Competition Intensity]]</f>
        <v>13006981</v>
      </c>
      <c r="BA401" s="8" t="str">
        <f>IF(HS_DB[[#This Row],[Commercial Opportunity Score]]&gt;=PERCENTILE(HS_DB[Commercial Opportunity Score],0.9),"High Opportunity",
 IF(HS_DB[[#This Row],[Commercial Opportunity Score]]&gt;=PERCENTILE(HS_DB[Commercial Opportunity Score],0.6),"Medium Opportunity",
 "Routine Market"))</f>
        <v>Medium Opportunity</v>
      </c>
      <c r="BB401" s="3" t="str">
        <f>IF(AND(HS_DB[[#This Row],[Product Rank]]&gt;0,HS_DB[[#This Row],[Product Rank]]&lt;=10),"Yes","No")</f>
        <v>No</v>
      </c>
      <c r="BC401" s="3" t="str">
        <f>IF(AND(HS_DB[[#This Row],[Origin Rank]]&gt;0,HS_DB[[#This Row],[Origin Rank]]&lt;=10),"Yes","No")</f>
        <v>Yes</v>
      </c>
    </row>
    <row r="402" spans="2:55" x14ac:dyDescent="0.3">
      <c r="B402" s="2">
        <f>HS_DB[[#This Row],[Commodity Code]]</f>
        <v>110100</v>
      </c>
      <c r="C402" s="2">
        <f>IFERROR(INDEX(HS_MD!C:C,MATCH(B402,HS_MD!B:B,0),1),"")</f>
        <v>32</v>
      </c>
      <c r="D402" s="17" t="str">
        <f>IFERROR(INDEX(HS_MD!D:D,MATCH(B402,HS_MD!B:B,0),1),"")</f>
        <v>Wheat flour</v>
      </c>
      <c r="E402" s="17" t="str">
        <f>IFERROR(INDEX(HS_MD!E:E,MATCH(B402,HS_MD!B:B,0),1),"")</f>
        <v>Wheat Flour</v>
      </c>
      <c r="F402" s="17" t="str">
        <f>IFERROR(INDEX(HS_MD!F:F,MATCH(B402,HS_MD!B:B,0),1),"")</f>
        <v>Agricultural Raw Materials</v>
      </c>
      <c r="G402" s="17" t="str">
        <f>IFERROR(INDEX(HS_MD!G:G,MATCH(B402,HS_MD!B:B,0),1),"")</f>
        <v>Cereals &amp; Flours</v>
      </c>
      <c r="H402" s="17" t="str">
        <f>IFERROR(INDEX(HS_MD!H:H,MATCH(B402,HS_MD!B:B,0),1),"")</f>
        <v>Milled Wheat Flour</v>
      </c>
      <c r="I402" s="17" t="str">
        <f>IFERROR(INDEX(HS_MD!I:I,MATCH(B402,HS_MD!B:B,0),1),"")</f>
        <v>Bakery / Noodles / Sauces</v>
      </c>
      <c r="J402" s="17">
        <f>IFERROR(INDEX(Heat_Map[Index],MATCH(HS_DB[[#This Row],[Reporter]],Heat_Map[Global],0),1),"")</f>
        <v>112</v>
      </c>
      <c r="K402" s="17" t="str">
        <f>IF(AND(HS_DB[[#This Row],[Origin Rank]]&gt;1,HS_DB[[#This Row],[Origin Rank]]&lt;=10),"Yes","No")</f>
        <v>Yes</v>
      </c>
      <c r="L402" s="2">
        <v>2024</v>
      </c>
      <c r="M402" s="2" t="s">
        <v>57</v>
      </c>
      <c r="N402" s="2" t="s">
        <v>52</v>
      </c>
      <c r="O402" s="2" t="s">
        <v>22</v>
      </c>
      <c r="P402" s="2" t="s">
        <v>23</v>
      </c>
      <c r="Q402" s="2" t="s">
        <v>24</v>
      </c>
      <c r="R402" s="2" t="s">
        <v>25</v>
      </c>
      <c r="S402" s="2">
        <v>110100</v>
      </c>
      <c r="T402" s="3">
        <v>131</v>
      </c>
      <c r="U402" s="3">
        <v>50</v>
      </c>
      <c r="V402" s="3">
        <v>0</v>
      </c>
      <c r="W402" s="3">
        <v>50</v>
      </c>
      <c r="X402" s="3" t="s">
        <v>58</v>
      </c>
      <c r="Y402" s="3">
        <v>50</v>
      </c>
      <c r="Z402" s="3" t="s">
        <v>58</v>
      </c>
      <c r="AA402" s="6">
        <f>SUMIFS(HS_DB[Trade Value - USD],HS_DB[Reporter],HS_DB[[#This Row],[Reporter]])/SUM(HS_DB[Trade Value - USD])</f>
        <v>1.4429559760252854E-3</v>
      </c>
      <c r="AB402" s="8" cm="1">
        <f t="array" ref="AB402">SUMPRODUCT(
(HS_DB[Reporter]=HS_DB[[#This Row],[Reporter]])*
(HS_DB[Trade Value - USD]&gt;HS_DB[[#This Row],[Trade Value - USD]])
)+1</f>
        <v>7</v>
      </c>
      <c r="AC402" s="8" t="str">
        <f>IFERROR(IF(INDEX(Heat_Map[Crisis Impact %],MATCH(HS_DB[[#This Row],[Reporter]],Heat_Map[Global],0),1)&gt;0,"Yes","No"),"No")</f>
        <v>No</v>
      </c>
      <c r="AD402" s="6">
        <f>IFERROR(INDEX(Heat_Map[Crisis Impact %],MATCH(HS_DB[[#This Row],[Reporter]],Heat_Map[Global],0),1),0)</f>
        <v>0</v>
      </c>
      <c r="AE402" s="8">
        <f>HS_DB[[#This Row],[Crisis Impact%]]*HS_DB[[#This Row],[Trade Value - USD]]</f>
        <v>0</v>
      </c>
      <c r="AF402" s="8">
        <f>HS_DB[[#This Row],[Crisis Impact%]]*HS_DB[[#This Row],[Net Weight -KG]]</f>
        <v>0</v>
      </c>
      <c r="AG402" s="6">
        <f>SUMIFS(HS_DB[Trade Value - USD],HS_DB[Products],HS_DB[[#This Row],[Products]])/SUM(HS_DB[Trade Value - USD])</f>
        <v>6.9002247674976556E-3</v>
      </c>
      <c r="AH402" s="8">
        <f>_xlfn.RANK.EQ(HS_DB[[#This Row],[Trade Value - USD]], HS_DB[Trade Value - USD], 0)
 + COUNTIFS(HS_DB[Trade Value - USD],HS_DB[[#This Row],[Trade Value - USD]],
            HS_DB[HS Code],"&lt;"&amp;HS_DB[[#This Row],[HS Code]])</f>
        <v>516</v>
      </c>
      <c r="AI402" s="9">
        <f>IFERROR(HS_DB[[#This Row],[Trade Value - USD]]/HS_DB[[#This Row],[Net Weight -KG]],0)</f>
        <v>2.62</v>
      </c>
      <c r="AJ402" s="17" cm="1">
        <f t="array" ref="AJ402">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02" s="17" t="str">
        <f>IF(HS_DB[[#This Row],[HS Code Risk Score]]&gt;=40,"High",
 IF(HS_DB[[#This Row],[HS Code Risk Score]]&gt;=25,"Medium","Low"))</f>
        <v>Medium</v>
      </c>
      <c r="AL402" s="17" t="str">
        <f>IF(RANK(HS_DB[[#This Row],[HS Code Risk Score]],HS_DB[HS Code Risk Score])&lt;=10,"Yes","No")</f>
        <v>No</v>
      </c>
      <c r="AM402" s="8">
        <f>SUMIFS(HS_DB[Net Weight -KG],HS_DB[HS Code],HS_DB[[#This Row],[HS Code]])</f>
        <v>26881115.800000001</v>
      </c>
      <c r="AN402" s="8">
        <f>SUMIFS(HS_DB[Trade Value - USD],HS_DB[HS Code],HS_DB[[#This Row],[HS Code]])</f>
        <v>13006981</v>
      </c>
      <c r="AO402" s="6">
        <f>_xlfn.MAXIFS(HS_DB[Origin Share%],HS_DB[HS Code],HS_DB[[#This Row],[HS Code]])</f>
        <v>6.321329281187793E-2</v>
      </c>
      <c r="AP402" s="8" cm="1">
        <f t="array" ref="AP402">_xlfn.LET(
_xlpm.hs,HS_DB[[#This Row],[HS Code]],
COUNTA(_xlfn.UNIQUE(_xlfn._xlws.FILTER(HS_DB[Reporter],HS_DB[HS Code]=_xlpm.hs)))
)</f>
        <v>12</v>
      </c>
      <c r="AQ402" s="17" t="str">
        <f>IF(HS_DB[[#This Row],[Origin Count]]=1,"Single Source","Multiple Sources")</f>
        <v>Multiple Sources</v>
      </c>
      <c r="AR402" s="8">
        <f>HS_DB[[#This Row],[Annual Spend - USD]]*(HS_DB[[#This Row],[HS Code Risk Score]]/100)</f>
        <v>4422373.54</v>
      </c>
      <c r="AS402" s="8">
        <f>RANK(HS_DB[[#This Row],[Risk Exposure - USD]],HS_DB[Risk Exposure - USD],0)</f>
        <v>197</v>
      </c>
      <c r="AT402" s="8" t="str">
        <f>IF(HS_DB[[#This Row],[Risk Exposure Rank]]&lt;=10,"High",
 IF(HS_DB[[#This Row],[Risk Exposure Rank]]&lt;=30,"Medium",
 "Low"))</f>
        <v>Low</v>
      </c>
      <c r="AU402" s="8" t="str">
        <f>IF(HS_DB[[#This Row],[Risk Exposure Rank]]&lt;=5,"Immediate Action",
 IF(HS_DB[[#This Row],[Risk Exposure Rank]]&lt;=15,"Monitor Closely",
 "Routine Control"))</f>
        <v>Routine Control</v>
      </c>
      <c r="AV402" s="8">
        <f>SUMIFS(HS_DB[Trade Value - USD],HS_DB[HS Code],HS_DB[[#This Row],[HS Code]])</f>
        <v>13006981</v>
      </c>
      <c r="AW402" s="6">
        <f>HS_DB[[#This Row],[Annual Spend - USD]]/HS_DB[[#This Row],[Total Market Size - USD]]</f>
        <v>1</v>
      </c>
      <c r="AX402" s="6" cm="1">
        <f t="array" ref="AX402">COUNTA(_xlfn.UNIQUE(_xlfn._xlws.FILTER(HS_DB[Partner],HS_DB[HS Code]=HS_DB[[#This Row],[HS Code]])))</f>
        <v>1</v>
      </c>
      <c r="AY402" s="8" t="str">
        <f>IF(HS_DB[[#This Row],[Competition Intensity]]&lt;=2,"Highly Concentrated",
 IF(HS_DB[[#This Row],[Competition Intensity]]&lt;=5,"Moderate",
 "Highly Competitive"))</f>
        <v>Highly Concentrated</v>
      </c>
      <c r="AZ402" s="8">
        <f>HS_DB[[#This Row],[Total Market Size - USD]]
*
(1+IFERROR(#REF!,0))
/
HS_DB[[#This Row],[Competition Intensity]]</f>
        <v>13006981</v>
      </c>
      <c r="BA402" s="8" t="str">
        <f>IF(HS_DB[[#This Row],[Commercial Opportunity Score]]&gt;=PERCENTILE(HS_DB[Commercial Opportunity Score],0.9),"High Opportunity",
 IF(HS_DB[[#This Row],[Commercial Opportunity Score]]&gt;=PERCENTILE(HS_DB[Commercial Opportunity Score],0.6),"Medium Opportunity",
 "Routine Market"))</f>
        <v>Medium Opportunity</v>
      </c>
      <c r="BB402" s="3" t="str">
        <f>IF(AND(HS_DB[[#This Row],[Product Rank]]&gt;0,HS_DB[[#This Row],[Product Rank]]&lt;=10),"Yes","No")</f>
        <v>No</v>
      </c>
      <c r="BC402" s="3" t="str">
        <f>IF(AND(HS_DB[[#This Row],[Origin Rank]]&gt;0,HS_DB[[#This Row],[Origin Rank]]&lt;=10),"Yes","No")</f>
        <v>Yes</v>
      </c>
    </row>
    <row r="403" spans="2:55" x14ac:dyDescent="0.3">
      <c r="B403" s="2">
        <f>HS_DB[[#This Row],[Commodity Code]]</f>
        <v>110100</v>
      </c>
      <c r="C403" s="2">
        <f>IFERROR(INDEX(HS_MD!C:C,MATCH(B403,HS_MD!B:B,0),1),"")</f>
        <v>32</v>
      </c>
      <c r="D403" s="17" t="str">
        <f>IFERROR(INDEX(HS_MD!D:D,MATCH(B403,HS_MD!B:B,0),1),"")</f>
        <v>Wheat flour</v>
      </c>
      <c r="E403" s="17" t="str">
        <f>IFERROR(INDEX(HS_MD!E:E,MATCH(B403,HS_MD!B:B,0),1),"")</f>
        <v>Wheat Flour</v>
      </c>
      <c r="F403" s="17" t="str">
        <f>IFERROR(INDEX(HS_MD!F:F,MATCH(B403,HS_MD!B:B,0),1),"")</f>
        <v>Agricultural Raw Materials</v>
      </c>
      <c r="G403" s="17" t="str">
        <f>IFERROR(INDEX(HS_MD!G:G,MATCH(B403,HS_MD!B:B,0),1),"")</f>
        <v>Cereals &amp; Flours</v>
      </c>
      <c r="H403" s="17" t="str">
        <f>IFERROR(INDEX(HS_MD!H:H,MATCH(B403,HS_MD!B:B,0),1),"")</f>
        <v>Milled Wheat Flour</v>
      </c>
      <c r="I403" s="17" t="str">
        <f>IFERROR(INDEX(HS_MD!I:I,MATCH(B403,HS_MD!B:B,0),1),"")</f>
        <v>Bakery / Noodles / Sauces</v>
      </c>
      <c r="J403" s="17">
        <f>IFERROR(INDEX(Heat_Map[Index],MATCH(HS_DB[[#This Row],[Reporter]],Heat_Map[Global],0),1),"")</f>
        <v>148</v>
      </c>
      <c r="K403" s="17" t="str">
        <f>IF(AND(HS_DB[[#This Row],[Origin Rank]]&gt;1,HS_DB[[#This Row],[Origin Rank]]&lt;=10),"Yes","No")</f>
        <v>No</v>
      </c>
      <c r="L403" s="2">
        <v>2024</v>
      </c>
      <c r="M403" s="2" t="s">
        <v>57</v>
      </c>
      <c r="N403" s="2" t="s">
        <v>155</v>
      </c>
      <c r="O403" s="2" t="s">
        <v>22</v>
      </c>
      <c r="P403" s="2" t="s">
        <v>23</v>
      </c>
      <c r="Q403" s="2" t="s">
        <v>24</v>
      </c>
      <c r="R403" s="2" t="s">
        <v>25</v>
      </c>
      <c r="S403" s="2">
        <v>110100</v>
      </c>
      <c r="T403" s="3">
        <v>37484</v>
      </c>
      <c r="U403" s="3">
        <v>189700</v>
      </c>
      <c r="V403" s="3">
        <v>0</v>
      </c>
      <c r="W403" s="3">
        <v>189700</v>
      </c>
      <c r="X403" s="3" t="s">
        <v>58</v>
      </c>
      <c r="Y403" s="3">
        <v>189700</v>
      </c>
      <c r="Z403" s="3" t="s">
        <v>58</v>
      </c>
      <c r="AA403" s="6">
        <f>SUMIFS(HS_DB[Trade Value - USD],HS_DB[Reporter],HS_DB[[#This Row],[Reporter]])/SUM(HS_DB[Trade Value - USD])</f>
        <v>2.02736507199242E-5</v>
      </c>
      <c r="AB403" s="8" cm="1">
        <f t="array" ref="AB403">SUMPRODUCT(
(HS_DB[Reporter]=HS_DB[[#This Row],[Reporter]])*
(HS_DB[Trade Value - USD]&gt;HS_DB[[#This Row],[Trade Value - USD]])
)+1</f>
        <v>1</v>
      </c>
      <c r="AC403" s="8" t="str">
        <f>IFERROR(IF(INDEX(Heat_Map[Crisis Impact %],MATCH(HS_DB[[#This Row],[Reporter]],Heat_Map[Global],0),1)&gt;0,"Yes","No"),"No")</f>
        <v>No</v>
      </c>
      <c r="AD403" s="6">
        <f>IFERROR(INDEX(Heat_Map[Crisis Impact %],MATCH(HS_DB[[#This Row],[Reporter]],Heat_Map[Global],0),1),0)</f>
        <v>0</v>
      </c>
      <c r="AE403" s="8">
        <f>HS_DB[[#This Row],[Crisis Impact%]]*HS_DB[[#This Row],[Trade Value - USD]]</f>
        <v>0</v>
      </c>
      <c r="AF403" s="8">
        <f>HS_DB[[#This Row],[Crisis Impact%]]*HS_DB[[#This Row],[Net Weight -KG]]</f>
        <v>0</v>
      </c>
      <c r="AG403" s="6">
        <f>SUMIFS(HS_DB[Trade Value - USD],HS_DB[Products],HS_DB[[#This Row],[Products]])/SUM(HS_DB[Trade Value - USD])</f>
        <v>6.9002247674976556E-3</v>
      </c>
      <c r="AH403" s="8">
        <f>_xlfn.RANK.EQ(HS_DB[[#This Row],[Trade Value - USD]], HS_DB[Trade Value - USD], 0)
 + COUNTIFS(HS_DB[Trade Value - USD],HS_DB[[#This Row],[Trade Value - USD]],
            HS_DB[HS Code],"&lt;"&amp;HS_DB[[#This Row],[HS Code]])</f>
        <v>335</v>
      </c>
      <c r="AI403" s="9">
        <f>IFERROR(HS_DB[[#This Row],[Trade Value - USD]]/HS_DB[[#This Row],[Net Weight -KG]],0)</f>
        <v>0.1975962045334739</v>
      </c>
      <c r="AJ403" s="17" cm="1">
        <f t="array" ref="AJ403">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03" s="17" t="str">
        <f>IF(HS_DB[[#This Row],[HS Code Risk Score]]&gt;=40,"High",
 IF(HS_DB[[#This Row],[HS Code Risk Score]]&gt;=25,"Medium","Low"))</f>
        <v>Medium</v>
      </c>
      <c r="AL403" s="17" t="str">
        <f>IF(RANK(HS_DB[[#This Row],[HS Code Risk Score]],HS_DB[HS Code Risk Score])&lt;=10,"Yes","No")</f>
        <v>No</v>
      </c>
      <c r="AM403" s="8">
        <f>SUMIFS(HS_DB[Net Weight -KG],HS_DB[HS Code],HS_DB[[#This Row],[HS Code]])</f>
        <v>26881115.800000001</v>
      </c>
      <c r="AN403" s="8">
        <f>SUMIFS(HS_DB[Trade Value - USD],HS_DB[HS Code],HS_DB[[#This Row],[HS Code]])</f>
        <v>13006981</v>
      </c>
      <c r="AO403" s="6">
        <f>_xlfn.MAXIFS(HS_DB[Origin Share%],HS_DB[HS Code],HS_DB[[#This Row],[HS Code]])</f>
        <v>6.321329281187793E-2</v>
      </c>
      <c r="AP403" s="8" cm="1">
        <f t="array" ref="AP403">_xlfn.LET(
_xlpm.hs,HS_DB[[#This Row],[HS Code]],
COUNTA(_xlfn.UNIQUE(_xlfn._xlws.FILTER(HS_DB[Reporter],HS_DB[HS Code]=_xlpm.hs)))
)</f>
        <v>12</v>
      </c>
      <c r="AQ403" s="17" t="str">
        <f>IF(HS_DB[[#This Row],[Origin Count]]=1,"Single Source","Multiple Sources")</f>
        <v>Multiple Sources</v>
      </c>
      <c r="AR403" s="8">
        <f>HS_DB[[#This Row],[Annual Spend - USD]]*(HS_DB[[#This Row],[HS Code Risk Score]]/100)</f>
        <v>4422373.54</v>
      </c>
      <c r="AS403" s="8">
        <f>RANK(HS_DB[[#This Row],[Risk Exposure - USD]],HS_DB[Risk Exposure - USD],0)</f>
        <v>197</v>
      </c>
      <c r="AT403" s="8" t="str">
        <f>IF(HS_DB[[#This Row],[Risk Exposure Rank]]&lt;=10,"High",
 IF(HS_DB[[#This Row],[Risk Exposure Rank]]&lt;=30,"Medium",
 "Low"))</f>
        <v>Low</v>
      </c>
      <c r="AU403" s="8" t="str">
        <f>IF(HS_DB[[#This Row],[Risk Exposure Rank]]&lt;=5,"Immediate Action",
 IF(HS_DB[[#This Row],[Risk Exposure Rank]]&lt;=15,"Monitor Closely",
 "Routine Control"))</f>
        <v>Routine Control</v>
      </c>
      <c r="AV403" s="8">
        <f>SUMIFS(HS_DB[Trade Value - USD],HS_DB[HS Code],HS_DB[[#This Row],[HS Code]])</f>
        <v>13006981</v>
      </c>
      <c r="AW403" s="6">
        <f>HS_DB[[#This Row],[Annual Spend - USD]]/HS_DB[[#This Row],[Total Market Size - USD]]</f>
        <v>1</v>
      </c>
      <c r="AX403" s="6" cm="1">
        <f t="array" ref="AX403">COUNTA(_xlfn.UNIQUE(_xlfn._xlws.FILTER(HS_DB[Partner],HS_DB[HS Code]=HS_DB[[#This Row],[HS Code]])))</f>
        <v>1</v>
      </c>
      <c r="AY403" s="8" t="str">
        <f>IF(HS_DB[[#This Row],[Competition Intensity]]&lt;=2,"Highly Concentrated",
 IF(HS_DB[[#This Row],[Competition Intensity]]&lt;=5,"Moderate",
 "Highly Competitive"))</f>
        <v>Highly Concentrated</v>
      </c>
      <c r="AZ403" s="8">
        <f>HS_DB[[#This Row],[Total Market Size - USD]]
*
(1+IFERROR(#REF!,0))
/
HS_DB[[#This Row],[Competition Intensity]]</f>
        <v>13006981</v>
      </c>
      <c r="BA403" s="8" t="str">
        <f>IF(HS_DB[[#This Row],[Commercial Opportunity Score]]&gt;=PERCENTILE(HS_DB[Commercial Opportunity Score],0.9),"High Opportunity",
 IF(HS_DB[[#This Row],[Commercial Opportunity Score]]&gt;=PERCENTILE(HS_DB[Commercial Opportunity Score],0.6),"Medium Opportunity",
 "Routine Market"))</f>
        <v>Medium Opportunity</v>
      </c>
      <c r="BB403" s="3" t="str">
        <f>IF(AND(HS_DB[[#This Row],[Product Rank]]&gt;0,HS_DB[[#This Row],[Product Rank]]&lt;=10),"Yes","No")</f>
        <v>No</v>
      </c>
      <c r="BC403" s="3" t="str">
        <f>IF(AND(HS_DB[[#This Row],[Origin Rank]]&gt;0,HS_DB[[#This Row],[Origin Rank]]&lt;=10),"Yes","No")</f>
        <v>Yes</v>
      </c>
    </row>
    <row r="404" spans="2:55" x14ac:dyDescent="0.3">
      <c r="B404" s="2">
        <f>HS_DB[[#This Row],[Commodity Code]]</f>
        <v>110100</v>
      </c>
      <c r="C404" s="2">
        <f>IFERROR(INDEX(HS_MD!C:C,MATCH(B404,HS_MD!B:B,0),1),"")</f>
        <v>32</v>
      </c>
      <c r="D404" s="17" t="str">
        <f>IFERROR(INDEX(HS_MD!D:D,MATCH(B404,HS_MD!B:B,0),1),"")</f>
        <v>Wheat flour</v>
      </c>
      <c r="E404" s="17" t="str">
        <f>IFERROR(INDEX(HS_MD!E:E,MATCH(B404,HS_MD!B:B,0),1),"")</f>
        <v>Wheat Flour</v>
      </c>
      <c r="F404" s="17" t="str">
        <f>IFERROR(INDEX(HS_MD!F:F,MATCH(B404,HS_MD!B:B,0),1),"")</f>
        <v>Agricultural Raw Materials</v>
      </c>
      <c r="G404" s="17" t="str">
        <f>IFERROR(INDEX(HS_MD!G:G,MATCH(B404,HS_MD!B:B,0),1),"")</f>
        <v>Cereals &amp; Flours</v>
      </c>
      <c r="H404" s="17" t="str">
        <f>IFERROR(INDEX(HS_MD!H:H,MATCH(B404,HS_MD!B:B,0),1),"")</f>
        <v>Milled Wheat Flour</v>
      </c>
      <c r="I404" s="17" t="str">
        <f>IFERROR(INDEX(HS_MD!I:I,MATCH(B404,HS_MD!B:B,0),1),"")</f>
        <v>Bakery / Noodles / Sauces</v>
      </c>
      <c r="J404" s="17">
        <f>IFERROR(INDEX(Heat_Map[Index],MATCH(HS_DB[[#This Row],[Reporter]],Heat_Map[Global],0),1),"")</f>
        <v>175</v>
      </c>
      <c r="K404" s="17" t="str">
        <f>IF(AND(HS_DB[[#This Row],[Origin Rank]]&gt;1,HS_DB[[#This Row],[Origin Rank]]&lt;=10),"Yes","No")</f>
        <v>Yes</v>
      </c>
      <c r="L404" s="2">
        <v>2024</v>
      </c>
      <c r="M404" s="2" t="s">
        <v>57</v>
      </c>
      <c r="N404" s="2" t="s">
        <v>34</v>
      </c>
      <c r="O404" s="2" t="s">
        <v>22</v>
      </c>
      <c r="P404" s="2" t="s">
        <v>23</v>
      </c>
      <c r="Q404" s="2" t="s">
        <v>24</v>
      </c>
      <c r="R404" s="2" t="s">
        <v>25</v>
      </c>
      <c r="S404" s="2">
        <v>110100</v>
      </c>
      <c r="T404" s="3">
        <v>11078118</v>
      </c>
      <c r="U404" s="3">
        <v>24019400</v>
      </c>
      <c r="V404" s="3">
        <v>0</v>
      </c>
      <c r="W404" s="3">
        <v>24019400</v>
      </c>
      <c r="X404" s="3" t="s">
        <v>58</v>
      </c>
      <c r="Y404" s="3">
        <v>24019400</v>
      </c>
      <c r="Z404" s="3" t="s">
        <v>58</v>
      </c>
      <c r="AA404" s="6">
        <f>SUMIFS(HS_DB[Trade Value - USD],HS_DB[Reporter],HS_DB[[#This Row],[Reporter]])/SUM(HS_DB[Trade Value - USD])</f>
        <v>4.7522902002533667E-2</v>
      </c>
      <c r="AB404" s="8" cm="1">
        <f t="array" ref="AB404">SUMPRODUCT(
(HS_DB[Reporter]=HS_DB[[#This Row],[Reporter]])*
(HS_DB[Trade Value - USD]&gt;HS_DB[[#This Row],[Trade Value - USD]])
)+1</f>
        <v>3</v>
      </c>
      <c r="AC404" s="8" t="str">
        <f>IFERROR(IF(INDEX(Heat_Map[Crisis Impact %],MATCH(HS_DB[[#This Row],[Reporter]],Heat_Map[Global],0),1)&gt;0,"Yes","No"),"No")</f>
        <v>Yes</v>
      </c>
      <c r="AD404" s="6">
        <f>IFERROR(INDEX(Heat_Map[Crisis Impact %],MATCH(HS_DB[[#This Row],[Reporter]],Heat_Map[Global],0),1),0)</f>
        <v>0.1</v>
      </c>
      <c r="AE404" s="8">
        <f>HS_DB[[#This Row],[Crisis Impact%]]*HS_DB[[#This Row],[Trade Value - USD]]</f>
        <v>1107811.8</v>
      </c>
      <c r="AF404" s="8">
        <f>HS_DB[[#This Row],[Crisis Impact%]]*HS_DB[[#This Row],[Net Weight -KG]]</f>
        <v>2401940</v>
      </c>
      <c r="AG404" s="6">
        <f>SUMIFS(HS_DB[Trade Value - USD],HS_DB[Products],HS_DB[[#This Row],[Products]])/SUM(HS_DB[Trade Value - USD])</f>
        <v>6.9002247674976556E-3</v>
      </c>
      <c r="AH404" s="8">
        <f>_xlfn.RANK.EQ(HS_DB[[#This Row],[Trade Value - USD]], HS_DB[Trade Value - USD], 0)
 + COUNTIFS(HS_DB[Trade Value - USD],HS_DB[[#This Row],[Trade Value - USD]],
            HS_DB[HS Code],"&lt;"&amp;HS_DB[[#This Row],[HS Code]])</f>
        <v>15</v>
      </c>
      <c r="AI404" s="9">
        <f>IFERROR(HS_DB[[#This Row],[Trade Value - USD]]/HS_DB[[#This Row],[Net Weight -KG]],0)</f>
        <v>0.46121543419069583</v>
      </c>
      <c r="AJ404" s="17" cm="1">
        <f t="array" ref="AJ404">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04" s="17" t="str">
        <f>IF(HS_DB[[#This Row],[HS Code Risk Score]]&gt;=40,"High",
 IF(HS_DB[[#This Row],[HS Code Risk Score]]&gt;=25,"Medium","Low"))</f>
        <v>Medium</v>
      </c>
      <c r="AL404" s="17" t="str">
        <f>IF(RANK(HS_DB[[#This Row],[HS Code Risk Score]],HS_DB[HS Code Risk Score])&lt;=10,"Yes","No")</f>
        <v>No</v>
      </c>
      <c r="AM404" s="8">
        <f>SUMIFS(HS_DB[Net Weight -KG],HS_DB[HS Code],HS_DB[[#This Row],[HS Code]])</f>
        <v>26881115.800000001</v>
      </c>
      <c r="AN404" s="8">
        <f>SUMIFS(HS_DB[Trade Value - USD],HS_DB[HS Code],HS_DB[[#This Row],[HS Code]])</f>
        <v>13006981</v>
      </c>
      <c r="AO404" s="6">
        <f>_xlfn.MAXIFS(HS_DB[Origin Share%],HS_DB[HS Code],HS_DB[[#This Row],[HS Code]])</f>
        <v>6.321329281187793E-2</v>
      </c>
      <c r="AP404" s="8" cm="1">
        <f t="array" ref="AP404">_xlfn.LET(
_xlpm.hs,HS_DB[[#This Row],[HS Code]],
COUNTA(_xlfn.UNIQUE(_xlfn._xlws.FILTER(HS_DB[Reporter],HS_DB[HS Code]=_xlpm.hs)))
)</f>
        <v>12</v>
      </c>
      <c r="AQ404" s="17" t="str">
        <f>IF(HS_DB[[#This Row],[Origin Count]]=1,"Single Source","Multiple Sources")</f>
        <v>Multiple Sources</v>
      </c>
      <c r="AR404" s="8">
        <f>HS_DB[[#This Row],[Annual Spend - USD]]*(HS_DB[[#This Row],[HS Code Risk Score]]/100)</f>
        <v>4422373.54</v>
      </c>
      <c r="AS404" s="8">
        <f>RANK(HS_DB[[#This Row],[Risk Exposure - USD]],HS_DB[Risk Exposure - USD],0)</f>
        <v>197</v>
      </c>
      <c r="AT404" s="8" t="str">
        <f>IF(HS_DB[[#This Row],[Risk Exposure Rank]]&lt;=10,"High",
 IF(HS_DB[[#This Row],[Risk Exposure Rank]]&lt;=30,"Medium",
 "Low"))</f>
        <v>Low</v>
      </c>
      <c r="AU404" s="8" t="str">
        <f>IF(HS_DB[[#This Row],[Risk Exposure Rank]]&lt;=5,"Immediate Action",
 IF(HS_DB[[#This Row],[Risk Exposure Rank]]&lt;=15,"Monitor Closely",
 "Routine Control"))</f>
        <v>Routine Control</v>
      </c>
      <c r="AV404" s="8">
        <f>SUMIFS(HS_DB[Trade Value - USD],HS_DB[HS Code],HS_DB[[#This Row],[HS Code]])</f>
        <v>13006981</v>
      </c>
      <c r="AW404" s="6">
        <f>HS_DB[[#This Row],[Annual Spend - USD]]/HS_DB[[#This Row],[Total Market Size - USD]]</f>
        <v>1</v>
      </c>
      <c r="AX404" s="6" cm="1">
        <f t="array" ref="AX404">COUNTA(_xlfn.UNIQUE(_xlfn._xlws.FILTER(HS_DB[Partner],HS_DB[HS Code]=HS_DB[[#This Row],[HS Code]])))</f>
        <v>1</v>
      </c>
      <c r="AY404" s="8" t="str">
        <f>IF(HS_DB[[#This Row],[Competition Intensity]]&lt;=2,"Highly Concentrated",
 IF(HS_DB[[#This Row],[Competition Intensity]]&lt;=5,"Moderate",
 "Highly Competitive"))</f>
        <v>Highly Concentrated</v>
      </c>
      <c r="AZ404" s="8">
        <f>HS_DB[[#This Row],[Total Market Size - USD]]
*
(1+IFERROR(#REF!,0))
/
HS_DB[[#This Row],[Competition Intensity]]</f>
        <v>13006981</v>
      </c>
      <c r="BA404" s="8" t="str">
        <f>IF(HS_DB[[#This Row],[Commercial Opportunity Score]]&gt;=PERCENTILE(HS_DB[Commercial Opportunity Score],0.9),"High Opportunity",
 IF(HS_DB[[#This Row],[Commercial Opportunity Score]]&gt;=PERCENTILE(HS_DB[Commercial Opportunity Score],0.6),"Medium Opportunity",
 "Routine Market"))</f>
        <v>Medium Opportunity</v>
      </c>
      <c r="BB404" s="3" t="str">
        <f>IF(AND(HS_DB[[#This Row],[Product Rank]]&gt;0,HS_DB[[#This Row],[Product Rank]]&lt;=10),"Yes","No")</f>
        <v>No</v>
      </c>
      <c r="BC404" s="3" t="str">
        <f>IF(AND(HS_DB[[#This Row],[Origin Rank]]&gt;0,HS_DB[[#This Row],[Origin Rank]]&lt;=10),"Yes","No")</f>
        <v>Yes</v>
      </c>
    </row>
    <row r="405" spans="2:55" x14ac:dyDescent="0.3">
      <c r="B405" s="2">
        <f>HS_DB[[#This Row],[Commodity Code]]</f>
        <v>110812</v>
      </c>
      <c r="C405" s="2">
        <f>IFERROR(INDEX(HS_MD!C:C,MATCH(B405,HS_MD!B:B,0),1),"")</f>
        <v>33</v>
      </c>
      <c r="D405" s="17" t="str">
        <f>IFERROR(INDEX(HS_MD!D:D,MATCH(B405,HS_MD!B:B,0),1),"")</f>
        <v>Maize (corn) starch</v>
      </c>
      <c r="E405" s="17" t="str">
        <f>IFERROR(INDEX(HS_MD!E:E,MATCH(B405,HS_MD!B:B,0),1),"")</f>
        <v>Corn Starch</v>
      </c>
      <c r="F405" s="17" t="str">
        <f>IFERROR(INDEX(HS_MD!F:F,MATCH(B405,HS_MD!B:B,0),1),"")</f>
        <v>FUNCTIONAL INGREDIENTS</v>
      </c>
      <c r="G405" s="17" t="str">
        <f>IFERROR(INDEX(HS_MD!G:G,MATCH(B405,HS_MD!B:B,0),1),"")</f>
        <v>Native Starches</v>
      </c>
      <c r="H405" s="17" t="str">
        <f>IFERROR(INDEX(HS_MD!H:H,MATCH(B405,HS_MD!B:B,0),1),"")</f>
        <v>Native Corn Starch</v>
      </c>
      <c r="I405" s="17" t="str">
        <f>IFERROR(INDEX(HS_MD!I:I,MATCH(B405,HS_MD!B:B,0),1),"")</f>
        <v>Sauces / Dairy / Confectionery</v>
      </c>
      <c r="J405" s="17">
        <f>IFERROR(INDEX(Heat_Map[Index],MATCH(HS_DB[[#This Row],[Reporter]],Heat_Map[Global],0),1),"")</f>
        <v>17</v>
      </c>
      <c r="K405" s="17" t="str">
        <f>IF(AND(HS_DB[[#This Row],[Origin Rank]]&gt;1,HS_DB[[#This Row],[Origin Rank]]&lt;=10),"Yes","No")</f>
        <v>No</v>
      </c>
      <c r="L405" s="2">
        <v>2024</v>
      </c>
      <c r="M405" s="2" t="s">
        <v>57</v>
      </c>
      <c r="N405" s="2" t="s">
        <v>5</v>
      </c>
      <c r="O405" s="2" t="s">
        <v>22</v>
      </c>
      <c r="P405" s="2" t="s">
        <v>23</v>
      </c>
      <c r="Q405" s="2" t="s">
        <v>24</v>
      </c>
      <c r="R405" s="2" t="s">
        <v>25</v>
      </c>
      <c r="S405" s="2">
        <v>110812</v>
      </c>
      <c r="T405" s="3">
        <v>15513</v>
      </c>
      <c r="U405" s="3">
        <v>21000</v>
      </c>
      <c r="V405" s="3">
        <v>0</v>
      </c>
      <c r="W405" s="3">
        <v>21000</v>
      </c>
      <c r="X405" s="3" t="s">
        <v>58</v>
      </c>
      <c r="Y405" s="3">
        <v>21000</v>
      </c>
      <c r="Z405" s="3" t="s">
        <v>58</v>
      </c>
      <c r="AA405" s="6">
        <f>SUMIFS(HS_DB[Trade Value - USD],HS_DB[Reporter],HS_DB[[#This Row],[Reporter]])/SUM(HS_DB[Trade Value - USD])</f>
        <v>5.3992075088500962E-3</v>
      </c>
      <c r="AB405" s="8" cm="1">
        <f t="array" ref="AB405">SUMPRODUCT(
(HS_DB[Reporter]=HS_DB[[#This Row],[Reporter]])*
(HS_DB[Trade Value - USD]&gt;HS_DB[[#This Row],[Trade Value - USD]])
)+1</f>
        <v>18</v>
      </c>
      <c r="AC405" s="8" t="str">
        <f>IFERROR(IF(INDEX(Heat_Map[Crisis Impact %],MATCH(HS_DB[[#This Row],[Reporter]],Heat_Map[Global],0),1)&gt;0,"Yes","No"),"No")</f>
        <v>No</v>
      </c>
      <c r="AD405" s="6">
        <f>IFERROR(INDEX(Heat_Map[Crisis Impact %],MATCH(HS_DB[[#This Row],[Reporter]],Heat_Map[Global],0),1),0)</f>
        <v>0</v>
      </c>
      <c r="AE405" s="8">
        <f>HS_DB[[#This Row],[Crisis Impact%]]*HS_DB[[#This Row],[Trade Value - USD]]</f>
        <v>0</v>
      </c>
      <c r="AF405" s="8">
        <f>HS_DB[[#This Row],[Crisis Impact%]]*HS_DB[[#This Row],[Net Weight -KG]]</f>
        <v>0</v>
      </c>
      <c r="AG405" s="6">
        <f>SUMIFS(HS_DB[Trade Value - USD],HS_DB[Products],HS_DB[[#This Row],[Products]])/SUM(HS_DB[Trade Value - USD])</f>
        <v>1.6194193894443242E-3</v>
      </c>
      <c r="AH405" s="8">
        <f>_xlfn.RANK.EQ(HS_DB[[#This Row],[Trade Value - USD]], HS_DB[Trade Value - USD], 0)
 + COUNTIFS(HS_DB[Trade Value - USD],HS_DB[[#This Row],[Trade Value - USD]],
            HS_DB[HS Code],"&lt;"&amp;HS_DB[[#This Row],[HS Code]])</f>
        <v>392</v>
      </c>
      <c r="AI405" s="9">
        <f>IFERROR(HS_DB[[#This Row],[Trade Value - USD]]/HS_DB[[#This Row],[Net Weight -KG]],0)</f>
        <v>0.73871428571428577</v>
      </c>
      <c r="AJ405" s="17" cm="1">
        <f t="array" ref="AJ405">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05" s="17" t="str">
        <f>IF(HS_DB[[#This Row],[HS Code Risk Score]]&gt;=40,"High",
 IF(HS_DB[[#This Row],[HS Code Risk Score]]&gt;=25,"Medium","Low"))</f>
        <v>Medium</v>
      </c>
      <c r="AL405" s="17" t="str">
        <f>IF(RANK(HS_DB[[#This Row],[HS Code Risk Score]],HS_DB[HS Code Risk Score])&lt;=10,"Yes","No")</f>
        <v>No</v>
      </c>
      <c r="AM405" s="8">
        <f>SUMIFS(HS_DB[Net Weight -KG],HS_DB[HS Code],HS_DB[[#This Row],[HS Code]])</f>
        <v>7001540</v>
      </c>
      <c r="AN405" s="8">
        <f>SUMIFS(HS_DB[Trade Value - USD],HS_DB[HS Code],HS_DB[[#This Row],[HS Code]])</f>
        <v>3052619</v>
      </c>
      <c r="AO405" s="6">
        <f>_xlfn.MAXIFS(HS_DB[Origin Share%],HS_DB[HS Code],HS_DB[[#This Row],[HS Code]])</f>
        <v>6.321329281187793E-2</v>
      </c>
      <c r="AP405" s="8" cm="1">
        <f t="array" ref="AP405">_xlfn.LET(
_xlpm.hs,HS_DB[[#This Row],[HS Code]],
COUNTA(_xlfn.UNIQUE(_xlfn._xlws.FILTER(HS_DB[Reporter],HS_DB[HS Code]=_xlpm.hs)))
)</f>
        <v>12</v>
      </c>
      <c r="AQ405" s="17" t="str">
        <f>IF(HS_DB[[#This Row],[Origin Count]]=1,"Single Source","Multiple Sources")</f>
        <v>Multiple Sources</v>
      </c>
      <c r="AR405" s="8">
        <f>HS_DB[[#This Row],[Annual Spend - USD]]*(HS_DB[[#This Row],[HS Code Risk Score]]/100)</f>
        <v>1037890.4600000001</v>
      </c>
      <c r="AS405" s="8">
        <f>RANK(HS_DB[[#This Row],[Risk Exposure - USD]],HS_DB[Risk Exposure - USD],0)</f>
        <v>442</v>
      </c>
      <c r="AT405" s="8" t="str">
        <f>IF(HS_DB[[#This Row],[Risk Exposure Rank]]&lt;=10,"High",
 IF(HS_DB[[#This Row],[Risk Exposure Rank]]&lt;=30,"Medium",
 "Low"))</f>
        <v>Low</v>
      </c>
      <c r="AU405" s="8" t="str">
        <f>IF(HS_DB[[#This Row],[Risk Exposure Rank]]&lt;=5,"Immediate Action",
 IF(HS_DB[[#This Row],[Risk Exposure Rank]]&lt;=15,"Monitor Closely",
 "Routine Control"))</f>
        <v>Routine Control</v>
      </c>
      <c r="AV405" s="8">
        <f>SUMIFS(HS_DB[Trade Value - USD],HS_DB[HS Code],HS_DB[[#This Row],[HS Code]])</f>
        <v>3052619</v>
      </c>
      <c r="AW405" s="6">
        <f>HS_DB[[#This Row],[Annual Spend - USD]]/HS_DB[[#This Row],[Total Market Size - USD]]</f>
        <v>1</v>
      </c>
      <c r="AX405" s="6" cm="1">
        <f t="array" ref="AX405">COUNTA(_xlfn.UNIQUE(_xlfn._xlws.FILTER(HS_DB[Partner],HS_DB[HS Code]=HS_DB[[#This Row],[HS Code]])))</f>
        <v>1</v>
      </c>
      <c r="AY405" s="8" t="str">
        <f>IF(HS_DB[[#This Row],[Competition Intensity]]&lt;=2,"Highly Concentrated",
 IF(HS_DB[[#This Row],[Competition Intensity]]&lt;=5,"Moderate",
 "Highly Competitive"))</f>
        <v>Highly Concentrated</v>
      </c>
      <c r="AZ405" s="8">
        <f>HS_DB[[#This Row],[Total Market Size - USD]]
*
(1+IFERROR(#REF!,0))
/
HS_DB[[#This Row],[Competition Intensity]]</f>
        <v>3052619</v>
      </c>
      <c r="BA405" s="8" t="str">
        <f>IF(HS_DB[[#This Row],[Commercial Opportunity Score]]&gt;=PERCENTILE(HS_DB[Commercial Opportunity Score],0.9),"High Opportunity",
 IF(HS_DB[[#This Row],[Commercial Opportunity Score]]&gt;=PERCENTILE(HS_DB[Commercial Opportunity Score],0.6),"Medium Opportunity",
 "Routine Market"))</f>
        <v>Routine Market</v>
      </c>
      <c r="BB405" s="3" t="str">
        <f>IF(AND(HS_DB[[#This Row],[Product Rank]]&gt;0,HS_DB[[#This Row],[Product Rank]]&lt;=10),"Yes","No")</f>
        <v>No</v>
      </c>
      <c r="BC405" s="3" t="str">
        <f>IF(AND(HS_DB[[#This Row],[Origin Rank]]&gt;0,HS_DB[[#This Row],[Origin Rank]]&lt;=10),"Yes","No")</f>
        <v>No</v>
      </c>
    </row>
    <row r="406" spans="2:55" x14ac:dyDescent="0.3">
      <c r="B406" s="2">
        <f>HS_DB[[#This Row],[Commodity Code]]</f>
        <v>110812</v>
      </c>
      <c r="C406" s="2">
        <f>IFERROR(INDEX(HS_MD!C:C,MATCH(B406,HS_MD!B:B,0),1),"")</f>
        <v>33</v>
      </c>
      <c r="D406" s="17" t="str">
        <f>IFERROR(INDEX(HS_MD!D:D,MATCH(B406,HS_MD!B:B,0),1),"")</f>
        <v>Maize (corn) starch</v>
      </c>
      <c r="E406" s="17" t="str">
        <f>IFERROR(INDEX(HS_MD!E:E,MATCH(B406,HS_MD!B:B,0),1),"")</f>
        <v>Corn Starch</v>
      </c>
      <c r="F406" s="17" t="str">
        <f>IFERROR(INDEX(HS_MD!F:F,MATCH(B406,HS_MD!B:B,0),1),"")</f>
        <v>FUNCTIONAL INGREDIENTS</v>
      </c>
      <c r="G406" s="17" t="str">
        <f>IFERROR(INDEX(HS_MD!G:G,MATCH(B406,HS_MD!B:B,0),1),"")</f>
        <v>Native Starches</v>
      </c>
      <c r="H406" s="17" t="str">
        <f>IFERROR(INDEX(HS_MD!H:H,MATCH(B406,HS_MD!B:B,0),1),"")</f>
        <v>Native Corn Starch</v>
      </c>
      <c r="I406" s="17" t="str">
        <f>IFERROR(INDEX(HS_MD!I:I,MATCH(B406,HS_MD!B:B,0),1),"")</f>
        <v>Sauces / Dairy / Confectionery</v>
      </c>
      <c r="J406" s="17">
        <f>IFERROR(INDEX(Heat_Map[Index],MATCH(HS_DB[[#This Row],[Reporter]],Heat_Map[Global],0),1),"")</f>
        <v>26</v>
      </c>
      <c r="K406" s="17" t="str">
        <f>IF(AND(HS_DB[[#This Row],[Origin Rank]]&gt;1,HS_DB[[#This Row],[Origin Rank]]&lt;=10),"Yes","No")</f>
        <v>Yes</v>
      </c>
      <c r="L406" s="2">
        <v>2024</v>
      </c>
      <c r="M406" s="2" t="s">
        <v>57</v>
      </c>
      <c r="N406" s="2" t="s">
        <v>141</v>
      </c>
      <c r="O406" s="2" t="s">
        <v>22</v>
      </c>
      <c r="P406" s="2" t="s">
        <v>23</v>
      </c>
      <c r="Q406" s="2" t="s">
        <v>24</v>
      </c>
      <c r="R406" s="2" t="s">
        <v>25</v>
      </c>
      <c r="S406" s="2">
        <v>110812</v>
      </c>
      <c r="T406" s="3">
        <v>194079</v>
      </c>
      <c r="U406" s="3">
        <v>460000</v>
      </c>
      <c r="V406" s="3">
        <v>0</v>
      </c>
      <c r="W406" s="3">
        <v>460000</v>
      </c>
      <c r="X406" s="3" t="s">
        <v>58</v>
      </c>
      <c r="Y406" s="3">
        <v>460000</v>
      </c>
      <c r="Z406" s="3" t="s">
        <v>58</v>
      </c>
      <c r="AA406" s="6">
        <f>SUMIFS(HS_DB[Trade Value - USD],HS_DB[Reporter],HS_DB[[#This Row],[Reporter]])/SUM(HS_DB[Trade Value - USD])</f>
        <v>5.4237925464080154E-3</v>
      </c>
      <c r="AB406" s="8" cm="1">
        <f t="array" ref="AB406">SUMPRODUCT(
(HS_DB[Reporter]=HS_DB[[#This Row],[Reporter]])*
(HS_DB[Trade Value - USD]&gt;HS_DB[[#This Row],[Trade Value - USD]])
)+1</f>
        <v>5</v>
      </c>
      <c r="AC406" s="8" t="str">
        <f>IFERROR(IF(INDEX(Heat_Map[Crisis Impact %],MATCH(HS_DB[[#This Row],[Reporter]],Heat_Map[Global],0),1)&gt;0,"Yes","No"),"No")</f>
        <v>No</v>
      </c>
      <c r="AD406" s="6">
        <f>IFERROR(INDEX(Heat_Map[Crisis Impact %],MATCH(HS_DB[[#This Row],[Reporter]],Heat_Map[Global],0),1),0)</f>
        <v>0</v>
      </c>
      <c r="AE406" s="8">
        <f>HS_DB[[#This Row],[Crisis Impact%]]*HS_DB[[#This Row],[Trade Value - USD]]</f>
        <v>0</v>
      </c>
      <c r="AF406" s="8">
        <f>HS_DB[[#This Row],[Crisis Impact%]]*HS_DB[[#This Row],[Net Weight -KG]]</f>
        <v>0</v>
      </c>
      <c r="AG406" s="6">
        <f>SUMIFS(HS_DB[Trade Value - USD],HS_DB[Products],HS_DB[[#This Row],[Products]])/SUM(HS_DB[Trade Value - USD])</f>
        <v>1.6194193894443242E-3</v>
      </c>
      <c r="AH406" s="8">
        <f>_xlfn.RANK.EQ(HS_DB[[#This Row],[Trade Value - USD]], HS_DB[Trade Value - USD], 0)
 + COUNTIFS(HS_DB[Trade Value - USD],HS_DB[[#This Row],[Trade Value - USD]],
            HS_DB[HS Code],"&lt;"&amp;HS_DB[[#This Row],[HS Code]])</f>
        <v>222</v>
      </c>
      <c r="AI406" s="9">
        <f>IFERROR(HS_DB[[#This Row],[Trade Value - USD]]/HS_DB[[#This Row],[Net Weight -KG]],0)</f>
        <v>0.42191086956521739</v>
      </c>
      <c r="AJ406" s="17" cm="1">
        <f t="array" ref="AJ406">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06" s="17" t="str">
        <f>IF(HS_DB[[#This Row],[HS Code Risk Score]]&gt;=40,"High",
 IF(HS_DB[[#This Row],[HS Code Risk Score]]&gt;=25,"Medium","Low"))</f>
        <v>Medium</v>
      </c>
      <c r="AL406" s="17" t="str">
        <f>IF(RANK(HS_DB[[#This Row],[HS Code Risk Score]],HS_DB[HS Code Risk Score])&lt;=10,"Yes","No")</f>
        <v>No</v>
      </c>
      <c r="AM406" s="8">
        <f>SUMIFS(HS_DB[Net Weight -KG],HS_DB[HS Code],HS_DB[[#This Row],[HS Code]])</f>
        <v>7001540</v>
      </c>
      <c r="AN406" s="8">
        <f>SUMIFS(HS_DB[Trade Value - USD],HS_DB[HS Code],HS_DB[[#This Row],[HS Code]])</f>
        <v>3052619</v>
      </c>
      <c r="AO406" s="6">
        <f>_xlfn.MAXIFS(HS_DB[Origin Share%],HS_DB[HS Code],HS_DB[[#This Row],[HS Code]])</f>
        <v>6.321329281187793E-2</v>
      </c>
      <c r="AP406" s="8" cm="1">
        <f t="array" ref="AP406">_xlfn.LET(
_xlpm.hs,HS_DB[[#This Row],[HS Code]],
COUNTA(_xlfn.UNIQUE(_xlfn._xlws.FILTER(HS_DB[Reporter],HS_DB[HS Code]=_xlpm.hs)))
)</f>
        <v>12</v>
      </c>
      <c r="AQ406" s="17" t="str">
        <f>IF(HS_DB[[#This Row],[Origin Count]]=1,"Single Source","Multiple Sources")</f>
        <v>Multiple Sources</v>
      </c>
      <c r="AR406" s="8">
        <f>HS_DB[[#This Row],[Annual Spend - USD]]*(HS_DB[[#This Row],[HS Code Risk Score]]/100)</f>
        <v>1037890.4600000001</v>
      </c>
      <c r="AS406" s="8">
        <f>RANK(HS_DB[[#This Row],[Risk Exposure - USD]],HS_DB[Risk Exposure - USD],0)</f>
        <v>442</v>
      </c>
      <c r="AT406" s="8" t="str">
        <f>IF(HS_DB[[#This Row],[Risk Exposure Rank]]&lt;=10,"High",
 IF(HS_DB[[#This Row],[Risk Exposure Rank]]&lt;=30,"Medium",
 "Low"))</f>
        <v>Low</v>
      </c>
      <c r="AU406" s="8" t="str">
        <f>IF(HS_DB[[#This Row],[Risk Exposure Rank]]&lt;=5,"Immediate Action",
 IF(HS_DB[[#This Row],[Risk Exposure Rank]]&lt;=15,"Monitor Closely",
 "Routine Control"))</f>
        <v>Routine Control</v>
      </c>
      <c r="AV406" s="8">
        <f>SUMIFS(HS_DB[Trade Value - USD],HS_DB[HS Code],HS_DB[[#This Row],[HS Code]])</f>
        <v>3052619</v>
      </c>
      <c r="AW406" s="6">
        <f>HS_DB[[#This Row],[Annual Spend - USD]]/HS_DB[[#This Row],[Total Market Size - USD]]</f>
        <v>1</v>
      </c>
      <c r="AX406" s="6" cm="1">
        <f t="array" ref="AX406">COUNTA(_xlfn.UNIQUE(_xlfn._xlws.FILTER(HS_DB[Partner],HS_DB[HS Code]=HS_DB[[#This Row],[HS Code]])))</f>
        <v>1</v>
      </c>
      <c r="AY406" s="8" t="str">
        <f>IF(HS_DB[[#This Row],[Competition Intensity]]&lt;=2,"Highly Concentrated",
 IF(HS_DB[[#This Row],[Competition Intensity]]&lt;=5,"Moderate",
 "Highly Competitive"))</f>
        <v>Highly Concentrated</v>
      </c>
      <c r="AZ406" s="8">
        <f>HS_DB[[#This Row],[Total Market Size - USD]]
*
(1+IFERROR(#REF!,0))
/
HS_DB[[#This Row],[Competition Intensity]]</f>
        <v>3052619</v>
      </c>
      <c r="BA406" s="8" t="str">
        <f>IF(HS_DB[[#This Row],[Commercial Opportunity Score]]&gt;=PERCENTILE(HS_DB[Commercial Opportunity Score],0.9),"High Opportunity",
 IF(HS_DB[[#This Row],[Commercial Opportunity Score]]&gt;=PERCENTILE(HS_DB[Commercial Opportunity Score],0.6),"Medium Opportunity",
 "Routine Market"))</f>
        <v>Routine Market</v>
      </c>
      <c r="BB406" s="3" t="str">
        <f>IF(AND(HS_DB[[#This Row],[Product Rank]]&gt;0,HS_DB[[#This Row],[Product Rank]]&lt;=10),"Yes","No")</f>
        <v>No</v>
      </c>
      <c r="BC406" s="3" t="str">
        <f>IF(AND(HS_DB[[#This Row],[Origin Rank]]&gt;0,HS_DB[[#This Row],[Origin Rank]]&lt;=10),"Yes","No")</f>
        <v>Yes</v>
      </c>
    </row>
    <row r="407" spans="2:55" x14ac:dyDescent="0.3">
      <c r="B407" s="2">
        <f>HS_DB[[#This Row],[Commodity Code]]</f>
        <v>110812</v>
      </c>
      <c r="C407" s="2">
        <f>IFERROR(INDEX(HS_MD!C:C,MATCH(B407,HS_MD!B:B,0),1),"")</f>
        <v>33</v>
      </c>
      <c r="D407" s="17" t="str">
        <f>IFERROR(INDEX(HS_MD!D:D,MATCH(B407,HS_MD!B:B,0),1),"")</f>
        <v>Maize (corn) starch</v>
      </c>
      <c r="E407" s="17" t="str">
        <f>IFERROR(INDEX(HS_MD!E:E,MATCH(B407,HS_MD!B:B,0),1),"")</f>
        <v>Corn Starch</v>
      </c>
      <c r="F407" s="17" t="str">
        <f>IFERROR(INDEX(HS_MD!F:F,MATCH(B407,HS_MD!B:B,0),1),"")</f>
        <v>FUNCTIONAL INGREDIENTS</v>
      </c>
      <c r="G407" s="17" t="str">
        <f>IFERROR(INDEX(HS_MD!G:G,MATCH(B407,HS_MD!B:B,0),1),"")</f>
        <v>Native Starches</v>
      </c>
      <c r="H407" s="17" t="str">
        <f>IFERROR(INDEX(HS_MD!H:H,MATCH(B407,HS_MD!B:B,0),1),"")</f>
        <v>Native Corn Starch</v>
      </c>
      <c r="I407" s="17" t="str">
        <f>IFERROR(INDEX(HS_MD!I:I,MATCH(B407,HS_MD!B:B,0),1),"")</f>
        <v>Sauces / Dairy / Confectionery</v>
      </c>
      <c r="J407" s="17">
        <f>IFERROR(INDEX(Heat_Map[Index],MATCH(HS_DB[[#This Row],[Reporter]],Heat_Map[Global],0),1),"")</f>
        <v>36</v>
      </c>
      <c r="K407" s="17" t="str">
        <f>IF(AND(HS_DB[[#This Row],[Origin Rank]]&gt;1,HS_DB[[#This Row],[Origin Rank]]&lt;=10),"Yes","No")</f>
        <v>No</v>
      </c>
      <c r="L407" s="2">
        <v>2024</v>
      </c>
      <c r="M407" s="2" t="s">
        <v>57</v>
      </c>
      <c r="N407" s="2" t="s">
        <v>1</v>
      </c>
      <c r="O407" s="2" t="s">
        <v>22</v>
      </c>
      <c r="P407" s="2" t="s">
        <v>23</v>
      </c>
      <c r="Q407" s="2" t="s">
        <v>24</v>
      </c>
      <c r="R407" s="2" t="s">
        <v>25</v>
      </c>
      <c r="S407" s="2">
        <v>110812</v>
      </c>
      <c r="T407" s="3">
        <v>7449</v>
      </c>
      <c r="U407" s="3">
        <v>19500</v>
      </c>
      <c r="V407" s="3">
        <v>0</v>
      </c>
      <c r="W407" s="3">
        <v>19500</v>
      </c>
      <c r="X407" s="3" t="s">
        <v>58</v>
      </c>
      <c r="Y407" s="3">
        <v>19500</v>
      </c>
      <c r="Z407" s="3" t="s">
        <v>58</v>
      </c>
      <c r="AA407" s="6">
        <f>SUMIFS(HS_DB[Trade Value - USD],HS_DB[Reporter],HS_DB[[#This Row],[Reporter]])/SUM(HS_DB[Trade Value - USD])</f>
        <v>6.321329281187793E-2</v>
      </c>
      <c r="AB407" s="8" cm="1">
        <f t="array" ref="AB407">SUMPRODUCT(
(HS_DB[Reporter]=HS_DB[[#This Row],[Reporter]])*
(HS_DB[Trade Value - USD]&gt;HS_DB[[#This Row],[Trade Value - USD]])
)+1</f>
        <v>33</v>
      </c>
      <c r="AC407" s="8" t="str">
        <f>IFERROR(IF(INDEX(Heat_Map[Crisis Impact %],MATCH(HS_DB[[#This Row],[Reporter]],Heat_Map[Global],0),1)&gt;0,"Yes","No"),"No")</f>
        <v>Yes</v>
      </c>
      <c r="AD407" s="6">
        <f>IFERROR(INDEX(Heat_Map[Crisis Impact %],MATCH(HS_DB[[#This Row],[Reporter]],Heat_Map[Global],0),1),0)</f>
        <v>0.14000000000000001</v>
      </c>
      <c r="AE407" s="8">
        <f>HS_DB[[#This Row],[Crisis Impact%]]*HS_DB[[#This Row],[Trade Value - USD]]</f>
        <v>1042.8600000000001</v>
      </c>
      <c r="AF407" s="8">
        <f>HS_DB[[#This Row],[Crisis Impact%]]*HS_DB[[#This Row],[Net Weight -KG]]</f>
        <v>2730.0000000000005</v>
      </c>
      <c r="AG407" s="6">
        <f>SUMIFS(HS_DB[Trade Value - USD],HS_DB[Products],HS_DB[[#This Row],[Products]])/SUM(HS_DB[Trade Value - USD])</f>
        <v>1.6194193894443242E-3</v>
      </c>
      <c r="AH407" s="8">
        <f>_xlfn.RANK.EQ(HS_DB[[#This Row],[Trade Value - USD]], HS_DB[Trade Value - USD], 0)
 + COUNTIFS(HS_DB[Trade Value - USD],HS_DB[[#This Row],[Trade Value - USD]],
            HS_DB[HS Code],"&lt;"&amp;HS_DB[[#This Row],[HS Code]])</f>
        <v>424</v>
      </c>
      <c r="AI407" s="9">
        <f>IFERROR(HS_DB[[#This Row],[Trade Value - USD]]/HS_DB[[#This Row],[Net Weight -KG]],0)</f>
        <v>0.38200000000000001</v>
      </c>
      <c r="AJ407" s="17" cm="1">
        <f t="array" ref="AJ407">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07" s="17" t="str">
        <f>IF(HS_DB[[#This Row],[HS Code Risk Score]]&gt;=40,"High",
 IF(HS_DB[[#This Row],[HS Code Risk Score]]&gt;=25,"Medium","Low"))</f>
        <v>Medium</v>
      </c>
      <c r="AL407" s="17" t="str">
        <f>IF(RANK(HS_DB[[#This Row],[HS Code Risk Score]],HS_DB[HS Code Risk Score])&lt;=10,"Yes","No")</f>
        <v>No</v>
      </c>
      <c r="AM407" s="8">
        <f>SUMIFS(HS_DB[Net Weight -KG],HS_DB[HS Code],HS_DB[[#This Row],[HS Code]])</f>
        <v>7001540</v>
      </c>
      <c r="AN407" s="8">
        <f>SUMIFS(HS_DB[Trade Value - USD],HS_DB[HS Code],HS_DB[[#This Row],[HS Code]])</f>
        <v>3052619</v>
      </c>
      <c r="AO407" s="6">
        <f>_xlfn.MAXIFS(HS_DB[Origin Share%],HS_DB[HS Code],HS_DB[[#This Row],[HS Code]])</f>
        <v>6.321329281187793E-2</v>
      </c>
      <c r="AP407" s="8" cm="1">
        <f t="array" ref="AP407">_xlfn.LET(
_xlpm.hs,HS_DB[[#This Row],[HS Code]],
COUNTA(_xlfn.UNIQUE(_xlfn._xlws.FILTER(HS_DB[Reporter],HS_DB[HS Code]=_xlpm.hs)))
)</f>
        <v>12</v>
      </c>
      <c r="AQ407" s="17" t="str">
        <f>IF(HS_DB[[#This Row],[Origin Count]]=1,"Single Source","Multiple Sources")</f>
        <v>Multiple Sources</v>
      </c>
      <c r="AR407" s="8">
        <f>HS_DB[[#This Row],[Annual Spend - USD]]*(HS_DB[[#This Row],[HS Code Risk Score]]/100)</f>
        <v>1037890.4600000001</v>
      </c>
      <c r="AS407" s="8">
        <f>RANK(HS_DB[[#This Row],[Risk Exposure - USD]],HS_DB[Risk Exposure - USD],0)</f>
        <v>442</v>
      </c>
      <c r="AT407" s="8" t="str">
        <f>IF(HS_DB[[#This Row],[Risk Exposure Rank]]&lt;=10,"High",
 IF(HS_DB[[#This Row],[Risk Exposure Rank]]&lt;=30,"Medium",
 "Low"))</f>
        <v>Low</v>
      </c>
      <c r="AU407" s="8" t="str">
        <f>IF(HS_DB[[#This Row],[Risk Exposure Rank]]&lt;=5,"Immediate Action",
 IF(HS_DB[[#This Row],[Risk Exposure Rank]]&lt;=15,"Monitor Closely",
 "Routine Control"))</f>
        <v>Routine Control</v>
      </c>
      <c r="AV407" s="8">
        <f>SUMIFS(HS_DB[Trade Value - USD],HS_DB[HS Code],HS_DB[[#This Row],[HS Code]])</f>
        <v>3052619</v>
      </c>
      <c r="AW407" s="6">
        <f>HS_DB[[#This Row],[Annual Spend - USD]]/HS_DB[[#This Row],[Total Market Size - USD]]</f>
        <v>1</v>
      </c>
      <c r="AX407" s="6" cm="1">
        <f t="array" ref="AX407">COUNTA(_xlfn.UNIQUE(_xlfn._xlws.FILTER(HS_DB[Partner],HS_DB[HS Code]=HS_DB[[#This Row],[HS Code]])))</f>
        <v>1</v>
      </c>
      <c r="AY407" s="8" t="str">
        <f>IF(HS_DB[[#This Row],[Competition Intensity]]&lt;=2,"Highly Concentrated",
 IF(HS_DB[[#This Row],[Competition Intensity]]&lt;=5,"Moderate",
 "Highly Competitive"))</f>
        <v>Highly Concentrated</v>
      </c>
      <c r="AZ407" s="8">
        <f>HS_DB[[#This Row],[Total Market Size - USD]]
*
(1+IFERROR(#REF!,0))
/
HS_DB[[#This Row],[Competition Intensity]]</f>
        <v>3052619</v>
      </c>
      <c r="BA407" s="8" t="str">
        <f>IF(HS_DB[[#This Row],[Commercial Opportunity Score]]&gt;=PERCENTILE(HS_DB[Commercial Opportunity Score],0.9),"High Opportunity",
 IF(HS_DB[[#This Row],[Commercial Opportunity Score]]&gt;=PERCENTILE(HS_DB[Commercial Opportunity Score],0.6),"Medium Opportunity",
 "Routine Market"))</f>
        <v>Routine Market</v>
      </c>
      <c r="BB407" s="3" t="str">
        <f>IF(AND(HS_DB[[#This Row],[Product Rank]]&gt;0,HS_DB[[#This Row],[Product Rank]]&lt;=10),"Yes","No")</f>
        <v>No</v>
      </c>
      <c r="BC407" s="3" t="str">
        <f>IF(AND(HS_DB[[#This Row],[Origin Rank]]&gt;0,HS_DB[[#This Row],[Origin Rank]]&lt;=10),"Yes","No")</f>
        <v>No</v>
      </c>
    </row>
    <row r="408" spans="2:55" x14ac:dyDescent="0.3">
      <c r="B408" s="2">
        <f>HS_DB[[#This Row],[Commodity Code]]</f>
        <v>110812</v>
      </c>
      <c r="C408" s="2">
        <f>IFERROR(INDEX(HS_MD!C:C,MATCH(B408,HS_MD!B:B,0),1),"")</f>
        <v>33</v>
      </c>
      <c r="D408" s="17" t="str">
        <f>IFERROR(INDEX(HS_MD!D:D,MATCH(B408,HS_MD!B:B,0),1),"")</f>
        <v>Maize (corn) starch</v>
      </c>
      <c r="E408" s="17" t="str">
        <f>IFERROR(INDEX(HS_MD!E:E,MATCH(B408,HS_MD!B:B,0),1),"")</f>
        <v>Corn Starch</v>
      </c>
      <c r="F408" s="17" t="str">
        <f>IFERROR(INDEX(HS_MD!F:F,MATCH(B408,HS_MD!B:B,0),1),"")</f>
        <v>FUNCTIONAL INGREDIENTS</v>
      </c>
      <c r="G408" s="17" t="str">
        <f>IFERROR(INDEX(HS_MD!G:G,MATCH(B408,HS_MD!B:B,0),1),"")</f>
        <v>Native Starches</v>
      </c>
      <c r="H408" s="17" t="str">
        <f>IFERROR(INDEX(HS_MD!H:H,MATCH(B408,HS_MD!B:B,0),1),"")</f>
        <v>Native Corn Starch</v>
      </c>
      <c r="I408" s="17" t="str">
        <f>IFERROR(INDEX(HS_MD!I:I,MATCH(B408,HS_MD!B:B,0),1),"")</f>
        <v>Sauces / Dairy / Confectionery</v>
      </c>
      <c r="J408" s="17">
        <f>IFERROR(INDEX(Heat_Map[Index],MATCH(HS_DB[[#This Row],[Reporter]],Heat_Map[Global],0),1),"")</f>
        <v>59</v>
      </c>
      <c r="K408" s="17" t="str">
        <f>IF(AND(HS_DB[[#This Row],[Origin Rank]]&gt;1,HS_DB[[#This Row],[Origin Rank]]&lt;=10),"Yes","No")</f>
        <v>No</v>
      </c>
      <c r="L408" s="2">
        <v>2024</v>
      </c>
      <c r="M408" s="2" t="s">
        <v>57</v>
      </c>
      <c r="N408" s="2" t="s">
        <v>44</v>
      </c>
      <c r="O408" s="2" t="s">
        <v>22</v>
      </c>
      <c r="P408" s="2" t="s">
        <v>23</v>
      </c>
      <c r="Q408" s="2" t="s">
        <v>24</v>
      </c>
      <c r="R408" s="2" t="s">
        <v>25</v>
      </c>
      <c r="S408" s="2">
        <v>110812</v>
      </c>
      <c r="T408" s="3">
        <v>9457</v>
      </c>
      <c r="U408" s="3">
        <v>3464</v>
      </c>
      <c r="V408" s="3">
        <v>0</v>
      </c>
      <c r="W408" s="3">
        <v>3464</v>
      </c>
      <c r="X408" s="3" t="s">
        <v>58</v>
      </c>
      <c r="Y408" s="3">
        <v>3464</v>
      </c>
      <c r="Z408" s="3" t="s">
        <v>58</v>
      </c>
      <c r="AA408" s="6">
        <f>SUMIFS(HS_DB[Trade Value - USD],HS_DB[Reporter],HS_DB[[#This Row],[Reporter]])/SUM(HS_DB[Trade Value - USD])</f>
        <v>1.6951290293147386E-2</v>
      </c>
      <c r="AB408" s="8" cm="1">
        <f t="array" ref="AB408">SUMPRODUCT(
(HS_DB[Reporter]=HS_DB[[#This Row],[Reporter]])*
(HS_DB[Trade Value - USD]&gt;HS_DB[[#This Row],[Trade Value - USD]])
)+1</f>
        <v>28</v>
      </c>
      <c r="AC408" s="8" t="str">
        <f>IFERROR(IF(INDEX(Heat_Map[Crisis Impact %],MATCH(HS_DB[[#This Row],[Reporter]],Heat_Map[Global],0),1)&gt;0,"Yes","No"),"No")</f>
        <v>No</v>
      </c>
      <c r="AD408" s="6">
        <f>IFERROR(INDEX(Heat_Map[Crisis Impact %],MATCH(HS_DB[[#This Row],[Reporter]],Heat_Map[Global],0),1),0)</f>
        <v>0</v>
      </c>
      <c r="AE408" s="8">
        <f>HS_DB[[#This Row],[Crisis Impact%]]*HS_DB[[#This Row],[Trade Value - USD]]</f>
        <v>0</v>
      </c>
      <c r="AF408" s="8">
        <f>HS_DB[[#This Row],[Crisis Impact%]]*HS_DB[[#This Row],[Net Weight -KG]]</f>
        <v>0</v>
      </c>
      <c r="AG408" s="6">
        <f>SUMIFS(HS_DB[Trade Value - USD],HS_DB[Products],HS_DB[[#This Row],[Products]])/SUM(HS_DB[Trade Value - USD])</f>
        <v>1.6194193894443242E-3</v>
      </c>
      <c r="AH408" s="8">
        <f>_xlfn.RANK.EQ(HS_DB[[#This Row],[Trade Value - USD]], HS_DB[Trade Value - USD], 0)
 + COUNTIFS(HS_DB[Trade Value - USD],HS_DB[[#This Row],[Trade Value - USD]],
            HS_DB[HS Code],"&lt;"&amp;HS_DB[[#This Row],[HS Code]])</f>
        <v>416</v>
      </c>
      <c r="AI408" s="9">
        <f>IFERROR(HS_DB[[#This Row],[Trade Value - USD]]/HS_DB[[#This Row],[Net Weight -KG]],0)</f>
        <v>2.7300808314087761</v>
      </c>
      <c r="AJ408" s="17" cm="1">
        <f t="array" ref="AJ408">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08" s="17" t="str">
        <f>IF(HS_DB[[#This Row],[HS Code Risk Score]]&gt;=40,"High",
 IF(HS_DB[[#This Row],[HS Code Risk Score]]&gt;=25,"Medium","Low"))</f>
        <v>Medium</v>
      </c>
      <c r="AL408" s="17" t="str">
        <f>IF(RANK(HS_DB[[#This Row],[HS Code Risk Score]],HS_DB[HS Code Risk Score])&lt;=10,"Yes","No")</f>
        <v>No</v>
      </c>
      <c r="AM408" s="8">
        <f>SUMIFS(HS_DB[Net Weight -KG],HS_DB[HS Code],HS_DB[[#This Row],[HS Code]])</f>
        <v>7001540</v>
      </c>
      <c r="AN408" s="8">
        <f>SUMIFS(HS_DB[Trade Value - USD],HS_DB[HS Code],HS_DB[[#This Row],[HS Code]])</f>
        <v>3052619</v>
      </c>
      <c r="AO408" s="6">
        <f>_xlfn.MAXIFS(HS_DB[Origin Share%],HS_DB[HS Code],HS_DB[[#This Row],[HS Code]])</f>
        <v>6.321329281187793E-2</v>
      </c>
      <c r="AP408" s="8" cm="1">
        <f t="array" ref="AP408">_xlfn.LET(
_xlpm.hs,HS_DB[[#This Row],[HS Code]],
COUNTA(_xlfn.UNIQUE(_xlfn._xlws.FILTER(HS_DB[Reporter],HS_DB[HS Code]=_xlpm.hs)))
)</f>
        <v>12</v>
      </c>
      <c r="AQ408" s="17" t="str">
        <f>IF(HS_DB[[#This Row],[Origin Count]]=1,"Single Source","Multiple Sources")</f>
        <v>Multiple Sources</v>
      </c>
      <c r="AR408" s="8">
        <f>HS_DB[[#This Row],[Annual Spend - USD]]*(HS_DB[[#This Row],[HS Code Risk Score]]/100)</f>
        <v>1037890.4600000001</v>
      </c>
      <c r="AS408" s="8">
        <f>RANK(HS_DB[[#This Row],[Risk Exposure - USD]],HS_DB[Risk Exposure - USD],0)</f>
        <v>442</v>
      </c>
      <c r="AT408" s="8" t="str">
        <f>IF(HS_DB[[#This Row],[Risk Exposure Rank]]&lt;=10,"High",
 IF(HS_DB[[#This Row],[Risk Exposure Rank]]&lt;=30,"Medium",
 "Low"))</f>
        <v>Low</v>
      </c>
      <c r="AU408" s="8" t="str">
        <f>IF(HS_DB[[#This Row],[Risk Exposure Rank]]&lt;=5,"Immediate Action",
 IF(HS_DB[[#This Row],[Risk Exposure Rank]]&lt;=15,"Monitor Closely",
 "Routine Control"))</f>
        <v>Routine Control</v>
      </c>
      <c r="AV408" s="8">
        <f>SUMIFS(HS_DB[Trade Value - USD],HS_DB[HS Code],HS_DB[[#This Row],[HS Code]])</f>
        <v>3052619</v>
      </c>
      <c r="AW408" s="6">
        <f>HS_DB[[#This Row],[Annual Spend - USD]]/HS_DB[[#This Row],[Total Market Size - USD]]</f>
        <v>1</v>
      </c>
      <c r="AX408" s="6" cm="1">
        <f t="array" ref="AX408">COUNTA(_xlfn.UNIQUE(_xlfn._xlws.FILTER(HS_DB[Partner],HS_DB[HS Code]=HS_DB[[#This Row],[HS Code]])))</f>
        <v>1</v>
      </c>
      <c r="AY408" s="8" t="str">
        <f>IF(HS_DB[[#This Row],[Competition Intensity]]&lt;=2,"Highly Concentrated",
 IF(HS_DB[[#This Row],[Competition Intensity]]&lt;=5,"Moderate",
 "Highly Competitive"))</f>
        <v>Highly Concentrated</v>
      </c>
      <c r="AZ408" s="8">
        <f>HS_DB[[#This Row],[Total Market Size - USD]]
*
(1+IFERROR(#REF!,0))
/
HS_DB[[#This Row],[Competition Intensity]]</f>
        <v>3052619</v>
      </c>
      <c r="BA408" s="8" t="str">
        <f>IF(HS_DB[[#This Row],[Commercial Opportunity Score]]&gt;=PERCENTILE(HS_DB[Commercial Opportunity Score],0.9),"High Opportunity",
 IF(HS_DB[[#This Row],[Commercial Opportunity Score]]&gt;=PERCENTILE(HS_DB[Commercial Opportunity Score],0.6),"Medium Opportunity",
 "Routine Market"))</f>
        <v>Routine Market</v>
      </c>
      <c r="BB408" s="3" t="str">
        <f>IF(AND(HS_DB[[#This Row],[Product Rank]]&gt;0,HS_DB[[#This Row],[Product Rank]]&lt;=10),"Yes","No")</f>
        <v>No</v>
      </c>
      <c r="BC408" s="3" t="str">
        <f>IF(AND(HS_DB[[#This Row],[Origin Rank]]&gt;0,HS_DB[[#This Row],[Origin Rank]]&lt;=10),"Yes","No")</f>
        <v>No</v>
      </c>
    </row>
    <row r="409" spans="2:55" x14ac:dyDescent="0.3">
      <c r="B409" s="2">
        <f>HS_DB[[#This Row],[Commodity Code]]</f>
        <v>110812</v>
      </c>
      <c r="C409" s="2">
        <f>IFERROR(INDEX(HS_MD!C:C,MATCH(B409,HS_MD!B:B,0),1),"")</f>
        <v>33</v>
      </c>
      <c r="D409" s="17" t="str">
        <f>IFERROR(INDEX(HS_MD!D:D,MATCH(B409,HS_MD!B:B,0),1),"")</f>
        <v>Maize (corn) starch</v>
      </c>
      <c r="E409" s="17" t="str">
        <f>IFERROR(INDEX(HS_MD!E:E,MATCH(B409,HS_MD!B:B,0),1),"")</f>
        <v>Corn Starch</v>
      </c>
      <c r="F409" s="17" t="str">
        <f>IFERROR(INDEX(HS_MD!F:F,MATCH(B409,HS_MD!B:B,0),1),"")</f>
        <v>FUNCTIONAL INGREDIENTS</v>
      </c>
      <c r="G409" s="17" t="str">
        <f>IFERROR(INDEX(HS_MD!G:G,MATCH(B409,HS_MD!B:B,0),1),"")</f>
        <v>Native Starches</v>
      </c>
      <c r="H409" s="17" t="str">
        <f>IFERROR(INDEX(HS_MD!H:H,MATCH(B409,HS_MD!B:B,0),1),"")</f>
        <v>Native Corn Starch</v>
      </c>
      <c r="I409" s="17" t="str">
        <f>IFERROR(INDEX(HS_MD!I:I,MATCH(B409,HS_MD!B:B,0),1),"")</f>
        <v>Sauces / Dairy / Confectionery</v>
      </c>
      <c r="J409" s="17">
        <f>IFERROR(INDEX(Heat_Map[Index],MATCH(HS_DB[[#This Row],[Reporter]],Heat_Map[Global],0),1),"")</f>
        <v>80</v>
      </c>
      <c r="K409" s="17" t="str">
        <f>IF(AND(HS_DB[[#This Row],[Origin Rank]]&gt;1,HS_DB[[#This Row],[Origin Rank]]&lt;=10),"Yes","No")</f>
        <v>No</v>
      </c>
      <c r="L409" s="2">
        <v>2024</v>
      </c>
      <c r="M409" s="2" t="s">
        <v>57</v>
      </c>
      <c r="N409" s="2" t="s">
        <v>296</v>
      </c>
      <c r="O409" s="2" t="s">
        <v>22</v>
      </c>
      <c r="P409" s="2" t="s">
        <v>23</v>
      </c>
      <c r="Q409" s="2" t="s">
        <v>24</v>
      </c>
      <c r="R409" s="2" t="s">
        <v>25</v>
      </c>
      <c r="S409" s="2">
        <v>110812</v>
      </c>
      <c r="T409" s="3">
        <v>21000</v>
      </c>
      <c r="U409" s="3">
        <v>25875</v>
      </c>
      <c r="V409" s="3">
        <v>0</v>
      </c>
      <c r="W409" s="3">
        <v>25875</v>
      </c>
      <c r="X409" s="3" t="s">
        <v>58</v>
      </c>
      <c r="Y409" s="3">
        <v>25875</v>
      </c>
      <c r="Z409" s="3" t="s">
        <v>58</v>
      </c>
      <c r="AA409" s="6">
        <f>SUMIFS(HS_DB[Trade Value - USD],HS_DB[Reporter],HS_DB[[#This Row],[Reporter]])/SUM(HS_DB[Trade Value - USD])</f>
        <v>1.1140534465103837E-5</v>
      </c>
      <c r="AB409" s="8" cm="1">
        <f t="array" ref="AB409">SUMPRODUCT(
(HS_DB[Reporter]=HS_DB[[#This Row],[Reporter]])*
(HS_DB[Trade Value - USD]&gt;HS_DB[[#This Row],[Trade Value - USD]])
)+1</f>
        <v>1</v>
      </c>
      <c r="AC409" s="8" t="str">
        <f>IFERROR(IF(INDEX(Heat_Map[Crisis Impact %],MATCH(HS_DB[[#This Row],[Reporter]],Heat_Map[Global],0),1)&gt;0,"Yes","No"),"No")</f>
        <v>Yes</v>
      </c>
      <c r="AD409" s="6">
        <f>IFERROR(INDEX(Heat_Map[Crisis Impact %],MATCH(HS_DB[[#This Row],[Reporter]],Heat_Map[Global],0),1),0)</f>
        <v>0.44999999999999996</v>
      </c>
      <c r="AE409" s="8">
        <f>HS_DB[[#This Row],[Crisis Impact%]]*HS_DB[[#This Row],[Trade Value - USD]]</f>
        <v>9449.9999999999982</v>
      </c>
      <c r="AF409" s="8">
        <f>HS_DB[[#This Row],[Crisis Impact%]]*HS_DB[[#This Row],[Net Weight -KG]]</f>
        <v>11643.749999999998</v>
      </c>
      <c r="AG409" s="6">
        <f>SUMIFS(HS_DB[Trade Value - USD],HS_DB[Products],HS_DB[[#This Row],[Products]])/SUM(HS_DB[Trade Value - USD])</f>
        <v>1.6194193894443242E-3</v>
      </c>
      <c r="AH409" s="8">
        <f>_xlfn.RANK.EQ(HS_DB[[#This Row],[Trade Value - USD]], HS_DB[Trade Value - USD], 0)
 + COUNTIFS(HS_DB[Trade Value - USD],HS_DB[[#This Row],[Trade Value - USD]],
            HS_DB[HS Code],"&lt;"&amp;HS_DB[[#This Row],[HS Code]])</f>
        <v>376</v>
      </c>
      <c r="AI409" s="9">
        <f>IFERROR(HS_DB[[#This Row],[Trade Value - USD]]/HS_DB[[#This Row],[Net Weight -KG]],0)</f>
        <v>0.81159420289855078</v>
      </c>
      <c r="AJ409" s="17" cm="1">
        <f t="array" ref="AJ409">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09" s="17" t="str">
        <f>IF(HS_DB[[#This Row],[HS Code Risk Score]]&gt;=40,"High",
 IF(HS_DB[[#This Row],[HS Code Risk Score]]&gt;=25,"Medium","Low"))</f>
        <v>Medium</v>
      </c>
      <c r="AL409" s="17" t="str">
        <f>IF(RANK(HS_DB[[#This Row],[HS Code Risk Score]],HS_DB[HS Code Risk Score])&lt;=10,"Yes","No")</f>
        <v>No</v>
      </c>
      <c r="AM409" s="8">
        <f>SUMIFS(HS_DB[Net Weight -KG],HS_DB[HS Code],HS_DB[[#This Row],[HS Code]])</f>
        <v>7001540</v>
      </c>
      <c r="AN409" s="8">
        <f>SUMIFS(HS_DB[Trade Value - USD],HS_DB[HS Code],HS_DB[[#This Row],[HS Code]])</f>
        <v>3052619</v>
      </c>
      <c r="AO409" s="6">
        <f>_xlfn.MAXIFS(HS_DB[Origin Share%],HS_DB[HS Code],HS_DB[[#This Row],[HS Code]])</f>
        <v>6.321329281187793E-2</v>
      </c>
      <c r="AP409" s="8" cm="1">
        <f t="array" ref="AP409">_xlfn.LET(
_xlpm.hs,HS_DB[[#This Row],[HS Code]],
COUNTA(_xlfn.UNIQUE(_xlfn._xlws.FILTER(HS_DB[Reporter],HS_DB[HS Code]=_xlpm.hs)))
)</f>
        <v>12</v>
      </c>
      <c r="AQ409" s="17" t="str">
        <f>IF(HS_DB[[#This Row],[Origin Count]]=1,"Single Source","Multiple Sources")</f>
        <v>Multiple Sources</v>
      </c>
      <c r="AR409" s="8">
        <f>HS_DB[[#This Row],[Annual Spend - USD]]*(HS_DB[[#This Row],[HS Code Risk Score]]/100)</f>
        <v>1037890.4600000001</v>
      </c>
      <c r="AS409" s="8">
        <f>RANK(HS_DB[[#This Row],[Risk Exposure - USD]],HS_DB[Risk Exposure - USD],0)</f>
        <v>442</v>
      </c>
      <c r="AT409" s="8" t="str">
        <f>IF(HS_DB[[#This Row],[Risk Exposure Rank]]&lt;=10,"High",
 IF(HS_DB[[#This Row],[Risk Exposure Rank]]&lt;=30,"Medium",
 "Low"))</f>
        <v>Low</v>
      </c>
      <c r="AU409" s="8" t="str">
        <f>IF(HS_DB[[#This Row],[Risk Exposure Rank]]&lt;=5,"Immediate Action",
 IF(HS_DB[[#This Row],[Risk Exposure Rank]]&lt;=15,"Monitor Closely",
 "Routine Control"))</f>
        <v>Routine Control</v>
      </c>
      <c r="AV409" s="8">
        <f>SUMIFS(HS_DB[Trade Value - USD],HS_DB[HS Code],HS_DB[[#This Row],[HS Code]])</f>
        <v>3052619</v>
      </c>
      <c r="AW409" s="6">
        <f>HS_DB[[#This Row],[Annual Spend - USD]]/HS_DB[[#This Row],[Total Market Size - USD]]</f>
        <v>1</v>
      </c>
      <c r="AX409" s="6" cm="1">
        <f t="array" ref="AX409">COUNTA(_xlfn.UNIQUE(_xlfn._xlws.FILTER(HS_DB[Partner],HS_DB[HS Code]=HS_DB[[#This Row],[HS Code]])))</f>
        <v>1</v>
      </c>
      <c r="AY409" s="8" t="str">
        <f>IF(HS_DB[[#This Row],[Competition Intensity]]&lt;=2,"Highly Concentrated",
 IF(HS_DB[[#This Row],[Competition Intensity]]&lt;=5,"Moderate",
 "Highly Competitive"))</f>
        <v>Highly Concentrated</v>
      </c>
      <c r="AZ409" s="8">
        <f>HS_DB[[#This Row],[Total Market Size - USD]]
*
(1+IFERROR(#REF!,0))
/
HS_DB[[#This Row],[Competition Intensity]]</f>
        <v>3052619</v>
      </c>
      <c r="BA409" s="8" t="str">
        <f>IF(HS_DB[[#This Row],[Commercial Opportunity Score]]&gt;=PERCENTILE(HS_DB[Commercial Opportunity Score],0.9),"High Opportunity",
 IF(HS_DB[[#This Row],[Commercial Opportunity Score]]&gt;=PERCENTILE(HS_DB[Commercial Opportunity Score],0.6),"Medium Opportunity",
 "Routine Market"))</f>
        <v>Routine Market</v>
      </c>
      <c r="BB409" s="3" t="str">
        <f>IF(AND(HS_DB[[#This Row],[Product Rank]]&gt;0,HS_DB[[#This Row],[Product Rank]]&lt;=10),"Yes","No")</f>
        <v>No</v>
      </c>
      <c r="BC409" s="3" t="str">
        <f>IF(AND(HS_DB[[#This Row],[Origin Rank]]&gt;0,HS_DB[[#This Row],[Origin Rank]]&lt;=10),"Yes","No")</f>
        <v>Yes</v>
      </c>
    </row>
    <row r="410" spans="2:55" x14ac:dyDescent="0.3">
      <c r="B410" s="2">
        <f>HS_DB[[#This Row],[Commodity Code]]</f>
        <v>110812</v>
      </c>
      <c r="C410" s="2">
        <f>IFERROR(INDEX(HS_MD!C:C,MATCH(B410,HS_MD!B:B,0),1),"")</f>
        <v>33</v>
      </c>
      <c r="D410" s="17" t="str">
        <f>IFERROR(INDEX(HS_MD!D:D,MATCH(B410,HS_MD!B:B,0),1),"")</f>
        <v>Maize (corn) starch</v>
      </c>
      <c r="E410" s="17" t="str">
        <f>IFERROR(INDEX(HS_MD!E:E,MATCH(B410,HS_MD!B:B,0),1),"")</f>
        <v>Corn Starch</v>
      </c>
      <c r="F410" s="17" t="str">
        <f>IFERROR(INDEX(HS_MD!F:F,MATCH(B410,HS_MD!B:B,0),1),"")</f>
        <v>FUNCTIONAL INGREDIENTS</v>
      </c>
      <c r="G410" s="17" t="str">
        <f>IFERROR(INDEX(HS_MD!G:G,MATCH(B410,HS_MD!B:B,0),1),"")</f>
        <v>Native Starches</v>
      </c>
      <c r="H410" s="17" t="str">
        <f>IFERROR(INDEX(HS_MD!H:H,MATCH(B410,HS_MD!B:B,0),1),"")</f>
        <v>Native Corn Starch</v>
      </c>
      <c r="I410" s="17" t="str">
        <f>IFERROR(INDEX(HS_MD!I:I,MATCH(B410,HS_MD!B:B,0),1),"")</f>
        <v>Sauces / Dairy / Confectionery</v>
      </c>
      <c r="J410" s="17">
        <f>IFERROR(INDEX(Heat_Map[Index],MATCH(HS_DB[[#This Row],[Reporter]],Heat_Map[Global],0),1),"")</f>
        <v>118</v>
      </c>
      <c r="K410" s="17" t="str">
        <f>IF(AND(HS_DB[[#This Row],[Origin Rank]]&gt;1,HS_DB[[#This Row],[Origin Rank]]&lt;=10),"Yes","No")</f>
        <v>No</v>
      </c>
      <c r="L410" s="2">
        <v>2024</v>
      </c>
      <c r="M410" s="2" t="s">
        <v>57</v>
      </c>
      <c r="N410" s="2" t="s">
        <v>53</v>
      </c>
      <c r="O410" s="2" t="s">
        <v>22</v>
      </c>
      <c r="P410" s="2" t="s">
        <v>23</v>
      </c>
      <c r="Q410" s="2" t="s">
        <v>24</v>
      </c>
      <c r="R410" s="2" t="s">
        <v>25</v>
      </c>
      <c r="S410" s="2">
        <v>110812</v>
      </c>
      <c r="T410" s="3">
        <v>143832</v>
      </c>
      <c r="U410" s="3">
        <v>79681</v>
      </c>
      <c r="V410" s="3">
        <v>0</v>
      </c>
      <c r="W410" s="3">
        <v>79681</v>
      </c>
      <c r="X410" s="3" t="s">
        <v>58</v>
      </c>
      <c r="Y410" s="3">
        <v>79681</v>
      </c>
      <c r="Z410" s="3" t="s">
        <v>58</v>
      </c>
      <c r="AA410" s="6">
        <f>SUMIFS(HS_DB[Trade Value - USD],HS_DB[Reporter],HS_DB[[#This Row],[Reporter]])/SUM(HS_DB[Trade Value - USD])</f>
        <v>1.4561232389604124E-2</v>
      </c>
      <c r="AB410" s="8" cm="1">
        <f t="array" ref="AB410">SUMPRODUCT(
(HS_DB[Reporter]=HS_DB[[#This Row],[Reporter]])*
(HS_DB[Trade Value - USD]&gt;HS_DB[[#This Row],[Trade Value - USD]])
)+1</f>
        <v>13</v>
      </c>
      <c r="AC410" s="8" t="str">
        <f>IFERROR(IF(INDEX(Heat_Map[Crisis Impact %],MATCH(HS_DB[[#This Row],[Reporter]],Heat_Map[Global],0),1)&gt;0,"Yes","No"),"No")</f>
        <v>No</v>
      </c>
      <c r="AD410" s="6">
        <f>IFERROR(INDEX(Heat_Map[Crisis Impact %],MATCH(HS_DB[[#This Row],[Reporter]],Heat_Map[Global],0),1),0)</f>
        <v>0</v>
      </c>
      <c r="AE410" s="8">
        <f>HS_DB[[#This Row],[Crisis Impact%]]*HS_DB[[#This Row],[Trade Value - USD]]</f>
        <v>0</v>
      </c>
      <c r="AF410" s="8">
        <f>HS_DB[[#This Row],[Crisis Impact%]]*HS_DB[[#This Row],[Net Weight -KG]]</f>
        <v>0</v>
      </c>
      <c r="AG410" s="6">
        <f>SUMIFS(HS_DB[Trade Value - USD],HS_DB[Products],HS_DB[[#This Row],[Products]])/SUM(HS_DB[Trade Value - USD])</f>
        <v>1.6194193894443242E-3</v>
      </c>
      <c r="AH410" s="8">
        <f>_xlfn.RANK.EQ(HS_DB[[#This Row],[Trade Value - USD]], HS_DB[Trade Value - USD], 0)
 + COUNTIFS(HS_DB[Trade Value - USD],HS_DB[[#This Row],[Trade Value - USD]],
            HS_DB[HS Code],"&lt;"&amp;HS_DB[[#This Row],[HS Code]])</f>
        <v>250</v>
      </c>
      <c r="AI410" s="9">
        <f>IFERROR(HS_DB[[#This Row],[Trade Value - USD]]/HS_DB[[#This Row],[Net Weight -KG]],0)</f>
        <v>1.8050978275875051</v>
      </c>
      <c r="AJ410" s="17" cm="1">
        <f t="array" ref="AJ410">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10" s="17" t="str">
        <f>IF(HS_DB[[#This Row],[HS Code Risk Score]]&gt;=40,"High",
 IF(HS_DB[[#This Row],[HS Code Risk Score]]&gt;=25,"Medium","Low"))</f>
        <v>Medium</v>
      </c>
      <c r="AL410" s="17" t="str">
        <f>IF(RANK(HS_DB[[#This Row],[HS Code Risk Score]],HS_DB[HS Code Risk Score])&lt;=10,"Yes","No")</f>
        <v>No</v>
      </c>
      <c r="AM410" s="8">
        <f>SUMIFS(HS_DB[Net Weight -KG],HS_DB[HS Code],HS_DB[[#This Row],[HS Code]])</f>
        <v>7001540</v>
      </c>
      <c r="AN410" s="8">
        <f>SUMIFS(HS_DB[Trade Value - USD],HS_DB[HS Code],HS_DB[[#This Row],[HS Code]])</f>
        <v>3052619</v>
      </c>
      <c r="AO410" s="6">
        <f>_xlfn.MAXIFS(HS_DB[Origin Share%],HS_DB[HS Code],HS_DB[[#This Row],[HS Code]])</f>
        <v>6.321329281187793E-2</v>
      </c>
      <c r="AP410" s="8" cm="1">
        <f t="array" ref="AP410">_xlfn.LET(
_xlpm.hs,HS_DB[[#This Row],[HS Code]],
COUNTA(_xlfn.UNIQUE(_xlfn._xlws.FILTER(HS_DB[Reporter],HS_DB[HS Code]=_xlpm.hs)))
)</f>
        <v>12</v>
      </c>
      <c r="AQ410" s="17" t="str">
        <f>IF(HS_DB[[#This Row],[Origin Count]]=1,"Single Source","Multiple Sources")</f>
        <v>Multiple Sources</v>
      </c>
      <c r="AR410" s="8">
        <f>HS_DB[[#This Row],[Annual Spend - USD]]*(HS_DB[[#This Row],[HS Code Risk Score]]/100)</f>
        <v>1037890.4600000001</v>
      </c>
      <c r="AS410" s="8">
        <f>RANK(HS_DB[[#This Row],[Risk Exposure - USD]],HS_DB[Risk Exposure - USD],0)</f>
        <v>442</v>
      </c>
      <c r="AT410" s="8" t="str">
        <f>IF(HS_DB[[#This Row],[Risk Exposure Rank]]&lt;=10,"High",
 IF(HS_DB[[#This Row],[Risk Exposure Rank]]&lt;=30,"Medium",
 "Low"))</f>
        <v>Low</v>
      </c>
      <c r="AU410" s="8" t="str">
        <f>IF(HS_DB[[#This Row],[Risk Exposure Rank]]&lt;=5,"Immediate Action",
 IF(HS_DB[[#This Row],[Risk Exposure Rank]]&lt;=15,"Monitor Closely",
 "Routine Control"))</f>
        <v>Routine Control</v>
      </c>
      <c r="AV410" s="8">
        <f>SUMIFS(HS_DB[Trade Value - USD],HS_DB[HS Code],HS_DB[[#This Row],[HS Code]])</f>
        <v>3052619</v>
      </c>
      <c r="AW410" s="6">
        <f>HS_DB[[#This Row],[Annual Spend - USD]]/HS_DB[[#This Row],[Total Market Size - USD]]</f>
        <v>1</v>
      </c>
      <c r="AX410" s="6" cm="1">
        <f t="array" ref="AX410">COUNTA(_xlfn.UNIQUE(_xlfn._xlws.FILTER(HS_DB[Partner],HS_DB[HS Code]=HS_DB[[#This Row],[HS Code]])))</f>
        <v>1</v>
      </c>
      <c r="AY410" s="8" t="str">
        <f>IF(HS_DB[[#This Row],[Competition Intensity]]&lt;=2,"Highly Concentrated",
 IF(HS_DB[[#This Row],[Competition Intensity]]&lt;=5,"Moderate",
 "Highly Competitive"))</f>
        <v>Highly Concentrated</v>
      </c>
      <c r="AZ410" s="8">
        <f>HS_DB[[#This Row],[Total Market Size - USD]]
*
(1+IFERROR(#REF!,0))
/
HS_DB[[#This Row],[Competition Intensity]]</f>
        <v>3052619</v>
      </c>
      <c r="BA410" s="8" t="str">
        <f>IF(HS_DB[[#This Row],[Commercial Opportunity Score]]&gt;=PERCENTILE(HS_DB[Commercial Opportunity Score],0.9),"High Opportunity",
 IF(HS_DB[[#This Row],[Commercial Opportunity Score]]&gt;=PERCENTILE(HS_DB[Commercial Opportunity Score],0.6),"Medium Opportunity",
 "Routine Market"))</f>
        <v>Routine Market</v>
      </c>
      <c r="BB410" s="3" t="str">
        <f>IF(AND(HS_DB[[#This Row],[Product Rank]]&gt;0,HS_DB[[#This Row],[Product Rank]]&lt;=10),"Yes","No")</f>
        <v>No</v>
      </c>
      <c r="BC410" s="3" t="str">
        <f>IF(AND(HS_DB[[#This Row],[Origin Rank]]&gt;0,HS_DB[[#This Row],[Origin Rank]]&lt;=10),"Yes","No")</f>
        <v>No</v>
      </c>
    </row>
    <row r="411" spans="2:55" x14ac:dyDescent="0.3">
      <c r="B411" s="2">
        <f>HS_DB[[#This Row],[Commodity Code]]</f>
        <v>110812</v>
      </c>
      <c r="C411" s="2">
        <f>IFERROR(INDEX(HS_MD!C:C,MATCH(B411,HS_MD!B:B,0),1),"")</f>
        <v>33</v>
      </c>
      <c r="D411" s="17" t="str">
        <f>IFERROR(INDEX(HS_MD!D:D,MATCH(B411,HS_MD!B:B,0),1),"")</f>
        <v>Maize (corn) starch</v>
      </c>
      <c r="E411" s="17" t="str">
        <f>IFERROR(INDEX(HS_MD!E:E,MATCH(B411,HS_MD!B:B,0),1),"")</f>
        <v>Corn Starch</v>
      </c>
      <c r="F411" s="17" t="str">
        <f>IFERROR(INDEX(HS_MD!F:F,MATCH(B411,HS_MD!B:B,0),1),"")</f>
        <v>FUNCTIONAL INGREDIENTS</v>
      </c>
      <c r="G411" s="17" t="str">
        <f>IFERROR(INDEX(HS_MD!G:G,MATCH(B411,HS_MD!B:B,0),1),"")</f>
        <v>Native Starches</v>
      </c>
      <c r="H411" s="17" t="str">
        <f>IFERROR(INDEX(HS_MD!H:H,MATCH(B411,HS_MD!B:B,0),1),"")</f>
        <v>Native Corn Starch</v>
      </c>
      <c r="I411" s="17" t="str">
        <f>IFERROR(INDEX(HS_MD!I:I,MATCH(B411,HS_MD!B:B,0),1),"")</f>
        <v>Sauces / Dairy / Confectionery</v>
      </c>
      <c r="J411" s="17">
        <f>IFERROR(INDEX(Heat_Map[Index],MATCH(HS_DB[[#This Row],[Reporter]],Heat_Map[Global],0),1),"")</f>
        <v>127</v>
      </c>
      <c r="K411" s="17" t="str">
        <f>IF(AND(HS_DB[[#This Row],[Origin Rank]]&gt;1,HS_DB[[#This Row],[Origin Rank]]&lt;=10),"Yes","No")</f>
        <v>Yes</v>
      </c>
      <c r="L411" s="2">
        <v>2024</v>
      </c>
      <c r="M411" s="2" t="s">
        <v>57</v>
      </c>
      <c r="N411" s="2" t="s">
        <v>54</v>
      </c>
      <c r="O411" s="2" t="s">
        <v>22</v>
      </c>
      <c r="P411" s="2" t="s">
        <v>23</v>
      </c>
      <c r="Q411" s="2" t="s">
        <v>24</v>
      </c>
      <c r="R411" s="2" t="s">
        <v>25</v>
      </c>
      <c r="S411" s="2">
        <v>110812</v>
      </c>
      <c r="T411" s="3">
        <v>6221</v>
      </c>
      <c r="U411" s="3">
        <v>10000</v>
      </c>
      <c r="V411" s="3">
        <v>0</v>
      </c>
      <c r="W411" s="3">
        <v>10000</v>
      </c>
      <c r="X411" s="3" t="s">
        <v>58</v>
      </c>
      <c r="Y411" s="3">
        <v>10000</v>
      </c>
      <c r="Z411" s="3" t="s">
        <v>58</v>
      </c>
      <c r="AA411" s="6">
        <f>SUMIFS(HS_DB[Trade Value - USD],HS_DB[Reporter],HS_DB[[#This Row],[Reporter]])/SUM(HS_DB[Trade Value - USD])</f>
        <v>3.82286909668397E-4</v>
      </c>
      <c r="AB411" s="8" cm="1">
        <f t="array" ref="AB411">SUMPRODUCT(
(HS_DB[Reporter]=HS_DB[[#This Row],[Reporter]])*
(HS_DB[Trade Value - USD]&gt;HS_DB[[#This Row],[Trade Value - USD]])
)+1</f>
        <v>4</v>
      </c>
      <c r="AC411" s="8" t="str">
        <f>IFERROR(IF(INDEX(Heat_Map[Crisis Impact %],MATCH(HS_DB[[#This Row],[Reporter]],Heat_Map[Global],0),1)&gt;0,"Yes","No"),"No")</f>
        <v>No</v>
      </c>
      <c r="AD411" s="6">
        <f>IFERROR(INDEX(Heat_Map[Crisis Impact %],MATCH(HS_DB[[#This Row],[Reporter]],Heat_Map[Global],0),1),0)</f>
        <v>0</v>
      </c>
      <c r="AE411" s="8">
        <f>HS_DB[[#This Row],[Crisis Impact%]]*HS_DB[[#This Row],[Trade Value - USD]]</f>
        <v>0</v>
      </c>
      <c r="AF411" s="8">
        <f>HS_DB[[#This Row],[Crisis Impact%]]*HS_DB[[#This Row],[Net Weight -KG]]</f>
        <v>0</v>
      </c>
      <c r="AG411" s="6">
        <f>SUMIFS(HS_DB[Trade Value - USD],HS_DB[Products],HS_DB[[#This Row],[Products]])/SUM(HS_DB[Trade Value - USD])</f>
        <v>1.6194193894443242E-3</v>
      </c>
      <c r="AH411" s="8">
        <f>_xlfn.RANK.EQ(HS_DB[[#This Row],[Trade Value - USD]], HS_DB[Trade Value - USD], 0)
 + COUNTIFS(HS_DB[Trade Value - USD],HS_DB[[#This Row],[Trade Value - USD]],
            HS_DB[HS Code],"&lt;"&amp;HS_DB[[#This Row],[HS Code]])</f>
        <v>431</v>
      </c>
      <c r="AI411" s="9">
        <f>IFERROR(HS_DB[[#This Row],[Trade Value - USD]]/HS_DB[[#This Row],[Net Weight -KG]],0)</f>
        <v>0.62209999999999999</v>
      </c>
      <c r="AJ411" s="17" cm="1">
        <f t="array" ref="AJ411">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11" s="17" t="str">
        <f>IF(HS_DB[[#This Row],[HS Code Risk Score]]&gt;=40,"High",
 IF(HS_DB[[#This Row],[HS Code Risk Score]]&gt;=25,"Medium","Low"))</f>
        <v>Medium</v>
      </c>
      <c r="AL411" s="17" t="str">
        <f>IF(RANK(HS_DB[[#This Row],[HS Code Risk Score]],HS_DB[HS Code Risk Score])&lt;=10,"Yes","No")</f>
        <v>No</v>
      </c>
      <c r="AM411" s="8">
        <f>SUMIFS(HS_DB[Net Weight -KG],HS_DB[HS Code],HS_DB[[#This Row],[HS Code]])</f>
        <v>7001540</v>
      </c>
      <c r="AN411" s="8">
        <f>SUMIFS(HS_DB[Trade Value - USD],HS_DB[HS Code],HS_DB[[#This Row],[HS Code]])</f>
        <v>3052619</v>
      </c>
      <c r="AO411" s="6">
        <f>_xlfn.MAXIFS(HS_DB[Origin Share%],HS_DB[HS Code],HS_DB[[#This Row],[HS Code]])</f>
        <v>6.321329281187793E-2</v>
      </c>
      <c r="AP411" s="8" cm="1">
        <f t="array" ref="AP411">_xlfn.LET(
_xlpm.hs,HS_DB[[#This Row],[HS Code]],
COUNTA(_xlfn.UNIQUE(_xlfn._xlws.FILTER(HS_DB[Reporter],HS_DB[HS Code]=_xlpm.hs)))
)</f>
        <v>12</v>
      </c>
      <c r="AQ411" s="17" t="str">
        <f>IF(HS_DB[[#This Row],[Origin Count]]=1,"Single Source","Multiple Sources")</f>
        <v>Multiple Sources</v>
      </c>
      <c r="AR411" s="8">
        <f>HS_DB[[#This Row],[Annual Spend - USD]]*(HS_DB[[#This Row],[HS Code Risk Score]]/100)</f>
        <v>1037890.4600000001</v>
      </c>
      <c r="AS411" s="8">
        <f>RANK(HS_DB[[#This Row],[Risk Exposure - USD]],HS_DB[Risk Exposure - USD],0)</f>
        <v>442</v>
      </c>
      <c r="AT411" s="8" t="str">
        <f>IF(HS_DB[[#This Row],[Risk Exposure Rank]]&lt;=10,"High",
 IF(HS_DB[[#This Row],[Risk Exposure Rank]]&lt;=30,"Medium",
 "Low"))</f>
        <v>Low</v>
      </c>
      <c r="AU411" s="8" t="str">
        <f>IF(HS_DB[[#This Row],[Risk Exposure Rank]]&lt;=5,"Immediate Action",
 IF(HS_DB[[#This Row],[Risk Exposure Rank]]&lt;=15,"Monitor Closely",
 "Routine Control"))</f>
        <v>Routine Control</v>
      </c>
      <c r="AV411" s="8">
        <f>SUMIFS(HS_DB[Trade Value - USD],HS_DB[HS Code],HS_DB[[#This Row],[HS Code]])</f>
        <v>3052619</v>
      </c>
      <c r="AW411" s="6">
        <f>HS_DB[[#This Row],[Annual Spend - USD]]/HS_DB[[#This Row],[Total Market Size - USD]]</f>
        <v>1</v>
      </c>
      <c r="AX411" s="6" cm="1">
        <f t="array" ref="AX411">COUNTA(_xlfn.UNIQUE(_xlfn._xlws.FILTER(HS_DB[Partner],HS_DB[HS Code]=HS_DB[[#This Row],[HS Code]])))</f>
        <v>1</v>
      </c>
      <c r="AY411" s="8" t="str">
        <f>IF(HS_DB[[#This Row],[Competition Intensity]]&lt;=2,"Highly Concentrated",
 IF(HS_DB[[#This Row],[Competition Intensity]]&lt;=5,"Moderate",
 "Highly Competitive"))</f>
        <v>Highly Concentrated</v>
      </c>
      <c r="AZ411" s="8">
        <f>HS_DB[[#This Row],[Total Market Size - USD]]
*
(1+IFERROR(#REF!,0))
/
HS_DB[[#This Row],[Competition Intensity]]</f>
        <v>3052619</v>
      </c>
      <c r="BA411" s="8" t="str">
        <f>IF(HS_DB[[#This Row],[Commercial Opportunity Score]]&gt;=PERCENTILE(HS_DB[Commercial Opportunity Score],0.9),"High Opportunity",
 IF(HS_DB[[#This Row],[Commercial Opportunity Score]]&gt;=PERCENTILE(HS_DB[Commercial Opportunity Score],0.6),"Medium Opportunity",
 "Routine Market"))</f>
        <v>Routine Market</v>
      </c>
      <c r="BB411" s="3" t="str">
        <f>IF(AND(HS_DB[[#This Row],[Product Rank]]&gt;0,HS_DB[[#This Row],[Product Rank]]&lt;=10),"Yes","No")</f>
        <v>No</v>
      </c>
      <c r="BC411" s="3" t="str">
        <f>IF(AND(HS_DB[[#This Row],[Origin Rank]]&gt;0,HS_DB[[#This Row],[Origin Rank]]&lt;=10),"Yes","No")</f>
        <v>Yes</v>
      </c>
    </row>
    <row r="412" spans="2:55" x14ac:dyDescent="0.3">
      <c r="B412" s="2">
        <f>HS_DB[[#This Row],[Commodity Code]]</f>
        <v>110812</v>
      </c>
      <c r="C412" s="2">
        <f>IFERROR(INDEX(HS_MD!C:C,MATCH(B412,HS_MD!B:B,0),1),"")</f>
        <v>33</v>
      </c>
      <c r="D412" s="17" t="str">
        <f>IFERROR(INDEX(HS_MD!D:D,MATCH(B412,HS_MD!B:B,0),1),"")</f>
        <v>Maize (corn) starch</v>
      </c>
      <c r="E412" s="17" t="str">
        <f>IFERROR(INDEX(HS_MD!E:E,MATCH(B412,HS_MD!B:B,0),1),"")</f>
        <v>Corn Starch</v>
      </c>
      <c r="F412" s="17" t="str">
        <f>IFERROR(INDEX(HS_MD!F:F,MATCH(B412,HS_MD!B:B,0),1),"")</f>
        <v>FUNCTIONAL INGREDIENTS</v>
      </c>
      <c r="G412" s="17" t="str">
        <f>IFERROR(INDEX(HS_MD!G:G,MATCH(B412,HS_MD!B:B,0),1),"")</f>
        <v>Native Starches</v>
      </c>
      <c r="H412" s="17" t="str">
        <f>IFERROR(INDEX(HS_MD!H:H,MATCH(B412,HS_MD!B:B,0),1),"")</f>
        <v>Native Corn Starch</v>
      </c>
      <c r="I412" s="17" t="str">
        <f>IFERROR(INDEX(HS_MD!I:I,MATCH(B412,HS_MD!B:B,0),1),"")</f>
        <v>Sauces / Dairy / Confectionery</v>
      </c>
      <c r="J412" s="17">
        <f>IFERROR(INDEX(Heat_Map[Index],MATCH(HS_DB[[#This Row],[Reporter]],Heat_Map[Global],0),1),"")</f>
        <v>137</v>
      </c>
      <c r="K412" s="17" t="str">
        <f>IF(AND(HS_DB[[#This Row],[Origin Rank]]&gt;1,HS_DB[[#This Row],[Origin Rank]]&lt;=10),"Yes","No")</f>
        <v>No</v>
      </c>
      <c r="L412" s="2">
        <v>2024</v>
      </c>
      <c r="M412" s="2" t="s">
        <v>57</v>
      </c>
      <c r="N412" s="2" t="s">
        <v>340</v>
      </c>
      <c r="O412" s="2" t="s">
        <v>22</v>
      </c>
      <c r="P412" s="2" t="s">
        <v>23</v>
      </c>
      <c r="Q412" s="2" t="s">
        <v>24</v>
      </c>
      <c r="R412" s="2" t="s">
        <v>25</v>
      </c>
      <c r="S412" s="2">
        <v>110812</v>
      </c>
      <c r="T412" s="3">
        <v>74524</v>
      </c>
      <c r="U412" s="3">
        <v>200000</v>
      </c>
      <c r="V412" s="3">
        <v>0</v>
      </c>
      <c r="W412" s="3">
        <v>200000</v>
      </c>
      <c r="X412" s="3" t="s">
        <v>58</v>
      </c>
      <c r="Y412" s="3">
        <v>200000</v>
      </c>
      <c r="Z412" s="3" t="s">
        <v>58</v>
      </c>
      <c r="AA412" s="6">
        <f>SUMIFS(HS_DB[Trade Value - USD],HS_DB[Reporter],HS_DB[[#This Row],[Reporter]])/SUM(HS_DB[Trade Value - USD])</f>
        <v>3.953510430844754E-5</v>
      </c>
      <c r="AB412" s="8" cm="1">
        <f t="array" ref="AB412">SUMPRODUCT(
(HS_DB[Reporter]=HS_DB[[#This Row],[Reporter]])*
(HS_DB[Trade Value - USD]&gt;HS_DB[[#This Row],[Trade Value - USD]])
)+1</f>
        <v>1</v>
      </c>
      <c r="AC412" s="8" t="str">
        <f>IFERROR(IF(INDEX(Heat_Map[Crisis Impact %],MATCH(HS_DB[[#This Row],[Reporter]],Heat_Map[Global],0),1)&gt;0,"Yes","No"),"No")</f>
        <v>No</v>
      </c>
      <c r="AD412" s="6">
        <f>IFERROR(INDEX(Heat_Map[Crisis Impact %],MATCH(HS_DB[[#This Row],[Reporter]],Heat_Map[Global],0),1),0)</f>
        <v>0</v>
      </c>
      <c r="AE412" s="8">
        <f>HS_DB[[#This Row],[Crisis Impact%]]*HS_DB[[#This Row],[Trade Value - USD]]</f>
        <v>0</v>
      </c>
      <c r="AF412" s="8">
        <f>HS_DB[[#This Row],[Crisis Impact%]]*HS_DB[[#This Row],[Net Weight -KG]]</f>
        <v>0</v>
      </c>
      <c r="AG412" s="6">
        <f>SUMIFS(HS_DB[Trade Value - USD],HS_DB[Products],HS_DB[[#This Row],[Products]])/SUM(HS_DB[Trade Value - USD])</f>
        <v>1.6194193894443242E-3</v>
      </c>
      <c r="AH412" s="8">
        <f>_xlfn.RANK.EQ(HS_DB[[#This Row],[Trade Value - USD]], HS_DB[Trade Value - USD], 0)
 + COUNTIFS(HS_DB[Trade Value - USD],HS_DB[[#This Row],[Trade Value - USD]],
            HS_DB[HS Code],"&lt;"&amp;HS_DB[[#This Row],[HS Code]])</f>
        <v>300</v>
      </c>
      <c r="AI412" s="9">
        <f>IFERROR(HS_DB[[#This Row],[Trade Value - USD]]/HS_DB[[#This Row],[Net Weight -KG]],0)</f>
        <v>0.37262000000000001</v>
      </c>
      <c r="AJ412" s="17" cm="1">
        <f t="array" ref="AJ412">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12" s="17" t="str">
        <f>IF(HS_DB[[#This Row],[HS Code Risk Score]]&gt;=40,"High",
 IF(HS_DB[[#This Row],[HS Code Risk Score]]&gt;=25,"Medium","Low"))</f>
        <v>Medium</v>
      </c>
      <c r="AL412" s="17" t="str">
        <f>IF(RANK(HS_DB[[#This Row],[HS Code Risk Score]],HS_DB[HS Code Risk Score])&lt;=10,"Yes","No")</f>
        <v>No</v>
      </c>
      <c r="AM412" s="8">
        <f>SUMIFS(HS_DB[Net Weight -KG],HS_DB[HS Code],HS_DB[[#This Row],[HS Code]])</f>
        <v>7001540</v>
      </c>
      <c r="AN412" s="8">
        <f>SUMIFS(HS_DB[Trade Value - USD],HS_DB[HS Code],HS_DB[[#This Row],[HS Code]])</f>
        <v>3052619</v>
      </c>
      <c r="AO412" s="6">
        <f>_xlfn.MAXIFS(HS_DB[Origin Share%],HS_DB[HS Code],HS_DB[[#This Row],[HS Code]])</f>
        <v>6.321329281187793E-2</v>
      </c>
      <c r="AP412" s="8" cm="1">
        <f t="array" ref="AP412">_xlfn.LET(
_xlpm.hs,HS_DB[[#This Row],[HS Code]],
COUNTA(_xlfn.UNIQUE(_xlfn._xlws.FILTER(HS_DB[Reporter],HS_DB[HS Code]=_xlpm.hs)))
)</f>
        <v>12</v>
      </c>
      <c r="AQ412" s="17" t="str">
        <f>IF(HS_DB[[#This Row],[Origin Count]]=1,"Single Source","Multiple Sources")</f>
        <v>Multiple Sources</v>
      </c>
      <c r="AR412" s="8">
        <f>HS_DB[[#This Row],[Annual Spend - USD]]*(HS_DB[[#This Row],[HS Code Risk Score]]/100)</f>
        <v>1037890.4600000001</v>
      </c>
      <c r="AS412" s="8">
        <f>RANK(HS_DB[[#This Row],[Risk Exposure - USD]],HS_DB[Risk Exposure - USD],0)</f>
        <v>442</v>
      </c>
      <c r="AT412" s="8" t="str">
        <f>IF(HS_DB[[#This Row],[Risk Exposure Rank]]&lt;=10,"High",
 IF(HS_DB[[#This Row],[Risk Exposure Rank]]&lt;=30,"Medium",
 "Low"))</f>
        <v>Low</v>
      </c>
      <c r="AU412" s="8" t="str">
        <f>IF(HS_DB[[#This Row],[Risk Exposure Rank]]&lt;=5,"Immediate Action",
 IF(HS_DB[[#This Row],[Risk Exposure Rank]]&lt;=15,"Monitor Closely",
 "Routine Control"))</f>
        <v>Routine Control</v>
      </c>
      <c r="AV412" s="8">
        <f>SUMIFS(HS_DB[Trade Value - USD],HS_DB[HS Code],HS_DB[[#This Row],[HS Code]])</f>
        <v>3052619</v>
      </c>
      <c r="AW412" s="6">
        <f>HS_DB[[#This Row],[Annual Spend - USD]]/HS_DB[[#This Row],[Total Market Size - USD]]</f>
        <v>1</v>
      </c>
      <c r="AX412" s="6" cm="1">
        <f t="array" ref="AX412">COUNTA(_xlfn.UNIQUE(_xlfn._xlws.FILTER(HS_DB[Partner],HS_DB[HS Code]=HS_DB[[#This Row],[HS Code]])))</f>
        <v>1</v>
      </c>
      <c r="AY412" s="8" t="str">
        <f>IF(HS_DB[[#This Row],[Competition Intensity]]&lt;=2,"Highly Concentrated",
 IF(HS_DB[[#This Row],[Competition Intensity]]&lt;=5,"Moderate",
 "Highly Competitive"))</f>
        <v>Highly Concentrated</v>
      </c>
      <c r="AZ412" s="8">
        <f>HS_DB[[#This Row],[Total Market Size - USD]]
*
(1+IFERROR(#REF!,0))
/
HS_DB[[#This Row],[Competition Intensity]]</f>
        <v>3052619</v>
      </c>
      <c r="BA412" s="8" t="str">
        <f>IF(HS_DB[[#This Row],[Commercial Opportunity Score]]&gt;=PERCENTILE(HS_DB[Commercial Opportunity Score],0.9),"High Opportunity",
 IF(HS_DB[[#This Row],[Commercial Opportunity Score]]&gt;=PERCENTILE(HS_DB[Commercial Opportunity Score],0.6),"Medium Opportunity",
 "Routine Market"))</f>
        <v>Routine Market</v>
      </c>
      <c r="BB412" s="3" t="str">
        <f>IF(AND(HS_DB[[#This Row],[Product Rank]]&gt;0,HS_DB[[#This Row],[Product Rank]]&lt;=10),"Yes","No")</f>
        <v>No</v>
      </c>
      <c r="BC412" s="3" t="str">
        <f>IF(AND(HS_DB[[#This Row],[Origin Rank]]&gt;0,HS_DB[[#This Row],[Origin Rank]]&lt;=10),"Yes","No")</f>
        <v>Yes</v>
      </c>
    </row>
    <row r="413" spans="2:55" x14ac:dyDescent="0.3">
      <c r="B413" s="2">
        <f>HS_DB[[#This Row],[Commodity Code]]</f>
        <v>110812</v>
      </c>
      <c r="C413" s="2">
        <f>IFERROR(INDEX(HS_MD!C:C,MATCH(B413,HS_MD!B:B,0),1),"")</f>
        <v>33</v>
      </c>
      <c r="D413" s="17" t="str">
        <f>IFERROR(INDEX(HS_MD!D:D,MATCH(B413,HS_MD!B:B,0),1),"")</f>
        <v>Maize (corn) starch</v>
      </c>
      <c r="E413" s="17" t="str">
        <f>IFERROR(INDEX(HS_MD!E:E,MATCH(B413,HS_MD!B:B,0),1),"")</f>
        <v>Corn Starch</v>
      </c>
      <c r="F413" s="17" t="str">
        <f>IFERROR(INDEX(HS_MD!F:F,MATCH(B413,HS_MD!B:B,0),1),"")</f>
        <v>FUNCTIONAL INGREDIENTS</v>
      </c>
      <c r="G413" s="17" t="str">
        <f>IFERROR(INDEX(HS_MD!G:G,MATCH(B413,HS_MD!B:B,0),1),"")</f>
        <v>Native Starches</v>
      </c>
      <c r="H413" s="17" t="str">
        <f>IFERROR(INDEX(HS_MD!H:H,MATCH(B413,HS_MD!B:B,0),1),"")</f>
        <v>Native Corn Starch</v>
      </c>
      <c r="I413" s="17" t="str">
        <f>IFERROR(INDEX(HS_MD!I:I,MATCH(B413,HS_MD!B:B,0),1),"")</f>
        <v>Sauces / Dairy / Confectionery</v>
      </c>
      <c r="J413" s="17">
        <f>IFERROR(INDEX(Heat_Map[Index],MATCH(HS_DB[[#This Row],[Reporter]],Heat_Map[Global],0),1),"")</f>
        <v>75</v>
      </c>
      <c r="K413" s="17" t="str">
        <f>IF(AND(HS_DB[[#This Row],[Origin Rank]]&gt;1,HS_DB[[#This Row],[Origin Rank]]&lt;=10),"Yes","No")</f>
        <v>No</v>
      </c>
      <c r="L413" s="2">
        <v>2024</v>
      </c>
      <c r="M413" s="2" t="s">
        <v>57</v>
      </c>
      <c r="N413" s="2" t="s">
        <v>8</v>
      </c>
      <c r="O413" s="2" t="s">
        <v>22</v>
      </c>
      <c r="P413" s="2" t="s">
        <v>23</v>
      </c>
      <c r="Q413" s="2" t="s">
        <v>24</v>
      </c>
      <c r="R413" s="2" t="s">
        <v>25</v>
      </c>
      <c r="S413" s="2">
        <v>110812</v>
      </c>
      <c r="T413" s="3">
        <v>75206</v>
      </c>
      <c r="U413" s="3">
        <v>106196</v>
      </c>
      <c r="V413" s="3">
        <v>0</v>
      </c>
      <c r="W413" s="3">
        <v>106196</v>
      </c>
      <c r="X413" s="3" t="s">
        <v>58</v>
      </c>
      <c r="Y413" s="3">
        <v>106196</v>
      </c>
      <c r="Z413" s="3" t="s">
        <v>58</v>
      </c>
      <c r="AA413" s="6">
        <f>SUMIFS(HS_DB[Trade Value - USD],HS_DB[Reporter],HS_DB[[#This Row],[Reporter]])/SUM(HS_DB[Trade Value - USD])</f>
        <v>2.2441761060335613E-2</v>
      </c>
      <c r="AB413" s="8" cm="1">
        <f t="array" ref="AB413">SUMPRODUCT(
(HS_DB[Reporter]=HS_DB[[#This Row],[Reporter]])*
(HS_DB[Trade Value - USD]&gt;HS_DB[[#This Row],[Trade Value - USD]])
)+1</f>
        <v>25</v>
      </c>
      <c r="AC413" s="8" t="str">
        <f>IFERROR(IF(INDEX(Heat_Map[Crisis Impact %],MATCH(HS_DB[[#This Row],[Reporter]],Heat_Map[Global],0),1)&gt;0,"Yes","No"),"No")</f>
        <v>No</v>
      </c>
      <c r="AD413" s="6">
        <f>IFERROR(INDEX(Heat_Map[Crisis Impact %],MATCH(HS_DB[[#This Row],[Reporter]],Heat_Map[Global],0),1),0)</f>
        <v>0</v>
      </c>
      <c r="AE413" s="8">
        <f>HS_DB[[#This Row],[Crisis Impact%]]*HS_DB[[#This Row],[Trade Value - USD]]</f>
        <v>0</v>
      </c>
      <c r="AF413" s="8">
        <f>HS_DB[[#This Row],[Crisis Impact%]]*HS_DB[[#This Row],[Net Weight -KG]]</f>
        <v>0</v>
      </c>
      <c r="AG413" s="6">
        <f>SUMIFS(HS_DB[Trade Value - USD],HS_DB[Products],HS_DB[[#This Row],[Products]])/SUM(HS_DB[Trade Value - USD])</f>
        <v>1.6194193894443242E-3</v>
      </c>
      <c r="AH413" s="8">
        <f>_xlfn.RANK.EQ(HS_DB[[#This Row],[Trade Value - USD]], HS_DB[Trade Value - USD], 0)
 + COUNTIFS(HS_DB[Trade Value - USD],HS_DB[[#This Row],[Trade Value - USD]],
            HS_DB[HS Code],"&lt;"&amp;HS_DB[[#This Row],[HS Code]])</f>
        <v>299</v>
      </c>
      <c r="AI413" s="9">
        <f>IFERROR(HS_DB[[#This Row],[Trade Value - USD]]/HS_DB[[#This Row],[Net Weight -KG]],0)</f>
        <v>0.70818109909977778</v>
      </c>
      <c r="AJ413" s="17" cm="1">
        <f t="array" ref="AJ413">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13" s="17" t="str">
        <f>IF(HS_DB[[#This Row],[HS Code Risk Score]]&gt;=40,"High",
 IF(HS_DB[[#This Row],[HS Code Risk Score]]&gt;=25,"Medium","Low"))</f>
        <v>Medium</v>
      </c>
      <c r="AL413" s="17" t="str">
        <f>IF(RANK(HS_DB[[#This Row],[HS Code Risk Score]],HS_DB[HS Code Risk Score])&lt;=10,"Yes","No")</f>
        <v>No</v>
      </c>
      <c r="AM413" s="8">
        <f>SUMIFS(HS_DB[Net Weight -KG],HS_DB[HS Code],HS_DB[[#This Row],[HS Code]])</f>
        <v>7001540</v>
      </c>
      <c r="AN413" s="8">
        <f>SUMIFS(HS_DB[Trade Value - USD],HS_DB[HS Code],HS_DB[[#This Row],[HS Code]])</f>
        <v>3052619</v>
      </c>
      <c r="AO413" s="6">
        <f>_xlfn.MAXIFS(HS_DB[Origin Share%],HS_DB[HS Code],HS_DB[[#This Row],[HS Code]])</f>
        <v>6.321329281187793E-2</v>
      </c>
      <c r="AP413" s="8" cm="1">
        <f t="array" ref="AP413">_xlfn.LET(
_xlpm.hs,HS_DB[[#This Row],[HS Code]],
COUNTA(_xlfn.UNIQUE(_xlfn._xlws.FILTER(HS_DB[Reporter],HS_DB[HS Code]=_xlpm.hs)))
)</f>
        <v>12</v>
      </c>
      <c r="AQ413" s="17" t="str">
        <f>IF(HS_DB[[#This Row],[Origin Count]]=1,"Single Source","Multiple Sources")</f>
        <v>Multiple Sources</v>
      </c>
      <c r="AR413" s="8">
        <f>HS_DB[[#This Row],[Annual Spend - USD]]*(HS_DB[[#This Row],[HS Code Risk Score]]/100)</f>
        <v>1037890.4600000001</v>
      </c>
      <c r="AS413" s="8">
        <f>RANK(HS_DB[[#This Row],[Risk Exposure - USD]],HS_DB[Risk Exposure - USD],0)</f>
        <v>442</v>
      </c>
      <c r="AT413" s="8" t="str">
        <f>IF(HS_DB[[#This Row],[Risk Exposure Rank]]&lt;=10,"High",
 IF(HS_DB[[#This Row],[Risk Exposure Rank]]&lt;=30,"Medium",
 "Low"))</f>
        <v>Low</v>
      </c>
      <c r="AU413" s="8" t="str">
        <f>IF(HS_DB[[#This Row],[Risk Exposure Rank]]&lt;=5,"Immediate Action",
 IF(HS_DB[[#This Row],[Risk Exposure Rank]]&lt;=15,"Monitor Closely",
 "Routine Control"))</f>
        <v>Routine Control</v>
      </c>
      <c r="AV413" s="8">
        <f>SUMIFS(HS_DB[Trade Value - USD],HS_DB[HS Code],HS_DB[[#This Row],[HS Code]])</f>
        <v>3052619</v>
      </c>
      <c r="AW413" s="6">
        <f>HS_DB[[#This Row],[Annual Spend - USD]]/HS_DB[[#This Row],[Total Market Size - USD]]</f>
        <v>1</v>
      </c>
      <c r="AX413" s="6" cm="1">
        <f t="array" ref="AX413">COUNTA(_xlfn.UNIQUE(_xlfn._xlws.FILTER(HS_DB[Partner],HS_DB[HS Code]=HS_DB[[#This Row],[HS Code]])))</f>
        <v>1</v>
      </c>
      <c r="AY413" s="8" t="str">
        <f>IF(HS_DB[[#This Row],[Competition Intensity]]&lt;=2,"Highly Concentrated",
 IF(HS_DB[[#This Row],[Competition Intensity]]&lt;=5,"Moderate",
 "Highly Competitive"))</f>
        <v>Highly Concentrated</v>
      </c>
      <c r="AZ413" s="8">
        <f>HS_DB[[#This Row],[Total Market Size - USD]]
*
(1+IFERROR(#REF!,0))
/
HS_DB[[#This Row],[Competition Intensity]]</f>
        <v>3052619</v>
      </c>
      <c r="BA413" s="8" t="str">
        <f>IF(HS_DB[[#This Row],[Commercial Opportunity Score]]&gt;=PERCENTILE(HS_DB[Commercial Opportunity Score],0.9),"High Opportunity",
 IF(HS_DB[[#This Row],[Commercial Opportunity Score]]&gt;=PERCENTILE(HS_DB[Commercial Opportunity Score],0.6),"Medium Opportunity",
 "Routine Market"))</f>
        <v>Routine Market</v>
      </c>
      <c r="BB413" s="3" t="str">
        <f>IF(AND(HS_DB[[#This Row],[Product Rank]]&gt;0,HS_DB[[#This Row],[Product Rank]]&lt;=10),"Yes","No")</f>
        <v>No</v>
      </c>
      <c r="BC413" s="3" t="str">
        <f>IF(AND(HS_DB[[#This Row],[Origin Rank]]&gt;0,HS_DB[[#This Row],[Origin Rank]]&lt;=10),"Yes","No")</f>
        <v>No</v>
      </c>
    </row>
    <row r="414" spans="2:55" x14ac:dyDescent="0.3">
      <c r="B414" s="2">
        <f>HS_DB[[#This Row],[Commodity Code]]</f>
        <v>110812</v>
      </c>
      <c r="C414" s="2">
        <f>IFERROR(INDEX(HS_MD!C:C,MATCH(B414,HS_MD!B:B,0),1),"")</f>
        <v>33</v>
      </c>
      <c r="D414" s="17" t="str">
        <f>IFERROR(INDEX(HS_MD!D:D,MATCH(B414,HS_MD!B:B,0),1),"")</f>
        <v>Maize (corn) starch</v>
      </c>
      <c r="E414" s="17" t="str">
        <f>IFERROR(INDEX(HS_MD!E:E,MATCH(B414,HS_MD!B:B,0),1),"")</f>
        <v>Corn Starch</v>
      </c>
      <c r="F414" s="17" t="str">
        <f>IFERROR(INDEX(HS_MD!F:F,MATCH(B414,HS_MD!B:B,0),1),"")</f>
        <v>FUNCTIONAL INGREDIENTS</v>
      </c>
      <c r="G414" s="17" t="str">
        <f>IFERROR(INDEX(HS_MD!G:G,MATCH(B414,HS_MD!B:B,0),1),"")</f>
        <v>Native Starches</v>
      </c>
      <c r="H414" s="17" t="str">
        <f>IFERROR(INDEX(HS_MD!H:H,MATCH(B414,HS_MD!B:B,0),1),"")</f>
        <v>Native Corn Starch</v>
      </c>
      <c r="I414" s="17" t="str">
        <f>IFERROR(INDEX(HS_MD!I:I,MATCH(B414,HS_MD!B:B,0),1),"")</f>
        <v>Sauces / Dairy / Confectionery</v>
      </c>
      <c r="J414" s="17">
        <f>IFERROR(INDEX(Heat_Map[Index],MATCH(HS_DB[[#This Row],[Reporter]],Heat_Map[Global],0),1),"")</f>
        <v>156</v>
      </c>
      <c r="K414" s="17" t="str">
        <f>IF(AND(HS_DB[[#This Row],[Origin Rank]]&gt;1,HS_DB[[#This Row],[Origin Rank]]&lt;=10),"Yes","No")</f>
        <v>Yes</v>
      </c>
      <c r="L414" s="2">
        <v>2024</v>
      </c>
      <c r="M414" s="2" t="s">
        <v>57</v>
      </c>
      <c r="N414" s="2" t="s">
        <v>29</v>
      </c>
      <c r="O414" s="2" t="s">
        <v>22</v>
      </c>
      <c r="P414" s="2" t="s">
        <v>23</v>
      </c>
      <c r="Q414" s="2" t="s">
        <v>24</v>
      </c>
      <c r="R414" s="2" t="s">
        <v>25</v>
      </c>
      <c r="S414" s="2">
        <v>110812</v>
      </c>
      <c r="T414" s="3">
        <v>5443</v>
      </c>
      <c r="U414" s="3">
        <v>3000</v>
      </c>
      <c r="V414" s="3">
        <v>0</v>
      </c>
      <c r="W414" s="3">
        <v>3000</v>
      </c>
      <c r="X414" s="3" t="s">
        <v>58</v>
      </c>
      <c r="Y414" s="3">
        <v>3000</v>
      </c>
      <c r="Z414" s="3" t="s">
        <v>58</v>
      </c>
      <c r="AA414" s="6">
        <f>SUMIFS(HS_DB[Trade Value - USD],HS_DB[Reporter],HS_DB[[#This Row],[Reporter]])/SUM(HS_DB[Trade Value - USD])</f>
        <v>1.3832724193842358E-4</v>
      </c>
      <c r="AB414" s="8" cm="1">
        <f t="array" ref="AB414">SUMPRODUCT(
(HS_DB[Reporter]=HS_DB[[#This Row],[Reporter]])*
(HS_DB[Trade Value - USD]&gt;HS_DB[[#This Row],[Trade Value - USD]])
)+1</f>
        <v>6</v>
      </c>
      <c r="AC414" s="8" t="str">
        <f>IFERROR(IF(INDEX(Heat_Map[Crisis Impact %],MATCH(HS_DB[[#This Row],[Reporter]],Heat_Map[Global],0),1)&gt;0,"Yes","No"),"No")</f>
        <v>No</v>
      </c>
      <c r="AD414" s="6">
        <f>IFERROR(INDEX(Heat_Map[Crisis Impact %],MATCH(HS_DB[[#This Row],[Reporter]],Heat_Map[Global],0),1),0)</f>
        <v>0</v>
      </c>
      <c r="AE414" s="8">
        <f>HS_DB[[#This Row],[Crisis Impact%]]*HS_DB[[#This Row],[Trade Value - USD]]</f>
        <v>0</v>
      </c>
      <c r="AF414" s="8">
        <f>HS_DB[[#This Row],[Crisis Impact%]]*HS_DB[[#This Row],[Net Weight -KG]]</f>
        <v>0</v>
      </c>
      <c r="AG414" s="6">
        <f>SUMIFS(HS_DB[Trade Value - USD],HS_DB[Products],HS_DB[[#This Row],[Products]])/SUM(HS_DB[Trade Value - USD])</f>
        <v>1.6194193894443242E-3</v>
      </c>
      <c r="AH414" s="8">
        <f>_xlfn.RANK.EQ(HS_DB[[#This Row],[Trade Value - USD]], HS_DB[Trade Value - USD], 0)
 + COUNTIFS(HS_DB[Trade Value - USD],HS_DB[[#This Row],[Trade Value - USD]],
            HS_DB[HS Code],"&lt;"&amp;HS_DB[[#This Row],[HS Code]])</f>
        <v>438</v>
      </c>
      <c r="AI414" s="9">
        <f>IFERROR(HS_DB[[#This Row],[Trade Value - USD]]/HS_DB[[#This Row],[Net Weight -KG]],0)</f>
        <v>1.8143333333333334</v>
      </c>
      <c r="AJ414" s="17" cm="1">
        <f t="array" ref="AJ414">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14" s="17" t="str">
        <f>IF(HS_DB[[#This Row],[HS Code Risk Score]]&gt;=40,"High",
 IF(HS_DB[[#This Row],[HS Code Risk Score]]&gt;=25,"Medium","Low"))</f>
        <v>Medium</v>
      </c>
      <c r="AL414" s="17" t="str">
        <f>IF(RANK(HS_DB[[#This Row],[HS Code Risk Score]],HS_DB[HS Code Risk Score])&lt;=10,"Yes","No")</f>
        <v>No</v>
      </c>
      <c r="AM414" s="8">
        <f>SUMIFS(HS_DB[Net Weight -KG],HS_DB[HS Code],HS_DB[[#This Row],[HS Code]])</f>
        <v>7001540</v>
      </c>
      <c r="AN414" s="8">
        <f>SUMIFS(HS_DB[Trade Value - USD],HS_DB[HS Code],HS_DB[[#This Row],[HS Code]])</f>
        <v>3052619</v>
      </c>
      <c r="AO414" s="6">
        <f>_xlfn.MAXIFS(HS_DB[Origin Share%],HS_DB[HS Code],HS_DB[[#This Row],[HS Code]])</f>
        <v>6.321329281187793E-2</v>
      </c>
      <c r="AP414" s="8" cm="1">
        <f t="array" ref="AP414">_xlfn.LET(
_xlpm.hs,HS_DB[[#This Row],[HS Code]],
COUNTA(_xlfn.UNIQUE(_xlfn._xlws.FILTER(HS_DB[Reporter],HS_DB[HS Code]=_xlpm.hs)))
)</f>
        <v>12</v>
      </c>
      <c r="AQ414" s="17" t="str">
        <f>IF(HS_DB[[#This Row],[Origin Count]]=1,"Single Source","Multiple Sources")</f>
        <v>Multiple Sources</v>
      </c>
      <c r="AR414" s="8">
        <f>HS_DB[[#This Row],[Annual Spend - USD]]*(HS_DB[[#This Row],[HS Code Risk Score]]/100)</f>
        <v>1037890.4600000001</v>
      </c>
      <c r="AS414" s="8">
        <f>RANK(HS_DB[[#This Row],[Risk Exposure - USD]],HS_DB[Risk Exposure - USD],0)</f>
        <v>442</v>
      </c>
      <c r="AT414" s="8" t="str">
        <f>IF(HS_DB[[#This Row],[Risk Exposure Rank]]&lt;=10,"High",
 IF(HS_DB[[#This Row],[Risk Exposure Rank]]&lt;=30,"Medium",
 "Low"))</f>
        <v>Low</v>
      </c>
      <c r="AU414" s="8" t="str">
        <f>IF(HS_DB[[#This Row],[Risk Exposure Rank]]&lt;=5,"Immediate Action",
 IF(HS_DB[[#This Row],[Risk Exposure Rank]]&lt;=15,"Monitor Closely",
 "Routine Control"))</f>
        <v>Routine Control</v>
      </c>
      <c r="AV414" s="8">
        <f>SUMIFS(HS_DB[Trade Value - USD],HS_DB[HS Code],HS_DB[[#This Row],[HS Code]])</f>
        <v>3052619</v>
      </c>
      <c r="AW414" s="6">
        <f>HS_DB[[#This Row],[Annual Spend - USD]]/HS_DB[[#This Row],[Total Market Size - USD]]</f>
        <v>1</v>
      </c>
      <c r="AX414" s="6" cm="1">
        <f t="array" ref="AX414">COUNTA(_xlfn.UNIQUE(_xlfn._xlws.FILTER(HS_DB[Partner],HS_DB[HS Code]=HS_DB[[#This Row],[HS Code]])))</f>
        <v>1</v>
      </c>
      <c r="AY414" s="8" t="str">
        <f>IF(HS_DB[[#This Row],[Competition Intensity]]&lt;=2,"Highly Concentrated",
 IF(HS_DB[[#This Row],[Competition Intensity]]&lt;=5,"Moderate",
 "Highly Competitive"))</f>
        <v>Highly Concentrated</v>
      </c>
      <c r="AZ414" s="8">
        <f>HS_DB[[#This Row],[Total Market Size - USD]]
*
(1+IFERROR(#REF!,0))
/
HS_DB[[#This Row],[Competition Intensity]]</f>
        <v>3052619</v>
      </c>
      <c r="BA414" s="8" t="str">
        <f>IF(HS_DB[[#This Row],[Commercial Opportunity Score]]&gt;=PERCENTILE(HS_DB[Commercial Opportunity Score],0.9),"High Opportunity",
 IF(HS_DB[[#This Row],[Commercial Opportunity Score]]&gt;=PERCENTILE(HS_DB[Commercial Opportunity Score],0.6),"Medium Opportunity",
 "Routine Market"))</f>
        <v>Routine Market</v>
      </c>
      <c r="BB414" s="3" t="str">
        <f>IF(AND(HS_DB[[#This Row],[Product Rank]]&gt;0,HS_DB[[#This Row],[Product Rank]]&lt;=10),"Yes","No")</f>
        <v>No</v>
      </c>
      <c r="BC414" s="3" t="str">
        <f>IF(AND(HS_DB[[#This Row],[Origin Rank]]&gt;0,HS_DB[[#This Row],[Origin Rank]]&lt;=10),"Yes","No")</f>
        <v>Yes</v>
      </c>
    </row>
    <row r="415" spans="2:55" x14ac:dyDescent="0.3">
      <c r="B415" s="2">
        <f>HS_DB[[#This Row],[Commodity Code]]</f>
        <v>110812</v>
      </c>
      <c r="C415" s="2">
        <f>IFERROR(INDEX(HS_MD!C:C,MATCH(B415,HS_MD!B:B,0),1),"")</f>
        <v>33</v>
      </c>
      <c r="D415" s="17" t="str">
        <f>IFERROR(INDEX(HS_MD!D:D,MATCH(B415,HS_MD!B:B,0),1),"")</f>
        <v>Maize (corn) starch</v>
      </c>
      <c r="E415" s="17" t="str">
        <f>IFERROR(INDEX(HS_MD!E:E,MATCH(B415,HS_MD!B:B,0),1),"")</f>
        <v>Corn Starch</v>
      </c>
      <c r="F415" s="17" t="str">
        <f>IFERROR(INDEX(HS_MD!F:F,MATCH(B415,HS_MD!B:B,0),1),"")</f>
        <v>FUNCTIONAL INGREDIENTS</v>
      </c>
      <c r="G415" s="17" t="str">
        <f>IFERROR(INDEX(HS_MD!G:G,MATCH(B415,HS_MD!B:B,0),1),"")</f>
        <v>Native Starches</v>
      </c>
      <c r="H415" s="17" t="str">
        <f>IFERROR(INDEX(HS_MD!H:H,MATCH(B415,HS_MD!B:B,0),1),"")</f>
        <v>Native Corn Starch</v>
      </c>
      <c r="I415" s="17" t="str">
        <f>IFERROR(INDEX(HS_MD!I:I,MATCH(B415,HS_MD!B:B,0),1),"")</f>
        <v>Sauces / Dairy / Confectionery</v>
      </c>
      <c r="J415" s="17">
        <f>IFERROR(INDEX(Heat_Map[Index],MATCH(HS_DB[[#This Row],[Reporter]],Heat_Map[Global],0),1),"")</f>
        <v>175</v>
      </c>
      <c r="K415" s="17" t="str">
        <f>IF(AND(HS_DB[[#This Row],[Origin Rank]]&gt;1,HS_DB[[#This Row],[Origin Rank]]&lt;=10),"Yes","No")</f>
        <v>Yes</v>
      </c>
      <c r="L415" s="2">
        <v>2024</v>
      </c>
      <c r="M415" s="2" t="s">
        <v>57</v>
      </c>
      <c r="N415" s="2" t="s">
        <v>34</v>
      </c>
      <c r="O415" s="2" t="s">
        <v>22</v>
      </c>
      <c r="P415" s="2" t="s">
        <v>23</v>
      </c>
      <c r="Q415" s="2" t="s">
        <v>24</v>
      </c>
      <c r="R415" s="2" t="s">
        <v>25</v>
      </c>
      <c r="S415" s="2">
        <v>110812</v>
      </c>
      <c r="T415" s="3">
        <v>2496811</v>
      </c>
      <c r="U415" s="3">
        <v>6071914</v>
      </c>
      <c r="V415" s="3">
        <v>0</v>
      </c>
      <c r="W415" s="3">
        <v>6071914</v>
      </c>
      <c r="X415" s="3" t="s">
        <v>58</v>
      </c>
      <c r="Y415" s="3">
        <v>6071914</v>
      </c>
      <c r="Z415" s="3" t="s">
        <v>58</v>
      </c>
      <c r="AA415" s="6">
        <f>SUMIFS(HS_DB[Trade Value - USD],HS_DB[Reporter],HS_DB[[#This Row],[Reporter]])/SUM(HS_DB[Trade Value - USD])</f>
        <v>4.7522902002533667E-2</v>
      </c>
      <c r="AB415" s="8" cm="1">
        <f t="array" ref="AB415">SUMPRODUCT(
(HS_DB[Reporter]=HS_DB[[#This Row],[Reporter]])*
(HS_DB[Trade Value - USD]&gt;HS_DB[[#This Row],[Trade Value - USD]])
)+1</f>
        <v>9</v>
      </c>
      <c r="AC415" s="8" t="str">
        <f>IFERROR(IF(INDEX(Heat_Map[Crisis Impact %],MATCH(HS_DB[[#This Row],[Reporter]],Heat_Map[Global],0),1)&gt;0,"Yes","No"),"No")</f>
        <v>Yes</v>
      </c>
      <c r="AD415" s="6">
        <f>IFERROR(INDEX(Heat_Map[Crisis Impact %],MATCH(HS_DB[[#This Row],[Reporter]],Heat_Map[Global],0),1),0)</f>
        <v>0.1</v>
      </c>
      <c r="AE415" s="8">
        <f>HS_DB[[#This Row],[Crisis Impact%]]*HS_DB[[#This Row],[Trade Value - USD]]</f>
        <v>249681.1</v>
      </c>
      <c r="AF415" s="8">
        <f>HS_DB[[#This Row],[Crisis Impact%]]*HS_DB[[#This Row],[Net Weight -KG]]</f>
        <v>607191.4</v>
      </c>
      <c r="AG415" s="6">
        <f>SUMIFS(HS_DB[Trade Value - USD],HS_DB[Products],HS_DB[[#This Row],[Products]])/SUM(HS_DB[Trade Value - USD])</f>
        <v>1.6194193894443242E-3</v>
      </c>
      <c r="AH415" s="8">
        <f>_xlfn.RANK.EQ(HS_DB[[#This Row],[Trade Value - USD]], HS_DB[Trade Value - USD], 0)
 + COUNTIFS(HS_DB[Trade Value - USD],HS_DB[[#This Row],[Trade Value - USD]],
            HS_DB[HS Code],"&lt;"&amp;HS_DB[[#This Row],[HS Code]])</f>
        <v>54</v>
      </c>
      <c r="AI415" s="9">
        <f>IFERROR(HS_DB[[#This Row],[Trade Value - USD]]/HS_DB[[#This Row],[Net Weight -KG]],0)</f>
        <v>0.41120658164789553</v>
      </c>
      <c r="AJ415" s="17" cm="1">
        <f t="array" ref="AJ415">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15" s="17" t="str">
        <f>IF(HS_DB[[#This Row],[HS Code Risk Score]]&gt;=40,"High",
 IF(HS_DB[[#This Row],[HS Code Risk Score]]&gt;=25,"Medium","Low"))</f>
        <v>Medium</v>
      </c>
      <c r="AL415" s="17" t="str">
        <f>IF(RANK(HS_DB[[#This Row],[HS Code Risk Score]],HS_DB[HS Code Risk Score])&lt;=10,"Yes","No")</f>
        <v>No</v>
      </c>
      <c r="AM415" s="8">
        <f>SUMIFS(HS_DB[Net Weight -KG],HS_DB[HS Code],HS_DB[[#This Row],[HS Code]])</f>
        <v>7001540</v>
      </c>
      <c r="AN415" s="8">
        <f>SUMIFS(HS_DB[Trade Value - USD],HS_DB[HS Code],HS_DB[[#This Row],[HS Code]])</f>
        <v>3052619</v>
      </c>
      <c r="AO415" s="6">
        <f>_xlfn.MAXIFS(HS_DB[Origin Share%],HS_DB[HS Code],HS_DB[[#This Row],[HS Code]])</f>
        <v>6.321329281187793E-2</v>
      </c>
      <c r="AP415" s="8" cm="1">
        <f t="array" ref="AP415">_xlfn.LET(
_xlpm.hs,HS_DB[[#This Row],[HS Code]],
COUNTA(_xlfn.UNIQUE(_xlfn._xlws.FILTER(HS_DB[Reporter],HS_DB[HS Code]=_xlpm.hs)))
)</f>
        <v>12</v>
      </c>
      <c r="AQ415" s="17" t="str">
        <f>IF(HS_DB[[#This Row],[Origin Count]]=1,"Single Source","Multiple Sources")</f>
        <v>Multiple Sources</v>
      </c>
      <c r="AR415" s="8">
        <f>HS_DB[[#This Row],[Annual Spend - USD]]*(HS_DB[[#This Row],[HS Code Risk Score]]/100)</f>
        <v>1037890.4600000001</v>
      </c>
      <c r="AS415" s="8">
        <f>RANK(HS_DB[[#This Row],[Risk Exposure - USD]],HS_DB[Risk Exposure - USD],0)</f>
        <v>442</v>
      </c>
      <c r="AT415" s="8" t="str">
        <f>IF(HS_DB[[#This Row],[Risk Exposure Rank]]&lt;=10,"High",
 IF(HS_DB[[#This Row],[Risk Exposure Rank]]&lt;=30,"Medium",
 "Low"))</f>
        <v>Low</v>
      </c>
      <c r="AU415" s="8" t="str">
        <f>IF(HS_DB[[#This Row],[Risk Exposure Rank]]&lt;=5,"Immediate Action",
 IF(HS_DB[[#This Row],[Risk Exposure Rank]]&lt;=15,"Monitor Closely",
 "Routine Control"))</f>
        <v>Routine Control</v>
      </c>
      <c r="AV415" s="8">
        <f>SUMIFS(HS_DB[Trade Value - USD],HS_DB[HS Code],HS_DB[[#This Row],[HS Code]])</f>
        <v>3052619</v>
      </c>
      <c r="AW415" s="6">
        <f>HS_DB[[#This Row],[Annual Spend - USD]]/HS_DB[[#This Row],[Total Market Size - USD]]</f>
        <v>1</v>
      </c>
      <c r="AX415" s="6" cm="1">
        <f t="array" ref="AX415">COUNTA(_xlfn.UNIQUE(_xlfn._xlws.FILTER(HS_DB[Partner],HS_DB[HS Code]=HS_DB[[#This Row],[HS Code]])))</f>
        <v>1</v>
      </c>
      <c r="AY415" s="8" t="str">
        <f>IF(HS_DB[[#This Row],[Competition Intensity]]&lt;=2,"Highly Concentrated",
 IF(HS_DB[[#This Row],[Competition Intensity]]&lt;=5,"Moderate",
 "Highly Competitive"))</f>
        <v>Highly Concentrated</v>
      </c>
      <c r="AZ415" s="8">
        <f>HS_DB[[#This Row],[Total Market Size - USD]]
*
(1+IFERROR(#REF!,0))
/
HS_DB[[#This Row],[Competition Intensity]]</f>
        <v>3052619</v>
      </c>
      <c r="BA415" s="8" t="str">
        <f>IF(HS_DB[[#This Row],[Commercial Opportunity Score]]&gt;=PERCENTILE(HS_DB[Commercial Opportunity Score],0.9),"High Opportunity",
 IF(HS_DB[[#This Row],[Commercial Opportunity Score]]&gt;=PERCENTILE(HS_DB[Commercial Opportunity Score],0.6),"Medium Opportunity",
 "Routine Market"))</f>
        <v>Routine Market</v>
      </c>
      <c r="BB415" s="3" t="str">
        <f>IF(AND(HS_DB[[#This Row],[Product Rank]]&gt;0,HS_DB[[#This Row],[Product Rank]]&lt;=10),"Yes","No")</f>
        <v>No</v>
      </c>
      <c r="BC415" s="3" t="str">
        <f>IF(AND(HS_DB[[#This Row],[Origin Rank]]&gt;0,HS_DB[[#This Row],[Origin Rank]]&lt;=10),"Yes","No")</f>
        <v>Yes</v>
      </c>
    </row>
    <row r="416" spans="2:55" x14ac:dyDescent="0.3">
      <c r="B416" s="2">
        <f>HS_DB[[#This Row],[Commodity Code]]</f>
        <v>110812</v>
      </c>
      <c r="C416" s="2">
        <f>IFERROR(INDEX(HS_MD!C:C,MATCH(B416,HS_MD!B:B,0),1),"")</f>
        <v>33</v>
      </c>
      <c r="D416" s="17" t="str">
        <f>IFERROR(INDEX(HS_MD!D:D,MATCH(B416,HS_MD!B:B,0),1),"")</f>
        <v>Maize (corn) starch</v>
      </c>
      <c r="E416" s="17" t="str">
        <f>IFERROR(INDEX(HS_MD!E:E,MATCH(B416,HS_MD!B:B,0),1),"")</f>
        <v>Corn Starch</v>
      </c>
      <c r="F416" s="17" t="str">
        <f>IFERROR(INDEX(HS_MD!F:F,MATCH(B416,HS_MD!B:B,0),1),"")</f>
        <v>FUNCTIONAL INGREDIENTS</v>
      </c>
      <c r="G416" s="17" t="str">
        <f>IFERROR(INDEX(HS_MD!G:G,MATCH(B416,HS_MD!B:B,0),1),"")</f>
        <v>Native Starches</v>
      </c>
      <c r="H416" s="17" t="str">
        <f>IFERROR(INDEX(HS_MD!H:H,MATCH(B416,HS_MD!B:B,0),1),"")</f>
        <v>Native Corn Starch</v>
      </c>
      <c r="I416" s="17" t="str">
        <f>IFERROR(INDEX(HS_MD!I:I,MATCH(B416,HS_MD!B:B,0),1),"")</f>
        <v>Sauces / Dairy / Confectionery</v>
      </c>
      <c r="J416" s="17">
        <f>IFERROR(INDEX(Heat_Map[Index],MATCH(HS_DB[[#This Row],[Reporter]],Heat_Map[Global],0),1),"")</f>
        <v>182</v>
      </c>
      <c r="K416" s="17" t="str">
        <f>IF(AND(HS_DB[[#This Row],[Origin Rank]]&gt;1,HS_DB[[#This Row],[Origin Rank]]&lt;=10),"Yes","No")</f>
        <v>No</v>
      </c>
      <c r="L416" s="2">
        <v>2024</v>
      </c>
      <c r="M416" s="2" t="s">
        <v>57</v>
      </c>
      <c r="N416" s="2" t="s">
        <v>56</v>
      </c>
      <c r="O416" s="2" t="s">
        <v>22</v>
      </c>
      <c r="P416" s="2" t="s">
        <v>23</v>
      </c>
      <c r="Q416" s="2" t="s">
        <v>24</v>
      </c>
      <c r="R416" s="2" t="s">
        <v>25</v>
      </c>
      <c r="S416" s="2">
        <v>110812</v>
      </c>
      <c r="T416" s="3">
        <v>3084</v>
      </c>
      <c r="U416" s="3">
        <v>910</v>
      </c>
      <c r="V416" s="3">
        <v>0</v>
      </c>
      <c r="W416" s="3">
        <v>910</v>
      </c>
      <c r="X416" s="3" t="s">
        <v>58</v>
      </c>
      <c r="Y416" s="3">
        <v>910</v>
      </c>
      <c r="Z416" s="3" t="s">
        <v>58</v>
      </c>
      <c r="AA416" s="6">
        <f>SUMIFS(HS_DB[Trade Value - USD],HS_DB[Reporter],HS_DB[[#This Row],[Reporter]])/SUM(HS_DB[Trade Value - USD])</f>
        <v>9.425427433633813E-3</v>
      </c>
      <c r="AB416" s="8" cm="1">
        <f t="array" ref="AB416">SUMPRODUCT(
(HS_DB[Reporter]=HS_DB[[#This Row],[Reporter]])*
(HS_DB[Trade Value - USD]&gt;HS_DB[[#This Row],[Trade Value - USD]])
)+1</f>
        <v>26</v>
      </c>
      <c r="AC416" s="8" t="str">
        <f>IFERROR(IF(INDEX(Heat_Map[Crisis Impact %],MATCH(HS_DB[[#This Row],[Reporter]],Heat_Map[Global],0),1)&gt;0,"Yes","No"),"No")</f>
        <v>Yes</v>
      </c>
      <c r="AD416" s="6">
        <f>IFERROR(INDEX(Heat_Map[Crisis Impact %],MATCH(HS_DB[[#This Row],[Reporter]],Heat_Map[Global],0),1),0)</f>
        <v>4.0000000000000008E-2</v>
      </c>
      <c r="AE416" s="8">
        <f>HS_DB[[#This Row],[Crisis Impact%]]*HS_DB[[#This Row],[Trade Value - USD]]</f>
        <v>123.36000000000003</v>
      </c>
      <c r="AF416" s="8">
        <f>HS_DB[[#This Row],[Crisis Impact%]]*HS_DB[[#This Row],[Net Weight -KG]]</f>
        <v>36.400000000000006</v>
      </c>
      <c r="AG416" s="6">
        <f>SUMIFS(HS_DB[Trade Value - USD],HS_DB[Products],HS_DB[[#This Row],[Products]])/SUM(HS_DB[Trade Value - USD])</f>
        <v>1.6194193894443242E-3</v>
      </c>
      <c r="AH416" s="8">
        <f>_xlfn.RANK.EQ(HS_DB[[#This Row],[Trade Value - USD]], HS_DB[Trade Value - USD], 0)
 + COUNTIFS(HS_DB[Trade Value - USD],HS_DB[[#This Row],[Trade Value - USD]],
            HS_DB[HS Code],"&lt;"&amp;HS_DB[[#This Row],[HS Code]])</f>
        <v>459</v>
      </c>
      <c r="AI416" s="9">
        <f>IFERROR(HS_DB[[#This Row],[Trade Value - USD]]/HS_DB[[#This Row],[Net Weight -KG]],0)</f>
        <v>3.389010989010989</v>
      </c>
      <c r="AJ416" s="17" cm="1">
        <f t="array" ref="AJ416">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16" s="17" t="str">
        <f>IF(HS_DB[[#This Row],[HS Code Risk Score]]&gt;=40,"High",
 IF(HS_DB[[#This Row],[HS Code Risk Score]]&gt;=25,"Medium","Low"))</f>
        <v>Medium</v>
      </c>
      <c r="AL416" s="17" t="str">
        <f>IF(RANK(HS_DB[[#This Row],[HS Code Risk Score]],HS_DB[HS Code Risk Score])&lt;=10,"Yes","No")</f>
        <v>No</v>
      </c>
      <c r="AM416" s="8">
        <f>SUMIFS(HS_DB[Net Weight -KG],HS_DB[HS Code],HS_DB[[#This Row],[HS Code]])</f>
        <v>7001540</v>
      </c>
      <c r="AN416" s="8">
        <f>SUMIFS(HS_DB[Trade Value - USD],HS_DB[HS Code],HS_DB[[#This Row],[HS Code]])</f>
        <v>3052619</v>
      </c>
      <c r="AO416" s="6">
        <f>_xlfn.MAXIFS(HS_DB[Origin Share%],HS_DB[HS Code],HS_DB[[#This Row],[HS Code]])</f>
        <v>6.321329281187793E-2</v>
      </c>
      <c r="AP416" s="8" cm="1">
        <f t="array" ref="AP416">_xlfn.LET(
_xlpm.hs,HS_DB[[#This Row],[HS Code]],
COUNTA(_xlfn.UNIQUE(_xlfn._xlws.FILTER(HS_DB[Reporter],HS_DB[HS Code]=_xlpm.hs)))
)</f>
        <v>12</v>
      </c>
      <c r="AQ416" s="17" t="str">
        <f>IF(HS_DB[[#This Row],[Origin Count]]=1,"Single Source","Multiple Sources")</f>
        <v>Multiple Sources</v>
      </c>
      <c r="AR416" s="8">
        <f>HS_DB[[#This Row],[Annual Spend - USD]]*(HS_DB[[#This Row],[HS Code Risk Score]]/100)</f>
        <v>1037890.4600000001</v>
      </c>
      <c r="AS416" s="8">
        <f>RANK(HS_DB[[#This Row],[Risk Exposure - USD]],HS_DB[Risk Exposure - USD],0)</f>
        <v>442</v>
      </c>
      <c r="AT416" s="8" t="str">
        <f>IF(HS_DB[[#This Row],[Risk Exposure Rank]]&lt;=10,"High",
 IF(HS_DB[[#This Row],[Risk Exposure Rank]]&lt;=30,"Medium",
 "Low"))</f>
        <v>Low</v>
      </c>
      <c r="AU416" s="8" t="str">
        <f>IF(HS_DB[[#This Row],[Risk Exposure Rank]]&lt;=5,"Immediate Action",
 IF(HS_DB[[#This Row],[Risk Exposure Rank]]&lt;=15,"Monitor Closely",
 "Routine Control"))</f>
        <v>Routine Control</v>
      </c>
      <c r="AV416" s="8">
        <f>SUMIFS(HS_DB[Trade Value - USD],HS_DB[HS Code],HS_DB[[#This Row],[HS Code]])</f>
        <v>3052619</v>
      </c>
      <c r="AW416" s="6">
        <f>HS_DB[[#This Row],[Annual Spend - USD]]/HS_DB[[#This Row],[Total Market Size - USD]]</f>
        <v>1</v>
      </c>
      <c r="AX416" s="6" cm="1">
        <f t="array" ref="AX416">COUNTA(_xlfn.UNIQUE(_xlfn._xlws.FILTER(HS_DB[Partner],HS_DB[HS Code]=HS_DB[[#This Row],[HS Code]])))</f>
        <v>1</v>
      </c>
      <c r="AY416" s="8" t="str">
        <f>IF(HS_DB[[#This Row],[Competition Intensity]]&lt;=2,"Highly Concentrated",
 IF(HS_DB[[#This Row],[Competition Intensity]]&lt;=5,"Moderate",
 "Highly Competitive"))</f>
        <v>Highly Concentrated</v>
      </c>
      <c r="AZ416" s="8">
        <f>HS_DB[[#This Row],[Total Market Size - USD]]
*
(1+IFERROR(#REF!,0))
/
HS_DB[[#This Row],[Competition Intensity]]</f>
        <v>3052619</v>
      </c>
      <c r="BA416" s="8" t="str">
        <f>IF(HS_DB[[#This Row],[Commercial Opportunity Score]]&gt;=PERCENTILE(HS_DB[Commercial Opportunity Score],0.9),"High Opportunity",
 IF(HS_DB[[#This Row],[Commercial Opportunity Score]]&gt;=PERCENTILE(HS_DB[Commercial Opportunity Score],0.6),"Medium Opportunity",
 "Routine Market"))</f>
        <v>Routine Market</v>
      </c>
      <c r="BB416" s="3" t="str">
        <f>IF(AND(HS_DB[[#This Row],[Product Rank]]&gt;0,HS_DB[[#This Row],[Product Rank]]&lt;=10),"Yes","No")</f>
        <v>No</v>
      </c>
      <c r="BC416" s="3" t="str">
        <f>IF(AND(HS_DB[[#This Row],[Origin Rank]]&gt;0,HS_DB[[#This Row],[Origin Rank]]&lt;=10),"Yes","No")</f>
        <v>No</v>
      </c>
    </row>
    <row r="417" spans="2:55" x14ac:dyDescent="0.3">
      <c r="B417" s="2">
        <f>HS_DB[[#This Row],[Commodity Code]]</f>
        <v>110813</v>
      </c>
      <c r="C417" s="2">
        <f>IFERROR(INDEX(HS_MD!C:C,MATCH(B417,HS_MD!B:B,0),1),"")</f>
        <v>34</v>
      </c>
      <c r="D417" s="17" t="str">
        <f>IFERROR(INDEX(HS_MD!D:D,MATCH(B417,HS_MD!B:B,0),1),"")</f>
        <v>Potato starch</v>
      </c>
      <c r="E417" s="17" t="str">
        <f>IFERROR(INDEX(HS_MD!E:E,MATCH(B417,HS_MD!B:B,0),1),"")</f>
        <v>Potato Starch</v>
      </c>
      <c r="F417" s="17" t="str">
        <f>IFERROR(INDEX(HS_MD!F:F,MATCH(B417,HS_MD!B:B,0),1),"")</f>
        <v>FUNCTIONAL INGREDIENTS</v>
      </c>
      <c r="G417" s="17" t="str">
        <f>IFERROR(INDEX(HS_MD!G:G,MATCH(B417,HS_MD!B:B,0),1),"")</f>
        <v>Native Starches</v>
      </c>
      <c r="H417" s="17" t="str">
        <f>IFERROR(INDEX(HS_MD!H:H,MATCH(B417,HS_MD!B:B,0),1),"")</f>
        <v>Native Potato Starch</v>
      </c>
      <c r="I417" s="17" t="str">
        <f>IFERROR(INDEX(HS_MD!I:I,MATCH(B417,HS_MD!B:B,0),1),"")</f>
        <v>Sauces / Processed Food</v>
      </c>
      <c r="J417" s="17">
        <f>IFERROR(INDEX(Heat_Map[Index],MATCH(HS_DB[[#This Row],[Reporter]],Heat_Map[Global],0),1),"")</f>
        <v>17</v>
      </c>
      <c r="K417" s="17" t="str">
        <f>IF(AND(HS_DB[[#This Row],[Origin Rank]]&gt;1,HS_DB[[#This Row],[Origin Rank]]&lt;=10),"Yes","No")</f>
        <v>Yes</v>
      </c>
      <c r="L417" s="2">
        <v>2024</v>
      </c>
      <c r="M417" s="2" t="s">
        <v>57</v>
      </c>
      <c r="N417" s="2" t="s">
        <v>5</v>
      </c>
      <c r="O417" s="2" t="s">
        <v>22</v>
      </c>
      <c r="P417" s="2" t="s">
        <v>23</v>
      </c>
      <c r="Q417" s="2" t="s">
        <v>24</v>
      </c>
      <c r="R417" s="2" t="s">
        <v>25</v>
      </c>
      <c r="S417" s="2">
        <v>110813</v>
      </c>
      <c r="T417" s="3">
        <v>302622</v>
      </c>
      <c r="U417" s="3">
        <v>372751</v>
      </c>
      <c r="V417" s="3">
        <v>0</v>
      </c>
      <c r="W417" s="3">
        <v>372751</v>
      </c>
      <c r="X417" s="3" t="s">
        <v>58</v>
      </c>
      <c r="Y417" s="3">
        <v>372751</v>
      </c>
      <c r="Z417" s="3" t="s">
        <v>58</v>
      </c>
      <c r="AA417" s="6">
        <f>SUMIFS(HS_DB[Trade Value - USD],HS_DB[Reporter],HS_DB[[#This Row],[Reporter]])/SUM(HS_DB[Trade Value - USD])</f>
        <v>5.3992075088500962E-3</v>
      </c>
      <c r="AB417" s="8" cm="1">
        <f t="array" ref="AB417">SUMPRODUCT(
(HS_DB[Reporter]=HS_DB[[#This Row],[Reporter]])*
(HS_DB[Trade Value - USD]&gt;HS_DB[[#This Row],[Trade Value - USD]])
)+1</f>
        <v>6</v>
      </c>
      <c r="AC417" s="8" t="str">
        <f>IFERROR(IF(INDEX(Heat_Map[Crisis Impact %],MATCH(HS_DB[[#This Row],[Reporter]],Heat_Map[Global],0),1)&gt;0,"Yes","No"),"No")</f>
        <v>No</v>
      </c>
      <c r="AD417" s="6">
        <f>IFERROR(INDEX(Heat_Map[Crisis Impact %],MATCH(HS_DB[[#This Row],[Reporter]],Heat_Map[Global],0),1),0)</f>
        <v>0</v>
      </c>
      <c r="AE417" s="8">
        <f>HS_DB[[#This Row],[Crisis Impact%]]*HS_DB[[#This Row],[Trade Value - USD]]</f>
        <v>0</v>
      </c>
      <c r="AF417" s="8">
        <f>HS_DB[[#This Row],[Crisis Impact%]]*HS_DB[[#This Row],[Net Weight -KG]]</f>
        <v>0</v>
      </c>
      <c r="AG417" s="6">
        <f>SUMIFS(HS_DB[Trade Value - USD],HS_DB[Products],HS_DB[[#This Row],[Products]])/SUM(HS_DB[Trade Value - USD])</f>
        <v>2.3561731722151892E-3</v>
      </c>
      <c r="AH417" s="8">
        <f>_xlfn.RANK.EQ(HS_DB[[#This Row],[Trade Value - USD]], HS_DB[Trade Value - USD], 0)
 + COUNTIFS(HS_DB[Trade Value - USD],HS_DB[[#This Row],[Trade Value - USD]],
            HS_DB[HS Code],"&lt;"&amp;HS_DB[[#This Row],[HS Code]])</f>
        <v>188</v>
      </c>
      <c r="AI417" s="9">
        <f>IFERROR(HS_DB[[#This Row],[Trade Value - USD]]/HS_DB[[#This Row],[Net Weight -KG]],0)</f>
        <v>0.81186100104359216</v>
      </c>
      <c r="AJ417" s="17" cm="1">
        <f t="array" ref="AJ417">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17</v>
      </c>
      <c r="AK417" s="17" t="str">
        <f>IF(HS_DB[[#This Row],[HS Code Risk Score]]&gt;=40,"High",
 IF(HS_DB[[#This Row],[HS Code Risk Score]]&gt;=25,"Medium","Low"))</f>
        <v>Low</v>
      </c>
      <c r="AL417" s="17" t="str">
        <f>IF(RANK(HS_DB[[#This Row],[HS Code Risk Score]],HS_DB[HS Code Risk Score])&lt;=10,"Yes","No")</f>
        <v>No</v>
      </c>
      <c r="AM417" s="8">
        <f>SUMIFS(HS_DB[Net Weight -KG],HS_DB[HS Code],HS_DB[[#This Row],[HS Code]])</f>
        <v>4625188</v>
      </c>
      <c r="AN417" s="8">
        <f>SUMIFS(HS_DB[Trade Value - USD],HS_DB[HS Code],HS_DB[[#This Row],[HS Code]])</f>
        <v>4441406</v>
      </c>
      <c r="AO417" s="6">
        <f>_xlfn.MAXIFS(HS_DB[Origin Share%],HS_DB[HS Code],HS_DB[[#This Row],[HS Code]])</f>
        <v>6.321329281187793E-2</v>
      </c>
      <c r="AP417" s="8" cm="1">
        <f t="array" ref="AP417">_xlfn.LET(
_xlpm.hs,HS_DB[[#This Row],[HS Code]],
COUNTA(_xlfn.UNIQUE(_xlfn._xlws.FILTER(HS_DB[Reporter],HS_DB[HS Code]=_xlpm.hs)))
)</f>
        <v>11</v>
      </c>
      <c r="AQ417" s="17" t="str">
        <f>IF(HS_DB[[#This Row],[Origin Count]]=1,"Single Source","Multiple Sources")</f>
        <v>Multiple Sources</v>
      </c>
      <c r="AR417" s="8">
        <f>HS_DB[[#This Row],[Annual Spend - USD]]*(HS_DB[[#This Row],[HS Code Risk Score]]/100)</f>
        <v>755039.02</v>
      </c>
      <c r="AS417" s="8">
        <f>RANK(HS_DB[[#This Row],[Risk Exposure - USD]],HS_DB[Risk Exposure - USD],0)</f>
        <v>454</v>
      </c>
      <c r="AT417" s="8" t="str">
        <f>IF(HS_DB[[#This Row],[Risk Exposure Rank]]&lt;=10,"High",
 IF(HS_DB[[#This Row],[Risk Exposure Rank]]&lt;=30,"Medium",
 "Low"))</f>
        <v>Low</v>
      </c>
      <c r="AU417" s="8" t="str">
        <f>IF(HS_DB[[#This Row],[Risk Exposure Rank]]&lt;=5,"Immediate Action",
 IF(HS_DB[[#This Row],[Risk Exposure Rank]]&lt;=15,"Monitor Closely",
 "Routine Control"))</f>
        <v>Routine Control</v>
      </c>
      <c r="AV417" s="8">
        <f>SUMIFS(HS_DB[Trade Value - USD],HS_DB[HS Code],HS_DB[[#This Row],[HS Code]])</f>
        <v>4441406</v>
      </c>
      <c r="AW417" s="6">
        <f>HS_DB[[#This Row],[Annual Spend - USD]]/HS_DB[[#This Row],[Total Market Size - USD]]</f>
        <v>1</v>
      </c>
      <c r="AX417" s="6" cm="1">
        <f t="array" ref="AX417">COUNTA(_xlfn.UNIQUE(_xlfn._xlws.FILTER(HS_DB[Partner],HS_DB[HS Code]=HS_DB[[#This Row],[HS Code]])))</f>
        <v>1</v>
      </c>
      <c r="AY417" s="8" t="str">
        <f>IF(HS_DB[[#This Row],[Competition Intensity]]&lt;=2,"Highly Concentrated",
 IF(HS_DB[[#This Row],[Competition Intensity]]&lt;=5,"Moderate",
 "Highly Competitive"))</f>
        <v>Highly Concentrated</v>
      </c>
      <c r="AZ417" s="8">
        <f>HS_DB[[#This Row],[Total Market Size - USD]]
*
(1+IFERROR(#REF!,0))
/
HS_DB[[#This Row],[Competition Intensity]]</f>
        <v>4441406</v>
      </c>
      <c r="BA417" s="8" t="str">
        <f>IF(HS_DB[[#This Row],[Commercial Opportunity Score]]&gt;=PERCENTILE(HS_DB[Commercial Opportunity Score],0.9),"High Opportunity",
 IF(HS_DB[[#This Row],[Commercial Opportunity Score]]&gt;=PERCENTILE(HS_DB[Commercial Opportunity Score],0.6),"Medium Opportunity",
 "Routine Market"))</f>
        <v>Routine Market</v>
      </c>
      <c r="BB417" s="3" t="str">
        <f>IF(AND(HS_DB[[#This Row],[Product Rank]]&gt;0,HS_DB[[#This Row],[Product Rank]]&lt;=10),"Yes","No")</f>
        <v>No</v>
      </c>
      <c r="BC417" s="3" t="str">
        <f>IF(AND(HS_DB[[#This Row],[Origin Rank]]&gt;0,HS_DB[[#This Row],[Origin Rank]]&lt;=10),"Yes","No")</f>
        <v>Yes</v>
      </c>
    </row>
    <row r="418" spans="2:55" x14ac:dyDescent="0.3">
      <c r="B418" s="2">
        <f>HS_DB[[#This Row],[Commodity Code]]</f>
        <v>110813</v>
      </c>
      <c r="C418" s="2">
        <f>IFERROR(INDEX(HS_MD!C:C,MATCH(B418,HS_MD!B:B,0),1),"")</f>
        <v>34</v>
      </c>
      <c r="D418" s="17" t="str">
        <f>IFERROR(INDEX(HS_MD!D:D,MATCH(B418,HS_MD!B:B,0),1),"")</f>
        <v>Potato starch</v>
      </c>
      <c r="E418" s="17" t="str">
        <f>IFERROR(INDEX(HS_MD!E:E,MATCH(B418,HS_MD!B:B,0),1),"")</f>
        <v>Potato Starch</v>
      </c>
      <c r="F418" s="17" t="str">
        <f>IFERROR(INDEX(HS_MD!F:F,MATCH(B418,HS_MD!B:B,0),1),"")</f>
        <v>FUNCTIONAL INGREDIENTS</v>
      </c>
      <c r="G418" s="17" t="str">
        <f>IFERROR(INDEX(HS_MD!G:G,MATCH(B418,HS_MD!B:B,0),1),"")</f>
        <v>Native Starches</v>
      </c>
      <c r="H418" s="17" t="str">
        <f>IFERROR(INDEX(HS_MD!H:H,MATCH(B418,HS_MD!B:B,0),1),"")</f>
        <v>Native Potato Starch</v>
      </c>
      <c r="I418" s="17" t="str">
        <f>IFERROR(INDEX(HS_MD!I:I,MATCH(B418,HS_MD!B:B,0),1),"")</f>
        <v>Sauces / Processed Food</v>
      </c>
      <c r="J418" s="17">
        <f>IFERROR(INDEX(Heat_Map[Index],MATCH(HS_DB[[#This Row],[Reporter]],Heat_Map[Global],0),1),"")</f>
        <v>36</v>
      </c>
      <c r="K418" s="17" t="str">
        <f>IF(AND(HS_DB[[#This Row],[Origin Rank]]&gt;1,HS_DB[[#This Row],[Origin Rank]]&lt;=10),"Yes","No")</f>
        <v>No</v>
      </c>
      <c r="L418" s="2">
        <v>2024</v>
      </c>
      <c r="M418" s="2" t="s">
        <v>57</v>
      </c>
      <c r="N418" s="2" t="s">
        <v>1</v>
      </c>
      <c r="O418" s="2" t="s">
        <v>22</v>
      </c>
      <c r="P418" s="2" t="s">
        <v>23</v>
      </c>
      <c r="Q418" s="2" t="s">
        <v>24</v>
      </c>
      <c r="R418" s="2" t="s">
        <v>25</v>
      </c>
      <c r="S418" s="2">
        <v>110813</v>
      </c>
      <c r="T418" s="3">
        <v>28986</v>
      </c>
      <c r="U418" s="3">
        <v>23501</v>
      </c>
      <c r="V418" s="3">
        <v>0</v>
      </c>
      <c r="W418" s="3">
        <v>23501</v>
      </c>
      <c r="X418" s="3" t="s">
        <v>58</v>
      </c>
      <c r="Y418" s="3">
        <v>23501</v>
      </c>
      <c r="Z418" s="3" t="s">
        <v>58</v>
      </c>
      <c r="AA418" s="6">
        <f>SUMIFS(HS_DB[Trade Value - USD],HS_DB[Reporter],HS_DB[[#This Row],[Reporter]])/SUM(HS_DB[Trade Value - USD])</f>
        <v>6.321329281187793E-2</v>
      </c>
      <c r="AB418" s="8" cm="1">
        <f t="array" ref="AB418">SUMPRODUCT(
(HS_DB[Reporter]=HS_DB[[#This Row],[Reporter]])*
(HS_DB[Trade Value - USD]&gt;HS_DB[[#This Row],[Trade Value - USD]])
)+1</f>
        <v>32</v>
      </c>
      <c r="AC418" s="8" t="str">
        <f>IFERROR(IF(INDEX(Heat_Map[Crisis Impact %],MATCH(HS_DB[[#This Row],[Reporter]],Heat_Map[Global],0),1)&gt;0,"Yes","No"),"No")</f>
        <v>Yes</v>
      </c>
      <c r="AD418" s="6">
        <f>IFERROR(INDEX(Heat_Map[Crisis Impact %],MATCH(HS_DB[[#This Row],[Reporter]],Heat_Map[Global],0),1),0)</f>
        <v>0.14000000000000001</v>
      </c>
      <c r="AE418" s="8">
        <f>HS_DB[[#This Row],[Crisis Impact%]]*HS_DB[[#This Row],[Trade Value - USD]]</f>
        <v>4058.0400000000004</v>
      </c>
      <c r="AF418" s="8">
        <f>HS_DB[[#This Row],[Crisis Impact%]]*HS_DB[[#This Row],[Net Weight -KG]]</f>
        <v>3290.1400000000003</v>
      </c>
      <c r="AG418" s="6">
        <f>SUMIFS(HS_DB[Trade Value - USD],HS_DB[Products],HS_DB[[#This Row],[Products]])/SUM(HS_DB[Trade Value - USD])</f>
        <v>2.3561731722151892E-3</v>
      </c>
      <c r="AH418" s="8">
        <f>_xlfn.RANK.EQ(HS_DB[[#This Row],[Trade Value - USD]], HS_DB[Trade Value - USD], 0)
 + COUNTIFS(HS_DB[Trade Value - USD],HS_DB[[#This Row],[Trade Value - USD]],
            HS_DB[HS Code],"&lt;"&amp;HS_DB[[#This Row],[HS Code]])</f>
        <v>358</v>
      </c>
      <c r="AI418" s="9">
        <f>IFERROR(HS_DB[[#This Row],[Trade Value - USD]]/HS_DB[[#This Row],[Net Weight -KG]],0)</f>
        <v>1.2333943236458023</v>
      </c>
      <c r="AJ418" s="17" cm="1">
        <f t="array" ref="AJ418">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17</v>
      </c>
      <c r="AK418" s="17" t="str">
        <f>IF(HS_DB[[#This Row],[HS Code Risk Score]]&gt;=40,"High",
 IF(HS_DB[[#This Row],[HS Code Risk Score]]&gt;=25,"Medium","Low"))</f>
        <v>Low</v>
      </c>
      <c r="AL418" s="17" t="str">
        <f>IF(RANK(HS_DB[[#This Row],[HS Code Risk Score]],HS_DB[HS Code Risk Score])&lt;=10,"Yes","No")</f>
        <v>No</v>
      </c>
      <c r="AM418" s="8">
        <f>SUMIFS(HS_DB[Net Weight -KG],HS_DB[HS Code],HS_DB[[#This Row],[HS Code]])</f>
        <v>4625188</v>
      </c>
      <c r="AN418" s="8">
        <f>SUMIFS(HS_DB[Trade Value - USD],HS_DB[HS Code],HS_DB[[#This Row],[HS Code]])</f>
        <v>4441406</v>
      </c>
      <c r="AO418" s="6">
        <f>_xlfn.MAXIFS(HS_DB[Origin Share%],HS_DB[HS Code],HS_DB[[#This Row],[HS Code]])</f>
        <v>6.321329281187793E-2</v>
      </c>
      <c r="AP418" s="8" cm="1">
        <f t="array" ref="AP418">_xlfn.LET(
_xlpm.hs,HS_DB[[#This Row],[HS Code]],
COUNTA(_xlfn.UNIQUE(_xlfn._xlws.FILTER(HS_DB[Reporter],HS_DB[HS Code]=_xlpm.hs)))
)</f>
        <v>11</v>
      </c>
      <c r="AQ418" s="17" t="str">
        <f>IF(HS_DB[[#This Row],[Origin Count]]=1,"Single Source","Multiple Sources")</f>
        <v>Multiple Sources</v>
      </c>
      <c r="AR418" s="8">
        <f>HS_DB[[#This Row],[Annual Spend - USD]]*(HS_DB[[#This Row],[HS Code Risk Score]]/100)</f>
        <v>755039.02</v>
      </c>
      <c r="AS418" s="8">
        <f>RANK(HS_DB[[#This Row],[Risk Exposure - USD]],HS_DB[Risk Exposure - USD],0)</f>
        <v>454</v>
      </c>
      <c r="AT418" s="8" t="str">
        <f>IF(HS_DB[[#This Row],[Risk Exposure Rank]]&lt;=10,"High",
 IF(HS_DB[[#This Row],[Risk Exposure Rank]]&lt;=30,"Medium",
 "Low"))</f>
        <v>Low</v>
      </c>
      <c r="AU418" s="8" t="str">
        <f>IF(HS_DB[[#This Row],[Risk Exposure Rank]]&lt;=5,"Immediate Action",
 IF(HS_DB[[#This Row],[Risk Exposure Rank]]&lt;=15,"Monitor Closely",
 "Routine Control"))</f>
        <v>Routine Control</v>
      </c>
      <c r="AV418" s="8">
        <f>SUMIFS(HS_DB[Trade Value - USD],HS_DB[HS Code],HS_DB[[#This Row],[HS Code]])</f>
        <v>4441406</v>
      </c>
      <c r="AW418" s="6">
        <f>HS_DB[[#This Row],[Annual Spend - USD]]/HS_DB[[#This Row],[Total Market Size - USD]]</f>
        <v>1</v>
      </c>
      <c r="AX418" s="6" cm="1">
        <f t="array" ref="AX418">COUNTA(_xlfn.UNIQUE(_xlfn._xlws.FILTER(HS_DB[Partner],HS_DB[HS Code]=HS_DB[[#This Row],[HS Code]])))</f>
        <v>1</v>
      </c>
      <c r="AY418" s="8" t="str">
        <f>IF(HS_DB[[#This Row],[Competition Intensity]]&lt;=2,"Highly Concentrated",
 IF(HS_DB[[#This Row],[Competition Intensity]]&lt;=5,"Moderate",
 "Highly Competitive"))</f>
        <v>Highly Concentrated</v>
      </c>
      <c r="AZ418" s="8">
        <f>HS_DB[[#This Row],[Total Market Size - USD]]
*
(1+IFERROR(#REF!,0))
/
HS_DB[[#This Row],[Competition Intensity]]</f>
        <v>4441406</v>
      </c>
      <c r="BA418" s="8" t="str">
        <f>IF(HS_DB[[#This Row],[Commercial Opportunity Score]]&gt;=PERCENTILE(HS_DB[Commercial Opportunity Score],0.9),"High Opportunity",
 IF(HS_DB[[#This Row],[Commercial Opportunity Score]]&gt;=PERCENTILE(HS_DB[Commercial Opportunity Score],0.6),"Medium Opportunity",
 "Routine Market"))</f>
        <v>Routine Market</v>
      </c>
      <c r="BB418" s="3" t="str">
        <f>IF(AND(HS_DB[[#This Row],[Product Rank]]&gt;0,HS_DB[[#This Row],[Product Rank]]&lt;=10),"Yes","No")</f>
        <v>No</v>
      </c>
      <c r="BC418" s="3" t="str">
        <f>IF(AND(HS_DB[[#This Row],[Origin Rank]]&gt;0,HS_DB[[#This Row],[Origin Rank]]&lt;=10),"Yes","No")</f>
        <v>No</v>
      </c>
    </row>
    <row r="419" spans="2:55" x14ac:dyDescent="0.3">
      <c r="B419" s="2">
        <f>HS_DB[[#This Row],[Commodity Code]]</f>
        <v>110813</v>
      </c>
      <c r="C419" s="2">
        <f>IFERROR(INDEX(HS_MD!C:C,MATCH(B419,HS_MD!B:B,0),1),"")</f>
        <v>34</v>
      </c>
      <c r="D419" s="17" t="str">
        <f>IFERROR(INDEX(HS_MD!D:D,MATCH(B419,HS_MD!B:B,0),1),"")</f>
        <v>Potato starch</v>
      </c>
      <c r="E419" s="17" t="str">
        <f>IFERROR(INDEX(HS_MD!E:E,MATCH(B419,HS_MD!B:B,0),1),"")</f>
        <v>Potato Starch</v>
      </c>
      <c r="F419" s="17" t="str">
        <f>IFERROR(INDEX(HS_MD!F:F,MATCH(B419,HS_MD!B:B,0),1),"")</f>
        <v>FUNCTIONAL INGREDIENTS</v>
      </c>
      <c r="G419" s="17" t="str">
        <f>IFERROR(INDEX(HS_MD!G:G,MATCH(B419,HS_MD!B:B,0),1),"")</f>
        <v>Native Starches</v>
      </c>
      <c r="H419" s="17" t="str">
        <f>IFERROR(INDEX(HS_MD!H:H,MATCH(B419,HS_MD!B:B,0),1),"")</f>
        <v>Native Potato Starch</v>
      </c>
      <c r="I419" s="17" t="str">
        <f>IFERROR(INDEX(HS_MD!I:I,MATCH(B419,HS_MD!B:B,0),1),"")</f>
        <v>Sauces / Processed Food</v>
      </c>
      <c r="J419" s="17">
        <f>IFERROR(INDEX(Heat_Map[Index],MATCH(HS_DB[[#This Row],[Reporter]],Heat_Map[Global],0),1),"")</f>
        <v>44</v>
      </c>
      <c r="K419" s="17" t="str">
        <f>IF(AND(HS_DB[[#This Row],[Origin Rank]]&gt;1,HS_DB[[#This Row],[Origin Rank]]&lt;=10),"Yes","No")</f>
        <v>No</v>
      </c>
      <c r="L419" s="2">
        <v>2024</v>
      </c>
      <c r="M419" s="2" t="s">
        <v>57</v>
      </c>
      <c r="N419" s="2" t="s">
        <v>41</v>
      </c>
      <c r="O419" s="2" t="s">
        <v>22</v>
      </c>
      <c r="P419" s="2" t="s">
        <v>23</v>
      </c>
      <c r="Q419" s="2" t="s">
        <v>24</v>
      </c>
      <c r="R419" s="2" t="s">
        <v>25</v>
      </c>
      <c r="S419" s="2">
        <v>110813</v>
      </c>
      <c r="T419" s="3">
        <v>391702</v>
      </c>
      <c r="U419" s="3">
        <v>391000</v>
      </c>
      <c r="V419" s="3">
        <v>0</v>
      </c>
      <c r="W419" s="3">
        <v>391000</v>
      </c>
      <c r="X419" s="3" t="s">
        <v>58</v>
      </c>
      <c r="Y419" s="3">
        <v>391000</v>
      </c>
      <c r="Z419" s="3" t="s">
        <v>58</v>
      </c>
      <c r="AA419" s="6">
        <f>SUMIFS(HS_DB[Trade Value - USD],HS_DB[Reporter],HS_DB[[#This Row],[Reporter]])/SUM(HS_DB[Trade Value - USD])</f>
        <v>4.2641562768795568E-4</v>
      </c>
      <c r="AB419" s="8" cm="1">
        <f t="array" ref="AB419">SUMPRODUCT(
(HS_DB[Reporter]=HS_DB[[#This Row],[Reporter]])*
(HS_DB[Trade Value - USD]&gt;HS_DB[[#This Row],[Trade Value - USD]])
)+1</f>
        <v>1</v>
      </c>
      <c r="AC419" s="8" t="str">
        <f>IFERROR(IF(INDEX(Heat_Map[Crisis Impact %],MATCH(HS_DB[[#This Row],[Reporter]],Heat_Map[Global],0),1)&gt;0,"Yes","No"),"No")</f>
        <v>No</v>
      </c>
      <c r="AD419" s="6">
        <f>IFERROR(INDEX(Heat_Map[Crisis Impact %],MATCH(HS_DB[[#This Row],[Reporter]],Heat_Map[Global],0),1),0)</f>
        <v>0</v>
      </c>
      <c r="AE419" s="8">
        <f>HS_DB[[#This Row],[Crisis Impact%]]*HS_DB[[#This Row],[Trade Value - USD]]</f>
        <v>0</v>
      </c>
      <c r="AF419" s="8">
        <f>HS_DB[[#This Row],[Crisis Impact%]]*HS_DB[[#This Row],[Net Weight -KG]]</f>
        <v>0</v>
      </c>
      <c r="AG419" s="6">
        <f>SUMIFS(HS_DB[Trade Value - USD],HS_DB[Products],HS_DB[[#This Row],[Products]])/SUM(HS_DB[Trade Value - USD])</f>
        <v>2.3561731722151892E-3</v>
      </c>
      <c r="AH419" s="8">
        <f>_xlfn.RANK.EQ(HS_DB[[#This Row],[Trade Value - USD]], HS_DB[Trade Value - USD], 0)
 + COUNTIFS(HS_DB[Trade Value - USD],HS_DB[[#This Row],[Trade Value - USD]],
            HS_DB[HS Code],"&lt;"&amp;HS_DB[[#This Row],[HS Code]])</f>
        <v>162</v>
      </c>
      <c r="AI419" s="9">
        <f>IFERROR(HS_DB[[#This Row],[Trade Value - USD]]/HS_DB[[#This Row],[Net Weight -KG]],0)</f>
        <v>1.0017953964194373</v>
      </c>
      <c r="AJ419" s="17" cm="1">
        <f t="array" ref="AJ419">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17</v>
      </c>
      <c r="AK419" s="17" t="str">
        <f>IF(HS_DB[[#This Row],[HS Code Risk Score]]&gt;=40,"High",
 IF(HS_DB[[#This Row],[HS Code Risk Score]]&gt;=25,"Medium","Low"))</f>
        <v>Low</v>
      </c>
      <c r="AL419" s="17" t="str">
        <f>IF(RANK(HS_DB[[#This Row],[HS Code Risk Score]],HS_DB[HS Code Risk Score])&lt;=10,"Yes","No")</f>
        <v>No</v>
      </c>
      <c r="AM419" s="8">
        <f>SUMIFS(HS_DB[Net Weight -KG],HS_DB[HS Code],HS_DB[[#This Row],[HS Code]])</f>
        <v>4625188</v>
      </c>
      <c r="AN419" s="8">
        <f>SUMIFS(HS_DB[Trade Value - USD],HS_DB[HS Code],HS_DB[[#This Row],[HS Code]])</f>
        <v>4441406</v>
      </c>
      <c r="AO419" s="6">
        <f>_xlfn.MAXIFS(HS_DB[Origin Share%],HS_DB[HS Code],HS_DB[[#This Row],[HS Code]])</f>
        <v>6.321329281187793E-2</v>
      </c>
      <c r="AP419" s="8" cm="1">
        <f t="array" ref="AP419">_xlfn.LET(
_xlpm.hs,HS_DB[[#This Row],[HS Code]],
COUNTA(_xlfn.UNIQUE(_xlfn._xlws.FILTER(HS_DB[Reporter],HS_DB[HS Code]=_xlpm.hs)))
)</f>
        <v>11</v>
      </c>
      <c r="AQ419" s="17" t="str">
        <f>IF(HS_DB[[#This Row],[Origin Count]]=1,"Single Source","Multiple Sources")</f>
        <v>Multiple Sources</v>
      </c>
      <c r="AR419" s="8">
        <f>HS_DB[[#This Row],[Annual Spend - USD]]*(HS_DB[[#This Row],[HS Code Risk Score]]/100)</f>
        <v>755039.02</v>
      </c>
      <c r="AS419" s="8">
        <f>RANK(HS_DB[[#This Row],[Risk Exposure - USD]],HS_DB[Risk Exposure - USD],0)</f>
        <v>454</v>
      </c>
      <c r="AT419" s="8" t="str">
        <f>IF(HS_DB[[#This Row],[Risk Exposure Rank]]&lt;=10,"High",
 IF(HS_DB[[#This Row],[Risk Exposure Rank]]&lt;=30,"Medium",
 "Low"))</f>
        <v>Low</v>
      </c>
      <c r="AU419" s="8" t="str">
        <f>IF(HS_DB[[#This Row],[Risk Exposure Rank]]&lt;=5,"Immediate Action",
 IF(HS_DB[[#This Row],[Risk Exposure Rank]]&lt;=15,"Monitor Closely",
 "Routine Control"))</f>
        <v>Routine Control</v>
      </c>
      <c r="AV419" s="8">
        <f>SUMIFS(HS_DB[Trade Value - USD],HS_DB[HS Code],HS_DB[[#This Row],[HS Code]])</f>
        <v>4441406</v>
      </c>
      <c r="AW419" s="6">
        <f>HS_DB[[#This Row],[Annual Spend - USD]]/HS_DB[[#This Row],[Total Market Size - USD]]</f>
        <v>1</v>
      </c>
      <c r="AX419" s="6" cm="1">
        <f t="array" ref="AX419">COUNTA(_xlfn.UNIQUE(_xlfn._xlws.FILTER(HS_DB[Partner],HS_DB[HS Code]=HS_DB[[#This Row],[HS Code]])))</f>
        <v>1</v>
      </c>
      <c r="AY419" s="8" t="str">
        <f>IF(HS_DB[[#This Row],[Competition Intensity]]&lt;=2,"Highly Concentrated",
 IF(HS_DB[[#This Row],[Competition Intensity]]&lt;=5,"Moderate",
 "Highly Competitive"))</f>
        <v>Highly Concentrated</v>
      </c>
      <c r="AZ419" s="8">
        <f>HS_DB[[#This Row],[Total Market Size - USD]]
*
(1+IFERROR(#REF!,0))
/
HS_DB[[#This Row],[Competition Intensity]]</f>
        <v>4441406</v>
      </c>
      <c r="BA419" s="8" t="str">
        <f>IF(HS_DB[[#This Row],[Commercial Opportunity Score]]&gt;=PERCENTILE(HS_DB[Commercial Opportunity Score],0.9),"High Opportunity",
 IF(HS_DB[[#This Row],[Commercial Opportunity Score]]&gt;=PERCENTILE(HS_DB[Commercial Opportunity Score],0.6),"Medium Opportunity",
 "Routine Market"))</f>
        <v>Routine Market</v>
      </c>
      <c r="BB419" s="3" t="str">
        <f>IF(AND(HS_DB[[#This Row],[Product Rank]]&gt;0,HS_DB[[#This Row],[Product Rank]]&lt;=10),"Yes","No")</f>
        <v>No</v>
      </c>
      <c r="BC419" s="3" t="str">
        <f>IF(AND(HS_DB[[#This Row],[Origin Rank]]&gt;0,HS_DB[[#This Row],[Origin Rank]]&lt;=10),"Yes","No")</f>
        <v>Yes</v>
      </c>
    </row>
    <row r="420" spans="2:55" x14ac:dyDescent="0.3">
      <c r="B420" s="2">
        <f>HS_DB[[#This Row],[Commodity Code]]</f>
        <v>110813</v>
      </c>
      <c r="C420" s="2">
        <f>IFERROR(INDEX(HS_MD!C:C,MATCH(B420,HS_MD!B:B,0),1),"")</f>
        <v>34</v>
      </c>
      <c r="D420" s="17" t="str">
        <f>IFERROR(INDEX(HS_MD!D:D,MATCH(B420,HS_MD!B:B,0),1),"")</f>
        <v>Potato starch</v>
      </c>
      <c r="E420" s="17" t="str">
        <f>IFERROR(INDEX(HS_MD!E:E,MATCH(B420,HS_MD!B:B,0),1),"")</f>
        <v>Potato Starch</v>
      </c>
      <c r="F420" s="17" t="str">
        <f>IFERROR(INDEX(HS_MD!F:F,MATCH(B420,HS_MD!B:B,0),1),"")</f>
        <v>FUNCTIONAL INGREDIENTS</v>
      </c>
      <c r="G420" s="17" t="str">
        <f>IFERROR(INDEX(HS_MD!G:G,MATCH(B420,HS_MD!B:B,0),1),"")</f>
        <v>Native Starches</v>
      </c>
      <c r="H420" s="17" t="str">
        <f>IFERROR(INDEX(HS_MD!H:H,MATCH(B420,HS_MD!B:B,0),1),"")</f>
        <v>Native Potato Starch</v>
      </c>
      <c r="I420" s="17" t="str">
        <f>IFERROR(INDEX(HS_MD!I:I,MATCH(B420,HS_MD!B:B,0),1),"")</f>
        <v>Sauces / Processed Food</v>
      </c>
      <c r="J420" s="17">
        <f>IFERROR(INDEX(Heat_Map[Index],MATCH(HS_DB[[#This Row],[Reporter]],Heat_Map[Global],0),1),"")</f>
        <v>59</v>
      </c>
      <c r="K420" s="17" t="str">
        <f>IF(AND(HS_DB[[#This Row],[Origin Rank]]&gt;1,HS_DB[[#This Row],[Origin Rank]]&lt;=10),"Yes","No")</f>
        <v>No</v>
      </c>
      <c r="L420" s="2">
        <v>2024</v>
      </c>
      <c r="M420" s="2" t="s">
        <v>57</v>
      </c>
      <c r="N420" s="2" t="s">
        <v>44</v>
      </c>
      <c r="O420" s="2" t="s">
        <v>22</v>
      </c>
      <c r="P420" s="2" t="s">
        <v>23</v>
      </c>
      <c r="Q420" s="2" t="s">
        <v>24</v>
      </c>
      <c r="R420" s="2" t="s">
        <v>25</v>
      </c>
      <c r="S420" s="2">
        <v>110813</v>
      </c>
      <c r="T420" s="3">
        <v>203387</v>
      </c>
      <c r="U420" s="3">
        <v>236250</v>
      </c>
      <c r="V420" s="3">
        <v>0</v>
      </c>
      <c r="W420" s="3">
        <v>236250</v>
      </c>
      <c r="X420" s="3" t="s">
        <v>58</v>
      </c>
      <c r="Y420" s="3">
        <v>236250</v>
      </c>
      <c r="Z420" s="3" t="s">
        <v>58</v>
      </c>
      <c r="AA420" s="6">
        <f>SUMIFS(HS_DB[Trade Value - USD],HS_DB[Reporter],HS_DB[[#This Row],[Reporter]])/SUM(HS_DB[Trade Value - USD])</f>
        <v>1.6951290293147386E-2</v>
      </c>
      <c r="AB420" s="8" cm="1">
        <f t="array" ref="AB420">SUMPRODUCT(
(HS_DB[Reporter]=HS_DB[[#This Row],[Reporter]])*
(HS_DB[Trade Value - USD]&gt;HS_DB[[#This Row],[Trade Value - USD]])
)+1</f>
        <v>18</v>
      </c>
      <c r="AC420" s="8" t="str">
        <f>IFERROR(IF(INDEX(Heat_Map[Crisis Impact %],MATCH(HS_DB[[#This Row],[Reporter]],Heat_Map[Global],0),1)&gt;0,"Yes","No"),"No")</f>
        <v>No</v>
      </c>
      <c r="AD420" s="6">
        <f>IFERROR(INDEX(Heat_Map[Crisis Impact %],MATCH(HS_DB[[#This Row],[Reporter]],Heat_Map[Global],0),1),0)</f>
        <v>0</v>
      </c>
      <c r="AE420" s="8">
        <f>HS_DB[[#This Row],[Crisis Impact%]]*HS_DB[[#This Row],[Trade Value - USD]]</f>
        <v>0</v>
      </c>
      <c r="AF420" s="8">
        <f>HS_DB[[#This Row],[Crisis Impact%]]*HS_DB[[#This Row],[Net Weight -KG]]</f>
        <v>0</v>
      </c>
      <c r="AG420" s="6">
        <f>SUMIFS(HS_DB[Trade Value - USD],HS_DB[Products],HS_DB[[#This Row],[Products]])/SUM(HS_DB[Trade Value - USD])</f>
        <v>2.3561731722151892E-3</v>
      </c>
      <c r="AH420" s="8">
        <f>_xlfn.RANK.EQ(HS_DB[[#This Row],[Trade Value - USD]], HS_DB[Trade Value - USD], 0)
 + COUNTIFS(HS_DB[Trade Value - USD],HS_DB[[#This Row],[Trade Value - USD]],
            HS_DB[HS Code],"&lt;"&amp;HS_DB[[#This Row],[HS Code]])</f>
        <v>219</v>
      </c>
      <c r="AI420" s="9">
        <f>IFERROR(HS_DB[[#This Row],[Trade Value - USD]]/HS_DB[[#This Row],[Net Weight -KG]],0)</f>
        <v>0.86089735449735449</v>
      </c>
      <c r="AJ420" s="17" cm="1">
        <f t="array" ref="AJ420">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17</v>
      </c>
      <c r="AK420" s="17" t="str">
        <f>IF(HS_DB[[#This Row],[HS Code Risk Score]]&gt;=40,"High",
 IF(HS_DB[[#This Row],[HS Code Risk Score]]&gt;=25,"Medium","Low"))</f>
        <v>Low</v>
      </c>
      <c r="AL420" s="17" t="str">
        <f>IF(RANK(HS_DB[[#This Row],[HS Code Risk Score]],HS_DB[HS Code Risk Score])&lt;=10,"Yes","No")</f>
        <v>No</v>
      </c>
      <c r="AM420" s="8">
        <f>SUMIFS(HS_DB[Net Weight -KG],HS_DB[HS Code],HS_DB[[#This Row],[HS Code]])</f>
        <v>4625188</v>
      </c>
      <c r="AN420" s="8">
        <f>SUMIFS(HS_DB[Trade Value - USD],HS_DB[HS Code],HS_DB[[#This Row],[HS Code]])</f>
        <v>4441406</v>
      </c>
      <c r="AO420" s="6">
        <f>_xlfn.MAXIFS(HS_DB[Origin Share%],HS_DB[HS Code],HS_DB[[#This Row],[HS Code]])</f>
        <v>6.321329281187793E-2</v>
      </c>
      <c r="AP420" s="8" cm="1">
        <f t="array" ref="AP420">_xlfn.LET(
_xlpm.hs,HS_DB[[#This Row],[HS Code]],
COUNTA(_xlfn.UNIQUE(_xlfn._xlws.FILTER(HS_DB[Reporter],HS_DB[HS Code]=_xlpm.hs)))
)</f>
        <v>11</v>
      </c>
      <c r="AQ420" s="17" t="str">
        <f>IF(HS_DB[[#This Row],[Origin Count]]=1,"Single Source","Multiple Sources")</f>
        <v>Multiple Sources</v>
      </c>
      <c r="AR420" s="8">
        <f>HS_DB[[#This Row],[Annual Spend - USD]]*(HS_DB[[#This Row],[HS Code Risk Score]]/100)</f>
        <v>755039.02</v>
      </c>
      <c r="AS420" s="8">
        <f>RANK(HS_DB[[#This Row],[Risk Exposure - USD]],HS_DB[Risk Exposure - USD],0)</f>
        <v>454</v>
      </c>
      <c r="AT420" s="8" t="str">
        <f>IF(HS_DB[[#This Row],[Risk Exposure Rank]]&lt;=10,"High",
 IF(HS_DB[[#This Row],[Risk Exposure Rank]]&lt;=30,"Medium",
 "Low"))</f>
        <v>Low</v>
      </c>
      <c r="AU420" s="8" t="str">
        <f>IF(HS_DB[[#This Row],[Risk Exposure Rank]]&lt;=5,"Immediate Action",
 IF(HS_DB[[#This Row],[Risk Exposure Rank]]&lt;=15,"Monitor Closely",
 "Routine Control"))</f>
        <v>Routine Control</v>
      </c>
      <c r="AV420" s="8">
        <f>SUMIFS(HS_DB[Trade Value - USD],HS_DB[HS Code],HS_DB[[#This Row],[HS Code]])</f>
        <v>4441406</v>
      </c>
      <c r="AW420" s="6">
        <f>HS_DB[[#This Row],[Annual Spend - USD]]/HS_DB[[#This Row],[Total Market Size - USD]]</f>
        <v>1</v>
      </c>
      <c r="AX420" s="6" cm="1">
        <f t="array" ref="AX420">COUNTA(_xlfn.UNIQUE(_xlfn._xlws.FILTER(HS_DB[Partner],HS_DB[HS Code]=HS_DB[[#This Row],[HS Code]])))</f>
        <v>1</v>
      </c>
      <c r="AY420" s="8" t="str">
        <f>IF(HS_DB[[#This Row],[Competition Intensity]]&lt;=2,"Highly Concentrated",
 IF(HS_DB[[#This Row],[Competition Intensity]]&lt;=5,"Moderate",
 "Highly Competitive"))</f>
        <v>Highly Concentrated</v>
      </c>
      <c r="AZ420" s="8">
        <f>HS_DB[[#This Row],[Total Market Size - USD]]
*
(1+IFERROR(#REF!,0))
/
HS_DB[[#This Row],[Competition Intensity]]</f>
        <v>4441406</v>
      </c>
      <c r="BA420" s="8" t="str">
        <f>IF(HS_DB[[#This Row],[Commercial Opportunity Score]]&gt;=PERCENTILE(HS_DB[Commercial Opportunity Score],0.9),"High Opportunity",
 IF(HS_DB[[#This Row],[Commercial Opportunity Score]]&gt;=PERCENTILE(HS_DB[Commercial Opportunity Score],0.6),"Medium Opportunity",
 "Routine Market"))</f>
        <v>Routine Market</v>
      </c>
      <c r="BB420" s="3" t="str">
        <f>IF(AND(HS_DB[[#This Row],[Product Rank]]&gt;0,HS_DB[[#This Row],[Product Rank]]&lt;=10),"Yes","No")</f>
        <v>No</v>
      </c>
      <c r="BC420" s="3" t="str">
        <f>IF(AND(HS_DB[[#This Row],[Origin Rank]]&gt;0,HS_DB[[#This Row],[Origin Rank]]&lt;=10),"Yes","No")</f>
        <v>No</v>
      </c>
    </row>
    <row r="421" spans="2:55" x14ac:dyDescent="0.3">
      <c r="B421" s="2">
        <f>HS_DB[[#This Row],[Commodity Code]]</f>
        <v>110813</v>
      </c>
      <c r="C421" s="2">
        <f>IFERROR(INDEX(HS_MD!C:C,MATCH(B421,HS_MD!B:B,0),1),"")</f>
        <v>34</v>
      </c>
      <c r="D421" s="17" t="str">
        <f>IFERROR(INDEX(HS_MD!D:D,MATCH(B421,HS_MD!B:B,0),1),"")</f>
        <v>Potato starch</v>
      </c>
      <c r="E421" s="17" t="str">
        <f>IFERROR(INDEX(HS_MD!E:E,MATCH(B421,HS_MD!B:B,0),1),"")</f>
        <v>Potato Starch</v>
      </c>
      <c r="F421" s="17" t="str">
        <f>IFERROR(INDEX(HS_MD!F:F,MATCH(B421,HS_MD!B:B,0),1),"")</f>
        <v>FUNCTIONAL INGREDIENTS</v>
      </c>
      <c r="G421" s="17" t="str">
        <f>IFERROR(INDEX(HS_MD!G:G,MATCH(B421,HS_MD!B:B,0),1),"")</f>
        <v>Native Starches</v>
      </c>
      <c r="H421" s="17" t="str">
        <f>IFERROR(INDEX(HS_MD!H:H,MATCH(B421,HS_MD!B:B,0),1),"")</f>
        <v>Native Potato Starch</v>
      </c>
      <c r="I421" s="17" t="str">
        <f>IFERROR(INDEX(HS_MD!I:I,MATCH(B421,HS_MD!B:B,0),1),"")</f>
        <v>Sauces / Processed Food</v>
      </c>
      <c r="J421" s="17">
        <f>IFERROR(INDEX(Heat_Map[Index],MATCH(HS_DB[[#This Row],[Reporter]],Heat_Map[Global],0),1),"")</f>
        <v>63</v>
      </c>
      <c r="K421" s="17" t="str">
        <f>IF(AND(HS_DB[[#This Row],[Origin Rank]]&gt;1,HS_DB[[#This Row],[Origin Rank]]&lt;=10),"Yes","No")</f>
        <v>No</v>
      </c>
      <c r="L421" s="2">
        <v>2024</v>
      </c>
      <c r="M421" s="2" t="s">
        <v>57</v>
      </c>
      <c r="N421" s="2" t="s">
        <v>2</v>
      </c>
      <c r="O421" s="2" t="s">
        <v>22</v>
      </c>
      <c r="P421" s="2" t="s">
        <v>23</v>
      </c>
      <c r="Q421" s="2" t="s">
        <v>24</v>
      </c>
      <c r="R421" s="2" t="s">
        <v>25</v>
      </c>
      <c r="S421" s="2">
        <v>110813</v>
      </c>
      <c r="T421" s="3">
        <v>323248</v>
      </c>
      <c r="U421" s="3">
        <v>314000</v>
      </c>
      <c r="V421" s="3">
        <v>0</v>
      </c>
      <c r="W421" s="3">
        <v>314000</v>
      </c>
      <c r="X421" s="3" t="s">
        <v>58</v>
      </c>
      <c r="Y421" s="3">
        <v>314000</v>
      </c>
      <c r="Z421" s="3" t="s">
        <v>58</v>
      </c>
      <c r="AA421" s="6">
        <f>SUMIFS(HS_DB[Trade Value - USD],HS_DB[Reporter],HS_DB[[#This Row],[Reporter]])/SUM(HS_DB[Trade Value - USD])</f>
        <v>1.1674623358397021E-2</v>
      </c>
      <c r="AB421" s="8" cm="1">
        <f t="array" ref="AB421">SUMPRODUCT(
(HS_DB[Reporter]=HS_DB[[#This Row],[Reporter]])*
(HS_DB[Trade Value - USD]&gt;HS_DB[[#This Row],[Trade Value - USD]])
)+1</f>
        <v>13</v>
      </c>
      <c r="AC421" s="8" t="str">
        <f>IFERROR(IF(INDEX(Heat_Map[Crisis Impact %],MATCH(HS_DB[[#This Row],[Reporter]],Heat_Map[Global],0),1)&gt;0,"Yes","No"),"No")</f>
        <v>No</v>
      </c>
      <c r="AD421" s="6">
        <f>IFERROR(INDEX(Heat_Map[Crisis Impact %],MATCH(HS_DB[[#This Row],[Reporter]],Heat_Map[Global],0),1),0)</f>
        <v>0</v>
      </c>
      <c r="AE421" s="8">
        <f>HS_DB[[#This Row],[Crisis Impact%]]*HS_DB[[#This Row],[Trade Value - USD]]</f>
        <v>0</v>
      </c>
      <c r="AF421" s="8">
        <f>HS_DB[[#This Row],[Crisis Impact%]]*HS_DB[[#This Row],[Net Weight -KG]]</f>
        <v>0</v>
      </c>
      <c r="AG421" s="6">
        <f>SUMIFS(HS_DB[Trade Value - USD],HS_DB[Products],HS_DB[[#This Row],[Products]])/SUM(HS_DB[Trade Value - USD])</f>
        <v>2.3561731722151892E-3</v>
      </c>
      <c r="AH421" s="8">
        <f>_xlfn.RANK.EQ(HS_DB[[#This Row],[Trade Value - USD]], HS_DB[Trade Value - USD], 0)
 + COUNTIFS(HS_DB[Trade Value - USD],HS_DB[[#This Row],[Trade Value - USD]],
            HS_DB[HS Code],"&lt;"&amp;HS_DB[[#This Row],[HS Code]])</f>
        <v>182</v>
      </c>
      <c r="AI421" s="9">
        <f>IFERROR(HS_DB[[#This Row],[Trade Value - USD]]/HS_DB[[#This Row],[Net Weight -KG]],0)</f>
        <v>1.0294522292993631</v>
      </c>
      <c r="AJ421" s="17" cm="1">
        <f t="array" ref="AJ421">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17</v>
      </c>
      <c r="AK421" s="17" t="str">
        <f>IF(HS_DB[[#This Row],[HS Code Risk Score]]&gt;=40,"High",
 IF(HS_DB[[#This Row],[HS Code Risk Score]]&gt;=25,"Medium","Low"))</f>
        <v>Low</v>
      </c>
      <c r="AL421" s="17" t="str">
        <f>IF(RANK(HS_DB[[#This Row],[HS Code Risk Score]],HS_DB[HS Code Risk Score])&lt;=10,"Yes","No")</f>
        <v>No</v>
      </c>
      <c r="AM421" s="8">
        <f>SUMIFS(HS_DB[Net Weight -KG],HS_DB[HS Code],HS_DB[[#This Row],[HS Code]])</f>
        <v>4625188</v>
      </c>
      <c r="AN421" s="8">
        <f>SUMIFS(HS_DB[Trade Value - USD],HS_DB[HS Code],HS_DB[[#This Row],[HS Code]])</f>
        <v>4441406</v>
      </c>
      <c r="AO421" s="6">
        <f>_xlfn.MAXIFS(HS_DB[Origin Share%],HS_DB[HS Code],HS_DB[[#This Row],[HS Code]])</f>
        <v>6.321329281187793E-2</v>
      </c>
      <c r="AP421" s="8" cm="1">
        <f t="array" ref="AP421">_xlfn.LET(
_xlpm.hs,HS_DB[[#This Row],[HS Code]],
COUNTA(_xlfn.UNIQUE(_xlfn._xlws.FILTER(HS_DB[Reporter],HS_DB[HS Code]=_xlpm.hs)))
)</f>
        <v>11</v>
      </c>
      <c r="AQ421" s="17" t="str">
        <f>IF(HS_DB[[#This Row],[Origin Count]]=1,"Single Source","Multiple Sources")</f>
        <v>Multiple Sources</v>
      </c>
      <c r="AR421" s="8">
        <f>HS_DB[[#This Row],[Annual Spend - USD]]*(HS_DB[[#This Row],[HS Code Risk Score]]/100)</f>
        <v>755039.02</v>
      </c>
      <c r="AS421" s="8">
        <f>RANK(HS_DB[[#This Row],[Risk Exposure - USD]],HS_DB[Risk Exposure - USD],0)</f>
        <v>454</v>
      </c>
      <c r="AT421" s="8" t="str">
        <f>IF(HS_DB[[#This Row],[Risk Exposure Rank]]&lt;=10,"High",
 IF(HS_DB[[#This Row],[Risk Exposure Rank]]&lt;=30,"Medium",
 "Low"))</f>
        <v>Low</v>
      </c>
      <c r="AU421" s="8" t="str">
        <f>IF(HS_DB[[#This Row],[Risk Exposure Rank]]&lt;=5,"Immediate Action",
 IF(HS_DB[[#This Row],[Risk Exposure Rank]]&lt;=15,"Monitor Closely",
 "Routine Control"))</f>
        <v>Routine Control</v>
      </c>
      <c r="AV421" s="8">
        <f>SUMIFS(HS_DB[Trade Value - USD],HS_DB[HS Code],HS_DB[[#This Row],[HS Code]])</f>
        <v>4441406</v>
      </c>
      <c r="AW421" s="6">
        <f>HS_DB[[#This Row],[Annual Spend - USD]]/HS_DB[[#This Row],[Total Market Size - USD]]</f>
        <v>1</v>
      </c>
      <c r="AX421" s="6" cm="1">
        <f t="array" ref="AX421">COUNTA(_xlfn.UNIQUE(_xlfn._xlws.FILTER(HS_DB[Partner],HS_DB[HS Code]=HS_DB[[#This Row],[HS Code]])))</f>
        <v>1</v>
      </c>
      <c r="AY421" s="8" t="str">
        <f>IF(HS_DB[[#This Row],[Competition Intensity]]&lt;=2,"Highly Concentrated",
 IF(HS_DB[[#This Row],[Competition Intensity]]&lt;=5,"Moderate",
 "Highly Competitive"))</f>
        <v>Highly Concentrated</v>
      </c>
      <c r="AZ421" s="8">
        <f>HS_DB[[#This Row],[Total Market Size - USD]]
*
(1+IFERROR(#REF!,0))
/
HS_DB[[#This Row],[Competition Intensity]]</f>
        <v>4441406</v>
      </c>
      <c r="BA421" s="8" t="str">
        <f>IF(HS_DB[[#This Row],[Commercial Opportunity Score]]&gt;=PERCENTILE(HS_DB[Commercial Opportunity Score],0.9),"High Opportunity",
 IF(HS_DB[[#This Row],[Commercial Opportunity Score]]&gt;=PERCENTILE(HS_DB[Commercial Opportunity Score],0.6),"Medium Opportunity",
 "Routine Market"))</f>
        <v>Routine Market</v>
      </c>
      <c r="BB421" s="3" t="str">
        <f>IF(AND(HS_DB[[#This Row],[Product Rank]]&gt;0,HS_DB[[#This Row],[Product Rank]]&lt;=10),"Yes","No")</f>
        <v>No</v>
      </c>
      <c r="BC421" s="3" t="str">
        <f>IF(AND(HS_DB[[#This Row],[Origin Rank]]&gt;0,HS_DB[[#This Row],[Origin Rank]]&lt;=10),"Yes","No")</f>
        <v>No</v>
      </c>
    </row>
    <row r="422" spans="2:55" x14ac:dyDescent="0.3">
      <c r="B422" s="2">
        <f>HS_DB[[#This Row],[Commodity Code]]</f>
        <v>110813</v>
      </c>
      <c r="C422" s="2">
        <f>IFERROR(INDEX(HS_MD!C:C,MATCH(B422,HS_MD!B:B,0),1),"")</f>
        <v>34</v>
      </c>
      <c r="D422" s="17" t="str">
        <f>IFERROR(INDEX(HS_MD!D:D,MATCH(B422,HS_MD!B:B,0),1),"")</f>
        <v>Potato starch</v>
      </c>
      <c r="E422" s="17" t="str">
        <f>IFERROR(INDEX(HS_MD!E:E,MATCH(B422,HS_MD!B:B,0),1),"")</f>
        <v>Potato Starch</v>
      </c>
      <c r="F422" s="17" t="str">
        <f>IFERROR(INDEX(HS_MD!F:F,MATCH(B422,HS_MD!B:B,0),1),"")</f>
        <v>FUNCTIONAL INGREDIENTS</v>
      </c>
      <c r="G422" s="17" t="str">
        <f>IFERROR(INDEX(HS_MD!G:G,MATCH(B422,HS_MD!B:B,0),1),"")</f>
        <v>Native Starches</v>
      </c>
      <c r="H422" s="17" t="str">
        <f>IFERROR(INDEX(HS_MD!H:H,MATCH(B422,HS_MD!B:B,0),1),"")</f>
        <v>Native Potato Starch</v>
      </c>
      <c r="I422" s="17" t="str">
        <f>IFERROR(INDEX(HS_MD!I:I,MATCH(B422,HS_MD!B:B,0),1),"")</f>
        <v>Sauces / Processed Food</v>
      </c>
      <c r="J422" s="17">
        <f>IFERROR(INDEX(Heat_Map[Index],MATCH(HS_DB[[#This Row],[Reporter]],Heat_Map[Global],0),1),"")</f>
        <v>118</v>
      </c>
      <c r="K422" s="17" t="str">
        <f>IF(AND(HS_DB[[#This Row],[Origin Rank]]&gt;1,HS_DB[[#This Row],[Origin Rank]]&lt;=10),"Yes","No")</f>
        <v>Yes</v>
      </c>
      <c r="L422" s="2">
        <v>2024</v>
      </c>
      <c r="M422" s="2" t="s">
        <v>57</v>
      </c>
      <c r="N422" s="2" t="s">
        <v>53</v>
      </c>
      <c r="O422" s="2" t="s">
        <v>22</v>
      </c>
      <c r="P422" s="2" t="s">
        <v>23</v>
      </c>
      <c r="Q422" s="2" t="s">
        <v>24</v>
      </c>
      <c r="R422" s="2" t="s">
        <v>25</v>
      </c>
      <c r="S422" s="2">
        <v>110813</v>
      </c>
      <c r="T422" s="3">
        <v>1735040</v>
      </c>
      <c r="U422" s="3">
        <v>1766180</v>
      </c>
      <c r="V422" s="3">
        <v>0</v>
      </c>
      <c r="W422" s="3">
        <v>1766180</v>
      </c>
      <c r="X422" s="3" t="s">
        <v>58</v>
      </c>
      <c r="Y422" s="3">
        <v>1766180</v>
      </c>
      <c r="Z422" s="3" t="s">
        <v>58</v>
      </c>
      <c r="AA422" s="6">
        <f>SUMIFS(HS_DB[Trade Value - USD],HS_DB[Reporter],HS_DB[[#This Row],[Reporter]])/SUM(HS_DB[Trade Value - USD])</f>
        <v>1.4561232389604124E-2</v>
      </c>
      <c r="AB422" s="8" cm="1">
        <f t="array" ref="AB422">SUMPRODUCT(
(HS_DB[Reporter]=HS_DB[[#This Row],[Reporter]])*
(HS_DB[Trade Value - USD]&gt;HS_DB[[#This Row],[Trade Value - USD]])
)+1</f>
        <v>4</v>
      </c>
      <c r="AC422" s="8" t="str">
        <f>IFERROR(IF(INDEX(Heat_Map[Crisis Impact %],MATCH(HS_DB[[#This Row],[Reporter]],Heat_Map[Global],0),1)&gt;0,"Yes","No"),"No")</f>
        <v>No</v>
      </c>
      <c r="AD422" s="6">
        <f>IFERROR(INDEX(Heat_Map[Crisis Impact %],MATCH(HS_DB[[#This Row],[Reporter]],Heat_Map[Global],0),1),0)</f>
        <v>0</v>
      </c>
      <c r="AE422" s="8">
        <f>HS_DB[[#This Row],[Crisis Impact%]]*HS_DB[[#This Row],[Trade Value - USD]]</f>
        <v>0</v>
      </c>
      <c r="AF422" s="8">
        <f>HS_DB[[#This Row],[Crisis Impact%]]*HS_DB[[#This Row],[Net Weight -KG]]</f>
        <v>0</v>
      </c>
      <c r="AG422" s="6">
        <f>SUMIFS(HS_DB[Trade Value - USD],HS_DB[Products],HS_DB[[#This Row],[Products]])/SUM(HS_DB[Trade Value - USD])</f>
        <v>2.3561731722151892E-3</v>
      </c>
      <c r="AH422" s="8">
        <f>_xlfn.RANK.EQ(HS_DB[[#This Row],[Trade Value - USD]], HS_DB[Trade Value - USD], 0)
 + COUNTIFS(HS_DB[Trade Value - USD],HS_DB[[#This Row],[Trade Value - USD]],
            HS_DB[HS Code],"&lt;"&amp;HS_DB[[#This Row],[HS Code]])</f>
        <v>67</v>
      </c>
      <c r="AI422" s="9">
        <f>IFERROR(HS_DB[[#This Row],[Trade Value - USD]]/HS_DB[[#This Row],[Net Weight -KG]],0)</f>
        <v>0.9823687279892197</v>
      </c>
      <c r="AJ422" s="17" cm="1">
        <f t="array" ref="AJ422">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17</v>
      </c>
      <c r="AK422" s="17" t="str">
        <f>IF(HS_DB[[#This Row],[HS Code Risk Score]]&gt;=40,"High",
 IF(HS_DB[[#This Row],[HS Code Risk Score]]&gt;=25,"Medium","Low"))</f>
        <v>Low</v>
      </c>
      <c r="AL422" s="17" t="str">
        <f>IF(RANK(HS_DB[[#This Row],[HS Code Risk Score]],HS_DB[HS Code Risk Score])&lt;=10,"Yes","No")</f>
        <v>No</v>
      </c>
      <c r="AM422" s="8">
        <f>SUMIFS(HS_DB[Net Weight -KG],HS_DB[HS Code],HS_DB[[#This Row],[HS Code]])</f>
        <v>4625188</v>
      </c>
      <c r="AN422" s="8">
        <f>SUMIFS(HS_DB[Trade Value - USD],HS_DB[HS Code],HS_DB[[#This Row],[HS Code]])</f>
        <v>4441406</v>
      </c>
      <c r="AO422" s="6">
        <f>_xlfn.MAXIFS(HS_DB[Origin Share%],HS_DB[HS Code],HS_DB[[#This Row],[HS Code]])</f>
        <v>6.321329281187793E-2</v>
      </c>
      <c r="AP422" s="8" cm="1">
        <f t="array" ref="AP422">_xlfn.LET(
_xlpm.hs,HS_DB[[#This Row],[HS Code]],
COUNTA(_xlfn.UNIQUE(_xlfn._xlws.FILTER(HS_DB[Reporter],HS_DB[HS Code]=_xlpm.hs)))
)</f>
        <v>11</v>
      </c>
      <c r="AQ422" s="17" t="str">
        <f>IF(HS_DB[[#This Row],[Origin Count]]=1,"Single Source","Multiple Sources")</f>
        <v>Multiple Sources</v>
      </c>
      <c r="AR422" s="8">
        <f>HS_DB[[#This Row],[Annual Spend - USD]]*(HS_DB[[#This Row],[HS Code Risk Score]]/100)</f>
        <v>755039.02</v>
      </c>
      <c r="AS422" s="8">
        <f>RANK(HS_DB[[#This Row],[Risk Exposure - USD]],HS_DB[Risk Exposure - USD],0)</f>
        <v>454</v>
      </c>
      <c r="AT422" s="8" t="str">
        <f>IF(HS_DB[[#This Row],[Risk Exposure Rank]]&lt;=10,"High",
 IF(HS_DB[[#This Row],[Risk Exposure Rank]]&lt;=30,"Medium",
 "Low"))</f>
        <v>Low</v>
      </c>
      <c r="AU422" s="8" t="str">
        <f>IF(HS_DB[[#This Row],[Risk Exposure Rank]]&lt;=5,"Immediate Action",
 IF(HS_DB[[#This Row],[Risk Exposure Rank]]&lt;=15,"Monitor Closely",
 "Routine Control"))</f>
        <v>Routine Control</v>
      </c>
      <c r="AV422" s="8">
        <f>SUMIFS(HS_DB[Trade Value - USD],HS_DB[HS Code],HS_DB[[#This Row],[HS Code]])</f>
        <v>4441406</v>
      </c>
      <c r="AW422" s="6">
        <f>HS_DB[[#This Row],[Annual Spend - USD]]/HS_DB[[#This Row],[Total Market Size - USD]]</f>
        <v>1</v>
      </c>
      <c r="AX422" s="6" cm="1">
        <f t="array" ref="AX422">COUNTA(_xlfn.UNIQUE(_xlfn._xlws.FILTER(HS_DB[Partner],HS_DB[HS Code]=HS_DB[[#This Row],[HS Code]])))</f>
        <v>1</v>
      </c>
      <c r="AY422" s="8" t="str">
        <f>IF(HS_DB[[#This Row],[Competition Intensity]]&lt;=2,"Highly Concentrated",
 IF(HS_DB[[#This Row],[Competition Intensity]]&lt;=5,"Moderate",
 "Highly Competitive"))</f>
        <v>Highly Concentrated</v>
      </c>
      <c r="AZ422" s="8">
        <f>HS_DB[[#This Row],[Total Market Size - USD]]
*
(1+IFERROR(#REF!,0))
/
HS_DB[[#This Row],[Competition Intensity]]</f>
        <v>4441406</v>
      </c>
      <c r="BA422" s="8" t="str">
        <f>IF(HS_DB[[#This Row],[Commercial Opportunity Score]]&gt;=PERCENTILE(HS_DB[Commercial Opportunity Score],0.9),"High Opportunity",
 IF(HS_DB[[#This Row],[Commercial Opportunity Score]]&gt;=PERCENTILE(HS_DB[Commercial Opportunity Score],0.6),"Medium Opportunity",
 "Routine Market"))</f>
        <v>Routine Market</v>
      </c>
      <c r="BB422" s="3" t="str">
        <f>IF(AND(HS_DB[[#This Row],[Product Rank]]&gt;0,HS_DB[[#This Row],[Product Rank]]&lt;=10),"Yes","No")</f>
        <v>No</v>
      </c>
      <c r="BC422" s="3" t="str">
        <f>IF(AND(HS_DB[[#This Row],[Origin Rank]]&gt;0,HS_DB[[#This Row],[Origin Rank]]&lt;=10),"Yes","No")</f>
        <v>Yes</v>
      </c>
    </row>
    <row r="423" spans="2:55" x14ac:dyDescent="0.3">
      <c r="B423" s="2">
        <f>HS_DB[[#This Row],[Commodity Code]]</f>
        <v>110813</v>
      </c>
      <c r="C423" s="2">
        <f>IFERROR(INDEX(HS_MD!C:C,MATCH(B423,HS_MD!B:B,0),1),"")</f>
        <v>34</v>
      </c>
      <c r="D423" s="17" t="str">
        <f>IFERROR(INDEX(HS_MD!D:D,MATCH(B423,HS_MD!B:B,0),1),"")</f>
        <v>Potato starch</v>
      </c>
      <c r="E423" s="17" t="str">
        <f>IFERROR(INDEX(HS_MD!E:E,MATCH(B423,HS_MD!B:B,0),1),"")</f>
        <v>Potato Starch</v>
      </c>
      <c r="F423" s="17" t="str">
        <f>IFERROR(INDEX(HS_MD!F:F,MATCH(B423,HS_MD!B:B,0),1),"")</f>
        <v>FUNCTIONAL INGREDIENTS</v>
      </c>
      <c r="G423" s="17" t="str">
        <f>IFERROR(INDEX(HS_MD!G:G,MATCH(B423,HS_MD!B:B,0),1),"")</f>
        <v>Native Starches</v>
      </c>
      <c r="H423" s="17" t="str">
        <f>IFERROR(INDEX(HS_MD!H:H,MATCH(B423,HS_MD!B:B,0),1),"")</f>
        <v>Native Potato Starch</v>
      </c>
      <c r="I423" s="17" t="str">
        <f>IFERROR(INDEX(HS_MD!I:I,MATCH(B423,HS_MD!B:B,0),1),"")</f>
        <v>Sauces / Processed Food</v>
      </c>
      <c r="J423" s="17">
        <f>IFERROR(INDEX(Heat_Map[Index],MATCH(HS_DB[[#This Row],[Reporter]],Heat_Map[Global],0),1),"")</f>
        <v>134</v>
      </c>
      <c r="K423" s="17" t="str">
        <f>IF(AND(HS_DB[[#This Row],[Origin Rank]]&gt;1,HS_DB[[#This Row],[Origin Rank]]&lt;=10),"Yes","No")</f>
        <v>Yes</v>
      </c>
      <c r="L423" s="2">
        <v>2024</v>
      </c>
      <c r="M423" s="2" t="s">
        <v>57</v>
      </c>
      <c r="N423" s="2" t="s">
        <v>55</v>
      </c>
      <c r="O423" s="2" t="s">
        <v>22</v>
      </c>
      <c r="P423" s="2" t="s">
        <v>23</v>
      </c>
      <c r="Q423" s="2" t="s">
        <v>24</v>
      </c>
      <c r="R423" s="2" t="s">
        <v>25</v>
      </c>
      <c r="S423" s="2">
        <v>110813</v>
      </c>
      <c r="T423" s="3">
        <v>1247057</v>
      </c>
      <c r="U423" s="3">
        <v>1287000</v>
      </c>
      <c r="V423" s="3">
        <v>0</v>
      </c>
      <c r="W423" s="3">
        <v>1287000</v>
      </c>
      <c r="X423" s="3" t="s">
        <v>58</v>
      </c>
      <c r="Y423" s="3">
        <v>1287000</v>
      </c>
      <c r="Z423" s="3" t="s">
        <v>58</v>
      </c>
      <c r="AA423" s="6">
        <f>SUMIFS(HS_DB[Trade Value - USD],HS_DB[Reporter],HS_DB[[#This Row],[Reporter]])/SUM(HS_DB[Trade Value - USD])</f>
        <v>6.3855771678493602E-3</v>
      </c>
      <c r="AB423" s="8" cm="1">
        <f t="array" ref="AB423">SUMPRODUCT(
(HS_DB[Reporter]=HS_DB[[#This Row],[Reporter]])*
(HS_DB[Trade Value - USD]&gt;HS_DB[[#This Row],[Trade Value - USD]])
)+1</f>
        <v>2</v>
      </c>
      <c r="AC423" s="8" t="str">
        <f>IFERROR(IF(INDEX(Heat_Map[Crisis Impact %],MATCH(HS_DB[[#This Row],[Reporter]],Heat_Map[Global],0),1)&gt;0,"Yes","No"),"No")</f>
        <v>Yes</v>
      </c>
      <c r="AD423" s="6">
        <f>IFERROR(INDEX(Heat_Map[Crisis Impact %],MATCH(HS_DB[[#This Row],[Reporter]],Heat_Map[Global],0),1),0)</f>
        <v>0.06</v>
      </c>
      <c r="AE423" s="8">
        <f>HS_DB[[#This Row],[Crisis Impact%]]*HS_DB[[#This Row],[Trade Value - USD]]</f>
        <v>74823.42</v>
      </c>
      <c r="AF423" s="8">
        <f>HS_DB[[#This Row],[Crisis Impact%]]*HS_DB[[#This Row],[Net Weight -KG]]</f>
        <v>77220</v>
      </c>
      <c r="AG423" s="6">
        <f>SUMIFS(HS_DB[Trade Value - USD],HS_DB[Products],HS_DB[[#This Row],[Products]])/SUM(HS_DB[Trade Value - USD])</f>
        <v>2.3561731722151892E-3</v>
      </c>
      <c r="AH423" s="8">
        <f>_xlfn.RANK.EQ(HS_DB[[#This Row],[Trade Value - USD]], HS_DB[Trade Value - USD], 0)
 + COUNTIFS(HS_DB[Trade Value - USD],HS_DB[[#This Row],[Trade Value - USD]],
            HS_DB[HS Code],"&lt;"&amp;HS_DB[[#This Row],[HS Code]])</f>
        <v>88</v>
      </c>
      <c r="AI423" s="9">
        <f>IFERROR(HS_DB[[#This Row],[Trade Value - USD]]/HS_DB[[#This Row],[Net Weight -KG]],0)</f>
        <v>0.968964257964258</v>
      </c>
      <c r="AJ423" s="17" cm="1">
        <f t="array" ref="AJ423">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17</v>
      </c>
      <c r="AK423" s="17" t="str">
        <f>IF(HS_DB[[#This Row],[HS Code Risk Score]]&gt;=40,"High",
 IF(HS_DB[[#This Row],[HS Code Risk Score]]&gt;=25,"Medium","Low"))</f>
        <v>Low</v>
      </c>
      <c r="AL423" s="17" t="str">
        <f>IF(RANK(HS_DB[[#This Row],[HS Code Risk Score]],HS_DB[HS Code Risk Score])&lt;=10,"Yes","No")</f>
        <v>No</v>
      </c>
      <c r="AM423" s="8">
        <f>SUMIFS(HS_DB[Net Weight -KG],HS_DB[HS Code],HS_DB[[#This Row],[HS Code]])</f>
        <v>4625188</v>
      </c>
      <c r="AN423" s="8">
        <f>SUMIFS(HS_DB[Trade Value - USD],HS_DB[HS Code],HS_DB[[#This Row],[HS Code]])</f>
        <v>4441406</v>
      </c>
      <c r="AO423" s="6">
        <f>_xlfn.MAXIFS(HS_DB[Origin Share%],HS_DB[HS Code],HS_DB[[#This Row],[HS Code]])</f>
        <v>6.321329281187793E-2</v>
      </c>
      <c r="AP423" s="8" cm="1">
        <f t="array" ref="AP423">_xlfn.LET(
_xlpm.hs,HS_DB[[#This Row],[HS Code]],
COUNTA(_xlfn.UNIQUE(_xlfn._xlws.FILTER(HS_DB[Reporter],HS_DB[HS Code]=_xlpm.hs)))
)</f>
        <v>11</v>
      </c>
      <c r="AQ423" s="17" t="str">
        <f>IF(HS_DB[[#This Row],[Origin Count]]=1,"Single Source","Multiple Sources")</f>
        <v>Multiple Sources</v>
      </c>
      <c r="AR423" s="8">
        <f>HS_DB[[#This Row],[Annual Spend - USD]]*(HS_DB[[#This Row],[HS Code Risk Score]]/100)</f>
        <v>755039.02</v>
      </c>
      <c r="AS423" s="8">
        <f>RANK(HS_DB[[#This Row],[Risk Exposure - USD]],HS_DB[Risk Exposure - USD],0)</f>
        <v>454</v>
      </c>
      <c r="AT423" s="8" t="str">
        <f>IF(HS_DB[[#This Row],[Risk Exposure Rank]]&lt;=10,"High",
 IF(HS_DB[[#This Row],[Risk Exposure Rank]]&lt;=30,"Medium",
 "Low"))</f>
        <v>Low</v>
      </c>
      <c r="AU423" s="8" t="str">
        <f>IF(HS_DB[[#This Row],[Risk Exposure Rank]]&lt;=5,"Immediate Action",
 IF(HS_DB[[#This Row],[Risk Exposure Rank]]&lt;=15,"Monitor Closely",
 "Routine Control"))</f>
        <v>Routine Control</v>
      </c>
      <c r="AV423" s="8">
        <f>SUMIFS(HS_DB[Trade Value - USD],HS_DB[HS Code],HS_DB[[#This Row],[HS Code]])</f>
        <v>4441406</v>
      </c>
      <c r="AW423" s="6">
        <f>HS_DB[[#This Row],[Annual Spend - USD]]/HS_DB[[#This Row],[Total Market Size - USD]]</f>
        <v>1</v>
      </c>
      <c r="AX423" s="6" cm="1">
        <f t="array" ref="AX423">COUNTA(_xlfn.UNIQUE(_xlfn._xlws.FILTER(HS_DB[Partner],HS_DB[HS Code]=HS_DB[[#This Row],[HS Code]])))</f>
        <v>1</v>
      </c>
      <c r="AY423" s="8" t="str">
        <f>IF(HS_DB[[#This Row],[Competition Intensity]]&lt;=2,"Highly Concentrated",
 IF(HS_DB[[#This Row],[Competition Intensity]]&lt;=5,"Moderate",
 "Highly Competitive"))</f>
        <v>Highly Concentrated</v>
      </c>
      <c r="AZ423" s="8">
        <f>HS_DB[[#This Row],[Total Market Size - USD]]
*
(1+IFERROR(#REF!,0))
/
HS_DB[[#This Row],[Competition Intensity]]</f>
        <v>4441406</v>
      </c>
      <c r="BA423" s="8" t="str">
        <f>IF(HS_DB[[#This Row],[Commercial Opportunity Score]]&gt;=PERCENTILE(HS_DB[Commercial Opportunity Score],0.9),"High Opportunity",
 IF(HS_DB[[#This Row],[Commercial Opportunity Score]]&gt;=PERCENTILE(HS_DB[Commercial Opportunity Score],0.6),"Medium Opportunity",
 "Routine Market"))</f>
        <v>Routine Market</v>
      </c>
      <c r="BB423" s="3" t="str">
        <f>IF(AND(HS_DB[[#This Row],[Product Rank]]&gt;0,HS_DB[[#This Row],[Product Rank]]&lt;=10),"Yes","No")</f>
        <v>No</v>
      </c>
      <c r="BC423" s="3" t="str">
        <f>IF(AND(HS_DB[[#This Row],[Origin Rank]]&gt;0,HS_DB[[#This Row],[Origin Rank]]&lt;=10),"Yes","No")</f>
        <v>Yes</v>
      </c>
    </row>
    <row r="424" spans="2:55" x14ac:dyDescent="0.3">
      <c r="B424" s="2">
        <f>HS_DB[[#This Row],[Commodity Code]]</f>
        <v>110813</v>
      </c>
      <c r="C424" s="2">
        <f>IFERROR(INDEX(HS_MD!C:C,MATCH(B424,HS_MD!B:B,0),1),"")</f>
        <v>34</v>
      </c>
      <c r="D424" s="17" t="str">
        <f>IFERROR(INDEX(HS_MD!D:D,MATCH(B424,HS_MD!B:B,0),1),"")</f>
        <v>Potato starch</v>
      </c>
      <c r="E424" s="17" t="str">
        <f>IFERROR(INDEX(HS_MD!E:E,MATCH(B424,HS_MD!B:B,0),1),"")</f>
        <v>Potato Starch</v>
      </c>
      <c r="F424" s="17" t="str">
        <f>IFERROR(INDEX(HS_MD!F:F,MATCH(B424,HS_MD!B:B,0),1),"")</f>
        <v>FUNCTIONAL INGREDIENTS</v>
      </c>
      <c r="G424" s="17" t="str">
        <f>IFERROR(INDEX(HS_MD!G:G,MATCH(B424,HS_MD!B:B,0),1),"")</f>
        <v>Native Starches</v>
      </c>
      <c r="H424" s="17" t="str">
        <f>IFERROR(INDEX(HS_MD!H:H,MATCH(B424,HS_MD!B:B,0),1),"")</f>
        <v>Native Potato Starch</v>
      </c>
      <c r="I424" s="17" t="str">
        <f>IFERROR(INDEX(HS_MD!I:I,MATCH(B424,HS_MD!B:B,0),1),"")</f>
        <v>Sauces / Processed Food</v>
      </c>
      <c r="J424" s="17">
        <f>IFERROR(INDEX(Heat_Map[Index],MATCH(HS_DB[[#This Row],[Reporter]],Heat_Map[Global],0),1),"")</f>
        <v>75</v>
      </c>
      <c r="K424" s="17" t="str">
        <f>IF(AND(HS_DB[[#This Row],[Origin Rank]]&gt;1,HS_DB[[#This Row],[Origin Rank]]&lt;=10),"Yes","No")</f>
        <v>No</v>
      </c>
      <c r="L424" s="2">
        <v>2024</v>
      </c>
      <c r="M424" s="2" t="s">
        <v>57</v>
      </c>
      <c r="N424" s="2" t="s">
        <v>8</v>
      </c>
      <c r="O424" s="2" t="s">
        <v>22</v>
      </c>
      <c r="P424" s="2" t="s">
        <v>23</v>
      </c>
      <c r="Q424" s="2" t="s">
        <v>24</v>
      </c>
      <c r="R424" s="2" t="s">
        <v>25</v>
      </c>
      <c r="S424" s="2">
        <v>110813</v>
      </c>
      <c r="T424" s="3">
        <v>76728</v>
      </c>
      <c r="U424" s="3">
        <v>100000</v>
      </c>
      <c r="V424" s="3">
        <v>0</v>
      </c>
      <c r="W424" s="3">
        <v>100000</v>
      </c>
      <c r="X424" s="3" t="s">
        <v>58</v>
      </c>
      <c r="Y424" s="3">
        <v>100000</v>
      </c>
      <c r="Z424" s="3" t="s">
        <v>58</v>
      </c>
      <c r="AA424" s="6">
        <f>SUMIFS(HS_DB[Trade Value - USD],HS_DB[Reporter],HS_DB[[#This Row],[Reporter]])/SUM(HS_DB[Trade Value - USD])</f>
        <v>2.2441761060335613E-2</v>
      </c>
      <c r="AB424" s="8" cm="1">
        <f t="array" ref="AB424">SUMPRODUCT(
(HS_DB[Reporter]=HS_DB[[#This Row],[Reporter]])*
(HS_DB[Trade Value - USD]&gt;HS_DB[[#This Row],[Trade Value - USD]])
)+1</f>
        <v>24</v>
      </c>
      <c r="AC424" s="8" t="str">
        <f>IFERROR(IF(INDEX(Heat_Map[Crisis Impact %],MATCH(HS_DB[[#This Row],[Reporter]],Heat_Map[Global],0),1)&gt;0,"Yes","No"),"No")</f>
        <v>No</v>
      </c>
      <c r="AD424" s="6">
        <f>IFERROR(INDEX(Heat_Map[Crisis Impact %],MATCH(HS_DB[[#This Row],[Reporter]],Heat_Map[Global],0),1),0)</f>
        <v>0</v>
      </c>
      <c r="AE424" s="8">
        <f>HS_DB[[#This Row],[Crisis Impact%]]*HS_DB[[#This Row],[Trade Value - USD]]</f>
        <v>0</v>
      </c>
      <c r="AF424" s="8">
        <f>HS_DB[[#This Row],[Crisis Impact%]]*HS_DB[[#This Row],[Net Weight -KG]]</f>
        <v>0</v>
      </c>
      <c r="AG424" s="6">
        <f>SUMIFS(HS_DB[Trade Value - USD],HS_DB[Products],HS_DB[[#This Row],[Products]])/SUM(HS_DB[Trade Value - USD])</f>
        <v>2.3561731722151892E-3</v>
      </c>
      <c r="AH424" s="8">
        <f>_xlfn.RANK.EQ(HS_DB[[#This Row],[Trade Value - USD]], HS_DB[Trade Value - USD], 0)
 + COUNTIFS(HS_DB[Trade Value - USD],HS_DB[[#This Row],[Trade Value - USD]],
            HS_DB[HS Code],"&lt;"&amp;HS_DB[[#This Row],[HS Code]])</f>
        <v>296</v>
      </c>
      <c r="AI424" s="9">
        <f>IFERROR(HS_DB[[#This Row],[Trade Value - USD]]/HS_DB[[#This Row],[Net Weight -KG]],0)</f>
        <v>0.76727999999999996</v>
      </c>
      <c r="AJ424" s="17" cm="1">
        <f t="array" ref="AJ424">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17</v>
      </c>
      <c r="AK424" s="17" t="str">
        <f>IF(HS_DB[[#This Row],[HS Code Risk Score]]&gt;=40,"High",
 IF(HS_DB[[#This Row],[HS Code Risk Score]]&gt;=25,"Medium","Low"))</f>
        <v>Low</v>
      </c>
      <c r="AL424" s="17" t="str">
        <f>IF(RANK(HS_DB[[#This Row],[HS Code Risk Score]],HS_DB[HS Code Risk Score])&lt;=10,"Yes","No")</f>
        <v>No</v>
      </c>
      <c r="AM424" s="8">
        <f>SUMIFS(HS_DB[Net Weight -KG],HS_DB[HS Code],HS_DB[[#This Row],[HS Code]])</f>
        <v>4625188</v>
      </c>
      <c r="AN424" s="8">
        <f>SUMIFS(HS_DB[Trade Value - USD],HS_DB[HS Code],HS_DB[[#This Row],[HS Code]])</f>
        <v>4441406</v>
      </c>
      <c r="AO424" s="6">
        <f>_xlfn.MAXIFS(HS_DB[Origin Share%],HS_DB[HS Code],HS_DB[[#This Row],[HS Code]])</f>
        <v>6.321329281187793E-2</v>
      </c>
      <c r="AP424" s="8" cm="1">
        <f t="array" ref="AP424">_xlfn.LET(
_xlpm.hs,HS_DB[[#This Row],[HS Code]],
COUNTA(_xlfn.UNIQUE(_xlfn._xlws.FILTER(HS_DB[Reporter],HS_DB[HS Code]=_xlpm.hs)))
)</f>
        <v>11</v>
      </c>
      <c r="AQ424" s="17" t="str">
        <f>IF(HS_DB[[#This Row],[Origin Count]]=1,"Single Source","Multiple Sources")</f>
        <v>Multiple Sources</v>
      </c>
      <c r="AR424" s="8">
        <f>HS_DB[[#This Row],[Annual Spend - USD]]*(HS_DB[[#This Row],[HS Code Risk Score]]/100)</f>
        <v>755039.02</v>
      </c>
      <c r="AS424" s="8">
        <f>RANK(HS_DB[[#This Row],[Risk Exposure - USD]],HS_DB[Risk Exposure - USD],0)</f>
        <v>454</v>
      </c>
      <c r="AT424" s="8" t="str">
        <f>IF(HS_DB[[#This Row],[Risk Exposure Rank]]&lt;=10,"High",
 IF(HS_DB[[#This Row],[Risk Exposure Rank]]&lt;=30,"Medium",
 "Low"))</f>
        <v>Low</v>
      </c>
      <c r="AU424" s="8" t="str">
        <f>IF(HS_DB[[#This Row],[Risk Exposure Rank]]&lt;=5,"Immediate Action",
 IF(HS_DB[[#This Row],[Risk Exposure Rank]]&lt;=15,"Monitor Closely",
 "Routine Control"))</f>
        <v>Routine Control</v>
      </c>
      <c r="AV424" s="8">
        <f>SUMIFS(HS_DB[Trade Value - USD],HS_DB[HS Code],HS_DB[[#This Row],[HS Code]])</f>
        <v>4441406</v>
      </c>
      <c r="AW424" s="6">
        <f>HS_DB[[#This Row],[Annual Spend - USD]]/HS_DB[[#This Row],[Total Market Size - USD]]</f>
        <v>1</v>
      </c>
      <c r="AX424" s="6" cm="1">
        <f t="array" ref="AX424">COUNTA(_xlfn.UNIQUE(_xlfn._xlws.FILTER(HS_DB[Partner],HS_DB[HS Code]=HS_DB[[#This Row],[HS Code]])))</f>
        <v>1</v>
      </c>
      <c r="AY424" s="8" t="str">
        <f>IF(HS_DB[[#This Row],[Competition Intensity]]&lt;=2,"Highly Concentrated",
 IF(HS_DB[[#This Row],[Competition Intensity]]&lt;=5,"Moderate",
 "Highly Competitive"))</f>
        <v>Highly Concentrated</v>
      </c>
      <c r="AZ424" s="8">
        <f>HS_DB[[#This Row],[Total Market Size - USD]]
*
(1+IFERROR(#REF!,0))
/
HS_DB[[#This Row],[Competition Intensity]]</f>
        <v>4441406</v>
      </c>
      <c r="BA424" s="8" t="str">
        <f>IF(HS_DB[[#This Row],[Commercial Opportunity Score]]&gt;=PERCENTILE(HS_DB[Commercial Opportunity Score],0.9),"High Opportunity",
 IF(HS_DB[[#This Row],[Commercial Opportunity Score]]&gt;=PERCENTILE(HS_DB[Commercial Opportunity Score],0.6),"Medium Opportunity",
 "Routine Market"))</f>
        <v>Routine Market</v>
      </c>
      <c r="BB424" s="3" t="str">
        <f>IF(AND(HS_DB[[#This Row],[Product Rank]]&gt;0,HS_DB[[#This Row],[Product Rank]]&lt;=10),"Yes","No")</f>
        <v>No</v>
      </c>
      <c r="BC424" s="3" t="str">
        <f>IF(AND(HS_DB[[#This Row],[Origin Rank]]&gt;0,HS_DB[[#This Row],[Origin Rank]]&lt;=10),"Yes","No")</f>
        <v>No</v>
      </c>
    </row>
    <row r="425" spans="2:55" x14ac:dyDescent="0.3">
      <c r="B425" s="2">
        <f>HS_DB[[#This Row],[Commodity Code]]</f>
        <v>110813</v>
      </c>
      <c r="C425" s="2">
        <f>IFERROR(INDEX(HS_MD!C:C,MATCH(B425,HS_MD!B:B,0),1),"")</f>
        <v>34</v>
      </c>
      <c r="D425" s="17" t="str">
        <f>IFERROR(INDEX(HS_MD!D:D,MATCH(B425,HS_MD!B:B,0),1),"")</f>
        <v>Potato starch</v>
      </c>
      <c r="E425" s="17" t="str">
        <f>IFERROR(INDEX(HS_MD!E:E,MATCH(B425,HS_MD!B:B,0),1),"")</f>
        <v>Potato Starch</v>
      </c>
      <c r="F425" s="17" t="str">
        <f>IFERROR(INDEX(HS_MD!F:F,MATCH(B425,HS_MD!B:B,0),1),"")</f>
        <v>FUNCTIONAL INGREDIENTS</v>
      </c>
      <c r="G425" s="17" t="str">
        <f>IFERROR(INDEX(HS_MD!G:G,MATCH(B425,HS_MD!B:B,0),1),"")</f>
        <v>Native Starches</v>
      </c>
      <c r="H425" s="17" t="str">
        <f>IFERROR(INDEX(HS_MD!H:H,MATCH(B425,HS_MD!B:B,0),1),"")</f>
        <v>Native Potato Starch</v>
      </c>
      <c r="I425" s="17" t="str">
        <f>IFERROR(INDEX(HS_MD!I:I,MATCH(B425,HS_MD!B:B,0),1),"")</f>
        <v>Sauces / Processed Food</v>
      </c>
      <c r="J425" s="17">
        <f>IFERROR(INDEX(Heat_Map[Index],MATCH(HS_DB[[#This Row],[Reporter]],Heat_Map[Global],0),1),"")</f>
        <v>159</v>
      </c>
      <c r="K425" s="17" t="str">
        <f>IF(AND(HS_DB[[#This Row],[Origin Rank]]&gt;1,HS_DB[[#This Row],[Origin Rank]]&lt;=10),"Yes","No")</f>
        <v>No</v>
      </c>
      <c r="L425" s="2">
        <v>2024</v>
      </c>
      <c r="M425" s="2" t="s">
        <v>57</v>
      </c>
      <c r="N425" s="2" t="s">
        <v>30</v>
      </c>
      <c r="O425" s="2" t="s">
        <v>22</v>
      </c>
      <c r="P425" s="2" t="s">
        <v>23</v>
      </c>
      <c r="Q425" s="2" t="s">
        <v>24</v>
      </c>
      <c r="R425" s="2" t="s">
        <v>25</v>
      </c>
      <c r="S425" s="2">
        <v>110813</v>
      </c>
      <c r="T425" s="3">
        <v>25490</v>
      </c>
      <c r="U425" s="3">
        <v>22500</v>
      </c>
      <c r="V425" s="3">
        <v>0</v>
      </c>
      <c r="W425" s="3">
        <v>22500</v>
      </c>
      <c r="X425" s="3" t="s">
        <v>58</v>
      </c>
      <c r="Y425" s="3">
        <v>22500</v>
      </c>
      <c r="Z425" s="3" t="s">
        <v>58</v>
      </c>
      <c r="AA425" s="6">
        <f>SUMIFS(HS_DB[Trade Value - USD],HS_DB[Reporter],HS_DB[[#This Row],[Reporter]])/SUM(HS_DB[Trade Value - USD])</f>
        <v>6.110186869383482E-3</v>
      </c>
      <c r="AB425" s="8" cm="1">
        <f t="array" ref="AB425">SUMPRODUCT(
(HS_DB[Reporter]=HS_DB[[#This Row],[Reporter]])*
(HS_DB[Trade Value - USD]&gt;HS_DB[[#This Row],[Trade Value - USD]])
)+1</f>
        <v>16</v>
      </c>
      <c r="AC425" s="8" t="str">
        <f>IFERROR(IF(INDEX(Heat_Map[Crisis Impact %],MATCH(HS_DB[[#This Row],[Reporter]],Heat_Map[Global],0),1)&gt;0,"Yes","No"),"No")</f>
        <v>No</v>
      </c>
      <c r="AD425" s="6">
        <f>IFERROR(INDEX(Heat_Map[Crisis Impact %],MATCH(HS_DB[[#This Row],[Reporter]],Heat_Map[Global],0),1),0)</f>
        <v>0</v>
      </c>
      <c r="AE425" s="8">
        <f>HS_DB[[#This Row],[Crisis Impact%]]*HS_DB[[#This Row],[Trade Value - USD]]</f>
        <v>0</v>
      </c>
      <c r="AF425" s="8">
        <f>HS_DB[[#This Row],[Crisis Impact%]]*HS_DB[[#This Row],[Net Weight -KG]]</f>
        <v>0</v>
      </c>
      <c r="AG425" s="6">
        <f>SUMIFS(HS_DB[Trade Value - USD],HS_DB[Products],HS_DB[[#This Row],[Products]])/SUM(HS_DB[Trade Value - USD])</f>
        <v>2.3561731722151892E-3</v>
      </c>
      <c r="AH425" s="8">
        <f>_xlfn.RANK.EQ(HS_DB[[#This Row],[Trade Value - USD]], HS_DB[Trade Value - USD], 0)
 + COUNTIFS(HS_DB[Trade Value - USD],HS_DB[[#This Row],[Trade Value - USD]],
            HS_DB[HS Code],"&lt;"&amp;HS_DB[[#This Row],[HS Code]])</f>
        <v>368</v>
      </c>
      <c r="AI425" s="9">
        <f>IFERROR(HS_DB[[#This Row],[Trade Value - USD]]/HS_DB[[#This Row],[Net Weight -KG]],0)</f>
        <v>1.1328888888888888</v>
      </c>
      <c r="AJ425" s="17" cm="1">
        <f t="array" ref="AJ425">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17</v>
      </c>
      <c r="AK425" s="17" t="str">
        <f>IF(HS_DB[[#This Row],[HS Code Risk Score]]&gt;=40,"High",
 IF(HS_DB[[#This Row],[HS Code Risk Score]]&gt;=25,"Medium","Low"))</f>
        <v>Low</v>
      </c>
      <c r="AL425" s="17" t="str">
        <f>IF(RANK(HS_DB[[#This Row],[HS Code Risk Score]],HS_DB[HS Code Risk Score])&lt;=10,"Yes","No")</f>
        <v>No</v>
      </c>
      <c r="AM425" s="8">
        <f>SUMIFS(HS_DB[Net Weight -KG],HS_DB[HS Code],HS_DB[[#This Row],[HS Code]])</f>
        <v>4625188</v>
      </c>
      <c r="AN425" s="8">
        <f>SUMIFS(HS_DB[Trade Value - USD],HS_DB[HS Code],HS_DB[[#This Row],[HS Code]])</f>
        <v>4441406</v>
      </c>
      <c r="AO425" s="6">
        <f>_xlfn.MAXIFS(HS_DB[Origin Share%],HS_DB[HS Code],HS_DB[[#This Row],[HS Code]])</f>
        <v>6.321329281187793E-2</v>
      </c>
      <c r="AP425" s="8" cm="1">
        <f t="array" ref="AP425">_xlfn.LET(
_xlpm.hs,HS_DB[[#This Row],[HS Code]],
COUNTA(_xlfn.UNIQUE(_xlfn._xlws.FILTER(HS_DB[Reporter],HS_DB[HS Code]=_xlpm.hs)))
)</f>
        <v>11</v>
      </c>
      <c r="AQ425" s="17" t="str">
        <f>IF(HS_DB[[#This Row],[Origin Count]]=1,"Single Source","Multiple Sources")</f>
        <v>Multiple Sources</v>
      </c>
      <c r="AR425" s="8">
        <f>HS_DB[[#This Row],[Annual Spend - USD]]*(HS_DB[[#This Row],[HS Code Risk Score]]/100)</f>
        <v>755039.02</v>
      </c>
      <c r="AS425" s="8">
        <f>RANK(HS_DB[[#This Row],[Risk Exposure - USD]],HS_DB[Risk Exposure - USD],0)</f>
        <v>454</v>
      </c>
      <c r="AT425" s="8" t="str">
        <f>IF(HS_DB[[#This Row],[Risk Exposure Rank]]&lt;=10,"High",
 IF(HS_DB[[#This Row],[Risk Exposure Rank]]&lt;=30,"Medium",
 "Low"))</f>
        <v>Low</v>
      </c>
      <c r="AU425" s="8" t="str">
        <f>IF(HS_DB[[#This Row],[Risk Exposure Rank]]&lt;=5,"Immediate Action",
 IF(HS_DB[[#This Row],[Risk Exposure Rank]]&lt;=15,"Monitor Closely",
 "Routine Control"))</f>
        <v>Routine Control</v>
      </c>
      <c r="AV425" s="8">
        <f>SUMIFS(HS_DB[Trade Value - USD],HS_DB[HS Code],HS_DB[[#This Row],[HS Code]])</f>
        <v>4441406</v>
      </c>
      <c r="AW425" s="6">
        <f>HS_DB[[#This Row],[Annual Spend - USD]]/HS_DB[[#This Row],[Total Market Size - USD]]</f>
        <v>1</v>
      </c>
      <c r="AX425" s="6" cm="1">
        <f t="array" ref="AX425">COUNTA(_xlfn.UNIQUE(_xlfn._xlws.FILTER(HS_DB[Partner],HS_DB[HS Code]=HS_DB[[#This Row],[HS Code]])))</f>
        <v>1</v>
      </c>
      <c r="AY425" s="8" t="str">
        <f>IF(HS_DB[[#This Row],[Competition Intensity]]&lt;=2,"Highly Concentrated",
 IF(HS_DB[[#This Row],[Competition Intensity]]&lt;=5,"Moderate",
 "Highly Competitive"))</f>
        <v>Highly Concentrated</v>
      </c>
      <c r="AZ425" s="8">
        <f>HS_DB[[#This Row],[Total Market Size - USD]]
*
(1+IFERROR(#REF!,0))
/
HS_DB[[#This Row],[Competition Intensity]]</f>
        <v>4441406</v>
      </c>
      <c r="BA425" s="8" t="str">
        <f>IF(HS_DB[[#This Row],[Commercial Opportunity Score]]&gt;=PERCENTILE(HS_DB[Commercial Opportunity Score],0.9),"High Opportunity",
 IF(HS_DB[[#This Row],[Commercial Opportunity Score]]&gt;=PERCENTILE(HS_DB[Commercial Opportunity Score],0.6),"Medium Opportunity",
 "Routine Market"))</f>
        <v>Routine Market</v>
      </c>
      <c r="BB425" s="3" t="str">
        <f>IF(AND(HS_DB[[#This Row],[Product Rank]]&gt;0,HS_DB[[#This Row],[Product Rank]]&lt;=10),"Yes","No")</f>
        <v>No</v>
      </c>
      <c r="BC425" s="3" t="str">
        <f>IF(AND(HS_DB[[#This Row],[Origin Rank]]&gt;0,HS_DB[[#This Row],[Origin Rank]]&lt;=10),"Yes","No")</f>
        <v>No</v>
      </c>
    </row>
    <row r="426" spans="2:55" x14ac:dyDescent="0.3">
      <c r="B426" s="2">
        <f>HS_DB[[#This Row],[Commodity Code]]</f>
        <v>110813</v>
      </c>
      <c r="C426" s="2">
        <f>IFERROR(INDEX(HS_MD!C:C,MATCH(B426,HS_MD!B:B,0),1),"")</f>
        <v>34</v>
      </c>
      <c r="D426" s="17" t="str">
        <f>IFERROR(INDEX(HS_MD!D:D,MATCH(B426,HS_MD!B:B,0),1),"")</f>
        <v>Potato starch</v>
      </c>
      <c r="E426" s="17" t="str">
        <f>IFERROR(INDEX(HS_MD!E:E,MATCH(B426,HS_MD!B:B,0),1),"")</f>
        <v>Potato Starch</v>
      </c>
      <c r="F426" s="17" t="str">
        <f>IFERROR(INDEX(HS_MD!F:F,MATCH(B426,HS_MD!B:B,0),1),"")</f>
        <v>FUNCTIONAL INGREDIENTS</v>
      </c>
      <c r="G426" s="17" t="str">
        <f>IFERROR(INDEX(HS_MD!G:G,MATCH(B426,HS_MD!B:B,0),1),"")</f>
        <v>Native Starches</v>
      </c>
      <c r="H426" s="17" t="str">
        <f>IFERROR(INDEX(HS_MD!H:H,MATCH(B426,HS_MD!B:B,0),1),"")</f>
        <v>Native Potato Starch</v>
      </c>
      <c r="I426" s="17" t="str">
        <f>IFERROR(INDEX(HS_MD!I:I,MATCH(B426,HS_MD!B:B,0),1),"")</f>
        <v>Sauces / Processed Food</v>
      </c>
      <c r="J426" s="17">
        <f>IFERROR(INDEX(Heat_Map[Index],MATCH(HS_DB[[#This Row],[Reporter]],Heat_Map[Global],0),1),"")</f>
        <v>163</v>
      </c>
      <c r="K426" s="17" t="str">
        <f>IF(AND(HS_DB[[#This Row],[Origin Rank]]&gt;1,HS_DB[[#This Row],[Origin Rank]]&lt;=10),"Yes","No")</f>
        <v>Yes</v>
      </c>
      <c r="L426" s="2">
        <v>2024</v>
      </c>
      <c r="M426" s="2" t="s">
        <v>57</v>
      </c>
      <c r="N426" s="2" t="s">
        <v>31</v>
      </c>
      <c r="O426" s="2" t="s">
        <v>22</v>
      </c>
      <c r="P426" s="2" t="s">
        <v>23</v>
      </c>
      <c r="Q426" s="2" t="s">
        <v>24</v>
      </c>
      <c r="R426" s="2" t="s">
        <v>25</v>
      </c>
      <c r="S426" s="2">
        <v>110813</v>
      </c>
      <c r="T426" s="3">
        <v>73526</v>
      </c>
      <c r="U426" s="3">
        <v>80000</v>
      </c>
      <c r="V426" s="3">
        <v>0</v>
      </c>
      <c r="W426" s="3">
        <v>80000</v>
      </c>
      <c r="X426" s="3" t="s">
        <v>58</v>
      </c>
      <c r="Y426" s="3">
        <v>80000</v>
      </c>
      <c r="Z426" s="3" t="s">
        <v>58</v>
      </c>
      <c r="AA426" s="6">
        <f>SUMIFS(HS_DB[Trade Value - USD],HS_DB[Reporter],HS_DB[[#This Row],[Reporter]])/SUM(HS_DB[Trade Value - USD])</f>
        <v>1.1596288425054823E-4</v>
      </c>
      <c r="AB426" s="8" cm="1">
        <f t="array" ref="AB426">SUMPRODUCT(
(HS_DB[Reporter]=HS_DB[[#This Row],[Reporter]])*
(HS_DB[Trade Value - USD]&gt;HS_DB[[#This Row],[Trade Value - USD]])
)+1</f>
        <v>2</v>
      </c>
      <c r="AC426" s="8" t="str">
        <f>IFERROR(IF(INDEX(Heat_Map[Crisis Impact %],MATCH(HS_DB[[#This Row],[Reporter]],Heat_Map[Global],0),1)&gt;0,"Yes","No"),"No")</f>
        <v>No</v>
      </c>
      <c r="AD426" s="6">
        <f>IFERROR(INDEX(Heat_Map[Crisis Impact %],MATCH(HS_DB[[#This Row],[Reporter]],Heat_Map[Global],0),1),0)</f>
        <v>0</v>
      </c>
      <c r="AE426" s="8">
        <f>HS_DB[[#This Row],[Crisis Impact%]]*HS_DB[[#This Row],[Trade Value - USD]]</f>
        <v>0</v>
      </c>
      <c r="AF426" s="8">
        <f>HS_DB[[#This Row],[Crisis Impact%]]*HS_DB[[#This Row],[Net Weight -KG]]</f>
        <v>0</v>
      </c>
      <c r="AG426" s="6">
        <f>SUMIFS(HS_DB[Trade Value - USD],HS_DB[Products],HS_DB[[#This Row],[Products]])/SUM(HS_DB[Trade Value - USD])</f>
        <v>2.3561731722151892E-3</v>
      </c>
      <c r="AH426" s="8">
        <f>_xlfn.RANK.EQ(HS_DB[[#This Row],[Trade Value - USD]], HS_DB[Trade Value - USD], 0)
 + COUNTIFS(HS_DB[Trade Value - USD],HS_DB[[#This Row],[Trade Value - USD]],
            HS_DB[HS Code],"&lt;"&amp;HS_DB[[#This Row],[HS Code]])</f>
        <v>301</v>
      </c>
      <c r="AI426" s="9">
        <f>IFERROR(HS_DB[[#This Row],[Trade Value - USD]]/HS_DB[[#This Row],[Net Weight -KG]],0)</f>
        <v>0.91907499999999998</v>
      </c>
      <c r="AJ426" s="17" cm="1">
        <f t="array" ref="AJ426">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17</v>
      </c>
      <c r="AK426" s="17" t="str">
        <f>IF(HS_DB[[#This Row],[HS Code Risk Score]]&gt;=40,"High",
 IF(HS_DB[[#This Row],[HS Code Risk Score]]&gt;=25,"Medium","Low"))</f>
        <v>Low</v>
      </c>
      <c r="AL426" s="17" t="str">
        <f>IF(RANK(HS_DB[[#This Row],[HS Code Risk Score]],HS_DB[HS Code Risk Score])&lt;=10,"Yes","No")</f>
        <v>No</v>
      </c>
      <c r="AM426" s="8">
        <f>SUMIFS(HS_DB[Net Weight -KG],HS_DB[HS Code],HS_DB[[#This Row],[HS Code]])</f>
        <v>4625188</v>
      </c>
      <c r="AN426" s="8">
        <f>SUMIFS(HS_DB[Trade Value - USD],HS_DB[HS Code],HS_DB[[#This Row],[HS Code]])</f>
        <v>4441406</v>
      </c>
      <c r="AO426" s="6">
        <f>_xlfn.MAXIFS(HS_DB[Origin Share%],HS_DB[HS Code],HS_DB[[#This Row],[HS Code]])</f>
        <v>6.321329281187793E-2</v>
      </c>
      <c r="AP426" s="8" cm="1">
        <f t="array" ref="AP426">_xlfn.LET(
_xlpm.hs,HS_DB[[#This Row],[HS Code]],
COUNTA(_xlfn.UNIQUE(_xlfn._xlws.FILTER(HS_DB[Reporter],HS_DB[HS Code]=_xlpm.hs)))
)</f>
        <v>11</v>
      </c>
      <c r="AQ426" s="17" t="str">
        <f>IF(HS_DB[[#This Row],[Origin Count]]=1,"Single Source","Multiple Sources")</f>
        <v>Multiple Sources</v>
      </c>
      <c r="AR426" s="8">
        <f>HS_DB[[#This Row],[Annual Spend - USD]]*(HS_DB[[#This Row],[HS Code Risk Score]]/100)</f>
        <v>755039.02</v>
      </c>
      <c r="AS426" s="8">
        <f>RANK(HS_DB[[#This Row],[Risk Exposure - USD]],HS_DB[Risk Exposure - USD],0)</f>
        <v>454</v>
      </c>
      <c r="AT426" s="8" t="str">
        <f>IF(HS_DB[[#This Row],[Risk Exposure Rank]]&lt;=10,"High",
 IF(HS_DB[[#This Row],[Risk Exposure Rank]]&lt;=30,"Medium",
 "Low"))</f>
        <v>Low</v>
      </c>
      <c r="AU426" s="8" t="str">
        <f>IF(HS_DB[[#This Row],[Risk Exposure Rank]]&lt;=5,"Immediate Action",
 IF(HS_DB[[#This Row],[Risk Exposure Rank]]&lt;=15,"Monitor Closely",
 "Routine Control"))</f>
        <v>Routine Control</v>
      </c>
      <c r="AV426" s="8">
        <f>SUMIFS(HS_DB[Trade Value - USD],HS_DB[HS Code],HS_DB[[#This Row],[HS Code]])</f>
        <v>4441406</v>
      </c>
      <c r="AW426" s="6">
        <f>HS_DB[[#This Row],[Annual Spend - USD]]/HS_DB[[#This Row],[Total Market Size - USD]]</f>
        <v>1</v>
      </c>
      <c r="AX426" s="6" cm="1">
        <f t="array" ref="AX426">COUNTA(_xlfn.UNIQUE(_xlfn._xlws.FILTER(HS_DB[Partner],HS_DB[HS Code]=HS_DB[[#This Row],[HS Code]])))</f>
        <v>1</v>
      </c>
      <c r="AY426" s="8" t="str">
        <f>IF(HS_DB[[#This Row],[Competition Intensity]]&lt;=2,"Highly Concentrated",
 IF(HS_DB[[#This Row],[Competition Intensity]]&lt;=5,"Moderate",
 "Highly Competitive"))</f>
        <v>Highly Concentrated</v>
      </c>
      <c r="AZ426" s="8">
        <f>HS_DB[[#This Row],[Total Market Size - USD]]
*
(1+IFERROR(#REF!,0))
/
HS_DB[[#This Row],[Competition Intensity]]</f>
        <v>4441406</v>
      </c>
      <c r="BA426" s="8" t="str">
        <f>IF(HS_DB[[#This Row],[Commercial Opportunity Score]]&gt;=PERCENTILE(HS_DB[Commercial Opportunity Score],0.9),"High Opportunity",
 IF(HS_DB[[#This Row],[Commercial Opportunity Score]]&gt;=PERCENTILE(HS_DB[Commercial Opportunity Score],0.6),"Medium Opportunity",
 "Routine Market"))</f>
        <v>Routine Market</v>
      </c>
      <c r="BB426" s="3" t="str">
        <f>IF(AND(HS_DB[[#This Row],[Product Rank]]&gt;0,HS_DB[[#This Row],[Product Rank]]&lt;=10),"Yes","No")</f>
        <v>No</v>
      </c>
      <c r="BC426" s="3" t="str">
        <f>IF(AND(HS_DB[[#This Row],[Origin Rank]]&gt;0,HS_DB[[#This Row],[Origin Rank]]&lt;=10),"Yes","No")</f>
        <v>Yes</v>
      </c>
    </row>
    <row r="427" spans="2:55" x14ac:dyDescent="0.3">
      <c r="B427" s="2">
        <f>HS_DB[[#This Row],[Commodity Code]]</f>
        <v>110813</v>
      </c>
      <c r="C427" s="2">
        <f>IFERROR(INDEX(HS_MD!C:C,MATCH(B427,HS_MD!B:B,0),1),"")</f>
        <v>34</v>
      </c>
      <c r="D427" s="17" t="str">
        <f>IFERROR(INDEX(HS_MD!D:D,MATCH(B427,HS_MD!B:B,0),1),"")</f>
        <v>Potato starch</v>
      </c>
      <c r="E427" s="17" t="str">
        <f>IFERROR(INDEX(HS_MD!E:E,MATCH(B427,HS_MD!B:B,0),1),"")</f>
        <v>Potato Starch</v>
      </c>
      <c r="F427" s="17" t="str">
        <f>IFERROR(INDEX(HS_MD!F:F,MATCH(B427,HS_MD!B:B,0),1),"")</f>
        <v>FUNCTIONAL INGREDIENTS</v>
      </c>
      <c r="G427" s="17" t="str">
        <f>IFERROR(INDEX(HS_MD!G:G,MATCH(B427,HS_MD!B:B,0),1),"")</f>
        <v>Native Starches</v>
      </c>
      <c r="H427" s="17" t="str">
        <f>IFERROR(INDEX(HS_MD!H:H,MATCH(B427,HS_MD!B:B,0),1),"")</f>
        <v>Native Potato Starch</v>
      </c>
      <c r="I427" s="17" t="str">
        <f>IFERROR(INDEX(HS_MD!I:I,MATCH(B427,HS_MD!B:B,0),1),"")</f>
        <v>Sauces / Processed Food</v>
      </c>
      <c r="J427" s="17">
        <f>IFERROR(INDEX(Heat_Map[Index],MATCH(HS_DB[[#This Row],[Reporter]],Heat_Map[Global],0),1),"")</f>
        <v>175</v>
      </c>
      <c r="K427" s="17" t="str">
        <f>IF(AND(HS_DB[[#This Row],[Origin Rank]]&gt;1,HS_DB[[#This Row],[Origin Rank]]&lt;=10),"Yes","No")</f>
        <v>No</v>
      </c>
      <c r="L427" s="2">
        <v>2024</v>
      </c>
      <c r="M427" s="2" t="s">
        <v>57</v>
      </c>
      <c r="N427" s="2" t="s">
        <v>34</v>
      </c>
      <c r="O427" s="2" t="s">
        <v>22</v>
      </c>
      <c r="P427" s="2" t="s">
        <v>23</v>
      </c>
      <c r="Q427" s="2" t="s">
        <v>24</v>
      </c>
      <c r="R427" s="2" t="s">
        <v>25</v>
      </c>
      <c r="S427" s="2">
        <v>110813</v>
      </c>
      <c r="T427" s="3">
        <v>33620</v>
      </c>
      <c r="U427" s="3">
        <v>32006</v>
      </c>
      <c r="V427" s="3">
        <v>0</v>
      </c>
      <c r="W427" s="3">
        <v>32006</v>
      </c>
      <c r="X427" s="3" t="s">
        <v>58</v>
      </c>
      <c r="Y427" s="3">
        <v>32006</v>
      </c>
      <c r="Z427" s="3" t="s">
        <v>58</v>
      </c>
      <c r="AA427" s="6">
        <f>SUMIFS(HS_DB[Trade Value - USD],HS_DB[Reporter],HS_DB[[#This Row],[Reporter]])/SUM(HS_DB[Trade Value - USD])</f>
        <v>4.7522902002533667E-2</v>
      </c>
      <c r="AB427" s="8" cm="1">
        <f t="array" ref="AB427">SUMPRODUCT(
(HS_DB[Reporter]=HS_DB[[#This Row],[Reporter]])*
(HS_DB[Trade Value - USD]&gt;HS_DB[[#This Row],[Trade Value - USD]])
)+1</f>
        <v>27</v>
      </c>
      <c r="AC427" s="8" t="str">
        <f>IFERROR(IF(INDEX(Heat_Map[Crisis Impact %],MATCH(HS_DB[[#This Row],[Reporter]],Heat_Map[Global],0),1)&gt;0,"Yes","No"),"No")</f>
        <v>Yes</v>
      </c>
      <c r="AD427" s="6">
        <f>IFERROR(INDEX(Heat_Map[Crisis Impact %],MATCH(HS_DB[[#This Row],[Reporter]],Heat_Map[Global],0),1),0)</f>
        <v>0.1</v>
      </c>
      <c r="AE427" s="8">
        <f>HS_DB[[#This Row],[Crisis Impact%]]*HS_DB[[#This Row],[Trade Value - USD]]</f>
        <v>3362</v>
      </c>
      <c r="AF427" s="8">
        <f>HS_DB[[#This Row],[Crisis Impact%]]*HS_DB[[#This Row],[Net Weight -KG]]</f>
        <v>3200.6000000000004</v>
      </c>
      <c r="AG427" s="6">
        <f>SUMIFS(HS_DB[Trade Value - USD],HS_DB[Products],HS_DB[[#This Row],[Products]])/SUM(HS_DB[Trade Value - USD])</f>
        <v>2.3561731722151892E-3</v>
      </c>
      <c r="AH427" s="8">
        <f>_xlfn.RANK.EQ(HS_DB[[#This Row],[Trade Value - USD]], HS_DB[Trade Value - USD], 0)
 + COUNTIFS(HS_DB[Trade Value - USD],HS_DB[[#This Row],[Trade Value - USD]],
            HS_DB[HS Code],"&lt;"&amp;HS_DB[[#This Row],[HS Code]])</f>
        <v>348</v>
      </c>
      <c r="AI427" s="9">
        <f>IFERROR(HS_DB[[#This Row],[Trade Value - USD]]/HS_DB[[#This Row],[Net Weight -KG]],0)</f>
        <v>1.050428044741611</v>
      </c>
      <c r="AJ427" s="17" cm="1">
        <f t="array" ref="AJ427">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17</v>
      </c>
      <c r="AK427" s="17" t="str">
        <f>IF(HS_DB[[#This Row],[HS Code Risk Score]]&gt;=40,"High",
 IF(HS_DB[[#This Row],[HS Code Risk Score]]&gt;=25,"Medium","Low"))</f>
        <v>Low</v>
      </c>
      <c r="AL427" s="17" t="str">
        <f>IF(RANK(HS_DB[[#This Row],[HS Code Risk Score]],HS_DB[HS Code Risk Score])&lt;=10,"Yes","No")</f>
        <v>No</v>
      </c>
      <c r="AM427" s="8">
        <f>SUMIFS(HS_DB[Net Weight -KG],HS_DB[HS Code],HS_DB[[#This Row],[HS Code]])</f>
        <v>4625188</v>
      </c>
      <c r="AN427" s="8">
        <f>SUMIFS(HS_DB[Trade Value - USD],HS_DB[HS Code],HS_DB[[#This Row],[HS Code]])</f>
        <v>4441406</v>
      </c>
      <c r="AO427" s="6">
        <f>_xlfn.MAXIFS(HS_DB[Origin Share%],HS_DB[HS Code],HS_DB[[#This Row],[HS Code]])</f>
        <v>6.321329281187793E-2</v>
      </c>
      <c r="AP427" s="8" cm="1">
        <f t="array" ref="AP427">_xlfn.LET(
_xlpm.hs,HS_DB[[#This Row],[HS Code]],
COUNTA(_xlfn.UNIQUE(_xlfn._xlws.FILTER(HS_DB[Reporter],HS_DB[HS Code]=_xlpm.hs)))
)</f>
        <v>11</v>
      </c>
      <c r="AQ427" s="17" t="str">
        <f>IF(HS_DB[[#This Row],[Origin Count]]=1,"Single Source","Multiple Sources")</f>
        <v>Multiple Sources</v>
      </c>
      <c r="AR427" s="8">
        <f>HS_DB[[#This Row],[Annual Spend - USD]]*(HS_DB[[#This Row],[HS Code Risk Score]]/100)</f>
        <v>755039.02</v>
      </c>
      <c r="AS427" s="8">
        <f>RANK(HS_DB[[#This Row],[Risk Exposure - USD]],HS_DB[Risk Exposure - USD],0)</f>
        <v>454</v>
      </c>
      <c r="AT427" s="8" t="str">
        <f>IF(HS_DB[[#This Row],[Risk Exposure Rank]]&lt;=10,"High",
 IF(HS_DB[[#This Row],[Risk Exposure Rank]]&lt;=30,"Medium",
 "Low"))</f>
        <v>Low</v>
      </c>
      <c r="AU427" s="8" t="str">
        <f>IF(HS_DB[[#This Row],[Risk Exposure Rank]]&lt;=5,"Immediate Action",
 IF(HS_DB[[#This Row],[Risk Exposure Rank]]&lt;=15,"Monitor Closely",
 "Routine Control"))</f>
        <v>Routine Control</v>
      </c>
      <c r="AV427" s="8">
        <f>SUMIFS(HS_DB[Trade Value - USD],HS_DB[HS Code],HS_DB[[#This Row],[HS Code]])</f>
        <v>4441406</v>
      </c>
      <c r="AW427" s="6">
        <f>HS_DB[[#This Row],[Annual Spend - USD]]/HS_DB[[#This Row],[Total Market Size - USD]]</f>
        <v>1</v>
      </c>
      <c r="AX427" s="6" cm="1">
        <f t="array" ref="AX427">COUNTA(_xlfn.UNIQUE(_xlfn._xlws.FILTER(HS_DB[Partner],HS_DB[HS Code]=HS_DB[[#This Row],[HS Code]])))</f>
        <v>1</v>
      </c>
      <c r="AY427" s="8" t="str">
        <f>IF(HS_DB[[#This Row],[Competition Intensity]]&lt;=2,"Highly Concentrated",
 IF(HS_DB[[#This Row],[Competition Intensity]]&lt;=5,"Moderate",
 "Highly Competitive"))</f>
        <v>Highly Concentrated</v>
      </c>
      <c r="AZ427" s="8">
        <f>HS_DB[[#This Row],[Total Market Size - USD]]
*
(1+IFERROR(#REF!,0))
/
HS_DB[[#This Row],[Competition Intensity]]</f>
        <v>4441406</v>
      </c>
      <c r="BA427" s="8" t="str">
        <f>IF(HS_DB[[#This Row],[Commercial Opportunity Score]]&gt;=PERCENTILE(HS_DB[Commercial Opportunity Score],0.9),"High Opportunity",
 IF(HS_DB[[#This Row],[Commercial Opportunity Score]]&gt;=PERCENTILE(HS_DB[Commercial Opportunity Score],0.6),"Medium Opportunity",
 "Routine Market"))</f>
        <v>Routine Market</v>
      </c>
      <c r="BB427" s="3" t="str">
        <f>IF(AND(HS_DB[[#This Row],[Product Rank]]&gt;0,HS_DB[[#This Row],[Product Rank]]&lt;=10),"Yes","No")</f>
        <v>No</v>
      </c>
      <c r="BC427" s="3" t="str">
        <f>IF(AND(HS_DB[[#This Row],[Origin Rank]]&gt;0,HS_DB[[#This Row],[Origin Rank]]&lt;=10),"Yes","No")</f>
        <v>No</v>
      </c>
    </row>
    <row r="428" spans="2:55" x14ac:dyDescent="0.3">
      <c r="B428" s="2">
        <f>HS_DB[[#This Row],[Commodity Code]]</f>
        <v>151190</v>
      </c>
      <c r="C428" s="2">
        <f>IFERROR(INDEX(HS_MD!C:C,MATCH(B428,HS_MD!B:B,0),1),"")</f>
        <v>35</v>
      </c>
      <c r="D428" s="17" t="str">
        <f>IFERROR(INDEX(HS_MD!D:D,MATCH(B428,HS_MD!B:B,0),1),"")</f>
        <v>Palm oil, refined</v>
      </c>
      <c r="E428" s="17" t="str">
        <f>IFERROR(INDEX(HS_MD!E:E,MATCH(B428,HS_MD!B:B,0),1),"")</f>
        <v>Refined Palm Oil</v>
      </c>
      <c r="F428" s="17" t="str">
        <f>IFERROR(INDEX(HS_MD!F:F,MATCH(B428,HS_MD!B:B,0),1),"")</f>
        <v>Agricultural Raw Materials</v>
      </c>
      <c r="G428" s="17" t="str">
        <f>IFERROR(INDEX(HS_MD!G:G,MATCH(B428,HS_MD!B:B,0),1),"")</f>
        <v>Edible Oils</v>
      </c>
      <c r="H428" s="17" t="str">
        <f>IFERROR(INDEX(HS_MD!H:H,MATCH(B428,HS_MD!B:B,0),1),"")</f>
        <v>Refined Vegetable Oils</v>
      </c>
      <c r="I428" s="17" t="str">
        <f>IFERROR(INDEX(HS_MD!I:I,MATCH(B428,HS_MD!B:B,0),1),"")</f>
        <v>Snacks / Margarine / Sauces</v>
      </c>
      <c r="J428" s="17">
        <f>IFERROR(INDEX(Heat_Map[Index],MATCH(HS_DB[[#This Row],[Reporter]],Heat_Map[Global],0),1),"")</f>
        <v>73</v>
      </c>
      <c r="K428" s="17" t="str">
        <f>IF(AND(HS_DB[[#This Row],[Origin Rank]]&gt;1,HS_DB[[#This Row],[Origin Rank]]&lt;=10),"Yes","No")</f>
        <v>Yes</v>
      </c>
      <c r="L428" s="2">
        <v>2024</v>
      </c>
      <c r="M428" s="2" t="s">
        <v>57</v>
      </c>
      <c r="N428" s="2" t="s">
        <v>46</v>
      </c>
      <c r="O428" s="2" t="s">
        <v>22</v>
      </c>
      <c r="P428" s="2" t="s">
        <v>23</v>
      </c>
      <c r="Q428" s="2" t="s">
        <v>24</v>
      </c>
      <c r="R428" s="2" t="s">
        <v>25</v>
      </c>
      <c r="S428" s="2">
        <v>151190</v>
      </c>
      <c r="T428" s="3">
        <v>11</v>
      </c>
      <c r="U428" s="3">
        <v>2</v>
      </c>
      <c r="V428" s="3">
        <v>0</v>
      </c>
      <c r="W428" s="3">
        <v>2</v>
      </c>
      <c r="X428" s="3" t="s">
        <v>58</v>
      </c>
      <c r="Y428" s="3">
        <v>2</v>
      </c>
      <c r="Z428" s="3" t="s">
        <v>58</v>
      </c>
      <c r="AA428" s="6">
        <f>SUMIFS(HS_DB[Trade Value - USD],HS_DB[Reporter],HS_DB[[#This Row],[Reporter]])/SUM(HS_DB[Trade Value - USD])</f>
        <v>2.621940701411424E-4</v>
      </c>
      <c r="AB428" s="8" cm="1">
        <f t="array" ref="AB428">SUMPRODUCT(
(HS_DB[Reporter]=HS_DB[[#This Row],[Reporter]])*
(HS_DB[Trade Value - USD]&gt;HS_DB[[#This Row],[Trade Value - USD]])
)+1</f>
        <v>6</v>
      </c>
      <c r="AC428" s="8" t="str">
        <f>IFERROR(IF(INDEX(Heat_Map[Crisis Impact %],MATCH(HS_DB[[#This Row],[Reporter]],Heat_Map[Global],0),1)&gt;0,"Yes","No"),"No")</f>
        <v>No</v>
      </c>
      <c r="AD428" s="6">
        <f>IFERROR(INDEX(Heat_Map[Crisis Impact %],MATCH(HS_DB[[#This Row],[Reporter]],Heat_Map[Global],0),1),0)</f>
        <v>0</v>
      </c>
      <c r="AE428" s="8">
        <f>HS_DB[[#This Row],[Crisis Impact%]]*HS_DB[[#This Row],[Trade Value - USD]]</f>
        <v>0</v>
      </c>
      <c r="AF428" s="8">
        <f>HS_DB[[#This Row],[Crisis Impact%]]*HS_DB[[#This Row],[Net Weight -KG]]</f>
        <v>0</v>
      </c>
      <c r="AG428" s="6">
        <f>SUMIFS(HS_DB[Trade Value - USD],HS_DB[Products],HS_DB[[#This Row],[Products]])/SUM(HS_DB[Trade Value - USD])</f>
        <v>0.60345218393960753</v>
      </c>
      <c r="AH428" s="8">
        <f>_xlfn.RANK.EQ(HS_DB[[#This Row],[Trade Value - USD]], HS_DB[Trade Value - USD], 0)
 + COUNTIFS(HS_DB[Trade Value - USD],HS_DB[[#This Row],[Trade Value - USD]],
            HS_DB[HS Code],"&lt;"&amp;HS_DB[[#This Row],[HS Code]])</f>
        <v>535</v>
      </c>
      <c r="AI428" s="9">
        <f>IFERROR(HS_DB[[#This Row],[Trade Value - USD]]/HS_DB[[#This Row],[Net Weight -KG]],0)</f>
        <v>5.5</v>
      </c>
      <c r="AJ428" s="17" cm="1">
        <f t="array" ref="AJ428">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28" s="17" t="str">
        <f>IF(HS_DB[[#This Row],[HS Code Risk Score]]&gt;=40,"High",
 IF(HS_DB[[#This Row],[HS Code Risk Score]]&gt;=25,"Medium","Low"))</f>
        <v>Medium</v>
      </c>
      <c r="AL428" s="17" t="str">
        <f>IF(RANK(HS_DB[[#This Row],[HS Code Risk Score]],HS_DB[HS Code Risk Score])&lt;=10,"Yes","No")</f>
        <v>No</v>
      </c>
      <c r="AM428" s="8">
        <f>SUMIFS(HS_DB[Net Weight -KG],HS_DB[HS Code],HS_DB[[#This Row],[HS Code]])</f>
        <v>1231357279</v>
      </c>
      <c r="AN428" s="8">
        <f>SUMIFS(HS_DB[Trade Value - USD],HS_DB[HS Code],HS_DB[[#This Row],[HS Code]])</f>
        <v>1137512379</v>
      </c>
      <c r="AO428" s="6">
        <f>_xlfn.MAXIFS(HS_DB[Origin Share%],HS_DB[HS Code],HS_DB[[#This Row],[HS Code]])</f>
        <v>0.39900464236999494</v>
      </c>
      <c r="AP428" s="8" cm="1">
        <f t="array" ref="AP428">_xlfn.LET(
_xlpm.hs,HS_DB[[#This Row],[HS Code]],
COUNTA(_xlfn.UNIQUE(_xlfn._xlws.FILTER(HS_DB[Reporter],HS_DB[HS Code]=_xlpm.hs)))
)</f>
        <v>7</v>
      </c>
      <c r="AQ428" s="17" t="str">
        <f>IF(HS_DB[[#This Row],[Origin Count]]=1,"Single Source","Multiple Sources")</f>
        <v>Multiple Sources</v>
      </c>
      <c r="AR428" s="8">
        <f>HS_DB[[#This Row],[Annual Spend - USD]]*(HS_DB[[#This Row],[HS Code Risk Score]]/100)</f>
        <v>386754208.86000001</v>
      </c>
      <c r="AS428" s="8">
        <f>RANK(HS_DB[[#This Row],[Risk Exposure - USD]],HS_DB[Risk Exposure - USD],0)</f>
        <v>1</v>
      </c>
      <c r="AT428" s="8" t="str">
        <f>IF(HS_DB[[#This Row],[Risk Exposure Rank]]&lt;=10,"High",
 IF(HS_DB[[#This Row],[Risk Exposure Rank]]&lt;=30,"Medium",
 "Low"))</f>
        <v>High</v>
      </c>
      <c r="AU428" s="8" t="str">
        <f>IF(HS_DB[[#This Row],[Risk Exposure Rank]]&lt;=5,"Immediate Action",
 IF(HS_DB[[#This Row],[Risk Exposure Rank]]&lt;=15,"Monitor Closely",
 "Routine Control"))</f>
        <v>Immediate Action</v>
      </c>
      <c r="AV428" s="8">
        <f>SUMIFS(HS_DB[Trade Value - USD],HS_DB[HS Code],HS_DB[[#This Row],[HS Code]])</f>
        <v>1137512379</v>
      </c>
      <c r="AW428" s="6">
        <f>HS_DB[[#This Row],[Annual Spend - USD]]/HS_DB[[#This Row],[Total Market Size - USD]]</f>
        <v>1</v>
      </c>
      <c r="AX428" s="6" cm="1">
        <f t="array" ref="AX428">COUNTA(_xlfn.UNIQUE(_xlfn._xlws.FILTER(HS_DB[Partner],HS_DB[HS Code]=HS_DB[[#This Row],[HS Code]])))</f>
        <v>1</v>
      </c>
      <c r="AY428" s="8" t="str">
        <f>IF(HS_DB[[#This Row],[Competition Intensity]]&lt;=2,"Highly Concentrated",
 IF(HS_DB[[#This Row],[Competition Intensity]]&lt;=5,"Moderate",
 "Highly Competitive"))</f>
        <v>Highly Concentrated</v>
      </c>
      <c r="AZ428" s="8">
        <f>HS_DB[[#This Row],[Total Market Size - USD]]
*
(1+IFERROR(#REF!,0))
/
HS_DB[[#This Row],[Competition Intensity]]</f>
        <v>1137512379</v>
      </c>
      <c r="BA428" s="8" t="str">
        <f>IF(HS_DB[[#This Row],[Commercial Opportunity Score]]&gt;=PERCENTILE(HS_DB[Commercial Opportunity Score],0.9),"High Opportunity",
 IF(HS_DB[[#This Row],[Commercial Opportunity Score]]&gt;=PERCENTILE(HS_DB[Commercial Opportunity Score],0.6),"Medium Opportunity",
 "Routine Market"))</f>
        <v>High Opportunity</v>
      </c>
      <c r="BB428" s="3" t="str">
        <f>IF(AND(HS_DB[[#This Row],[Product Rank]]&gt;0,HS_DB[[#This Row],[Product Rank]]&lt;=10),"Yes","No")</f>
        <v>No</v>
      </c>
      <c r="BC428" s="3" t="str">
        <f>IF(AND(HS_DB[[#This Row],[Origin Rank]]&gt;0,HS_DB[[#This Row],[Origin Rank]]&lt;=10),"Yes","No")</f>
        <v>Yes</v>
      </c>
    </row>
    <row r="429" spans="2:55" x14ac:dyDescent="0.3">
      <c r="B429" s="2">
        <f>HS_DB[[#This Row],[Commodity Code]]</f>
        <v>151190</v>
      </c>
      <c r="C429" s="2">
        <f>IFERROR(INDEX(HS_MD!C:C,MATCH(B429,HS_MD!B:B,0),1),"")</f>
        <v>35</v>
      </c>
      <c r="D429" s="17" t="str">
        <f>IFERROR(INDEX(HS_MD!D:D,MATCH(B429,HS_MD!B:B,0),1),"")</f>
        <v>Palm oil, refined</v>
      </c>
      <c r="E429" s="17" t="str">
        <f>IFERROR(INDEX(HS_MD!E:E,MATCH(B429,HS_MD!B:B,0),1),"")</f>
        <v>Refined Palm Oil</v>
      </c>
      <c r="F429" s="17" t="str">
        <f>IFERROR(INDEX(HS_MD!F:F,MATCH(B429,HS_MD!B:B,0),1),"")</f>
        <v>Agricultural Raw Materials</v>
      </c>
      <c r="G429" s="17" t="str">
        <f>IFERROR(INDEX(HS_MD!G:G,MATCH(B429,HS_MD!B:B,0),1),"")</f>
        <v>Edible Oils</v>
      </c>
      <c r="H429" s="17" t="str">
        <f>IFERROR(INDEX(HS_MD!H:H,MATCH(B429,HS_MD!B:B,0),1),"")</f>
        <v>Refined Vegetable Oils</v>
      </c>
      <c r="I429" s="17" t="str">
        <f>IFERROR(INDEX(HS_MD!I:I,MATCH(B429,HS_MD!B:B,0),1),"")</f>
        <v>Snacks / Margarine / Sauces</v>
      </c>
      <c r="J429" s="17">
        <f>IFERROR(INDEX(Heat_Map[Index],MATCH(HS_DB[[#This Row],[Reporter]],Heat_Map[Global],0),1),"")</f>
        <v>76</v>
      </c>
      <c r="K429" s="17" t="str">
        <f>IF(AND(HS_DB[[#This Row],[Origin Rank]]&gt;1,HS_DB[[#This Row],[Origin Rank]]&lt;=10),"Yes","No")</f>
        <v>No</v>
      </c>
      <c r="L429" s="2">
        <v>2024</v>
      </c>
      <c r="M429" s="2" t="s">
        <v>57</v>
      </c>
      <c r="N429" s="2" t="s">
        <v>47</v>
      </c>
      <c r="O429" s="2" t="s">
        <v>22</v>
      </c>
      <c r="P429" s="2" t="s">
        <v>23</v>
      </c>
      <c r="Q429" s="2" t="s">
        <v>24</v>
      </c>
      <c r="R429" s="2" t="s">
        <v>25</v>
      </c>
      <c r="S429" s="2">
        <v>151190</v>
      </c>
      <c r="T429" s="3">
        <v>732148285</v>
      </c>
      <c r="U429" s="3">
        <v>792174000</v>
      </c>
      <c r="V429" s="3">
        <v>0</v>
      </c>
      <c r="W429" s="3">
        <v>792174000</v>
      </c>
      <c r="X429" s="3" t="s">
        <v>58</v>
      </c>
      <c r="Y429" s="3">
        <v>792174000</v>
      </c>
      <c r="Z429" s="3" t="s">
        <v>58</v>
      </c>
      <c r="AA429" s="6">
        <f>SUMIFS(HS_DB[Trade Value - USD],HS_DB[Reporter],HS_DB[[#This Row],[Reporter]])/SUM(HS_DB[Trade Value - USD])</f>
        <v>0.39900464236999494</v>
      </c>
      <c r="AB429" s="8" cm="1">
        <f t="array" ref="AB429">SUMPRODUCT(
(HS_DB[Reporter]=HS_DB[[#This Row],[Reporter]])*
(HS_DB[Trade Value - USD]&gt;HS_DB[[#This Row],[Trade Value - USD]])
)+1</f>
        <v>1</v>
      </c>
      <c r="AC429" s="8" t="str">
        <f>IFERROR(IF(INDEX(Heat_Map[Crisis Impact %],MATCH(HS_DB[[#This Row],[Reporter]],Heat_Map[Global],0),1)&gt;0,"Yes","No"),"No")</f>
        <v>Yes</v>
      </c>
      <c r="AD429" s="6">
        <f>IFERROR(INDEX(Heat_Map[Crisis Impact %],MATCH(HS_DB[[#This Row],[Reporter]],Heat_Map[Global],0),1),0)</f>
        <v>0.21</v>
      </c>
      <c r="AE429" s="8">
        <f>HS_DB[[#This Row],[Crisis Impact%]]*HS_DB[[#This Row],[Trade Value - USD]]</f>
        <v>153751139.84999999</v>
      </c>
      <c r="AF429" s="8">
        <f>HS_DB[[#This Row],[Crisis Impact%]]*HS_DB[[#This Row],[Net Weight -KG]]</f>
        <v>166356540</v>
      </c>
      <c r="AG429" s="6">
        <f>SUMIFS(HS_DB[Trade Value - USD],HS_DB[Products],HS_DB[[#This Row],[Products]])/SUM(HS_DB[Trade Value - USD])</f>
        <v>0.60345218393960753</v>
      </c>
      <c r="AH429" s="8">
        <f>_xlfn.RANK.EQ(HS_DB[[#This Row],[Trade Value - USD]], HS_DB[Trade Value - USD], 0)
 + COUNTIFS(HS_DB[Trade Value - USD],HS_DB[[#This Row],[Trade Value - USD]],
            HS_DB[HS Code],"&lt;"&amp;HS_DB[[#This Row],[HS Code]])</f>
        <v>1</v>
      </c>
      <c r="AI429" s="9">
        <f>IFERROR(HS_DB[[#This Row],[Trade Value - USD]]/HS_DB[[#This Row],[Net Weight -KG]],0)</f>
        <v>0.92422660299378667</v>
      </c>
      <c r="AJ429" s="17" cm="1">
        <f t="array" ref="AJ429">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29" s="17" t="str">
        <f>IF(HS_DB[[#This Row],[HS Code Risk Score]]&gt;=40,"High",
 IF(HS_DB[[#This Row],[HS Code Risk Score]]&gt;=25,"Medium","Low"))</f>
        <v>Medium</v>
      </c>
      <c r="AL429" s="17" t="str">
        <f>IF(RANK(HS_DB[[#This Row],[HS Code Risk Score]],HS_DB[HS Code Risk Score])&lt;=10,"Yes","No")</f>
        <v>No</v>
      </c>
      <c r="AM429" s="8">
        <f>SUMIFS(HS_DB[Net Weight -KG],HS_DB[HS Code],HS_DB[[#This Row],[HS Code]])</f>
        <v>1231357279</v>
      </c>
      <c r="AN429" s="8">
        <f>SUMIFS(HS_DB[Trade Value - USD],HS_DB[HS Code],HS_DB[[#This Row],[HS Code]])</f>
        <v>1137512379</v>
      </c>
      <c r="AO429" s="6">
        <f>_xlfn.MAXIFS(HS_DB[Origin Share%],HS_DB[HS Code],HS_DB[[#This Row],[HS Code]])</f>
        <v>0.39900464236999494</v>
      </c>
      <c r="AP429" s="8" cm="1">
        <f t="array" ref="AP429">_xlfn.LET(
_xlpm.hs,HS_DB[[#This Row],[HS Code]],
COUNTA(_xlfn.UNIQUE(_xlfn._xlws.FILTER(HS_DB[Reporter],HS_DB[HS Code]=_xlpm.hs)))
)</f>
        <v>7</v>
      </c>
      <c r="AQ429" s="17" t="str">
        <f>IF(HS_DB[[#This Row],[Origin Count]]=1,"Single Source","Multiple Sources")</f>
        <v>Multiple Sources</v>
      </c>
      <c r="AR429" s="8">
        <f>HS_DB[[#This Row],[Annual Spend - USD]]*(HS_DB[[#This Row],[HS Code Risk Score]]/100)</f>
        <v>386754208.86000001</v>
      </c>
      <c r="AS429" s="8">
        <f>RANK(HS_DB[[#This Row],[Risk Exposure - USD]],HS_DB[Risk Exposure - USD],0)</f>
        <v>1</v>
      </c>
      <c r="AT429" s="8" t="str">
        <f>IF(HS_DB[[#This Row],[Risk Exposure Rank]]&lt;=10,"High",
 IF(HS_DB[[#This Row],[Risk Exposure Rank]]&lt;=30,"Medium",
 "Low"))</f>
        <v>High</v>
      </c>
      <c r="AU429" s="8" t="str">
        <f>IF(HS_DB[[#This Row],[Risk Exposure Rank]]&lt;=5,"Immediate Action",
 IF(HS_DB[[#This Row],[Risk Exposure Rank]]&lt;=15,"Monitor Closely",
 "Routine Control"))</f>
        <v>Immediate Action</v>
      </c>
      <c r="AV429" s="8">
        <f>SUMIFS(HS_DB[Trade Value - USD],HS_DB[HS Code],HS_DB[[#This Row],[HS Code]])</f>
        <v>1137512379</v>
      </c>
      <c r="AW429" s="6">
        <f>HS_DB[[#This Row],[Annual Spend - USD]]/HS_DB[[#This Row],[Total Market Size - USD]]</f>
        <v>1</v>
      </c>
      <c r="AX429" s="6" cm="1">
        <f t="array" ref="AX429">COUNTA(_xlfn.UNIQUE(_xlfn._xlws.FILTER(HS_DB[Partner],HS_DB[HS Code]=HS_DB[[#This Row],[HS Code]])))</f>
        <v>1</v>
      </c>
      <c r="AY429" s="8" t="str">
        <f>IF(HS_DB[[#This Row],[Competition Intensity]]&lt;=2,"Highly Concentrated",
 IF(HS_DB[[#This Row],[Competition Intensity]]&lt;=5,"Moderate",
 "Highly Competitive"))</f>
        <v>Highly Concentrated</v>
      </c>
      <c r="AZ429" s="8">
        <f>HS_DB[[#This Row],[Total Market Size - USD]]
*
(1+IFERROR(#REF!,0))
/
HS_DB[[#This Row],[Competition Intensity]]</f>
        <v>1137512379</v>
      </c>
      <c r="BA429" s="8" t="str">
        <f>IF(HS_DB[[#This Row],[Commercial Opportunity Score]]&gt;=PERCENTILE(HS_DB[Commercial Opportunity Score],0.9),"High Opportunity",
 IF(HS_DB[[#This Row],[Commercial Opportunity Score]]&gt;=PERCENTILE(HS_DB[Commercial Opportunity Score],0.6),"Medium Opportunity",
 "Routine Market"))</f>
        <v>High Opportunity</v>
      </c>
      <c r="BB429" s="3" t="str">
        <f>IF(AND(HS_DB[[#This Row],[Product Rank]]&gt;0,HS_DB[[#This Row],[Product Rank]]&lt;=10),"Yes","No")</f>
        <v>Yes</v>
      </c>
      <c r="BC429" s="3" t="str">
        <f>IF(AND(HS_DB[[#This Row],[Origin Rank]]&gt;0,HS_DB[[#This Row],[Origin Rank]]&lt;=10),"Yes","No")</f>
        <v>Yes</v>
      </c>
    </row>
    <row r="430" spans="2:55" x14ac:dyDescent="0.3">
      <c r="B430" s="2">
        <f>HS_DB[[#This Row],[Commodity Code]]</f>
        <v>151190</v>
      </c>
      <c r="C430" s="2">
        <f>IFERROR(INDEX(HS_MD!C:C,MATCH(B430,HS_MD!B:B,0),1),"")</f>
        <v>35</v>
      </c>
      <c r="D430" s="17" t="str">
        <f>IFERROR(INDEX(HS_MD!D:D,MATCH(B430,HS_MD!B:B,0),1),"")</f>
        <v>Palm oil, refined</v>
      </c>
      <c r="E430" s="17" t="str">
        <f>IFERROR(INDEX(HS_MD!E:E,MATCH(B430,HS_MD!B:B,0),1),"")</f>
        <v>Refined Palm Oil</v>
      </c>
      <c r="F430" s="17" t="str">
        <f>IFERROR(INDEX(HS_MD!F:F,MATCH(B430,HS_MD!B:B,0),1),"")</f>
        <v>Agricultural Raw Materials</v>
      </c>
      <c r="G430" s="17" t="str">
        <f>IFERROR(INDEX(HS_MD!G:G,MATCH(B430,HS_MD!B:B,0),1),"")</f>
        <v>Edible Oils</v>
      </c>
      <c r="H430" s="17" t="str">
        <f>IFERROR(INDEX(HS_MD!H:H,MATCH(B430,HS_MD!B:B,0),1),"")</f>
        <v>Refined Vegetable Oils</v>
      </c>
      <c r="I430" s="17" t="str">
        <f>IFERROR(INDEX(HS_MD!I:I,MATCH(B430,HS_MD!B:B,0),1),"")</f>
        <v>Snacks / Margarine / Sauces</v>
      </c>
      <c r="J430" s="17">
        <f>IFERROR(INDEX(Heat_Map[Index],MATCH(HS_DB[[#This Row],[Reporter]],Heat_Map[Global],0),1),"")</f>
        <v>88</v>
      </c>
      <c r="K430" s="17" t="str">
        <f>IF(AND(HS_DB[[#This Row],[Origin Rank]]&gt;1,HS_DB[[#This Row],[Origin Rank]]&lt;=10),"Yes","No")</f>
        <v>No</v>
      </c>
      <c r="L430" s="2">
        <v>2024</v>
      </c>
      <c r="M430" s="2" t="s">
        <v>57</v>
      </c>
      <c r="N430" s="2" t="s">
        <v>157</v>
      </c>
      <c r="O430" s="2" t="s">
        <v>22</v>
      </c>
      <c r="P430" s="2" t="s">
        <v>23</v>
      </c>
      <c r="Q430" s="2" t="s">
        <v>24</v>
      </c>
      <c r="R430" s="2" t="s">
        <v>25</v>
      </c>
      <c r="S430" s="2">
        <v>151190</v>
      </c>
      <c r="T430" s="3">
        <v>6722</v>
      </c>
      <c r="U430" s="3">
        <v>3500</v>
      </c>
      <c r="V430" s="3">
        <v>0</v>
      </c>
      <c r="W430" s="3">
        <v>3500</v>
      </c>
      <c r="X430" s="3" t="s">
        <v>58</v>
      </c>
      <c r="Y430" s="3">
        <v>3500</v>
      </c>
      <c r="Z430" s="3" t="s">
        <v>58</v>
      </c>
      <c r="AA430" s="6">
        <f>SUMIFS(HS_DB[Trade Value - USD],HS_DB[Reporter],HS_DB[[#This Row],[Reporter]])/SUM(HS_DB[Trade Value - USD])</f>
        <v>8.2233059401702185E-6</v>
      </c>
      <c r="AB430" s="8" cm="1">
        <f t="array" ref="AB430">SUMPRODUCT(
(HS_DB[Reporter]=HS_DB[[#This Row],[Reporter]])*
(HS_DB[Trade Value - USD]&gt;HS_DB[[#This Row],[Trade Value - USD]])
)+1</f>
        <v>1</v>
      </c>
      <c r="AC430" s="8" t="str">
        <f>IFERROR(IF(INDEX(Heat_Map[Crisis Impact %],MATCH(HS_DB[[#This Row],[Reporter]],Heat_Map[Global],0),1)&gt;0,"Yes","No"),"No")</f>
        <v>No</v>
      </c>
      <c r="AD430" s="6">
        <f>IFERROR(INDEX(Heat_Map[Crisis Impact %],MATCH(HS_DB[[#This Row],[Reporter]],Heat_Map[Global],0),1),0)</f>
        <v>0</v>
      </c>
      <c r="AE430" s="8">
        <f>HS_DB[[#This Row],[Crisis Impact%]]*HS_DB[[#This Row],[Trade Value - USD]]</f>
        <v>0</v>
      </c>
      <c r="AF430" s="8">
        <f>HS_DB[[#This Row],[Crisis Impact%]]*HS_DB[[#This Row],[Net Weight -KG]]</f>
        <v>0</v>
      </c>
      <c r="AG430" s="6">
        <f>SUMIFS(HS_DB[Trade Value - USD],HS_DB[Products],HS_DB[[#This Row],[Products]])/SUM(HS_DB[Trade Value - USD])</f>
        <v>0.60345218393960753</v>
      </c>
      <c r="AH430" s="8">
        <f>_xlfn.RANK.EQ(HS_DB[[#This Row],[Trade Value - USD]], HS_DB[Trade Value - USD], 0)
 + COUNTIFS(HS_DB[Trade Value - USD],HS_DB[[#This Row],[Trade Value - USD]],
            HS_DB[HS Code],"&lt;"&amp;HS_DB[[#This Row],[HS Code]])</f>
        <v>427</v>
      </c>
      <c r="AI430" s="9">
        <f>IFERROR(HS_DB[[#This Row],[Trade Value - USD]]/HS_DB[[#This Row],[Net Weight -KG]],0)</f>
        <v>1.9205714285714286</v>
      </c>
      <c r="AJ430" s="17" cm="1">
        <f t="array" ref="AJ430">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30" s="17" t="str">
        <f>IF(HS_DB[[#This Row],[HS Code Risk Score]]&gt;=40,"High",
 IF(HS_DB[[#This Row],[HS Code Risk Score]]&gt;=25,"Medium","Low"))</f>
        <v>Medium</v>
      </c>
      <c r="AL430" s="17" t="str">
        <f>IF(RANK(HS_DB[[#This Row],[HS Code Risk Score]],HS_DB[HS Code Risk Score])&lt;=10,"Yes","No")</f>
        <v>No</v>
      </c>
      <c r="AM430" s="8">
        <f>SUMIFS(HS_DB[Net Weight -KG],HS_DB[HS Code],HS_DB[[#This Row],[HS Code]])</f>
        <v>1231357279</v>
      </c>
      <c r="AN430" s="8">
        <f>SUMIFS(HS_DB[Trade Value - USD],HS_DB[HS Code],HS_DB[[#This Row],[HS Code]])</f>
        <v>1137512379</v>
      </c>
      <c r="AO430" s="6">
        <f>_xlfn.MAXIFS(HS_DB[Origin Share%],HS_DB[HS Code],HS_DB[[#This Row],[HS Code]])</f>
        <v>0.39900464236999494</v>
      </c>
      <c r="AP430" s="8" cm="1">
        <f t="array" ref="AP430">_xlfn.LET(
_xlpm.hs,HS_DB[[#This Row],[HS Code]],
COUNTA(_xlfn.UNIQUE(_xlfn._xlws.FILTER(HS_DB[Reporter],HS_DB[HS Code]=_xlpm.hs)))
)</f>
        <v>7</v>
      </c>
      <c r="AQ430" s="17" t="str">
        <f>IF(HS_DB[[#This Row],[Origin Count]]=1,"Single Source","Multiple Sources")</f>
        <v>Multiple Sources</v>
      </c>
      <c r="AR430" s="8">
        <f>HS_DB[[#This Row],[Annual Spend - USD]]*(HS_DB[[#This Row],[HS Code Risk Score]]/100)</f>
        <v>386754208.86000001</v>
      </c>
      <c r="AS430" s="8">
        <f>RANK(HS_DB[[#This Row],[Risk Exposure - USD]],HS_DB[Risk Exposure - USD],0)</f>
        <v>1</v>
      </c>
      <c r="AT430" s="8" t="str">
        <f>IF(HS_DB[[#This Row],[Risk Exposure Rank]]&lt;=10,"High",
 IF(HS_DB[[#This Row],[Risk Exposure Rank]]&lt;=30,"Medium",
 "Low"))</f>
        <v>High</v>
      </c>
      <c r="AU430" s="8" t="str">
        <f>IF(HS_DB[[#This Row],[Risk Exposure Rank]]&lt;=5,"Immediate Action",
 IF(HS_DB[[#This Row],[Risk Exposure Rank]]&lt;=15,"Monitor Closely",
 "Routine Control"))</f>
        <v>Immediate Action</v>
      </c>
      <c r="AV430" s="8">
        <f>SUMIFS(HS_DB[Trade Value - USD],HS_DB[HS Code],HS_DB[[#This Row],[HS Code]])</f>
        <v>1137512379</v>
      </c>
      <c r="AW430" s="6">
        <f>HS_DB[[#This Row],[Annual Spend - USD]]/HS_DB[[#This Row],[Total Market Size - USD]]</f>
        <v>1</v>
      </c>
      <c r="AX430" s="6" cm="1">
        <f t="array" ref="AX430">COUNTA(_xlfn.UNIQUE(_xlfn._xlws.FILTER(HS_DB[Partner],HS_DB[HS Code]=HS_DB[[#This Row],[HS Code]])))</f>
        <v>1</v>
      </c>
      <c r="AY430" s="8" t="str">
        <f>IF(HS_DB[[#This Row],[Competition Intensity]]&lt;=2,"Highly Concentrated",
 IF(HS_DB[[#This Row],[Competition Intensity]]&lt;=5,"Moderate",
 "Highly Competitive"))</f>
        <v>Highly Concentrated</v>
      </c>
      <c r="AZ430" s="8">
        <f>HS_DB[[#This Row],[Total Market Size - USD]]
*
(1+IFERROR(#REF!,0))
/
HS_DB[[#This Row],[Competition Intensity]]</f>
        <v>1137512379</v>
      </c>
      <c r="BA430" s="8" t="str">
        <f>IF(HS_DB[[#This Row],[Commercial Opportunity Score]]&gt;=PERCENTILE(HS_DB[Commercial Opportunity Score],0.9),"High Opportunity",
 IF(HS_DB[[#This Row],[Commercial Opportunity Score]]&gt;=PERCENTILE(HS_DB[Commercial Opportunity Score],0.6),"Medium Opportunity",
 "Routine Market"))</f>
        <v>High Opportunity</v>
      </c>
      <c r="BB430" s="3" t="str">
        <f>IF(AND(HS_DB[[#This Row],[Product Rank]]&gt;0,HS_DB[[#This Row],[Product Rank]]&lt;=10),"Yes","No")</f>
        <v>No</v>
      </c>
      <c r="BC430" s="3" t="str">
        <f>IF(AND(HS_DB[[#This Row],[Origin Rank]]&gt;0,HS_DB[[#This Row],[Origin Rank]]&lt;=10),"Yes","No")</f>
        <v>Yes</v>
      </c>
    </row>
    <row r="431" spans="2:55" x14ac:dyDescent="0.3">
      <c r="B431" s="2">
        <f>HS_DB[[#This Row],[Commodity Code]]</f>
        <v>151190</v>
      </c>
      <c r="C431" s="2">
        <f>IFERROR(INDEX(HS_MD!C:C,MATCH(B431,HS_MD!B:B,0),1),"")</f>
        <v>35</v>
      </c>
      <c r="D431" s="17" t="str">
        <f>IFERROR(INDEX(HS_MD!D:D,MATCH(B431,HS_MD!B:B,0),1),"")</f>
        <v>Palm oil, refined</v>
      </c>
      <c r="E431" s="17" t="str">
        <f>IFERROR(INDEX(HS_MD!E:E,MATCH(B431,HS_MD!B:B,0),1),"")</f>
        <v>Refined Palm Oil</v>
      </c>
      <c r="F431" s="17" t="str">
        <f>IFERROR(INDEX(HS_MD!F:F,MATCH(B431,HS_MD!B:B,0),1),"")</f>
        <v>Agricultural Raw Materials</v>
      </c>
      <c r="G431" s="17" t="str">
        <f>IFERROR(INDEX(HS_MD!G:G,MATCH(B431,HS_MD!B:B,0),1),"")</f>
        <v>Edible Oils</v>
      </c>
      <c r="H431" s="17" t="str">
        <f>IFERROR(INDEX(HS_MD!H:H,MATCH(B431,HS_MD!B:B,0),1),"")</f>
        <v>Refined Vegetable Oils</v>
      </c>
      <c r="I431" s="17" t="str">
        <f>IFERROR(INDEX(HS_MD!I:I,MATCH(B431,HS_MD!B:B,0),1),"")</f>
        <v>Snacks / Margarine / Sauces</v>
      </c>
      <c r="J431" s="17">
        <f>IFERROR(INDEX(Heat_Map[Index],MATCH(HS_DB[[#This Row],[Reporter]],Heat_Map[Global],0),1),"")</f>
        <v>100</v>
      </c>
      <c r="K431" s="17" t="str">
        <f>IF(AND(HS_DB[[#This Row],[Origin Rank]]&gt;1,HS_DB[[#This Row],[Origin Rank]]&lt;=10),"Yes","No")</f>
        <v>No</v>
      </c>
      <c r="L431" s="2">
        <v>2024</v>
      </c>
      <c r="M431" s="2" t="s">
        <v>57</v>
      </c>
      <c r="N431" s="2" t="s">
        <v>51</v>
      </c>
      <c r="O431" s="2" t="s">
        <v>22</v>
      </c>
      <c r="P431" s="2" t="s">
        <v>23</v>
      </c>
      <c r="Q431" s="2" t="s">
        <v>24</v>
      </c>
      <c r="R431" s="2" t="s">
        <v>25</v>
      </c>
      <c r="S431" s="2">
        <v>151190</v>
      </c>
      <c r="T431" s="3">
        <v>404248322</v>
      </c>
      <c r="U431" s="3">
        <v>438614510</v>
      </c>
      <c r="V431" s="3">
        <v>0</v>
      </c>
      <c r="W431" s="3">
        <v>438614510</v>
      </c>
      <c r="X431" s="3" t="s">
        <v>58</v>
      </c>
      <c r="Y431" s="3">
        <v>438615</v>
      </c>
      <c r="Z431" s="3" t="s">
        <v>59</v>
      </c>
      <c r="AA431" s="6">
        <f>SUMIFS(HS_DB[Trade Value - USD],HS_DB[Reporter],HS_DB[[#This Row],[Reporter]])/SUM(HS_DB[Trade Value - USD])</f>
        <v>0.25769345655074266</v>
      </c>
      <c r="AB431" s="8" cm="1">
        <f t="array" ref="AB431">SUMPRODUCT(
(HS_DB[Reporter]=HS_DB[[#This Row],[Reporter]])*
(HS_DB[Trade Value - USD]&gt;HS_DB[[#This Row],[Trade Value - USD]])
)+1</f>
        <v>1</v>
      </c>
      <c r="AC431" s="8" t="str">
        <f>IFERROR(IF(INDEX(Heat_Map[Crisis Impact %],MATCH(HS_DB[[#This Row],[Reporter]],Heat_Map[Global],0),1)&gt;0,"Yes","No"),"No")</f>
        <v>No</v>
      </c>
      <c r="AD431" s="6">
        <f>IFERROR(INDEX(Heat_Map[Crisis Impact %],MATCH(HS_DB[[#This Row],[Reporter]],Heat_Map[Global],0),1),0)</f>
        <v>0</v>
      </c>
      <c r="AE431" s="8">
        <f>HS_DB[[#This Row],[Crisis Impact%]]*HS_DB[[#This Row],[Trade Value - USD]]</f>
        <v>0</v>
      </c>
      <c r="AF431" s="8">
        <f>HS_DB[[#This Row],[Crisis Impact%]]*HS_DB[[#This Row],[Net Weight -KG]]</f>
        <v>0</v>
      </c>
      <c r="AG431" s="6">
        <f>SUMIFS(HS_DB[Trade Value - USD],HS_DB[Products],HS_DB[[#This Row],[Products]])/SUM(HS_DB[Trade Value - USD])</f>
        <v>0.60345218393960753</v>
      </c>
      <c r="AH431" s="8">
        <f>_xlfn.RANK.EQ(HS_DB[[#This Row],[Trade Value - USD]], HS_DB[Trade Value - USD], 0)
 + COUNTIFS(HS_DB[Trade Value - USD],HS_DB[[#This Row],[Trade Value - USD]],
            HS_DB[HS Code],"&lt;"&amp;HS_DB[[#This Row],[HS Code]])</f>
        <v>2</v>
      </c>
      <c r="AI431" s="9">
        <f>IFERROR(HS_DB[[#This Row],[Trade Value - USD]]/HS_DB[[#This Row],[Net Weight -KG]],0)</f>
        <v>0.92164831026679894</v>
      </c>
      <c r="AJ431" s="17" cm="1">
        <f t="array" ref="AJ431">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31" s="17" t="str">
        <f>IF(HS_DB[[#This Row],[HS Code Risk Score]]&gt;=40,"High",
 IF(HS_DB[[#This Row],[HS Code Risk Score]]&gt;=25,"Medium","Low"))</f>
        <v>Medium</v>
      </c>
      <c r="AL431" s="17" t="str">
        <f>IF(RANK(HS_DB[[#This Row],[HS Code Risk Score]],HS_DB[HS Code Risk Score])&lt;=10,"Yes","No")</f>
        <v>No</v>
      </c>
      <c r="AM431" s="8">
        <f>SUMIFS(HS_DB[Net Weight -KG],HS_DB[HS Code],HS_DB[[#This Row],[HS Code]])</f>
        <v>1231357279</v>
      </c>
      <c r="AN431" s="8">
        <f>SUMIFS(HS_DB[Trade Value - USD],HS_DB[HS Code],HS_DB[[#This Row],[HS Code]])</f>
        <v>1137512379</v>
      </c>
      <c r="AO431" s="6">
        <f>_xlfn.MAXIFS(HS_DB[Origin Share%],HS_DB[HS Code],HS_DB[[#This Row],[HS Code]])</f>
        <v>0.39900464236999494</v>
      </c>
      <c r="AP431" s="8" cm="1">
        <f t="array" ref="AP431">_xlfn.LET(
_xlpm.hs,HS_DB[[#This Row],[HS Code]],
COUNTA(_xlfn.UNIQUE(_xlfn._xlws.FILTER(HS_DB[Reporter],HS_DB[HS Code]=_xlpm.hs)))
)</f>
        <v>7</v>
      </c>
      <c r="AQ431" s="17" t="str">
        <f>IF(HS_DB[[#This Row],[Origin Count]]=1,"Single Source","Multiple Sources")</f>
        <v>Multiple Sources</v>
      </c>
      <c r="AR431" s="8">
        <f>HS_DB[[#This Row],[Annual Spend - USD]]*(HS_DB[[#This Row],[HS Code Risk Score]]/100)</f>
        <v>386754208.86000001</v>
      </c>
      <c r="AS431" s="8">
        <f>RANK(HS_DB[[#This Row],[Risk Exposure - USD]],HS_DB[Risk Exposure - USD],0)</f>
        <v>1</v>
      </c>
      <c r="AT431" s="8" t="str">
        <f>IF(HS_DB[[#This Row],[Risk Exposure Rank]]&lt;=10,"High",
 IF(HS_DB[[#This Row],[Risk Exposure Rank]]&lt;=30,"Medium",
 "Low"))</f>
        <v>High</v>
      </c>
      <c r="AU431" s="8" t="str">
        <f>IF(HS_DB[[#This Row],[Risk Exposure Rank]]&lt;=5,"Immediate Action",
 IF(HS_DB[[#This Row],[Risk Exposure Rank]]&lt;=15,"Monitor Closely",
 "Routine Control"))</f>
        <v>Immediate Action</v>
      </c>
      <c r="AV431" s="8">
        <f>SUMIFS(HS_DB[Trade Value - USD],HS_DB[HS Code],HS_DB[[#This Row],[HS Code]])</f>
        <v>1137512379</v>
      </c>
      <c r="AW431" s="6">
        <f>HS_DB[[#This Row],[Annual Spend - USD]]/HS_DB[[#This Row],[Total Market Size - USD]]</f>
        <v>1</v>
      </c>
      <c r="AX431" s="6" cm="1">
        <f t="array" ref="AX431">COUNTA(_xlfn.UNIQUE(_xlfn._xlws.FILTER(HS_DB[Partner],HS_DB[HS Code]=HS_DB[[#This Row],[HS Code]])))</f>
        <v>1</v>
      </c>
      <c r="AY431" s="8" t="str">
        <f>IF(HS_DB[[#This Row],[Competition Intensity]]&lt;=2,"Highly Concentrated",
 IF(HS_DB[[#This Row],[Competition Intensity]]&lt;=5,"Moderate",
 "Highly Competitive"))</f>
        <v>Highly Concentrated</v>
      </c>
      <c r="AZ431" s="8">
        <f>HS_DB[[#This Row],[Total Market Size - USD]]
*
(1+IFERROR(#REF!,0))
/
HS_DB[[#This Row],[Competition Intensity]]</f>
        <v>1137512379</v>
      </c>
      <c r="BA431" s="8" t="str">
        <f>IF(HS_DB[[#This Row],[Commercial Opportunity Score]]&gt;=PERCENTILE(HS_DB[Commercial Opportunity Score],0.9),"High Opportunity",
 IF(HS_DB[[#This Row],[Commercial Opportunity Score]]&gt;=PERCENTILE(HS_DB[Commercial Opportunity Score],0.6),"Medium Opportunity",
 "Routine Market"))</f>
        <v>High Opportunity</v>
      </c>
      <c r="BB431" s="3" t="str">
        <f>IF(AND(HS_DB[[#This Row],[Product Rank]]&gt;0,HS_DB[[#This Row],[Product Rank]]&lt;=10),"Yes","No")</f>
        <v>Yes</v>
      </c>
      <c r="BC431" s="3" t="str">
        <f>IF(AND(HS_DB[[#This Row],[Origin Rank]]&gt;0,HS_DB[[#This Row],[Origin Rank]]&lt;=10),"Yes","No")</f>
        <v>Yes</v>
      </c>
    </row>
    <row r="432" spans="2:55" x14ac:dyDescent="0.3">
      <c r="B432" s="2">
        <f>HS_DB[[#This Row],[Commodity Code]]</f>
        <v>151190</v>
      </c>
      <c r="C432" s="2">
        <f>IFERROR(INDEX(HS_MD!C:C,MATCH(B432,HS_MD!B:B,0),1),"")</f>
        <v>35</v>
      </c>
      <c r="D432" s="17" t="str">
        <f>IFERROR(INDEX(HS_MD!D:D,MATCH(B432,HS_MD!B:B,0),1),"")</f>
        <v>Palm oil, refined</v>
      </c>
      <c r="E432" s="17" t="str">
        <f>IFERROR(INDEX(HS_MD!E:E,MATCH(B432,HS_MD!B:B,0),1),"")</f>
        <v>Refined Palm Oil</v>
      </c>
      <c r="F432" s="17" t="str">
        <f>IFERROR(INDEX(HS_MD!F:F,MATCH(B432,HS_MD!B:B,0),1),"")</f>
        <v>Agricultural Raw Materials</v>
      </c>
      <c r="G432" s="17" t="str">
        <f>IFERROR(INDEX(HS_MD!G:G,MATCH(B432,HS_MD!B:B,0),1),"")</f>
        <v>Edible Oils</v>
      </c>
      <c r="H432" s="17" t="str">
        <f>IFERROR(INDEX(HS_MD!H:H,MATCH(B432,HS_MD!B:B,0),1),"")</f>
        <v>Refined Vegetable Oils</v>
      </c>
      <c r="I432" s="17" t="str">
        <f>IFERROR(INDEX(HS_MD!I:I,MATCH(B432,HS_MD!B:B,0),1),"")</f>
        <v>Snacks / Margarine / Sauces</v>
      </c>
      <c r="J432" s="17">
        <f>IFERROR(INDEX(Heat_Map[Index],MATCH(HS_DB[[#This Row],[Reporter]],Heat_Map[Global],0),1),"")</f>
        <v>118</v>
      </c>
      <c r="K432" s="17" t="str">
        <f>IF(AND(HS_DB[[#This Row],[Origin Rank]]&gt;1,HS_DB[[#This Row],[Origin Rank]]&lt;=10),"Yes","No")</f>
        <v>Yes</v>
      </c>
      <c r="L432" s="2">
        <v>2024</v>
      </c>
      <c r="M432" s="2" t="s">
        <v>57</v>
      </c>
      <c r="N432" s="2" t="s">
        <v>53</v>
      </c>
      <c r="O432" s="2" t="s">
        <v>22</v>
      </c>
      <c r="P432" s="2" t="s">
        <v>23</v>
      </c>
      <c r="Q432" s="2" t="s">
        <v>24</v>
      </c>
      <c r="R432" s="2" t="s">
        <v>25</v>
      </c>
      <c r="S432" s="2">
        <v>151190</v>
      </c>
      <c r="T432" s="3">
        <v>383469</v>
      </c>
      <c r="U432" s="3">
        <v>135227</v>
      </c>
      <c r="V432" s="3">
        <v>0</v>
      </c>
      <c r="W432" s="3">
        <v>135227</v>
      </c>
      <c r="X432" s="3" t="s">
        <v>58</v>
      </c>
      <c r="Y432" s="3">
        <v>135227</v>
      </c>
      <c r="Z432" s="3" t="s">
        <v>58</v>
      </c>
      <c r="AA432" s="6">
        <f>SUMIFS(HS_DB[Trade Value - USD],HS_DB[Reporter],HS_DB[[#This Row],[Reporter]])/SUM(HS_DB[Trade Value - USD])</f>
        <v>1.4561232389604124E-2</v>
      </c>
      <c r="AB432" s="8" cm="1">
        <f t="array" ref="AB432">SUMPRODUCT(
(HS_DB[Reporter]=HS_DB[[#This Row],[Reporter]])*
(HS_DB[Trade Value - USD]&gt;HS_DB[[#This Row],[Trade Value - USD]])
)+1</f>
        <v>8</v>
      </c>
      <c r="AC432" s="8" t="str">
        <f>IFERROR(IF(INDEX(Heat_Map[Crisis Impact %],MATCH(HS_DB[[#This Row],[Reporter]],Heat_Map[Global],0),1)&gt;0,"Yes","No"),"No")</f>
        <v>No</v>
      </c>
      <c r="AD432" s="6">
        <f>IFERROR(INDEX(Heat_Map[Crisis Impact %],MATCH(HS_DB[[#This Row],[Reporter]],Heat_Map[Global],0),1),0)</f>
        <v>0</v>
      </c>
      <c r="AE432" s="8">
        <f>HS_DB[[#This Row],[Crisis Impact%]]*HS_DB[[#This Row],[Trade Value - USD]]</f>
        <v>0</v>
      </c>
      <c r="AF432" s="8">
        <f>HS_DB[[#This Row],[Crisis Impact%]]*HS_DB[[#This Row],[Net Weight -KG]]</f>
        <v>0</v>
      </c>
      <c r="AG432" s="6">
        <f>SUMIFS(HS_DB[Trade Value - USD],HS_DB[Products],HS_DB[[#This Row],[Products]])/SUM(HS_DB[Trade Value - USD])</f>
        <v>0.60345218393960753</v>
      </c>
      <c r="AH432" s="8">
        <f>_xlfn.RANK.EQ(HS_DB[[#This Row],[Trade Value - USD]], HS_DB[Trade Value - USD], 0)
 + COUNTIFS(HS_DB[Trade Value - USD],HS_DB[[#This Row],[Trade Value - USD]],
            HS_DB[HS Code],"&lt;"&amp;HS_DB[[#This Row],[HS Code]])</f>
        <v>163</v>
      </c>
      <c r="AI432" s="9">
        <f>IFERROR(HS_DB[[#This Row],[Trade Value - USD]]/HS_DB[[#This Row],[Net Weight -KG]],0)</f>
        <v>2.8357428620024105</v>
      </c>
      <c r="AJ432" s="17" cm="1">
        <f t="array" ref="AJ432">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32" s="17" t="str">
        <f>IF(HS_DB[[#This Row],[HS Code Risk Score]]&gt;=40,"High",
 IF(HS_DB[[#This Row],[HS Code Risk Score]]&gt;=25,"Medium","Low"))</f>
        <v>Medium</v>
      </c>
      <c r="AL432" s="17" t="str">
        <f>IF(RANK(HS_DB[[#This Row],[HS Code Risk Score]],HS_DB[HS Code Risk Score])&lt;=10,"Yes","No")</f>
        <v>No</v>
      </c>
      <c r="AM432" s="8">
        <f>SUMIFS(HS_DB[Net Weight -KG],HS_DB[HS Code],HS_DB[[#This Row],[HS Code]])</f>
        <v>1231357279</v>
      </c>
      <c r="AN432" s="8">
        <f>SUMIFS(HS_DB[Trade Value - USD],HS_DB[HS Code],HS_DB[[#This Row],[HS Code]])</f>
        <v>1137512379</v>
      </c>
      <c r="AO432" s="6">
        <f>_xlfn.MAXIFS(HS_DB[Origin Share%],HS_DB[HS Code],HS_DB[[#This Row],[HS Code]])</f>
        <v>0.39900464236999494</v>
      </c>
      <c r="AP432" s="8" cm="1">
        <f t="array" ref="AP432">_xlfn.LET(
_xlpm.hs,HS_DB[[#This Row],[HS Code]],
COUNTA(_xlfn.UNIQUE(_xlfn._xlws.FILTER(HS_DB[Reporter],HS_DB[HS Code]=_xlpm.hs)))
)</f>
        <v>7</v>
      </c>
      <c r="AQ432" s="17" t="str">
        <f>IF(HS_DB[[#This Row],[Origin Count]]=1,"Single Source","Multiple Sources")</f>
        <v>Multiple Sources</v>
      </c>
      <c r="AR432" s="8">
        <f>HS_DB[[#This Row],[Annual Spend - USD]]*(HS_DB[[#This Row],[HS Code Risk Score]]/100)</f>
        <v>386754208.86000001</v>
      </c>
      <c r="AS432" s="8">
        <f>RANK(HS_DB[[#This Row],[Risk Exposure - USD]],HS_DB[Risk Exposure - USD],0)</f>
        <v>1</v>
      </c>
      <c r="AT432" s="8" t="str">
        <f>IF(HS_DB[[#This Row],[Risk Exposure Rank]]&lt;=10,"High",
 IF(HS_DB[[#This Row],[Risk Exposure Rank]]&lt;=30,"Medium",
 "Low"))</f>
        <v>High</v>
      </c>
      <c r="AU432" s="8" t="str">
        <f>IF(HS_DB[[#This Row],[Risk Exposure Rank]]&lt;=5,"Immediate Action",
 IF(HS_DB[[#This Row],[Risk Exposure Rank]]&lt;=15,"Monitor Closely",
 "Routine Control"))</f>
        <v>Immediate Action</v>
      </c>
      <c r="AV432" s="8">
        <f>SUMIFS(HS_DB[Trade Value - USD],HS_DB[HS Code],HS_DB[[#This Row],[HS Code]])</f>
        <v>1137512379</v>
      </c>
      <c r="AW432" s="6">
        <f>HS_DB[[#This Row],[Annual Spend - USD]]/HS_DB[[#This Row],[Total Market Size - USD]]</f>
        <v>1</v>
      </c>
      <c r="AX432" s="6" cm="1">
        <f t="array" ref="AX432">COUNTA(_xlfn.UNIQUE(_xlfn._xlws.FILTER(HS_DB[Partner],HS_DB[HS Code]=HS_DB[[#This Row],[HS Code]])))</f>
        <v>1</v>
      </c>
      <c r="AY432" s="8" t="str">
        <f>IF(HS_DB[[#This Row],[Competition Intensity]]&lt;=2,"Highly Concentrated",
 IF(HS_DB[[#This Row],[Competition Intensity]]&lt;=5,"Moderate",
 "Highly Competitive"))</f>
        <v>Highly Concentrated</v>
      </c>
      <c r="AZ432" s="8">
        <f>HS_DB[[#This Row],[Total Market Size - USD]]
*
(1+IFERROR(#REF!,0))
/
HS_DB[[#This Row],[Competition Intensity]]</f>
        <v>1137512379</v>
      </c>
      <c r="BA432" s="8" t="str">
        <f>IF(HS_DB[[#This Row],[Commercial Opportunity Score]]&gt;=PERCENTILE(HS_DB[Commercial Opportunity Score],0.9),"High Opportunity",
 IF(HS_DB[[#This Row],[Commercial Opportunity Score]]&gt;=PERCENTILE(HS_DB[Commercial Opportunity Score],0.6),"Medium Opportunity",
 "Routine Market"))</f>
        <v>High Opportunity</v>
      </c>
      <c r="BB432" s="3" t="str">
        <f>IF(AND(HS_DB[[#This Row],[Product Rank]]&gt;0,HS_DB[[#This Row],[Product Rank]]&lt;=10),"Yes","No")</f>
        <v>No</v>
      </c>
      <c r="BC432" s="3" t="str">
        <f>IF(AND(HS_DB[[#This Row],[Origin Rank]]&gt;0,HS_DB[[#This Row],[Origin Rank]]&lt;=10),"Yes","No")</f>
        <v>Yes</v>
      </c>
    </row>
    <row r="433" spans="2:55" x14ac:dyDescent="0.3">
      <c r="B433" s="2">
        <f>HS_DB[[#This Row],[Commodity Code]]</f>
        <v>151190</v>
      </c>
      <c r="C433" s="2">
        <f>IFERROR(INDEX(HS_MD!C:C,MATCH(B433,HS_MD!B:B,0),1),"")</f>
        <v>35</v>
      </c>
      <c r="D433" s="17" t="str">
        <f>IFERROR(INDEX(HS_MD!D:D,MATCH(B433,HS_MD!B:B,0),1),"")</f>
        <v>Palm oil, refined</v>
      </c>
      <c r="E433" s="17" t="str">
        <f>IFERROR(INDEX(HS_MD!E:E,MATCH(B433,HS_MD!B:B,0),1),"")</f>
        <v>Refined Palm Oil</v>
      </c>
      <c r="F433" s="17" t="str">
        <f>IFERROR(INDEX(HS_MD!F:F,MATCH(B433,HS_MD!B:B,0),1),"")</f>
        <v>Agricultural Raw Materials</v>
      </c>
      <c r="G433" s="17" t="str">
        <f>IFERROR(INDEX(HS_MD!G:G,MATCH(B433,HS_MD!B:B,0),1),"")</f>
        <v>Edible Oils</v>
      </c>
      <c r="H433" s="17" t="str">
        <f>IFERROR(INDEX(HS_MD!H:H,MATCH(B433,HS_MD!B:B,0),1),"")</f>
        <v>Refined Vegetable Oils</v>
      </c>
      <c r="I433" s="17" t="str">
        <f>IFERROR(INDEX(HS_MD!I:I,MATCH(B433,HS_MD!B:B,0),1),"")</f>
        <v>Snacks / Margarine / Sauces</v>
      </c>
      <c r="J433" s="17">
        <f>IFERROR(INDEX(Heat_Map[Index],MATCH(HS_DB[[#This Row],[Reporter]],Heat_Map[Global],0),1),"")</f>
        <v>146</v>
      </c>
      <c r="K433" s="17" t="str">
        <f>IF(AND(HS_DB[[#This Row],[Origin Rank]]&gt;1,HS_DB[[#This Row],[Origin Rank]]&lt;=10),"Yes","No")</f>
        <v>Yes</v>
      </c>
      <c r="L433" s="2">
        <v>2024</v>
      </c>
      <c r="M433" s="2" t="s">
        <v>57</v>
      </c>
      <c r="N433" s="2" t="s">
        <v>27</v>
      </c>
      <c r="O433" s="2" t="s">
        <v>22</v>
      </c>
      <c r="P433" s="2" t="s">
        <v>23</v>
      </c>
      <c r="Q433" s="2" t="s">
        <v>24</v>
      </c>
      <c r="R433" s="2" t="s">
        <v>25</v>
      </c>
      <c r="S433" s="2">
        <v>151190</v>
      </c>
      <c r="T433" s="3">
        <v>725570</v>
      </c>
      <c r="U433" s="3">
        <v>430040</v>
      </c>
      <c r="V433" s="3">
        <v>0</v>
      </c>
      <c r="W433" s="3">
        <v>430040</v>
      </c>
      <c r="X433" s="3" t="s">
        <v>58</v>
      </c>
      <c r="Y433" s="3">
        <v>430040</v>
      </c>
      <c r="Z433" s="3" t="s">
        <v>58</v>
      </c>
      <c r="AA433" s="6">
        <f>SUMIFS(HS_DB[Trade Value - USD],HS_DB[Reporter],HS_DB[[#This Row],[Reporter]])/SUM(HS_DB[Trade Value - USD])</f>
        <v>9.709938116315122E-3</v>
      </c>
      <c r="AB433" s="8" cm="1">
        <f t="array" ref="AB433">SUMPRODUCT(
(HS_DB[Reporter]=HS_DB[[#This Row],[Reporter]])*
(HS_DB[Trade Value - USD]&gt;HS_DB[[#This Row],[Trade Value - USD]])
)+1</f>
        <v>4</v>
      </c>
      <c r="AC433" s="8" t="str">
        <f>IFERROR(IF(INDEX(Heat_Map[Crisis Impact %],MATCH(HS_DB[[#This Row],[Reporter]],Heat_Map[Global],0),1)&gt;0,"Yes","No"),"No")</f>
        <v>No</v>
      </c>
      <c r="AD433" s="6">
        <f>IFERROR(INDEX(Heat_Map[Crisis Impact %],MATCH(HS_DB[[#This Row],[Reporter]],Heat_Map[Global],0),1),0)</f>
        <v>0</v>
      </c>
      <c r="AE433" s="8">
        <f>HS_DB[[#This Row],[Crisis Impact%]]*HS_DB[[#This Row],[Trade Value - USD]]</f>
        <v>0</v>
      </c>
      <c r="AF433" s="8">
        <f>HS_DB[[#This Row],[Crisis Impact%]]*HS_DB[[#This Row],[Net Weight -KG]]</f>
        <v>0</v>
      </c>
      <c r="AG433" s="6">
        <f>SUMIFS(HS_DB[Trade Value - USD],HS_DB[Products],HS_DB[[#This Row],[Products]])/SUM(HS_DB[Trade Value - USD])</f>
        <v>0.60345218393960753</v>
      </c>
      <c r="AH433" s="8">
        <f>_xlfn.RANK.EQ(HS_DB[[#This Row],[Trade Value - USD]], HS_DB[Trade Value - USD], 0)
 + COUNTIFS(HS_DB[Trade Value - USD],HS_DB[[#This Row],[Trade Value - USD]],
            HS_DB[HS Code],"&lt;"&amp;HS_DB[[#This Row],[HS Code]])</f>
        <v>121</v>
      </c>
      <c r="AI433" s="9">
        <f>IFERROR(HS_DB[[#This Row],[Trade Value - USD]]/HS_DB[[#This Row],[Net Weight -KG]],0)</f>
        <v>1.687215142777416</v>
      </c>
      <c r="AJ433" s="17" cm="1">
        <f t="array" ref="AJ433">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33" s="17" t="str">
        <f>IF(HS_DB[[#This Row],[HS Code Risk Score]]&gt;=40,"High",
 IF(HS_DB[[#This Row],[HS Code Risk Score]]&gt;=25,"Medium","Low"))</f>
        <v>Medium</v>
      </c>
      <c r="AL433" s="17" t="str">
        <f>IF(RANK(HS_DB[[#This Row],[HS Code Risk Score]],HS_DB[HS Code Risk Score])&lt;=10,"Yes","No")</f>
        <v>No</v>
      </c>
      <c r="AM433" s="8">
        <f>SUMIFS(HS_DB[Net Weight -KG],HS_DB[HS Code],HS_DB[[#This Row],[HS Code]])</f>
        <v>1231357279</v>
      </c>
      <c r="AN433" s="8">
        <f>SUMIFS(HS_DB[Trade Value - USD],HS_DB[HS Code],HS_DB[[#This Row],[HS Code]])</f>
        <v>1137512379</v>
      </c>
      <c r="AO433" s="6">
        <f>_xlfn.MAXIFS(HS_DB[Origin Share%],HS_DB[HS Code],HS_DB[[#This Row],[HS Code]])</f>
        <v>0.39900464236999494</v>
      </c>
      <c r="AP433" s="8" cm="1">
        <f t="array" ref="AP433">_xlfn.LET(
_xlpm.hs,HS_DB[[#This Row],[HS Code]],
COUNTA(_xlfn.UNIQUE(_xlfn._xlws.FILTER(HS_DB[Reporter],HS_DB[HS Code]=_xlpm.hs)))
)</f>
        <v>7</v>
      </c>
      <c r="AQ433" s="17" t="str">
        <f>IF(HS_DB[[#This Row],[Origin Count]]=1,"Single Source","Multiple Sources")</f>
        <v>Multiple Sources</v>
      </c>
      <c r="AR433" s="8">
        <f>HS_DB[[#This Row],[Annual Spend - USD]]*(HS_DB[[#This Row],[HS Code Risk Score]]/100)</f>
        <v>386754208.86000001</v>
      </c>
      <c r="AS433" s="8">
        <f>RANK(HS_DB[[#This Row],[Risk Exposure - USD]],HS_DB[Risk Exposure - USD],0)</f>
        <v>1</v>
      </c>
      <c r="AT433" s="8" t="str">
        <f>IF(HS_DB[[#This Row],[Risk Exposure Rank]]&lt;=10,"High",
 IF(HS_DB[[#This Row],[Risk Exposure Rank]]&lt;=30,"Medium",
 "Low"))</f>
        <v>High</v>
      </c>
      <c r="AU433" s="8" t="str">
        <f>IF(HS_DB[[#This Row],[Risk Exposure Rank]]&lt;=5,"Immediate Action",
 IF(HS_DB[[#This Row],[Risk Exposure Rank]]&lt;=15,"Monitor Closely",
 "Routine Control"))</f>
        <v>Immediate Action</v>
      </c>
      <c r="AV433" s="8">
        <f>SUMIFS(HS_DB[Trade Value - USD],HS_DB[HS Code],HS_DB[[#This Row],[HS Code]])</f>
        <v>1137512379</v>
      </c>
      <c r="AW433" s="6">
        <f>HS_DB[[#This Row],[Annual Spend - USD]]/HS_DB[[#This Row],[Total Market Size - USD]]</f>
        <v>1</v>
      </c>
      <c r="AX433" s="6" cm="1">
        <f t="array" ref="AX433">COUNTA(_xlfn.UNIQUE(_xlfn._xlws.FILTER(HS_DB[Partner],HS_DB[HS Code]=HS_DB[[#This Row],[HS Code]])))</f>
        <v>1</v>
      </c>
      <c r="AY433" s="8" t="str">
        <f>IF(HS_DB[[#This Row],[Competition Intensity]]&lt;=2,"Highly Concentrated",
 IF(HS_DB[[#This Row],[Competition Intensity]]&lt;=5,"Moderate",
 "Highly Competitive"))</f>
        <v>Highly Concentrated</v>
      </c>
      <c r="AZ433" s="8">
        <f>HS_DB[[#This Row],[Total Market Size - USD]]
*
(1+IFERROR(#REF!,0))
/
HS_DB[[#This Row],[Competition Intensity]]</f>
        <v>1137512379</v>
      </c>
      <c r="BA433" s="8" t="str">
        <f>IF(HS_DB[[#This Row],[Commercial Opportunity Score]]&gt;=PERCENTILE(HS_DB[Commercial Opportunity Score],0.9),"High Opportunity",
 IF(HS_DB[[#This Row],[Commercial Opportunity Score]]&gt;=PERCENTILE(HS_DB[Commercial Opportunity Score],0.6),"Medium Opportunity",
 "Routine Market"))</f>
        <v>High Opportunity</v>
      </c>
      <c r="BB433" s="3" t="str">
        <f>IF(AND(HS_DB[[#This Row],[Product Rank]]&gt;0,HS_DB[[#This Row],[Product Rank]]&lt;=10),"Yes","No")</f>
        <v>No</v>
      </c>
      <c r="BC433" s="3" t="str">
        <f>IF(AND(HS_DB[[#This Row],[Origin Rank]]&gt;0,HS_DB[[#This Row],[Origin Rank]]&lt;=10),"Yes","No")</f>
        <v>Yes</v>
      </c>
    </row>
    <row r="434" spans="2:55" x14ac:dyDescent="0.3">
      <c r="B434" s="2">
        <f>HS_DB[[#This Row],[Commodity Code]]</f>
        <v>151190</v>
      </c>
      <c r="C434" s="2">
        <f>IFERROR(INDEX(HS_MD!C:C,MATCH(B434,HS_MD!B:B,0),1),"")</f>
        <v>35</v>
      </c>
      <c r="D434" s="17" t="str">
        <f>IFERROR(INDEX(HS_MD!D:D,MATCH(B434,HS_MD!B:B,0),1),"")</f>
        <v>Palm oil, refined</v>
      </c>
      <c r="E434" s="17" t="str">
        <f>IFERROR(INDEX(HS_MD!E:E,MATCH(B434,HS_MD!B:B,0),1),"")</f>
        <v>Refined Palm Oil</v>
      </c>
      <c r="F434" s="17" t="str">
        <f>IFERROR(INDEX(HS_MD!F:F,MATCH(B434,HS_MD!B:B,0),1),"")</f>
        <v>Agricultural Raw Materials</v>
      </c>
      <c r="G434" s="17" t="str">
        <f>IFERROR(INDEX(HS_MD!G:G,MATCH(B434,HS_MD!B:B,0),1),"")</f>
        <v>Edible Oils</v>
      </c>
      <c r="H434" s="17" t="str">
        <f>IFERROR(INDEX(HS_MD!H:H,MATCH(B434,HS_MD!B:B,0),1),"")</f>
        <v>Refined Vegetable Oils</v>
      </c>
      <c r="I434" s="17" t="str">
        <f>IFERROR(INDEX(HS_MD!I:I,MATCH(B434,HS_MD!B:B,0),1),"")</f>
        <v>Snacks / Margarine / Sauces</v>
      </c>
      <c r="J434" s="17">
        <f>IFERROR(INDEX(Heat_Map[Index],MATCH(HS_DB[[#This Row],[Reporter]],Heat_Map[Global],0),1),"")</f>
        <v>151</v>
      </c>
      <c r="K434" s="17" t="str">
        <f>IF(AND(HS_DB[[#This Row],[Origin Rank]]&gt;1,HS_DB[[#This Row],[Origin Rank]]&lt;=10),"Yes","No")</f>
        <v>Yes</v>
      </c>
      <c r="L434" s="2">
        <v>2024</v>
      </c>
      <c r="M434" s="2" t="s">
        <v>57</v>
      </c>
      <c r="N434" s="2" t="s">
        <v>28</v>
      </c>
      <c r="O434" s="2" t="s">
        <v>22</v>
      </c>
      <c r="P434" s="2" t="s">
        <v>23</v>
      </c>
      <c r="Q434" s="2" t="s">
        <v>24</v>
      </c>
      <c r="R434" s="2" t="s">
        <v>25</v>
      </c>
      <c r="S434" s="2">
        <v>151190</v>
      </c>
      <c r="T434" s="3">
        <v>0</v>
      </c>
      <c r="U434" s="3">
        <v>0</v>
      </c>
      <c r="V434" s="3">
        <v>0</v>
      </c>
      <c r="W434" s="3">
        <v>0</v>
      </c>
      <c r="X434" s="3" t="s">
        <v>26</v>
      </c>
      <c r="Y434" s="3">
        <v>2</v>
      </c>
      <c r="Z434" s="3" t="s">
        <v>59</v>
      </c>
      <c r="AA434" s="6">
        <f>SUMIFS(HS_DB[Trade Value - USD],HS_DB[Reporter],HS_DB[[#This Row],[Reporter]])/SUM(HS_DB[Trade Value - USD])</f>
        <v>8.2796770445636432E-4</v>
      </c>
      <c r="AB434" s="8" cm="1">
        <f t="array" ref="AB434">SUMPRODUCT(
(HS_DB[Reporter]=HS_DB[[#This Row],[Reporter]])*
(HS_DB[Trade Value - USD]&gt;HS_DB[[#This Row],[Trade Value - USD]])
)+1</f>
        <v>8</v>
      </c>
      <c r="AC434" s="8" t="str">
        <f>IFERROR(IF(INDEX(Heat_Map[Crisis Impact %],MATCH(HS_DB[[#This Row],[Reporter]],Heat_Map[Global],0),1)&gt;0,"Yes","No"),"No")</f>
        <v>Yes</v>
      </c>
      <c r="AD434" s="6">
        <f>IFERROR(INDEX(Heat_Map[Crisis Impact %],MATCH(HS_DB[[#This Row],[Reporter]],Heat_Map[Global],0),1),0)</f>
        <v>0.06</v>
      </c>
      <c r="AE434" s="8">
        <f>HS_DB[[#This Row],[Crisis Impact%]]*HS_DB[[#This Row],[Trade Value - USD]]</f>
        <v>0</v>
      </c>
      <c r="AF434" s="8">
        <f>HS_DB[[#This Row],[Crisis Impact%]]*HS_DB[[#This Row],[Net Weight -KG]]</f>
        <v>0</v>
      </c>
      <c r="AG434" s="6">
        <f>SUMIFS(HS_DB[Trade Value - USD],HS_DB[Products],HS_DB[[#This Row],[Products]])/SUM(HS_DB[Trade Value - USD])</f>
        <v>0.60345218393960753</v>
      </c>
      <c r="AH434" s="8">
        <f>_xlfn.RANK.EQ(HS_DB[[#This Row],[Trade Value - USD]], HS_DB[Trade Value - USD], 0)
 + COUNTIFS(HS_DB[Trade Value - USD],HS_DB[[#This Row],[Trade Value - USD]],
            HS_DB[HS Code],"&lt;"&amp;HS_DB[[#This Row],[HS Code]])</f>
        <v>539</v>
      </c>
      <c r="AI434" s="9">
        <f>IFERROR(HS_DB[[#This Row],[Trade Value - USD]]/HS_DB[[#This Row],[Net Weight -KG]],0)</f>
        <v>0</v>
      </c>
      <c r="AJ434" s="17" cm="1">
        <f t="array" ref="AJ434">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34" s="17" t="str">
        <f>IF(HS_DB[[#This Row],[HS Code Risk Score]]&gt;=40,"High",
 IF(HS_DB[[#This Row],[HS Code Risk Score]]&gt;=25,"Medium","Low"))</f>
        <v>Medium</v>
      </c>
      <c r="AL434" s="17" t="str">
        <f>IF(RANK(HS_DB[[#This Row],[HS Code Risk Score]],HS_DB[HS Code Risk Score])&lt;=10,"Yes","No")</f>
        <v>No</v>
      </c>
      <c r="AM434" s="8">
        <f>SUMIFS(HS_DB[Net Weight -KG],HS_DB[HS Code],HS_DB[[#This Row],[HS Code]])</f>
        <v>1231357279</v>
      </c>
      <c r="AN434" s="8">
        <f>SUMIFS(HS_DB[Trade Value - USD],HS_DB[HS Code],HS_DB[[#This Row],[HS Code]])</f>
        <v>1137512379</v>
      </c>
      <c r="AO434" s="6">
        <f>_xlfn.MAXIFS(HS_DB[Origin Share%],HS_DB[HS Code],HS_DB[[#This Row],[HS Code]])</f>
        <v>0.39900464236999494</v>
      </c>
      <c r="AP434" s="8" cm="1">
        <f t="array" ref="AP434">_xlfn.LET(
_xlpm.hs,HS_DB[[#This Row],[HS Code]],
COUNTA(_xlfn.UNIQUE(_xlfn._xlws.FILTER(HS_DB[Reporter],HS_DB[HS Code]=_xlpm.hs)))
)</f>
        <v>7</v>
      </c>
      <c r="AQ434" s="17" t="str">
        <f>IF(HS_DB[[#This Row],[Origin Count]]=1,"Single Source","Multiple Sources")</f>
        <v>Multiple Sources</v>
      </c>
      <c r="AR434" s="8">
        <f>HS_DB[[#This Row],[Annual Spend - USD]]*(HS_DB[[#This Row],[HS Code Risk Score]]/100)</f>
        <v>386754208.86000001</v>
      </c>
      <c r="AS434" s="8">
        <f>RANK(HS_DB[[#This Row],[Risk Exposure - USD]],HS_DB[Risk Exposure - USD],0)</f>
        <v>1</v>
      </c>
      <c r="AT434" s="8" t="str">
        <f>IF(HS_DB[[#This Row],[Risk Exposure Rank]]&lt;=10,"High",
 IF(HS_DB[[#This Row],[Risk Exposure Rank]]&lt;=30,"Medium",
 "Low"))</f>
        <v>High</v>
      </c>
      <c r="AU434" s="8" t="str">
        <f>IF(HS_DB[[#This Row],[Risk Exposure Rank]]&lt;=5,"Immediate Action",
 IF(HS_DB[[#This Row],[Risk Exposure Rank]]&lt;=15,"Monitor Closely",
 "Routine Control"))</f>
        <v>Immediate Action</v>
      </c>
      <c r="AV434" s="8">
        <f>SUMIFS(HS_DB[Trade Value - USD],HS_DB[HS Code],HS_DB[[#This Row],[HS Code]])</f>
        <v>1137512379</v>
      </c>
      <c r="AW434" s="6">
        <f>HS_DB[[#This Row],[Annual Spend - USD]]/HS_DB[[#This Row],[Total Market Size - USD]]</f>
        <v>1</v>
      </c>
      <c r="AX434" s="6" cm="1">
        <f t="array" ref="AX434">COUNTA(_xlfn.UNIQUE(_xlfn._xlws.FILTER(HS_DB[Partner],HS_DB[HS Code]=HS_DB[[#This Row],[HS Code]])))</f>
        <v>1</v>
      </c>
      <c r="AY434" s="8" t="str">
        <f>IF(HS_DB[[#This Row],[Competition Intensity]]&lt;=2,"Highly Concentrated",
 IF(HS_DB[[#This Row],[Competition Intensity]]&lt;=5,"Moderate",
 "Highly Competitive"))</f>
        <v>Highly Concentrated</v>
      </c>
      <c r="AZ434" s="8">
        <f>HS_DB[[#This Row],[Total Market Size - USD]]
*
(1+IFERROR(#REF!,0))
/
HS_DB[[#This Row],[Competition Intensity]]</f>
        <v>1137512379</v>
      </c>
      <c r="BA434" s="8" t="str">
        <f>IF(HS_DB[[#This Row],[Commercial Opportunity Score]]&gt;=PERCENTILE(HS_DB[Commercial Opportunity Score],0.9),"High Opportunity",
 IF(HS_DB[[#This Row],[Commercial Opportunity Score]]&gt;=PERCENTILE(HS_DB[Commercial Opportunity Score],0.6),"Medium Opportunity",
 "Routine Market"))</f>
        <v>High Opportunity</v>
      </c>
      <c r="BB434" s="3" t="str">
        <f>IF(AND(HS_DB[[#This Row],[Product Rank]]&gt;0,HS_DB[[#This Row],[Product Rank]]&lt;=10),"Yes","No")</f>
        <v>No</v>
      </c>
      <c r="BC434" s="3" t="str">
        <f>IF(AND(HS_DB[[#This Row],[Origin Rank]]&gt;0,HS_DB[[#This Row],[Origin Rank]]&lt;=10),"Yes","No")</f>
        <v>Yes</v>
      </c>
    </row>
    <row r="435" spans="2:55" x14ac:dyDescent="0.3">
      <c r="B435" s="2">
        <f>HS_DB[[#This Row],[Commodity Code]]</f>
        <v>150710</v>
      </c>
      <c r="C435" s="2">
        <f>IFERROR(INDEX(HS_MD!C:C,MATCH(B435,HS_MD!B:B,0),1),"")</f>
        <v>36</v>
      </c>
      <c r="D435" s="17" t="str">
        <f>IFERROR(INDEX(HS_MD!D:D,MATCH(B435,HS_MD!B:B,0),1),"")</f>
        <v>Soybean oil, crude</v>
      </c>
      <c r="E435" s="17" t="str">
        <f>IFERROR(INDEX(HS_MD!E:E,MATCH(B435,HS_MD!B:B,0),1),"")</f>
        <v>Crude Soybean Oil</v>
      </c>
      <c r="F435" s="17" t="str">
        <f>IFERROR(INDEX(HS_MD!F:F,MATCH(B435,HS_MD!B:B,0),1),"")</f>
        <v>Agricultural Raw Materials</v>
      </c>
      <c r="G435" s="17" t="str">
        <f>IFERROR(INDEX(HS_MD!G:G,MATCH(B435,HS_MD!B:B,0),1),"")</f>
        <v>Edible Oils</v>
      </c>
      <c r="H435" s="17" t="str">
        <f>IFERROR(INDEX(HS_MD!H:H,MATCH(B435,HS_MD!B:B,0),1),"")</f>
        <v>Crude Vegetable Oils</v>
      </c>
      <c r="I435" s="17" t="str">
        <f>IFERROR(INDEX(HS_MD!I:I,MATCH(B435,HS_MD!B:B,0),1),"")</f>
        <v>Food Manufacturing</v>
      </c>
      <c r="J435" s="17">
        <f>IFERROR(INDEX(Heat_Map[Index],MATCH(HS_DB[[#This Row],[Reporter]],Heat_Map[Global],0),1),"")</f>
        <v>81</v>
      </c>
      <c r="K435" s="17" t="str">
        <f>IF(AND(HS_DB[[#This Row],[Origin Rank]]&gt;1,HS_DB[[#This Row],[Origin Rank]]&lt;=10),"Yes","No")</f>
        <v>No</v>
      </c>
      <c r="L435" s="2">
        <v>2024</v>
      </c>
      <c r="M435" s="2" t="s">
        <v>57</v>
      </c>
      <c r="N435" s="2" t="s">
        <v>49</v>
      </c>
      <c r="O435" s="2" t="s">
        <v>22</v>
      </c>
      <c r="P435" s="2" t="s">
        <v>23</v>
      </c>
      <c r="Q435" s="2" t="s">
        <v>24</v>
      </c>
      <c r="R435" s="2" t="s">
        <v>25</v>
      </c>
      <c r="S435" s="2">
        <v>150710</v>
      </c>
      <c r="T435" s="3">
        <v>11487932</v>
      </c>
      <c r="U435" s="3">
        <v>11600000</v>
      </c>
      <c r="V435" s="3">
        <v>0</v>
      </c>
      <c r="W435" s="3">
        <v>11600000</v>
      </c>
      <c r="X435" s="3" t="s">
        <v>58</v>
      </c>
      <c r="Y435" s="3">
        <v>11600000</v>
      </c>
      <c r="Z435" s="3" t="s">
        <v>58</v>
      </c>
      <c r="AA435" s="6">
        <f>SUMIFS(HS_DB[Trade Value - USD],HS_DB[Reporter],HS_DB[[#This Row],[Reporter]])/SUM(HS_DB[Trade Value - USD])</f>
        <v>1.1178535358665947E-2</v>
      </c>
      <c r="AB435" s="8" cm="1">
        <f t="array" ref="AB435">SUMPRODUCT(
(HS_DB[Reporter]=HS_DB[[#This Row],[Reporter]])*
(HS_DB[Trade Value - USD]&gt;HS_DB[[#This Row],[Trade Value - USD]])
)+1</f>
        <v>1</v>
      </c>
      <c r="AC435" s="8" t="str">
        <f>IFERROR(IF(INDEX(Heat_Map[Crisis Impact %],MATCH(HS_DB[[#This Row],[Reporter]],Heat_Map[Global],0),1)&gt;0,"Yes","No"),"No")</f>
        <v>No</v>
      </c>
      <c r="AD435" s="6">
        <f>IFERROR(INDEX(Heat_Map[Crisis Impact %],MATCH(HS_DB[[#This Row],[Reporter]],Heat_Map[Global],0),1),0)</f>
        <v>0</v>
      </c>
      <c r="AE435" s="8">
        <f>HS_DB[[#This Row],[Crisis Impact%]]*HS_DB[[#This Row],[Trade Value - USD]]</f>
        <v>0</v>
      </c>
      <c r="AF435" s="8">
        <f>HS_DB[[#This Row],[Crisis Impact%]]*HS_DB[[#This Row],[Net Weight -KG]]</f>
        <v>0</v>
      </c>
      <c r="AG435" s="6">
        <f>SUMIFS(HS_DB[Trade Value - USD],HS_DB[Products],HS_DB[[#This Row],[Products]])/SUM(HS_DB[Trade Value - USD])</f>
        <v>2.5692076181228242E-2</v>
      </c>
      <c r="AH435" s="8">
        <f>_xlfn.RANK.EQ(HS_DB[[#This Row],[Trade Value - USD]], HS_DB[Trade Value - USD], 0)
 + COUNTIFS(HS_DB[Trade Value - USD],HS_DB[[#This Row],[Trade Value - USD]],
            HS_DB[HS Code],"&lt;"&amp;HS_DB[[#This Row],[HS Code]])</f>
        <v>14</v>
      </c>
      <c r="AI435" s="9">
        <f>IFERROR(HS_DB[[#This Row],[Trade Value - USD]]/HS_DB[[#This Row],[Net Weight -KG]],0)</f>
        <v>0.99033896551724143</v>
      </c>
      <c r="AJ435" s="17" cm="1">
        <f t="array" ref="AJ435">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22</v>
      </c>
      <c r="AK435" s="17" t="str">
        <f>IF(HS_DB[[#This Row],[HS Code Risk Score]]&gt;=40,"High",
 IF(HS_DB[[#This Row],[HS Code Risk Score]]&gt;=25,"Medium","Low"))</f>
        <v>Low</v>
      </c>
      <c r="AL435" s="17" t="str">
        <f>IF(RANK(HS_DB[[#This Row],[HS Code Risk Score]],HS_DB[HS Code Risk Score])&lt;=10,"Yes","No")</f>
        <v>No</v>
      </c>
      <c r="AM435" s="8">
        <f>SUMIFS(HS_DB[Net Weight -KG],HS_DB[HS Code],HS_DB[[#This Row],[HS Code]])</f>
        <v>51144350</v>
      </c>
      <c r="AN435" s="8">
        <f>SUMIFS(HS_DB[Trade Value - USD],HS_DB[HS Code],HS_DB[[#This Row],[HS Code]])</f>
        <v>48429777</v>
      </c>
      <c r="AO435" s="6">
        <f>_xlfn.MAXIFS(HS_DB[Origin Share%],HS_DB[HS Code],HS_DB[[#This Row],[HS Code]])</f>
        <v>7.6648679233989533E-2</v>
      </c>
      <c r="AP435" s="8" cm="1">
        <f t="array" ref="AP435">_xlfn.LET(
_xlpm.hs,HS_DB[[#This Row],[HS Code]],
COUNTA(_xlfn.UNIQUE(_xlfn._xlws.FILTER(HS_DB[Reporter],HS_DB[HS Code]=_xlpm.hs)))
)</f>
        <v>4</v>
      </c>
      <c r="AQ435" s="17" t="str">
        <f>IF(HS_DB[[#This Row],[Origin Count]]=1,"Single Source","Multiple Sources")</f>
        <v>Multiple Sources</v>
      </c>
      <c r="AR435" s="8">
        <f>HS_DB[[#This Row],[Annual Spend - USD]]*(HS_DB[[#This Row],[HS Code Risk Score]]/100)</f>
        <v>10654550.939999999</v>
      </c>
      <c r="AS435" s="8">
        <f>RANK(HS_DB[[#This Row],[Risk Exposure - USD]],HS_DB[Risk Exposure - USD],0)</f>
        <v>69</v>
      </c>
      <c r="AT435" s="8" t="str">
        <f>IF(HS_DB[[#This Row],[Risk Exposure Rank]]&lt;=10,"High",
 IF(HS_DB[[#This Row],[Risk Exposure Rank]]&lt;=30,"Medium",
 "Low"))</f>
        <v>Low</v>
      </c>
      <c r="AU435" s="8" t="str">
        <f>IF(HS_DB[[#This Row],[Risk Exposure Rank]]&lt;=5,"Immediate Action",
 IF(HS_DB[[#This Row],[Risk Exposure Rank]]&lt;=15,"Monitor Closely",
 "Routine Control"))</f>
        <v>Routine Control</v>
      </c>
      <c r="AV435" s="8">
        <f>SUMIFS(HS_DB[Trade Value - USD],HS_DB[HS Code],HS_DB[[#This Row],[HS Code]])</f>
        <v>48429777</v>
      </c>
      <c r="AW435" s="6">
        <f>HS_DB[[#This Row],[Annual Spend - USD]]/HS_DB[[#This Row],[Total Market Size - USD]]</f>
        <v>1</v>
      </c>
      <c r="AX435" s="6" cm="1">
        <f t="array" ref="AX435">COUNTA(_xlfn.UNIQUE(_xlfn._xlws.FILTER(HS_DB[Partner],HS_DB[HS Code]=HS_DB[[#This Row],[HS Code]])))</f>
        <v>1</v>
      </c>
      <c r="AY435" s="8" t="str">
        <f>IF(HS_DB[[#This Row],[Competition Intensity]]&lt;=2,"Highly Concentrated",
 IF(HS_DB[[#This Row],[Competition Intensity]]&lt;=5,"Moderate",
 "Highly Competitive"))</f>
        <v>Highly Concentrated</v>
      </c>
      <c r="AZ435" s="8">
        <f>HS_DB[[#This Row],[Total Market Size - USD]]
*
(1+IFERROR(#REF!,0))
/
HS_DB[[#This Row],[Competition Intensity]]</f>
        <v>48429777</v>
      </c>
      <c r="BA435" s="8" t="str">
        <f>IF(HS_DB[[#This Row],[Commercial Opportunity Score]]&gt;=PERCENTILE(HS_DB[Commercial Opportunity Score],0.9),"High Opportunity",
 IF(HS_DB[[#This Row],[Commercial Opportunity Score]]&gt;=PERCENTILE(HS_DB[Commercial Opportunity Score],0.6),"Medium Opportunity",
 "Routine Market"))</f>
        <v>Medium Opportunity</v>
      </c>
      <c r="BB435" s="3" t="str">
        <f>IF(AND(HS_DB[[#This Row],[Product Rank]]&gt;0,HS_DB[[#This Row],[Product Rank]]&lt;=10),"Yes","No")</f>
        <v>No</v>
      </c>
      <c r="BC435" s="3" t="str">
        <f>IF(AND(HS_DB[[#This Row],[Origin Rank]]&gt;0,HS_DB[[#This Row],[Origin Rank]]&lt;=10),"Yes","No")</f>
        <v>Yes</v>
      </c>
    </row>
    <row r="436" spans="2:55" x14ac:dyDescent="0.3">
      <c r="B436" s="2">
        <f>HS_DB[[#This Row],[Commodity Code]]</f>
        <v>150710</v>
      </c>
      <c r="C436" s="2">
        <f>IFERROR(INDEX(HS_MD!C:C,MATCH(B436,HS_MD!B:B,0),1),"")</f>
        <v>36</v>
      </c>
      <c r="D436" s="17" t="str">
        <f>IFERROR(INDEX(HS_MD!D:D,MATCH(B436,HS_MD!B:B,0),1),"")</f>
        <v>Soybean oil, crude</v>
      </c>
      <c r="E436" s="17" t="str">
        <f>IFERROR(INDEX(HS_MD!E:E,MATCH(B436,HS_MD!B:B,0),1),"")</f>
        <v>Crude Soybean Oil</v>
      </c>
      <c r="F436" s="17" t="str">
        <f>IFERROR(INDEX(HS_MD!F:F,MATCH(B436,HS_MD!B:B,0),1),"")</f>
        <v>Agricultural Raw Materials</v>
      </c>
      <c r="G436" s="17" t="str">
        <f>IFERROR(INDEX(HS_MD!G:G,MATCH(B436,HS_MD!B:B,0),1),"")</f>
        <v>Edible Oils</v>
      </c>
      <c r="H436" s="17" t="str">
        <f>IFERROR(INDEX(HS_MD!H:H,MATCH(B436,HS_MD!B:B,0),1),"")</f>
        <v>Crude Vegetable Oils</v>
      </c>
      <c r="I436" s="17" t="str">
        <f>IFERROR(INDEX(HS_MD!I:I,MATCH(B436,HS_MD!B:B,0),1),"")</f>
        <v>Food Manufacturing</v>
      </c>
      <c r="J436" s="17">
        <f>IFERROR(INDEX(Heat_Map[Index],MATCH(HS_DB[[#This Row],[Reporter]],Heat_Map[Global],0),1),"")</f>
        <v>175</v>
      </c>
      <c r="K436" s="17" t="str">
        <f>IF(AND(HS_DB[[#This Row],[Origin Rank]]&gt;1,HS_DB[[#This Row],[Origin Rank]]&lt;=10),"Yes","No")</f>
        <v>No</v>
      </c>
      <c r="L436" s="2">
        <v>2024</v>
      </c>
      <c r="M436" s="2" t="s">
        <v>57</v>
      </c>
      <c r="N436" s="2" t="s">
        <v>34</v>
      </c>
      <c r="O436" s="2" t="s">
        <v>22</v>
      </c>
      <c r="P436" s="2" t="s">
        <v>23</v>
      </c>
      <c r="Q436" s="2" t="s">
        <v>24</v>
      </c>
      <c r="R436" s="2" t="s">
        <v>25</v>
      </c>
      <c r="S436" s="2">
        <v>150710</v>
      </c>
      <c r="T436" s="3">
        <v>27549750</v>
      </c>
      <c r="U436" s="3">
        <v>29945000</v>
      </c>
      <c r="V436" s="3">
        <v>0</v>
      </c>
      <c r="W436" s="3">
        <v>29945000</v>
      </c>
      <c r="X436" s="3" t="s">
        <v>58</v>
      </c>
      <c r="Y436" s="3">
        <v>29945000</v>
      </c>
      <c r="Z436" s="3" t="s">
        <v>58</v>
      </c>
      <c r="AA436" s="6">
        <f>SUMIFS(HS_DB[Trade Value - USD],HS_DB[Reporter],HS_DB[[#This Row],[Reporter]])/SUM(HS_DB[Trade Value - USD])</f>
        <v>4.7522902002533667E-2</v>
      </c>
      <c r="AB436" s="8" cm="1">
        <f t="array" ref="AB436">SUMPRODUCT(
(HS_DB[Reporter]=HS_DB[[#This Row],[Reporter]])*
(HS_DB[Trade Value - USD]&gt;HS_DB[[#This Row],[Trade Value - USD]])
)+1</f>
        <v>1</v>
      </c>
      <c r="AC436" s="8" t="str">
        <f>IFERROR(IF(INDEX(Heat_Map[Crisis Impact %],MATCH(HS_DB[[#This Row],[Reporter]],Heat_Map[Global],0),1)&gt;0,"Yes","No"),"No")</f>
        <v>Yes</v>
      </c>
      <c r="AD436" s="6">
        <f>IFERROR(INDEX(Heat_Map[Crisis Impact %],MATCH(HS_DB[[#This Row],[Reporter]],Heat_Map[Global],0),1),0)</f>
        <v>0.1</v>
      </c>
      <c r="AE436" s="8">
        <f>HS_DB[[#This Row],[Crisis Impact%]]*HS_DB[[#This Row],[Trade Value - USD]]</f>
        <v>2754975</v>
      </c>
      <c r="AF436" s="8">
        <f>HS_DB[[#This Row],[Crisis Impact%]]*HS_DB[[#This Row],[Net Weight -KG]]</f>
        <v>2994500</v>
      </c>
      <c r="AG436" s="6">
        <f>SUMIFS(HS_DB[Trade Value - USD],HS_DB[Products],HS_DB[[#This Row],[Products]])/SUM(HS_DB[Trade Value - USD])</f>
        <v>2.5692076181228242E-2</v>
      </c>
      <c r="AH436" s="8">
        <f>_xlfn.RANK.EQ(HS_DB[[#This Row],[Trade Value - USD]], HS_DB[Trade Value - USD], 0)
 + COUNTIFS(HS_DB[Trade Value - USD],HS_DB[[#This Row],[Trade Value - USD]],
            HS_DB[HS Code],"&lt;"&amp;HS_DB[[#This Row],[HS Code]])</f>
        <v>5</v>
      </c>
      <c r="AI436" s="9">
        <f>IFERROR(HS_DB[[#This Row],[Trade Value - USD]]/HS_DB[[#This Row],[Net Weight -KG]],0)</f>
        <v>0.92001168809484057</v>
      </c>
      <c r="AJ436" s="17" cm="1">
        <f t="array" ref="AJ436">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22</v>
      </c>
      <c r="AK436" s="17" t="str">
        <f>IF(HS_DB[[#This Row],[HS Code Risk Score]]&gt;=40,"High",
 IF(HS_DB[[#This Row],[HS Code Risk Score]]&gt;=25,"Medium","Low"))</f>
        <v>Low</v>
      </c>
      <c r="AL436" s="17" t="str">
        <f>IF(RANK(HS_DB[[#This Row],[HS Code Risk Score]],HS_DB[HS Code Risk Score])&lt;=10,"Yes","No")</f>
        <v>No</v>
      </c>
      <c r="AM436" s="8">
        <f>SUMIFS(HS_DB[Net Weight -KG],HS_DB[HS Code],HS_DB[[#This Row],[HS Code]])</f>
        <v>51144350</v>
      </c>
      <c r="AN436" s="8">
        <f>SUMIFS(HS_DB[Trade Value - USD],HS_DB[HS Code],HS_DB[[#This Row],[HS Code]])</f>
        <v>48429777</v>
      </c>
      <c r="AO436" s="6">
        <f>_xlfn.MAXIFS(HS_DB[Origin Share%],HS_DB[HS Code],HS_DB[[#This Row],[HS Code]])</f>
        <v>7.6648679233989533E-2</v>
      </c>
      <c r="AP436" s="8" cm="1">
        <f t="array" ref="AP436">_xlfn.LET(
_xlpm.hs,HS_DB[[#This Row],[HS Code]],
COUNTA(_xlfn.UNIQUE(_xlfn._xlws.FILTER(HS_DB[Reporter],HS_DB[HS Code]=_xlpm.hs)))
)</f>
        <v>4</v>
      </c>
      <c r="AQ436" s="17" t="str">
        <f>IF(HS_DB[[#This Row],[Origin Count]]=1,"Single Source","Multiple Sources")</f>
        <v>Multiple Sources</v>
      </c>
      <c r="AR436" s="8">
        <f>HS_DB[[#This Row],[Annual Spend - USD]]*(HS_DB[[#This Row],[HS Code Risk Score]]/100)</f>
        <v>10654550.939999999</v>
      </c>
      <c r="AS436" s="8">
        <f>RANK(HS_DB[[#This Row],[Risk Exposure - USD]],HS_DB[Risk Exposure - USD],0)</f>
        <v>69</v>
      </c>
      <c r="AT436" s="8" t="str">
        <f>IF(HS_DB[[#This Row],[Risk Exposure Rank]]&lt;=10,"High",
 IF(HS_DB[[#This Row],[Risk Exposure Rank]]&lt;=30,"Medium",
 "Low"))</f>
        <v>Low</v>
      </c>
      <c r="AU436" s="8" t="str">
        <f>IF(HS_DB[[#This Row],[Risk Exposure Rank]]&lt;=5,"Immediate Action",
 IF(HS_DB[[#This Row],[Risk Exposure Rank]]&lt;=15,"Monitor Closely",
 "Routine Control"))</f>
        <v>Routine Control</v>
      </c>
      <c r="AV436" s="8">
        <f>SUMIFS(HS_DB[Trade Value - USD],HS_DB[HS Code],HS_DB[[#This Row],[HS Code]])</f>
        <v>48429777</v>
      </c>
      <c r="AW436" s="6">
        <f>HS_DB[[#This Row],[Annual Spend - USD]]/HS_DB[[#This Row],[Total Market Size - USD]]</f>
        <v>1</v>
      </c>
      <c r="AX436" s="6" cm="1">
        <f t="array" ref="AX436">COUNTA(_xlfn.UNIQUE(_xlfn._xlws.FILTER(HS_DB[Partner],HS_DB[HS Code]=HS_DB[[#This Row],[HS Code]])))</f>
        <v>1</v>
      </c>
      <c r="AY436" s="8" t="str">
        <f>IF(HS_DB[[#This Row],[Competition Intensity]]&lt;=2,"Highly Concentrated",
 IF(HS_DB[[#This Row],[Competition Intensity]]&lt;=5,"Moderate",
 "Highly Competitive"))</f>
        <v>Highly Concentrated</v>
      </c>
      <c r="AZ436" s="8">
        <f>HS_DB[[#This Row],[Total Market Size - USD]]
*
(1+IFERROR(#REF!,0))
/
HS_DB[[#This Row],[Competition Intensity]]</f>
        <v>48429777</v>
      </c>
      <c r="BA436" s="8" t="str">
        <f>IF(HS_DB[[#This Row],[Commercial Opportunity Score]]&gt;=PERCENTILE(HS_DB[Commercial Opportunity Score],0.9),"High Opportunity",
 IF(HS_DB[[#This Row],[Commercial Opportunity Score]]&gt;=PERCENTILE(HS_DB[Commercial Opportunity Score],0.6),"Medium Opportunity",
 "Routine Market"))</f>
        <v>Medium Opportunity</v>
      </c>
      <c r="BB436" s="3" t="str">
        <f>IF(AND(HS_DB[[#This Row],[Product Rank]]&gt;0,HS_DB[[#This Row],[Product Rank]]&lt;=10),"Yes","No")</f>
        <v>Yes</v>
      </c>
      <c r="BC436" s="3" t="str">
        <f>IF(AND(HS_DB[[#This Row],[Origin Rank]]&gt;0,HS_DB[[#This Row],[Origin Rank]]&lt;=10),"Yes","No")</f>
        <v>Yes</v>
      </c>
    </row>
    <row r="437" spans="2:55" x14ac:dyDescent="0.3">
      <c r="B437" s="2">
        <f>HS_DB[[#This Row],[Commodity Code]]</f>
        <v>150710</v>
      </c>
      <c r="C437" s="2">
        <f>IFERROR(INDEX(HS_MD!C:C,MATCH(B437,HS_MD!B:B,0),1),"")</f>
        <v>36</v>
      </c>
      <c r="D437" s="17" t="str">
        <f>IFERROR(INDEX(HS_MD!D:D,MATCH(B437,HS_MD!B:B,0),1),"")</f>
        <v>Soybean oil, crude</v>
      </c>
      <c r="E437" s="17" t="str">
        <f>IFERROR(INDEX(HS_MD!E:E,MATCH(B437,HS_MD!B:B,0),1),"")</f>
        <v>Crude Soybean Oil</v>
      </c>
      <c r="F437" s="17" t="str">
        <f>IFERROR(INDEX(HS_MD!F:F,MATCH(B437,HS_MD!B:B,0),1),"")</f>
        <v>Agricultural Raw Materials</v>
      </c>
      <c r="G437" s="17" t="str">
        <f>IFERROR(INDEX(HS_MD!G:G,MATCH(B437,HS_MD!B:B,0),1),"")</f>
        <v>Edible Oils</v>
      </c>
      <c r="H437" s="17" t="str">
        <f>IFERROR(INDEX(HS_MD!H:H,MATCH(B437,HS_MD!B:B,0),1),"")</f>
        <v>Crude Vegetable Oils</v>
      </c>
      <c r="I437" s="17" t="str">
        <f>IFERROR(INDEX(HS_MD!I:I,MATCH(B437,HS_MD!B:B,0),1),"")</f>
        <v>Food Manufacturing</v>
      </c>
      <c r="J437" s="17">
        <f>IFERROR(INDEX(Heat_Map[Index],MATCH(HS_DB[[#This Row],[Reporter]],Heat_Map[Global],0),1),"")</f>
        <v>179</v>
      </c>
      <c r="K437" s="17" t="str">
        <f>IF(AND(HS_DB[[#This Row],[Origin Rank]]&gt;1,HS_DB[[#This Row],[Origin Rank]]&lt;=10),"Yes","No")</f>
        <v>Yes</v>
      </c>
      <c r="L437" s="2">
        <v>2024</v>
      </c>
      <c r="M437" s="2" t="s">
        <v>57</v>
      </c>
      <c r="N437" s="2" t="s">
        <v>35</v>
      </c>
      <c r="O437" s="2" t="s">
        <v>22</v>
      </c>
      <c r="P437" s="2" t="s">
        <v>23</v>
      </c>
      <c r="Q437" s="2" t="s">
        <v>24</v>
      </c>
      <c r="R437" s="2" t="s">
        <v>25</v>
      </c>
      <c r="S437" s="2">
        <v>150710</v>
      </c>
      <c r="T437" s="3">
        <v>2027337</v>
      </c>
      <c r="U437" s="3">
        <v>2608600</v>
      </c>
      <c r="V437" s="3">
        <v>0</v>
      </c>
      <c r="W437" s="3">
        <v>2608600</v>
      </c>
      <c r="X437" s="3" t="s">
        <v>58</v>
      </c>
      <c r="Y437" s="3">
        <v>2608600</v>
      </c>
      <c r="Z437" s="3" t="s">
        <v>58</v>
      </c>
      <c r="AA437" s="6">
        <f>SUMIFS(HS_DB[Trade Value - USD],HS_DB[Reporter],HS_DB[[#This Row],[Reporter]])/SUM(HS_DB[Trade Value - USD])</f>
        <v>7.6648679233989533E-2</v>
      </c>
      <c r="AB437" s="8" cm="1">
        <f t="array" ref="AB437">SUMPRODUCT(
(HS_DB[Reporter]=HS_DB[[#This Row],[Reporter]])*
(HS_DB[Trade Value - USD]&gt;HS_DB[[#This Row],[Trade Value - USD]])
)+1</f>
        <v>2</v>
      </c>
      <c r="AC437" s="8" t="str">
        <f>IFERROR(IF(INDEX(Heat_Map[Crisis Impact %],MATCH(HS_DB[[#This Row],[Reporter]],Heat_Map[Global],0),1)&gt;0,"Yes","No"),"No")</f>
        <v>Yes</v>
      </c>
      <c r="AD437" s="6">
        <f>IFERROR(INDEX(Heat_Map[Crisis Impact %],MATCH(HS_DB[[#This Row],[Reporter]],Heat_Map[Global],0),1),0)</f>
        <v>0.44999999999999996</v>
      </c>
      <c r="AE437" s="8">
        <f>HS_DB[[#This Row],[Crisis Impact%]]*HS_DB[[#This Row],[Trade Value - USD]]</f>
        <v>912301.64999999991</v>
      </c>
      <c r="AF437" s="8">
        <f>HS_DB[[#This Row],[Crisis Impact%]]*HS_DB[[#This Row],[Net Weight -KG]]</f>
        <v>1173870</v>
      </c>
      <c r="AG437" s="6">
        <f>SUMIFS(HS_DB[Trade Value - USD],HS_DB[Products],HS_DB[[#This Row],[Products]])/SUM(HS_DB[Trade Value - USD])</f>
        <v>2.5692076181228242E-2</v>
      </c>
      <c r="AH437" s="8">
        <f>_xlfn.RANK.EQ(HS_DB[[#This Row],[Trade Value - USD]], HS_DB[Trade Value - USD], 0)
 + COUNTIFS(HS_DB[Trade Value - USD],HS_DB[[#This Row],[Trade Value - USD]],
            HS_DB[HS Code],"&lt;"&amp;HS_DB[[#This Row],[HS Code]])</f>
        <v>65</v>
      </c>
      <c r="AI437" s="9">
        <f>IFERROR(HS_DB[[#This Row],[Trade Value - USD]]/HS_DB[[#This Row],[Net Weight -KG]],0)</f>
        <v>0.77717434639270111</v>
      </c>
      <c r="AJ437" s="17" cm="1">
        <f t="array" ref="AJ437">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22</v>
      </c>
      <c r="AK437" s="17" t="str">
        <f>IF(HS_DB[[#This Row],[HS Code Risk Score]]&gt;=40,"High",
 IF(HS_DB[[#This Row],[HS Code Risk Score]]&gt;=25,"Medium","Low"))</f>
        <v>Low</v>
      </c>
      <c r="AL437" s="17" t="str">
        <f>IF(RANK(HS_DB[[#This Row],[HS Code Risk Score]],HS_DB[HS Code Risk Score])&lt;=10,"Yes","No")</f>
        <v>No</v>
      </c>
      <c r="AM437" s="8">
        <f>SUMIFS(HS_DB[Net Weight -KG],HS_DB[HS Code],HS_DB[[#This Row],[HS Code]])</f>
        <v>51144350</v>
      </c>
      <c r="AN437" s="8">
        <f>SUMIFS(HS_DB[Trade Value - USD],HS_DB[HS Code],HS_DB[[#This Row],[HS Code]])</f>
        <v>48429777</v>
      </c>
      <c r="AO437" s="6">
        <f>_xlfn.MAXIFS(HS_DB[Origin Share%],HS_DB[HS Code],HS_DB[[#This Row],[HS Code]])</f>
        <v>7.6648679233989533E-2</v>
      </c>
      <c r="AP437" s="8" cm="1">
        <f t="array" ref="AP437">_xlfn.LET(
_xlpm.hs,HS_DB[[#This Row],[HS Code]],
COUNTA(_xlfn.UNIQUE(_xlfn._xlws.FILTER(HS_DB[Reporter],HS_DB[HS Code]=_xlpm.hs)))
)</f>
        <v>4</v>
      </c>
      <c r="AQ437" s="17" t="str">
        <f>IF(HS_DB[[#This Row],[Origin Count]]=1,"Single Source","Multiple Sources")</f>
        <v>Multiple Sources</v>
      </c>
      <c r="AR437" s="8">
        <f>HS_DB[[#This Row],[Annual Spend - USD]]*(HS_DB[[#This Row],[HS Code Risk Score]]/100)</f>
        <v>10654550.939999999</v>
      </c>
      <c r="AS437" s="8">
        <f>RANK(HS_DB[[#This Row],[Risk Exposure - USD]],HS_DB[Risk Exposure - USD],0)</f>
        <v>69</v>
      </c>
      <c r="AT437" s="8" t="str">
        <f>IF(HS_DB[[#This Row],[Risk Exposure Rank]]&lt;=10,"High",
 IF(HS_DB[[#This Row],[Risk Exposure Rank]]&lt;=30,"Medium",
 "Low"))</f>
        <v>Low</v>
      </c>
      <c r="AU437" s="8" t="str">
        <f>IF(HS_DB[[#This Row],[Risk Exposure Rank]]&lt;=5,"Immediate Action",
 IF(HS_DB[[#This Row],[Risk Exposure Rank]]&lt;=15,"Monitor Closely",
 "Routine Control"))</f>
        <v>Routine Control</v>
      </c>
      <c r="AV437" s="8">
        <f>SUMIFS(HS_DB[Trade Value - USD],HS_DB[HS Code],HS_DB[[#This Row],[HS Code]])</f>
        <v>48429777</v>
      </c>
      <c r="AW437" s="6">
        <f>HS_DB[[#This Row],[Annual Spend - USD]]/HS_DB[[#This Row],[Total Market Size - USD]]</f>
        <v>1</v>
      </c>
      <c r="AX437" s="6" cm="1">
        <f t="array" ref="AX437">COUNTA(_xlfn.UNIQUE(_xlfn._xlws.FILTER(HS_DB[Partner],HS_DB[HS Code]=HS_DB[[#This Row],[HS Code]])))</f>
        <v>1</v>
      </c>
      <c r="AY437" s="8" t="str">
        <f>IF(HS_DB[[#This Row],[Competition Intensity]]&lt;=2,"Highly Concentrated",
 IF(HS_DB[[#This Row],[Competition Intensity]]&lt;=5,"Moderate",
 "Highly Competitive"))</f>
        <v>Highly Concentrated</v>
      </c>
      <c r="AZ437" s="8">
        <f>HS_DB[[#This Row],[Total Market Size - USD]]
*
(1+IFERROR(#REF!,0))
/
HS_DB[[#This Row],[Competition Intensity]]</f>
        <v>48429777</v>
      </c>
      <c r="BA437" s="8" t="str">
        <f>IF(HS_DB[[#This Row],[Commercial Opportunity Score]]&gt;=PERCENTILE(HS_DB[Commercial Opportunity Score],0.9),"High Opportunity",
 IF(HS_DB[[#This Row],[Commercial Opportunity Score]]&gt;=PERCENTILE(HS_DB[Commercial Opportunity Score],0.6),"Medium Opportunity",
 "Routine Market"))</f>
        <v>Medium Opportunity</v>
      </c>
      <c r="BB437" s="3" t="str">
        <f>IF(AND(HS_DB[[#This Row],[Product Rank]]&gt;0,HS_DB[[#This Row],[Product Rank]]&lt;=10),"Yes","No")</f>
        <v>No</v>
      </c>
      <c r="BC437" s="3" t="str">
        <f>IF(AND(HS_DB[[#This Row],[Origin Rank]]&gt;0,HS_DB[[#This Row],[Origin Rank]]&lt;=10),"Yes","No")</f>
        <v>Yes</v>
      </c>
    </row>
    <row r="438" spans="2:55" x14ac:dyDescent="0.3">
      <c r="B438" s="2">
        <f>HS_DB[[#This Row],[Commodity Code]]</f>
        <v>150710</v>
      </c>
      <c r="C438" s="2">
        <f>IFERROR(INDEX(HS_MD!C:C,MATCH(B438,HS_MD!B:B,0),1),"")</f>
        <v>36</v>
      </c>
      <c r="D438" s="17" t="str">
        <f>IFERROR(INDEX(HS_MD!D:D,MATCH(B438,HS_MD!B:B,0),1),"")</f>
        <v>Soybean oil, crude</v>
      </c>
      <c r="E438" s="17" t="str">
        <f>IFERROR(INDEX(HS_MD!E:E,MATCH(B438,HS_MD!B:B,0),1),"")</f>
        <v>Crude Soybean Oil</v>
      </c>
      <c r="F438" s="17" t="str">
        <f>IFERROR(INDEX(HS_MD!F:F,MATCH(B438,HS_MD!B:B,0),1),"")</f>
        <v>Agricultural Raw Materials</v>
      </c>
      <c r="G438" s="17" t="str">
        <f>IFERROR(INDEX(HS_MD!G:G,MATCH(B438,HS_MD!B:B,0),1),"")</f>
        <v>Edible Oils</v>
      </c>
      <c r="H438" s="17" t="str">
        <f>IFERROR(INDEX(HS_MD!H:H,MATCH(B438,HS_MD!B:B,0),1),"")</f>
        <v>Crude Vegetable Oils</v>
      </c>
      <c r="I438" s="17" t="str">
        <f>IFERROR(INDEX(HS_MD!I:I,MATCH(B438,HS_MD!B:B,0),1),"")</f>
        <v>Food Manufacturing</v>
      </c>
      <c r="J438" s="17">
        <f>IFERROR(INDEX(Heat_Map[Index],MATCH(HS_DB[[#This Row],[Reporter]],Heat_Map[Global],0),1),"")</f>
        <v>182</v>
      </c>
      <c r="K438" s="17" t="str">
        <f>IF(AND(HS_DB[[#This Row],[Origin Rank]]&gt;1,HS_DB[[#This Row],[Origin Rank]]&lt;=10),"Yes","No")</f>
        <v>No</v>
      </c>
      <c r="L438" s="2">
        <v>2024</v>
      </c>
      <c r="M438" s="2" t="s">
        <v>57</v>
      </c>
      <c r="N438" s="2" t="s">
        <v>56</v>
      </c>
      <c r="O438" s="2" t="s">
        <v>22</v>
      </c>
      <c r="P438" s="2" t="s">
        <v>23</v>
      </c>
      <c r="Q438" s="2" t="s">
        <v>24</v>
      </c>
      <c r="R438" s="2" t="s">
        <v>25</v>
      </c>
      <c r="S438" s="2">
        <v>150710</v>
      </c>
      <c r="T438" s="3">
        <v>7364758</v>
      </c>
      <c r="U438" s="3">
        <v>6990750</v>
      </c>
      <c r="V438" s="3">
        <v>0</v>
      </c>
      <c r="W438" s="3">
        <v>6990750</v>
      </c>
      <c r="X438" s="3" t="s">
        <v>58</v>
      </c>
      <c r="Y438" s="3">
        <v>6990750</v>
      </c>
      <c r="Z438" s="3" t="s">
        <v>58</v>
      </c>
      <c r="AA438" s="6">
        <f>SUMIFS(HS_DB[Trade Value - USD],HS_DB[Reporter],HS_DB[[#This Row],[Reporter]])/SUM(HS_DB[Trade Value - USD])</f>
        <v>9.425427433633813E-3</v>
      </c>
      <c r="AB438" s="8" cm="1">
        <f t="array" ref="AB438">SUMPRODUCT(
(HS_DB[Reporter]=HS_DB[[#This Row],[Reporter]])*
(HS_DB[Trade Value - USD]&gt;HS_DB[[#This Row],[Trade Value - USD]])
)+1</f>
        <v>1</v>
      </c>
      <c r="AC438" s="8" t="str">
        <f>IFERROR(IF(INDEX(Heat_Map[Crisis Impact %],MATCH(HS_DB[[#This Row],[Reporter]],Heat_Map[Global],0),1)&gt;0,"Yes","No"),"No")</f>
        <v>Yes</v>
      </c>
      <c r="AD438" s="6">
        <f>IFERROR(INDEX(Heat_Map[Crisis Impact %],MATCH(HS_DB[[#This Row],[Reporter]],Heat_Map[Global],0),1),0)</f>
        <v>4.0000000000000008E-2</v>
      </c>
      <c r="AE438" s="8">
        <f>HS_DB[[#This Row],[Crisis Impact%]]*HS_DB[[#This Row],[Trade Value - USD]]</f>
        <v>294590.32000000007</v>
      </c>
      <c r="AF438" s="8">
        <f>HS_DB[[#This Row],[Crisis Impact%]]*HS_DB[[#This Row],[Net Weight -KG]]</f>
        <v>279630.00000000006</v>
      </c>
      <c r="AG438" s="6">
        <f>SUMIFS(HS_DB[Trade Value - USD],HS_DB[Products],HS_DB[[#This Row],[Products]])/SUM(HS_DB[Trade Value - USD])</f>
        <v>2.5692076181228242E-2</v>
      </c>
      <c r="AH438" s="8">
        <f>_xlfn.RANK.EQ(HS_DB[[#This Row],[Trade Value - USD]], HS_DB[Trade Value - USD], 0)
 + COUNTIFS(HS_DB[Trade Value - USD],HS_DB[[#This Row],[Trade Value - USD]],
            HS_DB[HS Code],"&lt;"&amp;HS_DB[[#This Row],[HS Code]])</f>
        <v>24</v>
      </c>
      <c r="AI438" s="9">
        <f>IFERROR(HS_DB[[#This Row],[Trade Value - USD]]/HS_DB[[#This Row],[Net Weight -KG]],0)</f>
        <v>1.0535004112577335</v>
      </c>
      <c r="AJ438" s="17" cm="1">
        <f t="array" ref="AJ438">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22</v>
      </c>
      <c r="AK438" s="17" t="str">
        <f>IF(HS_DB[[#This Row],[HS Code Risk Score]]&gt;=40,"High",
 IF(HS_DB[[#This Row],[HS Code Risk Score]]&gt;=25,"Medium","Low"))</f>
        <v>Low</v>
      </c>
      <c r="AL438" s="17" t="str">
        <f>IF(RANK(HS_DB[[#This Row],[HS Code Risk Score]],HS_DB[HS Code Risk Score])&lt;=10,"Yes","No")</f>
        <v>No</v>
      </c>
      <c r="AM438" s="8">
        <f>SUMIFS(HS_DB[Net Weight -KG],HS_DB[HS Code],HS_DB[[#This Row],[HS Code]])</f>
        <v>51144350</v>
      </c>
      <c r="AN438" s="8">
        <f>SUMIFS(HS_DB[Trade Value - USD],HS_DB[HS Code],HS_DB[[#This Row],[HS Code]])</f>
        <v>48429777</v>
      </c>
      <c r="AO438" s="6">
        <f>_xlfn.MAXIFS(HS_DB[Origin Share%],HS_DB[HS Code],HS_DB[[#This Row],[HS Code]])</f>
        <v>7.6648679233989533E-2</v>
      </c>
      <c r="AP438" s="8" cm="1">
        <f t="array" ref="AP438">_xlfn.LET(
_xlpm.hs,HS_DB[[#This Row],[HS Code]],
COUNTA(_xlfn.UNIQUE(_xlfn._xlws.FILTER(HS_DB[Reporter],HS_DB[HS Code]=_xlpm.hs)))
)</f>
        <v>4</v>
      </c>
      <c r="AQ438" s="17" t="str">
        <f>IF(HS_DB[[#This Row],[Origin Count]]=1,"Single Source","Multiple Sources")</f>
        <v>Multiple Sources</v>
      </c>
      <c r="AR438" s="8">
        <f>HS_DB[[#This Row],[Annual Spend - USD]]*(HS_DB[[#This Row],[HS Code Risk Score]]/100)</f>
        <v>10654550.939999999</v>
      </c>
      <c r="AS438" s="8">
        <f>RANK(HS_DB[[#This Row],[Risk Exposure - USD]],HS_DB[Risk Exposure - USD],0)</f>
        <v>69</v>
      </c>
      <c r="AT438" s="8" t="str">
        <f>IF(HS_DB[[#This Row],[Risk Exposure Rank]]&lt;=10,"High",
 IF(HS_DB[[#This Row],[Risk Exposure Rank]]&lt;=30,"Medium",
 "Low"))</f>
        <v>Low</v>
      </c>
      <c r="AU438" s="8" t="str">
        <f>IF(HS_DB[[#This Row],[Risk Exposure Rank]]&lt;=5,"Immediate Action",
 IF(HS_DB[[#This Row],[Risk Exposure Rank]]&lt;=15,"Monitor Closely",
 "Routine Control"))</f>
        <v>Routine Control</v>
      </c>
      <c r="AV438" s="8">
        <f>SUMIFS(HS_DB[Trade Value - USD],HS_DB[HS Code],HS_DB[[#This Row],[HS Code]])</f>
        <v>48429777</v>
      </c>
      <c r="AW438" s="6">
        <f>HS_DB[[#This Row],[Annual Spend - USD]]/HS_DB[[#This Row],[Total Market Size - USD]]</f>
        <v>1</v>
      </c>
      <c r="AX438" s="6" cm="1">
        <f t="array" ref="AX438">COUNTA(_xlfn.UNIQUE(_xlfn._xlws.FILTER(HS_DB[Partner],HS_DB[HS Code]=HS_DB[[#This Row],[HS Code]])))</f>
        <v>1</v>
      </c>
      <c r="AY438" s="8" t="str">
        <f>IF(HS_DB[[#This Row],[Competition Intensity]]&lt;=2,"Highly Concentrated",
 IF(HS_DB[[#This Row],[Competition Intensity]]&lt;=5,"Moderate",
 "Highly Competitive"))</f>
        <v>Highly Concentrated</v>
      </c>
      <c r="AZ438" s="8">
        <f>HS_DB[[#This Row],[Total Market Size - USD]]
*
(1+IFERROR(#REF!,0))
/
HS_DB[[#This Row],[Competition Intensity]]</f>
        <v>48429777</v>
      </c>
      <c r="BA438" s="8" t="str">
        <f>IF(HS_DB[[#This Row],[Commercial Opportunity Score]]&gt;=PERCENTILE(HS_DB[Commercial Opportunity Score],0.9),"High Opportunity",
 IF(HS_DB[[#This Row],[Commercial Opportunity Score]]&gt;=PERCENTILE(HS_DB[Commercial Opportunity Score],0.6),"Medium Opportunity",
 "Routine Market"))</f>
        <v>Medium Opportunity</v>
      </c>
      <c r="BB438" s="3" t="str">
        <f>IF(AND(HS_DB[[#This Row],[Product Rank]]&gt;0,HS_DB[[#This Row],[Product Rank]]&lt;=10),"Yes","No")</f>
        <v>No</v>
      </c>
      <c r="BC438" s="3" t="str">
        <f>IF(AND(HS_DB[[#This Row],[Origin Rank]]&gt;0,HS_DB[[#This Row],[Origin Rank]]&lt;=10),"Yes","No")</f>
        <v>Yes</v>
      </c>
    </row>
    <row r="439" spans="2:55" x14ac:dyDescent="0.3">
      <c r="B439" s="2">
        <f>HS_DB[[#This Row],[Commodity Code]]</f>
        <v>150790</v>
      </c>
      <c r="C439" s="2">
        <f>IFERROR(INDEX(HS_MD!C:C,MATCH(B439,HS_MD!B:B,0),1),"")</f>
        <v>37</v>
      </c>
      <c r="D439" s="17" t="str">
        <f>IFERROR(INDEX(HS_MD!D:D,MATCH(B439,HS_MD!B:B,0),1),"")</f>
        <v>Soybean oil, refined</v>
      </c>
      <c r="E439" s="17" t="str">
        <f>IFERROR(INDEX(HS_MD!E:E,MATCH(B439,HS_MD!B:B,0),1),"")</f>
        <v>Refined Soybean Oil</v>
      </c>
      <c r="F439" s="17" t="str">
        <f>IFERROR(INDEX(HS_MD!F:F,MATCH(B439,HS_MD!B:B,0),1),"")</f>
        <v>Agricultural Raw Materials</v>
      </c>
      <c r="G439" s="17" t="str">
        <f>IFERROR(INDEX(HS_MD!G:G,MATCH(B439,HS_MD!B:B,0),1),"")</f>
        <v>Edible Oils</v>
      </c>
      <c r="H439" s="17" t="str">
        <f>IFERROR(INDEX(HS_MD!H:H,MATCH(B439,HS_MD!B:B,0),1),"")</f>
        <v>Refined Vegetable Oils</v>
      </c>
      <c r="I439" s="17" t="str">
        <f>IFERROR(INDEX(HS_MD!I:I,MATCH(B439,HS_MD!B:B,0),1),"")</f>
        <v>Sauces / Industrial Use</v>
      </c>
      <c r="J439" s="17">
        <f>IFERROR(INDEX(Heat_Map[Index],MATCH(HS_DB[[#This Row],[Reporter]],Heat_Map[Global],0),1),"")</f>
        <v>63</v>
      </c>
      <c r="K439" s="17" t="str">
        <f>IF(AND(HS_DB[[#This Row],[Origin Rank]]&gt;1,HS_DB[[#This Row],[Origin Rank]]&lt;=10),"Yes","No")</f>
        <v>No</v>
      </c>
      <c r="L439" s="2">
        <v>2024</v>
      </c>
      <c r="M439" s="2" t="s">
        <v>57</v>
      </c>
      <c r="N439" s="2" t="s">
        <v>2</v>
      </c>
      <c r="O439" s="2" t="s">
        <v>22</v>
      </c>
      <c r="P439" s="2" t="s">
        <v>23</v>
      </c>
      <c r="Q439" s="2" t="s">
        <v>24</v>
      </c>
      <c r="R439" s="2" t="s">
        <v>25</v>
      </c>
      <c r="S439" s="2">
        <v>150790</v>
      </c>
      <c r="T439" s="3">
        <v>27192</v>
      </c>
      <c r="U439" s="3">
        <v>8964</v>
      </c>
      <c r="V439" s="3">
        <v>0</v>
      </c>
      <c r="W439" s="3">
        <v>8964</v>
      </c>
      <c r="X439" s="3" t="s">
        <v>58</v>
      </c>
      <c r="Y439" s="3">
        <v>8964</v>
      </c>
      <c r="Z439" s="3" t="s">
        <v>58</v>
      </c>
      <c r="AA439" s="6">
        <f>SUMIFS(HS_DB[Trade Value - USD],HS_DB[Reporter],HS_DB[[#This Row],[Reporter]])/SUM(HS_DB[Trade Value - USD])</f>
        <v>1.1674623358397021E-2</v>
      </c>
      <c r="AB439" s="8" cm="1">
        <f t="array" ref="AB439">SUMPRODUCT(
(HS_DB[Reporter]=HS_DB[[#This Row],[Reporter]])*
(HS_DB[Trade Value - USD]&gt;HS_DB[[#This Row],[Trade Value - USD]])
)+1</f>
        <v>30</v>
      </c>
      <c r="AC439" s="8" t="str">
        <f>IFERROR(IF(INDEX(Heat_Map[Crisis Impact %],MATCH(HS_DB[[#This Row],[Reporter]],Heat_Map[Global],0),1)&gt;0,"Yes","No"),"No")</f>
        <v>No</v>
      </c>
      <c r="AD439" s="6">
        <f>IFERROR(INDEX(Heat_Map[Crisis Impact %],MATCH(HS_DB[[#This Row],[Reporter]],Heat_Map[Global],0),1),0)</f>
        <v>0</v>
      </c>
      <c r="AE439" s="8">
        <f>HS_DB[[#This Row],[Crisis Impact%]]*HS_DB[[#This Row],[Trade Value - USD]]</f>
        <v>0</v>
      </c>
      <c r="AF439" s="8">
        <f>HS_DB[[#This Row],[Crisis Impact%]]*HS_DB[[#This Row],[Net Weight -KG]]</f>
        <v>0</v>
      </c>
      <c r="AG439" s="6">
        <f>SUMIFS(HS_DB[Trade Value - USD],HS_DB[Products],HS_DB[[#This Row],[Products]])/SUM(HS_DB[Trade Value - USD])</f>
        <v>8.5948162394993717E-5</v>
      </c>
      <c r="AH439" s="8">
        <f>_xlfn.RANK.EQ(HS_DB[[#This Row],[Trade Value - USD]], HS_DB[Trade Value - USD], 0)
 + COUNTIFS(HS_DB[Trade Value - USD],HS_DB[[#This Row],[Trade Value - USD]],
            HS_DB[HS Code],"&lt;"&amp;HS_DB[[#This Row],[HS Code]])</f>
        <v>363</v>
      </c>
      <c r="AI439" s="9">
        <f>IFERROR(HS_DB[[#This Row],[Trade Value - USD]]/HS_DB[[#This Row],[Net Weight -KG]],0)</f>
        <v>3.0334672021419009</v>
      </c>
      <c r="AJ439" s="17" cm="1">
        <f t="array" ref="AJ439">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39</v>
      </c>
      <c r="AK439" s="17" t="str">
        <f>IF(HS_DB[[#This Row],[HS Code Risk Score]]&gt;=40,"High",
 IF(HS_DB[[#This Row],[HS Code Risk Score]]&gt;=25,"Medium","Low"))</f>
        <v>Medium</v>
      </c>
      <c r="AL439" s="17" t="str">
        <f>IF(RANK(HS_DB[[#This Row],[HS Code Risk Score]],HS_DB[HS Code Risk Score])&lt;=10,"Yes","No")</f>
        <v>Yes</v>
      </c>
      <c r="AM439" s="8">
        <f>SUMIFS(HS_DB[Net Weight -KG],HS_DB[HS Code],HS_DB[[#This Row],[HS Code]])</f>
        <v>109474</v>
      </c>
      <c r="AN439" s="8">
        <f>SUMIFS(HS_DB[Trade Value - USD],HS_DB[HS Code],HS_DB[[#This Row],[HS Code]])</f>
        <v>162013</v>
      </c>
      <c r="AO439" s="6">
        <f>_xlfn.MAXIFS(HS_DB[Origin Share%],HS_DB[HS Code],HS_DB[[#This Row],[HS Code]])</f>
        <v>1.4561232389604124E-2</v>
      </c>
      <c r="AP439" s="8" cm="1">
        <f t="array" ref="AP439">_xlfn.LET(
_xlpm.hs,HS_DB[[#This Row],[HS Code]],
COUNTA(_xlfn.UNIQUE(_xlfn._xlws.FILTER(HS_DB[Reporter],HS_DB[HS Code]=_xlpm.hs)))
)</f>
        <v>4</v>
      </c>
      <c r="AQ439" s="17" t="str">
        <f>IF(HS_DB[[#This Row],[Origin Count]]=1,"Single Source","Multiple Sources")</f>
        <v>Multiple Sources</v>
      </c>
      <c r="AR439" s="8">
        <f>HS_DB[[#This Row],[Annual Spend - USD]]*(HS_DB[[#This Row],[HS Code Risk Score]]/100)</f>
        <v>63185.07</v>
      </c>
      <c r="AS439" s="8">
        <f>RANK(HS_DB[[#This Row],[Risk Exposure - USD]],HS_DB[Risk Exposure - USD],0)</f>
        <v>526</v>
      </c>
      <c r="AT439" s="8" t="str">
        <f>IF(HS_DB[[#This Row],[Risk Exposure Rank]]&lt;=10,"High",
 IF(HS_DB[[#This Row],[Risk Exposure Rank]]&lt;=30,"Medium",
 "Low"))</f>
        <v>Low</v>
      </c>
      <c r="AU439" s="8" t="str">
        <f>IF(HS_DB[[#This Row],[Risk Exposure Rank]]&lt;=5,"Immediate Action",
 IF(HS_DB[[#This Row],[Risk Exposure Rank]]&lt;=15,"Monitor Closely",
 "Routine Control"))</f>
        <v>Routine Control</v>
      </c>
      <c r="AV439" s="8">
        <f>SUMIFS(HS_DB[Trade Value - USD],HS_DB[HS Code],HS_DB[[#This Row],[HS Code]])</f>
        <v>162013</v>
      </c>
      <c r="AW439" s="6">
        <f>HS_DB[[#This Row],[Annual Spend - USD]]/HS_DB[[#This Row],[Total Market Size - USD]]</f>
        <v>1</v>
      </c>
      <c r="AX439" s="6" cm="1">
        <f t="array" ref="AX439">COUNTA(_xlfn.UNIQUE(_xlfn._xlws.FILTER(HS_DB[Partner],HS_DB[HS Code]=HS_DB[[#This Row],[HS Code]])))</f>
        <v>1</v>
      </c>
      <c r="AY439" s="8" t="str">
        <f>IF(HS_DB[[#This Row],[Competition Intensity]]&lt;=2,"Highly Concentrated",
 IF(HS_DB[[#This Row],[Competition Intensity]]&lt;=5,"Moderate",
 "Highly Competitive"))</f>
        <v>Highly Concentrated</v>
      </c>
      <c r="AZ439" s="8">
        <f>HS_DB[[#This Row],[Total Market Size - USD]]
*
(1+IFERROR(#REF!,0))
/
HS_DB[[#This Row],[Competition Intensity]]</f>
        <v>162013</v>
      </c>
      <c r="BA439" s="8" t="str">
        <f>IF(HS_DB[[#This Row],[Commercial Opportunity Score]]&gt;=PERCENTILE(HS_DB[Commercial Opportunity Score],0.9),"High Opportunity",
 IF(HS_DB[[#This Row],[Commercial Opportunity Score]]&gt;=PERCENTILE(HS_DB[Commercial Opportunity Score],0.6),"Medium Opportunity",
 "Routine Market"))</f>
        <v>Routine Market</v>
      </c>
      <c r="BB439" s="3" t="str">
        <f>IF(AND(HS_DB[[#This Row],[Product Rank]]&gt;0,HS_DB[[#This Row],[Product Rank]]&lt;=10),"Yes","No")</f>
        <v>No</v>
      </c>
      <c r="BC439" s="3" t="str">
        <f>IF(AND(HS_DB[[#This Row],[Origin Rank]]&gt;0,HS_DB[[#This Row],[Origin Rank]]&lt;=10),"Yes","No")</f>
        <v>No</v>
      </c>
    </row>
    <row r="440" spans="2:55" x14ac:dyDescent="0.3">
      <c r="B440" s="2">
        <f>HS_DB[[#This Row],[Commodity Code]]</f>
        <v>150790</v>
      </c>
      <c r="C440" s="2">
        <f>IFERROR(INDEX(HS_MD!C:C,MATCH(B440,HS_MD!B:B,0),1),"")</f>
        <v>37</v>
      </c>
      <c r="D440" s="17" t="str">
        <f>IFERROR(INDEX(HS_MD!D:D,MATCH(B440,HS_MD!B:B,0),1),"")</f>
        <v>Soybean oil, refined</v>
      </c>
      <c r="E440" s="17" t="str">
        <f>IFERROR(INDEX(HS_MD!E:E,MATCH(B440,HS_MD!B:B,0),1),"")</f>
        <v>Refined Soybean Oil</v>
      </c>
      <c r="F440" s="17" t="str">
        <f>IFERROR(INDEX(HS_MD!F:F,MATCH(B440,HS_MD!B:B,0),1),"")</f>
        <v>Agricultural Raw Materials</v>
      </c>
      <c r="G440" s="17" t="str">
        <f>IFERROR(INDEX(HS_MD!G:G,MATCH(B440,HS_MD!B:B,0),1),"")</f>
        <v>Edible Oils</v>
      </c>
      <c r="H440" s="17" t="str">
        <f>IFERROR(INDEX(HS_MD!H:H,MATCH(B440,HS_MD!B:B,0),1),"")</f>
        <v>Refined Vegetable Oils</v>
      </c>
      <c r="I440" s="17" t="str">
        <f>IFERROR(INDEX(HS_MD!I:I,MATCH(B440,HS_MD!B:B,0),1),"")</f>
        <v>Sauces / Industrial Use</v>
      </c>
      <c r="J440" s="17">
        <f>IFERROR(INDEX(Heat_Map[Index],MATCH(HS_DB[[#This Row],[Reporter]],Heat_Map[Global],0),1),"")</f>
        <v>84</v>
      </c>
      <c r="K440" s="17" t="str">
        <f>IF(AND(HS_DB[[#This Row],[Origin Rank]]&gt;1,HS_DB[[#This Row],[Origin Rank]]&lt;=10),"Yes","No")</f>
        <v>Yes</v>
      </c>
      <c r="L440" s="2">
        <v>2024</v>
      </c>
      <c r="M440" s="2" t="s">
        <v>57</v>
      </c>
      <c r="N440" s="2" t="s">
        <v>150</v>
      </c>
      <c r="O440" s="2" t="s">
        <v>22</v>
      </c>
      <c r="P440" s="2" t="s">
        <v>23</v>
      </c>
      <c r="Q440" s="2" t="s">
        <v>24</v>
      </c>
      <c r="R440" s="2" t="s">
        <v>25</v>
      </c>
      <c r="S440" s="2">
        <v>150790</v>
      </c>
      <c r="T440" s="3">
        <v>47380</v>
      </c>
      <c r="U440" s="3">
        <v>43530</v>
      </c>
      <c r="V440" s="3">
        <v>0</v>
      </c>
      <c r="W440" s="3">
        <v>43530</v>
      </c>
      <c r="X440" s="3" t="s">
        <v>58</v>
      </c>
      <c r="Y440" s="3">
        <v>43530</v>
      </c>
      <c r="Z440" s="3" t="s">
        <v>58</v>
      </c>
      <c r="AA440" s="6">
        <f>SUMIFS(HS_DB[Trade Value - USD],HS_DB[Reporter],HS_DB[[#This Row],[Reporter]])/SUM(HS_DB[Trade Value - USD])</f>
        <v>2.8246411344990648E-3</v>
      </c>
      <c r="AB440" s="8" cm="1">
        <f t="array" ref="AB440">SUMPRODUCT(
(HS_DB[Reporter]=HS_DB[[#This Row],[Reporter]])*
(HS_DB[Trade Value - USD]&gt;HS_DB[[#This Row],[Trade Value - USD]])
)+1</f>
        <v>2</v>
      </c>
      <c r="AC440" s="8" t="str">
        <f>IFERROR(IF(INDEX(Heat_Map[Crisis Impact %],MATCH(HS_DB[[#This Row],[Reporter]],Heat_Map[Global],0),1)&gt;0,"Yes","No"),"No")</f>
        <v>No</v>
      </c>
      <c r="AD440" s="6">
        <f>IFERROR(INDEX(Heat_Map[Crisis Impact %],MATCH(HS_DB[[#This Row],[Reporter]],Heat_Map[Global],0),1),0)</f>
        <v>0</v>
      </c>
      <c r="AE440" s="8">
        <f>HS_DB[[#This Row],[Crisis Impact%]]*HS_DB[[#This Row],[Trade Value - USD]]</f>
        <v>0</v>
      </c>
      <c r="AF440" s="8">
        <f>HS_DB[[#This Row],[Crisis Impact%]]*HS_DB[[#This Row],[Net Weight -KG]]</f>
        <v>0</v>
      </c>
      <c r="AG440" s="6">
        <f>SUMIFS(HS_DB[Trade Value - USD],HS_DB[Products],HS_DB[[#This Row],[Products]])/SUM(HS_DB[Trade Value - USD])</f>
        <v>8.5948162394993717E-5</v>
      </c>
      <c r="AH440" s="8">
        <f>_xlfn.RANK.EQ(HS_DB[[#This Row],[Trade Value - USD]], HS_DB[Trade Value - USD], 0)
 + COUNTIFS(HS_DB[Trade Value - USD],HS_DB[[#This Row],[Trade Value - USD]],
            HS_DB[HS Code],"&lt;"&amp;HS_DB[[#This Row],[HS Code]])</f>
        <v>327</v>
      </c>
      <c r="AI440" s="9">
        <f>IFERROR(HS_DB[[#This Row],[Trade Value - USD]]/HS_DB[[#This Row],[Net Weight -KG]],0)</f>
        <v>1.0884447507466115</v>
      </c>
      <c r="AJ440" s="17" cm="1">
        <f t="array" ref="AJ440">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39</v>
      </c>
      <c r="AK440" s="17" t="str">
        <f>IF(HS_DB[[#This Row],[HS Code Risk Score]]&gt;=40,"High",
 IF(HS_DB[[#This Row],[HS Code Risk Score]]&gt;=25,"Medium","Low"))</f>
        <v>Medium</v>
      </c>
      <c r="AL440" s="17" t="str">
        <f>IF(RANK(HS_DB[[#This Row],[HS Code Risk Score]],HS_DB[HS Code Risk Score])&lt;=10,"Yes","No")</f>
        <v>Yes</v>
      </c>
      <c r="AM440" s="8">
        <f>SUMIFS(HS_DB[Net Weight -KG],HS_DB[HS Code],HS_DB[[#This Row],[HS Code]])</f>
        <v>109474</v>
      </c>
      <c r="AN440" s="8">
        <f>SUMIFS(HS_DB[Trade Value - USD],HS_DB[HS Code],HS_DB[[#This Row],[HS Code]])</f>
        <v>162013</v>
      </c>
      <c r="AO440" s="6">
        <f>_xlfn.MAXIFS(HS_DB[Origin Share%],HS_DB[HS Code],HS_DB[[#This Row],[HS Code]])</f>
        <v>1.4561232389604124E-2</v>
      </c>
      <c r="AP440" s="8" cm="1">
        <f t="array" ref="AP440">_xlfn.LET(
_xlpm.hs,HS_DB[[#This Row],[HS Code]],
COUNTA(_xlfn.UNIQUE(_xlfn._xlws.FILTER(HS_DB[Reporter],HS_DB[HS Code]=_xlpm.hs)))
)</f>
        <v>4</v>
      </c>
      <c r="AQ440" s="17" t="str">
        <f>IF(HS_DB[[#This Row],[Origin Count]]=1,"Single Source","Multiple Sources")</f>
        <v>Multiple Sources</v>
      </c>
      <c r="AR440" s="8">
        <f>HS_DB[[#This Row],[Annual Spend - USD]]*(HS_DB[[#This Row],[HS Code Risk Score]]/100)</f>
        <v>63185.07</v>
      </c>
      <c r="AS440" s="8">
        <f>RANK(HS_DB[[#This Row],[Risk Exposure - USD]],HS_DB[Risk Exposure - USD],0)</f>
        <v>526</v>
      </c>
      <c r="AT440" s="8" t="str">
        <f>IF(HS_DB[[#This Row],[Risk Exposure Rank]]&lt;=10,"High",
 IF(HS_DB[[#This Row],[Risk Exposure Rank]]&lt;=30,"Medium",
 "Low"))</f>
        <v>Low</v>
      </c>
      <c r="AU440" s="8" t="str">
        <f>IF(HS_DB[[#This Row],[Risk Exposure Rank]]&lt;=5,"Immediate Action",
 IF(HS_DB[[#This Row],[Risk Exposure Rank]]&lt;=15,"Monitor Closely",
 "Routine Control"))</f>
        <v>Routine Control</v>
      </c>
      <c r="AV440" s="8">
        <f>SUMIFS(HS_DB[Trade Value - USD],HS_DB[HS Code],HS_DB[[#This Row],[HS Code]])</f>
        <v>162013</v>
      </c>
      <c r="AW440" s="6">
        <f>HS_DB[[#This Row],[Annual Spend - USD]]/HS_DB[[#This Row],[Total Market Size - USD]]</f>
        <v>1</v>
      </c>
      <c r="AX440" s="6" cm="1">
        <f t="array" ref="AX440">COUNTA(_xlfn.UNIQUE(_xlfn._xlws.FILTER(HS_DB[Partner],HS_DB[HS Code]=HS_DB[[#This Row],[HS Code]])))</f>
        <v>1</v>
      </c>
      <c r="AY440" s="8" t="str">
        <f>IF(HS_DB[[#This Row],[Competition Intensity]]&lt;=2,"Highly Concentrated",
 IF(HS_DB[[#This Row],[Competition Intensity]]&lt;=5,"Moderate",
 "Highly Competitive"))</f>
        <v>Highly Concentrated</v>
      </c>
      <c r="AZ440" s="8">
        <f>HS_DB[[#This Row],[Total Market Size - USD]]
*
(1+IFERROR(#REF!,0))
/
HS_DB[[#This Row],[Competition Intensity]]</f>
        <v>162013</v>
      </c>
      <c r="BA440" s="8" t="str">
        <f>IF(HS_DB[[#This Row],[Commercial Opportunity Score]]&gt;=PERCENTILE(HS_DB[Commercial Opportunity Score],0.9),"High Opportunity",
 IF(HS_DB[[#This Row],[Commercial Opportunity Score]]&gt;=PERCENTILE(HS_DB[Commercial Opportunity Score],0.6),"Medium Opportunity",
 "Routine Market"))</f>
        <v>Routine Market</v>
      </c>
      <c r="BB440" s="3" t="str">
        <f>IF(AND(HS_DB[[#This Row],[Product Rank]]&gt;0,HS_DB[[#This Row],[Product Rank]]&lt;=10),"Yes","No")</f>
        <v>No</v>
      </c>
      <c r="BC440" s="3" t="str">
        <f>IF(AND(HS_DB[[#This Row],[Origin Rank]]&gt;0,HS_DB[[#This Row],[Origin Rank]]&lt;=10),"Yes","No")</f>
        <v>Yes</v>
      </c>
    </row>
    <row r="441" spans="2:55" x14ac:dyDescent="0.3">
      <c r="B441" s="2">
        <f>HS_DB[[#This Row],[Commodity Code]]</f>
        <v>150790</v>
      </c>
      <c r="C441" s="2">
        <f>IFERROR(INDEX(HS_MD!C:C,MATCH(B441,HS_MD!B:B,0),1),"")</f>
        <v>37</v>
      </c>
      <c r="D441" s="17" t="str">
        <f>IFERROR(INDEX(HS_MD!D:D,MATCH(B441,HS_MD!B:B,0),1),"")</f>
        <v>Soybean oil, refined</v>
      </c>
      <c r="E441" s="17" t="str">
        <f>IFERROR(INDEX(HS_MD!E:E,MATCH(B441,HS_MD!B:B,0),1),"")</f>
        <v>Refined Soybean Oil</v>
      </c>
      <c r="F441" s="17" t="str">
        <f>IFERROR(INDEX(HS_MD!F:F,MATCH(B441,HS_MD!B:B,0),1),"")</f>
        <v>Agricultural Raw Materials</v>
      </c>
      <c r="G441" s="17" t="str">
        <f>IFERROR(INDEX(HS_MD!G:G,MATCH(B441,HS_MD!B:B,0),1),"")</f>
        <v>Edible Oils</v>
      </c>
      <c r="H441" s="17" t="str">
        <f>IFERROR(INDEX(HS_MD!H:H,MATCH(B441,HS_MD!B:B,0),1),"")</f>
        <v>Refined Vegetable Oils</v>
      </c>
      <c r="I441" s="17" t="str">
        <f>IFERROR(INDEX(HS_MD!I:I,MATCH(B441,HS_MD!B:B,0),1),"")</f>
        <v>Sauces / Industrial Use</v>
      </c>
      <c r="J441" s="17">
        <f>IFERROR(INDEX(Heat_Map[Index],MATCH(HS_DB[[#This Row],[Reporter]],Heat_Map[Global],0),1),"")</f>
        <v>88</v>
      </c>
      <c r="K441" s="17" t="str">
        <f>IF(AND(HS_DB[[#This Row],[Origin Rank]]&gt;1,HS_DB[[#This Row],[Origin Rank]]&lt;=10),"Yes","No")</f>
        <v>Yes</v>
      </c>
      <c r="L441" s="2">
        <v>2024</v>
      </c>
      <c r="M441" s="2" t="s">
        <v>57</v>
      </c>
      <c r="N441" s="2" t="s">
        <v>157</v>
      </c>
      <c r="O441" s="2" t="s">
        <v>22</v>
      </c>
      <c r="P441" s="2" t="s">
        <v>23</v>
      </c>
      <c r="Q441" s="2" t="s">
        <v>24</v>
      </c>
      <c r="R441" s="2" t="s">
        <v>25</v>
      </c>
      <c r="S441" s="2">
        <v>150790</v>
      </c>
      <c r="T441" s="3">
        <v>195</v>
      </c>
      <c r="U441" s="3">
        <v>80</v>
      </c>
      <c r="V441" s="3">
        <v>0</v>
      </c>
      <c r="W441" s="3">
        <v>80</v>
      </c>
      <c r="X441" s="3" t="s">
        <v>58</v>
      </c>
      <c r="Y441" s="3">
        <v>80</v>
      </c>
      <c r="Z441" s="3" t="s">
        <v>58</v>
      </c>
      <c r="AA441" s="6">
        <f>SUMIFS(HS_DB[Trade Value - USD],HS_DB[Reporter],HS_DB[[#This Row],[Reporter]])/SUM(HS_DB[Trade Value - USD])</f>
        <v>8.2233059401702185E-6</v>
      </c>
      <c r="AB441" s="8" cm="1">
        <f t="array" ref="AB441">SUMPRODUCT(
(HS_DB[Reporter]=HS_DB[[#This Row],[Reporter]])*
(HS_DB[Trade Value - USD]&gt;HS_DB[[#This Row],[Trade Value - USD]])
)+1</f>
        <v>5</v>
      </c>
      <c r="AC441" s="8" t="str">
        <f>IFERROR(IF(INDEX(Heat_Map[Crisis Impact %],MATCH(HS_DB[[#This Row],[Reporter]],Heat_Map[Global],0),1)&gt;0,"Yes","No"),"No")</f>
        <v>No</v>
      </c>
      <c r="AD441" s="6">
        <f>IFERROR(INDEX(Heat_Map[Crisis Impact %],MATCH(HS_DB[[#This Row],[Reporter]],Heat_Map[Global],0),1),0)</f>
        <v>0</v>
      </c>
      <c r="AE441" s="8">
        <f>HS_DB[[#This Row],[Crisis Impact%]]*HS_DB[[#This Row],[Trade Value - USD]]</f>
        <v>0</v>
      </c>
      <c r="AF441" s="8">
        <f>HS_DB[[#This Row],[Crisis Impact%]]*HS_DB[[#This Row],[Net Weight -KG]]</f>
        <v>0</v>
      </c>
      <c r="AG441" s="6">
        <f>SUMIFS(HS_DB[Trade Value - USD],HS_DB[Products],HS_DB[[#This Row],[Products]])/SUM(HS_DB[Trade Value - USD])</f>
        <v>8.5948162394993717E-5</v>
      </c>
      <c r="AH441" s="8">
        <f>_xlfn.RANK.EQ(HS_DB[[#This Row],[Trade Value - USD]], HS_DB[Trade Value - USD], 0)
 + COUNTIFS(HS_DB[Trade Value - USD],HS_DB[[#This Row],[Trade Value - USD]],
            HS_DB[HS Code],"&lt;"&amp;HS_DB[[#This Row],[HS Code]])</f>
        <v>508</v>
      </c>
      <c r="AI441" s="9">
        <f>IFERROR(HS_DB[[#This Row],[Trade Value - USD]]/HS_DB[[#This Row],[Net Weight -KG]],0)</f>
        <v>2.4375</v>
      </c>
      <c r="AJ441" s="17" cm="1">
        <f t="array" ref="AJ441">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39</v>
      </c>
      <c r="AK441" s="17" t="str">
        <f>IF(HS_DB[[#This Row],[HS Code Risk Score]]&gt;=40,"High",
 IF(HS_DB[[#This Row],[HS Code Risk Score]]&gt;=25,"Medium","Low"))</f>
        <v>Medium</v>
      </c>
      <c r="AL441" s="17" t="str">
        <f>IF(RANK(HS_DB[[#This Row],[HS Code Risk Score]],HS_DB[HS Code Risk Score])&lt;=10,"Yes","No")</f>
        <v>Yes</v>
      </c>
      <c r="AM441" s="8">
        <f>SUMIFS(HS_DB[Net Weight -KG],HS_DB[HS Code],HS_DB[[#This Row],[HS Code]])</f>
        <v>109474</v>
      </c>
      <c r="AN441" s="8">
        <f>SUMIFS(HS_DB[Trade Value - USD],HS_DB[HS Code],HS_DB[[#This Row],[HS Code]])</f>
        <v>162013</v>
      </c>
      <c r="AO441" s="6">
        <f>_xlfn.MAXIFS(HS_DB[Origin Share%],HS_DB[HS Code],HS_DB[[#This Row],[HS Code]])</f>
        <v>1.4561232389604124E-2</v>
      </c>
      <c r="AP441" s="8" cm="1">
        <f t="array" ref="AP441">_xlfn.LET(
_xlpm.hs,HS_DB[[#This Row],[HS Code]],
COUNTA(_xlfn.UNIQUE(_xlfn._xlws.FILTER(HS_DB[Reporter],HS_DB[HS Code]=_xlpm.hs)))
)</f>
        <v>4</v>
      </c>
      <c r="AQ441" s="17" t="str">
        <f>IF(HS_DB[[#This Row],[Origin Count]]=1,"Single Source","Multiple Sources")</f>
        <v>Multiple Sources</v>
      </c>
      <c r="AR441" s="8">
        <f>HS_DB[[#This Row],[Annual Spend - USD]]*(HS_DB[[#This Row],[HS Code Risk Score]]/100)</f>
        <v>63185.07</v>
      </c>
      <c r="AS441" s="8">
        <f>RANK(HS_DB[[#This Row],[Risk Exposure - USD]],HS_DB[Risk Exposure - USD],0)</f>
        <v>526</v>
      </c>
      <c r="AT441" s="8" t="str">
        <f>IF(HS_DB[[#This Row],[Risk Exposure Rank]]&lt;=10,"High",
 IF(HS_DB[[#This Row],[Risk Exposure Rank]]&lt;=30,"Medium",
 "Low"))</f>
        <v>Low</v>
      </c>
      <c r="AU441" s="8" t="str">
        <f>IF(HS_DB[[#This Row],[Risk Exposure Rank]]&lt;=5,"Immediate Action",
 IF(HS_DB[[#This Row],[Risk Exposure Rank]]&lt;=15,"Monitor Closely",
 "Routine Control"))</f>
        <v>Routine Control</v>
      </c>
      <c r="AV441" s="8">
        <f>SUMIFS(HS_DB[Trade Value - USD],HS_DB[HS Code],HS_DB[[#This Row],[HS Code]])</f>
        <v>162013</v>
      </c>
      <c r="AW441" s="6">
        <f>HS_DB[[#This Row],[Annual Spend - USD]]/HS_DB[[#This Row],[Total Market Size - USD]]</f>
        <v>1</v>
      </c>
      <c r="AX441" s="6" cm="1">
        <f t="array" ref="AX441">COUNTA(_xlfn.UNIQUE(_xlfn._xlws.FILTER(HS_DB[Partner],HS_DB[HS Code]=HS_DB[[#This Row],[HS Code]])))</f>
        <v>1</v>
      </c>
      <c r="AY441" s="8" t="str">
        <f>IF(HS_DB[[#This Row],[Competition Intensity]]&lt;=2,"Highly Concentrated",
 IF(HS_DB[[#This Row],[Competition Intensity]]&lt;=5,"Moderate",
 "Highly Competitive"))</f>
        <v>Highly Concentrated</v>
      </c>
      <c r="AZ441" s="8">
        <f>HS_DB[[#This Row],[Total Market Size - USD]]
*
(1+IFERROR(#REF!,0))
/
HS_DB[[#This Row],[Competition Intensity]]</f>
        <v>162013</v>
      </c>
      <c r="BA441" s="8" t="str">
        <f>IF(HS_DB[[#This Row],[Commercial Opportunity Score]]&gt;=PERCENTILE(HS_DB[Commercial Opportunity Score],0.9),"High Opportunity",
 IF(HS_DB[[#This Row],[Commercial Opportunity Score]]&gt;=PERCENTILE(HS_DB[Commercial Opportunity Score],0.6),"Medium Opportunity",
 "Routine Market"))</f>
        <v>Routine Market</v>
      </c>
      <c r="BB441" s="3" t="str">
        <f>IF(AND(HS_DB[[#This Row],[Product Rank]]&gt;0,HS_DB[[#This Row],[Product Rank]]&lt;=10),"Yes","No")</f>
        <v>No</v>
      </c>
      <c r="BC441" s="3" t="str">
        <f>IF(AND(HS_DB[[#This Row],[Origin Rank]]&gt;0,HS_DB[[#This Row],[Origin Rank]]&lt;=10),"Yes","No")</f>
        <v>Yes</v>
      </c>
    </row>
    <row r="442" spans="2:55" x14ac:dyDescent="0.3">
      <c r="B442" s="2">
        <f>HS_DB[[#This Row],[Commodity Code]]</f>
        <v>150790</v>
      </c>
      <c r="C442" s="2">
        <f>IFERROR(INDEX(HS_MD!C:C,MATCH(B442,HS_MD!B:B,0),1),"")</f>
        <v>37</v>
      </c>
      <c r="D442" s="17" t="str">
        <f>IFERROR(INDEX(HS_MD!D:D,MATCH(B442,HS_MD!B:B,0),1),"")</f>
        <v>Soybean oil, refined</v>
      </c>
      <c r="E442" s="17" t="str">
        <f>IFERROR(INDEX(HS_MD!E:E,MATCH(B442,HS_MD!B:B,0),1),"")</f>
        <v>Refined Soybean Oil</v>
      </c>
      <c r="F442" s="17" t="str">
        <f>IFERROR(INDEX(HS_MD!F:F,MATCH(B442,HS_MD!B:B,0),1),"")</f>
        <v>Agricultural Raw Materials</v>
      </c>
      <c r="G442" s="17" t="str">
        <f>IFERROR(INDEX(HS_MD!G:G,MATCH(B442,HS_MD!B:B,0),1),"")</f>
        <v>Edible Oils</v>
      </c>
      <c r="H442" s="17" t="str">
        <f>IFERROR(INDEX(HS_MD!H:H,MATCH(B442,HS_MD!B:B,0),1),"")</f>
        <v>Refined Vegetable Oils</v>
      </c>
      <c r="I442" s="17" t="str">
        <f>IFERROR(INDEX(HS_MD!I:I,MATCH(B442,HS_MD!B:B,0),1),"")</f>
        <v>Sauces / Industrial Use</v>
      </c>
      <c r="J442" s="17">
        <f>IFERROR(INDEX(Heat_Map[Index],MATCH(HS_DB[[#This Row],[Reporter]],Heat_Map[Global],0),1),"")</f>
        <v>118</v>
      </c>
      <c r="K442" s="17" t="str">
        <f>IF(AND(HS_DB[[#This Row],[Origin Rank]]&gt;1,HS_DB[[#This Row],[Origin Rank]]&lt;=10),"Yes","No")</f>
        <v>No</v>
      </c>
      <c r="L442" s="2">
        <v>2024</v>
      </c>
      <c r="M442" s="2" t="s">
        <v>57</v>
      </c>
      <c r="N442" s="2" t="s">
        <v>53</v>
      </c>
      <c r="O442" s="2" t="s">
        <v>22</v>
      </c>
      <c r="P442" s="2" t="s">
        <v>23</v>
      </c>
      <c r="Q442" s="2" t="s">
        <v>24</v>
      </c>
      <c r="R442" s="2" t="s">
        <v>25</v>
      </c>
      <c r="S442" s="2">
        <v>150790</v>
      </c>
      <c r="T442" s="3">
        <v>87246</v>
      </c>
      <c r="U442" s="3">
        <v>56900</v>
      </c>
      <c r="V442" s="3">
        <v>0</v>
      </c>
      <c r="W442" s="3">
        <v>56900</v>
      </c>
      <c r="X442" s="3" t="s">
        <v>58</v>
      </c>
      <c r="Y442" s="3">
        <v>56900</v>
      </c>
      <c r="Z442" s="3" t="s">
        <v>58</v>
      </c>
      <c r="AA442" s="6">
        <f>SUMIFS(HS_DB[Trade Value - USD],HS_DB[Reporter],HS_DB[[#This Row],[Reporter]])/SUM(HS_DB[Trade Value - USD])</f>
        <v>1.4561232389604124E-2</v>
      </c>
      <c r="AB442" s="8" cm="1">
        <f t="array" ref="AB442">SUMPRODUCT(
(HS_DB[Reporter]=HS_DB[[#This Row],[Reporter]])*
(HS_DB[Trade Value - USD]&gt;HS_DB[[#This Row],[Trade Value - USD]])
)+1</f>
        <v>16</v>
      </c>
      <c r="AC442" s="8" t="str">
        <f>IFERROR(IF(INDEX(Heat_Map[Crisis Impact %],MATCH(HS_DB[[#This Row],[Reporter]],Heat_Map[Global],0),1)&gt;0,"Yes","No"),"No")</f>
        <v>No</v>
      </c>
      <c r="AD442" s="6">
        <f>IFERROR(INDEX(Heat_Map[Crisis Impact %],MATCH(HS_DB[[#This Row],[Reporter]],Heat_Map[Global],0),1),0)</f>
        <v>0</v>
      </c>
      <c r="AE442" s="8">
        <f>HS_DB[[#This Row],[Crisis Impact%]]*HS_DB[[#This Row],[Trade Value - USD]]</f>
        <v>0</v>
      </c>
      <c r="AF442" s="8">
        <f>HS_DB[[#This Row],[Crisis Impact%]]*HS_DB[[#This Row],[Net Weight -KG]]</f>
        <v>0</v>
      </c>
      <c r="AG442" s="6">
        <f>SUMIFS(HS_DB[Trade Value - USD],HS_DB[Products],HS_DB[[#This Row],[Products]])/SUM(HS_DB[Trade Value - USD])</f>
        <v>8.5948162394993717E-5</v>
      </c>
      <c r="AH442" s="8">
        <f>_xlfn.RANK.EQ(HS_DB[[#This Row],[Trade Value - USD]], HS_DB[Trade Value - USD], 0)
 + COUNTIFS(HS_DB[Trade Value - USD],HS_DB[[#This Row],[Trade Value - USD]],
            HS_DB[HS Code],"&lt;"&amp;HS_DB[[#This Row],[HS Code]])</f>
        <v>284</v>
      </c>
      <c r="AI442" s="9">
        <f>IFERROR(HS_DB[[#This Row],[Trade Value - USD]]/HS_DB[[#This Row],[Net Weight -KG]],0)</f>
        <v>1.5333216168717048</v>
      </c>
      <c r="AJ442" s="17" cm="1">
        <f t="array" ref="AJ442">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39</v>
      </c>
      <c r="AK442" s="17" t="str">
        <f>IF(HS_DB[[#This Row],[HS Code Risk Score]]&gt;=40,"High",
 IF(HS_DB[[#This Row],[HS Code Risk Score]]&gt;=25,"Medium","Low"))</f>
        <v>Medium</v>
      </c>
      <c r="AL442" s="17" t="str">
        <f>IF(RANK(HS_DB[[#This Row],[HS Code Risk Score]],HS_DB[HS Code Risk Score])&lt;=10,"Yes","No")</f>
        <v>Yes</v>
      </c>
      <c r="AM442" s="8">
        <f>SUMIFS(HS_DB[Net Weight -KG],HS_DB[HS Code],HS_DB[[#This Row],[HS Code]])</f>
        <v>109474</v>
      </c>
      <c r="AN442" s="8">
        <f>SUMIFS(HS_DB[Trade Value - USD],HS_DB[HS Code],HS_DB[[#This Row],[HS Code]])</f>
        <v>162013</v>
      </c>
      <c r="AO442" s="6">
        <f>_xlfn.MAXIFS(HS_DB[Origin Share%],HS_DB[HS Code],HS_DB[[#This Row],[HS Code]])</f>
        <v>1.4561232389604124E-2</v>
      </c>
      <c r="AP442" s="8" cm="1">
        <f t="array" ref="AP442">_xlfn.LET(
_xlpm.hs,HS_DB[[#This Row],[HS Code]],
COUNTA(_xlfn.UNIQUE(_xlfn._xlws.FILTER(HS_DB[Reporter],HS_DB[HS Code]=_xlpm.hs)))
)</f>
        <v>4</v>
      </c>
      <c r="AQ442" s="17" t="str">
        <f>IF(HS_DB[[#This Row],[Origin Count]]=1,"Single Source","Multiple Sources")</f>
        <v>Multiple Sources</v>
      </c>
      <c r="AR442" s="8">
        <f>HS_DB[[#This Row],[Annual Spend - USD]]*(HS_DB[[#This Row],[HS Code Risk Score]]/100)</f>
        <v>63185.07</v>
      </c>
      <c r="AS442" s="8">
        <f>RANK(HS_DB[[#This Row],[Risk Exposure - USD]],HS_DB[Risk Exposure - USD],0)</f>
        <v>526</v>
      </c>
      <c r="AT442" s="8" t="str">
        <f>IF(HS_DB[[#This Row],[Risk Exposure Rank]]&lt;=10,"High",
 IF(HS_DB[[#This Row],[Risk Exposure Rank]]&lt;=30,"Medium",
 "Low"))</f>
        <v>Low</v>
      </c>
      <c r="AU442" s="8" t="str">
        <f>IF(HS_DB[[#This Row],[Risk Exposure Rank]]&lt;=5,"Immediate Action",
 IF(HS_DB[[#This Row],[Risk Exposure Rank]]&lt;=15,"Monitor Closely",
 "Routine Control"))</f>
        <v>Routine Control</v>
      </c>
      <c r="AV442" s="8">
        <f>SUMIFS(HS_DB[Trade Value - USD],HS_DB[HS Code],HS_DB[[#This Row],[HS Code]])</f>
        <v>162013</v>
      </c>
      <c r="AW442" s="6">
        <f>HS_DB[[#This Row],[Annual Spend - USD]]/HS_DB[[#This Row],[Total Market Size - USD]]</f>
        <v>1</v>
      </c>
      <c r="AX442" s="6" cm="1">
        <f t="array" ref="AX442">COUNTA(_xlfn.UNIQUE(_xlfn._xlws.FILTER(HS_DB[Partner],HS_DB[HS Code]=HS_DB[[#This Row],[HS Code]])))</f>
        <v>1</v>
      </c>
      <c r="AY442" s="8" t="str">
        <f>IF(HS_DB[[#This Row],[Competition Intensity]]&lt;=2,"Highly Concentrated",
 IF(HS_DB[[#This Row],[Competition Intensity]]&lt;=5,"Moderate",
 "Highly Competitive"))</f>
        <v>Highly Concentrated</v>
      </c>
      <c r="AZ442" s="8">
        <f>HS_DB[[#This Row],[Total Market Size - USD]]
*
(1+IFERROR(#REF!,0))
/
HS_DB[[#This Row],[Competition Intensity]]</f>
        <v>162013</v>
      </c>
      <c r="BA442" s="8" t="str">
        <f>IF(HS_DB[[#This Row],[Commercial Opportunity Score]]&gt;=PERCENTILE(HS_DB[Commercial Opportunity Score],0.9),"High Opportunity",
 IF(HS_DB[[#This Row],[Commercial Opportunity Score]]&gt;=PERCENTILE(HS_DB[Commercial Opportunity Score],0.6),"Medium Opportunity",
 "Routine Market"))</f>
        <v>Routine Market</v>
      </c>
      <c r="BB442" s="3" t="str">
        <f>IF(AND(HS_DB[[#This Row],[Product Rank]]&gt;0,HS_DB[[#This Row],[Product Rank]]&lt;=10),"Yes","No")</f>
        <v>No</v>
      </c>
      <c r="BC442" s="3" t="str">
        <f>IF(AND(HS_DB[[#This Row],[Origin Rank]]&gt;0,HS_DB[[#This Row],[Origin Rank]]&lt;=10),"Yes","No")</f>
        <v>No</v>
      </c>
    </row>
    <row r="443" spans="2:55" x14ac:dyDescent="0.3">
      <c r="B443" s="2">
        <f>HS_DB[[#This Row],[Commodity Code]]</f>
        <v>151211</v>
      </c>
      <c r="C443" s="2">
        <f>IFERROR(INDEX(HS_MD!C:C,MATCH(B443,HS_MD!B:B,0),1),"")</f>
        <v>38</v>
      </c>
      <c r="D443" s="17" t="str">
        <f>IFERROR(INDEX(HS_MD!D:D,MATCH(B443,HS_MD!B:B,0),1),"")</f>
        <v>Sunflower oil</v>
      </c>
      <c r="E443" s="17" t="str">
        <f>IFERROR(INDEX(HS_MD!E:E,MATCH(B443,HS_MD!B:B,0),1),"")</f>
        <v>Sunflower Oil</v>
      </c>
      <c r="F443" s="17" t="str">
        <f>IFERROR(INDEX(HS_MD!F:F,MATCH(B443,HS_MD!B:B,0),1),"")</f>
        <v>Agricultural Raw Materials</v>
      </c>
      <c r="G443" s="17" t="str">
        <f>IFERROR(INDEX(HS_MD!G:G,MATCH(B443,HS_MD!B:B,0),1),"")</f>
        <v>Edible Oils</v>
      </c>
      <c r="H443" s="17" t="str">
        <f>IFERROR(INDEX(HS_MD!H:H,MATCH(B443,HS_MD!B:B,0),1),"")</f>
        <v>Refined Seed Oils</v>
      </c>
      <c r="I443" s="17" t="str">
        <f>IFERROR(INDEX(HS_MD!I:I,MATCH(B443,HS_MD!B:B,0),1),"")</f>
        <v>Snacks / Sauces / Frying</v>
      </c>
      <c r="J443" s="17">
        <f>IFERROR(INDEX(Heat_Map[Index],MATCH(HS_DB[[#This Row],[Reporter]],Heat_Map[Global],0),1),"")</f>
        <v>26</v>
      </c>
      <c r="K443" s="17" t="str">
        <f>IF(AND(HS_DB[[#This Row],[Origin Rank]]&gt;1,HS_DB[[#This Row],[Origin Rank]]&lt;=10),"Yes","No")</f>
        <v>No</v>
      </c>
      <c r="L443" s="2">
        <v>2024</v>
      </c>
      <c r="M443" s="2" t="s">
        <v>57</v>
      </c>
      <c r="N443" s="2" t="s">
        <v>141</v>
      </c>
      <c r="O443" s="2" t="s">
        <v>22</v>
      </c>
      <c r="P443" s="2" t="s">
        <v>23</v>
      </c>
      <c r="Q443" s="2" t="s">
        <v>24</v>
      </c>
      <c r="R443" s="2" t="s">
        <v>25</v>
      </c>
      <c r="S443" s="2">
        <v>151211</v>
      </c>
      <c r="T443" s="3">
        <v>8822678</v>
      </c>
      <c r="U443" s="3">
        <v>9999920</v>
      </c>
      <c r="V443" s="3">
        <v>0</v>
      </c>
      <c r="W443" s="3">
        <v>9999920</v>
      </c>
      <c r="X443" s="3" t="s">
        <v>58</v>
      </c>
      <c r="Y443" s="3">
        <v>9999920</v>
      </c>
      <c r="Z443" s="3" t="s">
        <v>58</v>
      </c>
      <c r="AA443" s="6">
        <f>SUMIFS(HS_DB[Trade Value - USD],HS_DB[Reporter],HS_DB[[#This Row],[Reporter]])/SUM(HS_DB[Trade Value - USD])</f>
        <v>5.4237925464080154E-3</v>
      </c>
      <c r="AB443" s="8" cm="1">
        <f t="array" ref="AB443">SUMPRODUCT(
(HS_DB[Reporter]=HS_DB[[#This Row],[Reporter]])*
(HS_DB[Trade Value - USD]&gt;HS_DB[[#This Row],[Trade Value - USD]])
)+1</f>
        <v>1</v>
      </c>
      <c r="AC443" s="8" t="str">
        <f>IFERROR(IF(INDEX(Heat_Map[Crisis Impact %],MATCH(HS_DB[[#This Row],[Reporter]],Heat_Map[Global],0),1)&gt;0,"Yes","No"),"No")</f>
        <v>No</v>
      </c>
      <c r="AD443" s="6">
        <f>IFERROR(INDEX(Heat_Map[Crisis Impact %],MATCH(HS_DB[[#This Row],[Reporter]],Heat_Map[Global],0),1),0)</f>
        <v>0</v>
      </c>
      <c r="AE443" s="8">
        <f>HS_DB[[#This Row],[Crisis Impact%]]*HS_DB[[#This Row],[Trade Value - USD]]</f>
        <v>0</v>
      </c>
      <c r="AF443" s="8">
        <f>HS_DB[[#This Row],[Crisis Impact%]]*HS_DB[[#This Row],[Net Weight -KG]]</f>
        <v>0</v>
      </c>
      <c r="AG443" s="6">
        <f>SUMIFS(HS_DB[Trade Value - USD],HS_DB[Products],HS_DB[[#This Row],[Products]])/SUM(HS_DB[Trade Value - USD])</f>
        <v>9.1907853375793033E-2</v>
      </c>
      <c r="AH443" s="8">
        <f>_xlfn.RANK.EQ(HS_DB[[#This Row],[Trade Value - USD]], HS_DB[Trade Value - USD], 0)
 + COUNTIFS(HS_DB[Trade Value - USD],HS_DB[[#This Row],[Trade Value - USD]],
            HS_DB[HS Code],"&lt;"&amp;HS_DB[[#This Row],[HS Code]])</f>
        <v>21</v>
      </c>
      <c r="AI443" s="9">
        <f>IFERROR(HS_DB[[#This Row],[Trade Value - USD]]/HS_DB[[#This Row],[Net Weight -KG]],0)</f>
        <v>0.88227485819886564</v>
      </c>
      <c r="AJ443" s="17" cm="1">
        <f t="array" ref="AJ443">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43" s="17" t="str">
        <f>IF(HS_DB[[#This Row],[HS Code Risk Score]]&gt;=40,"High",
 IF(HS_DB[[#This Row],[HS Code Risk Score]]&gt;=25,"Medium","Low"))</f>
        <v>Medium</v>
      </c>
      <c r="AL443" s="17" t="str">
        <f>IF(RANK(HS_DB[[#This Row],[HS Code Risk Score]],HS_DB[HS Code Risk Score])&lt;=10,"Yes","No")</f>
        <v>No</v>
      </c>
      <c r="AM443" s="8">
        <f>SUMIFS(HS_DB[Net Weight -KG],HS_DB[HS Code],HS_DB[[#This Row],[HS Code]])</f>
        <v>224152755</v>
      </c>
      <c r="AN443" s="8">
        <f>SUMIFS(HS_DB[Trade Value - USD],HS_DB[HS Code],HS_DB[[#This Row],[HS Code]])</f>
        <v>173247067</v>
      </c>
      <c r="AO443" s="6">
        <f>_xlfn.MAXIFS(HS_DB[Origin Share%],HS_DB[HS Code],HS_DB[[#This Row],[HS Code]])</f>
        <v>7.6648679233989533E-2</v>
      </c>
      <c r="AP443" s="8" cm="1">
        <f t="array" ref="AP443">_xlfn.LET(
_xlpm.hs,HS_DB[[#This Row],[HS Code]],
COUNTA(_xlfn.UNIQUE(_xlfn._xlws.FILTER(HS_DB[Reporter],HS_DB[HS Code]=_xlpm.hs)))
)</f>
        <v>7</v>
      </c>
      <c r="AQ443" s="17" t="str">
        <f>IF(HS_DB[[#This Row],[Origin Count]]=1,"Single Source","Multiple Sources")</f>
        <v>Multiple Sources</v>
      </c>
      <c r="AR443" s="8">
        <f>HS_DB[[#This Row],[Annual Spend - USD]]*(HS_DB[[#This Row],[HS Code Risk Score]]/100)</f>
        <v>58904002.780000001</v>
      </c>
      <c r="AS443" s="8">
        <f>RANK(HS_DB[[#This Row],[Risk Exposure - USD]],HS_DB[Risk Exposure - USD],0)</f>
        <v>8</v>
      </c>
      <c r="AT443" s="8" t="str">
        <f>IF(HS_DB[[#This Row],[Risk Exposure Rank]]&lt;=10,"High",
 IF(HS_DB[[#This Row],[Risk Exposure Rank]]&lt;=30,"Medium",
 "Low"))</f>
        <v>High</v>
      </c>
      <c r="AU443" s="8" t="str">
        <f>IF(HS_DB[[#This Row],[Risk Exposure Rank]]&lt;=5,"Immediate Action",
 IF(HS_DB[[#This Row],[Risk Exposure Rank]]&lt;=15,"Monitor Closely",
 "Routine Control"))</f>
        <v>Monitor Closely</v>
      </c>
      <c r="AV443" s="8">
        <f>SUMIFS(HS_DB[Trade Value - USD],HS_DB[HS Code],HS_DB[[#This Row],[HS Code]])</f>
        <v>173247067</v>
      </c>
      <c r="AW443" s="6">
        <f>HS_DB[[#This Row],[Annual Spend - USD]]/HS_DB[[#This Row],[Total Market Size - USD]]</f>
        <v>1</v>
      </c>
      <c r="AX443" s="6" cm="1">
        <f t="array" ref="AX443">COUNTA(_xlfn.UNIQUE(_xlfn._xlws.FILTER(HS_DB[Partner],HS_DB[HS Code]=HS_DB[[#This Row],[HS Code]])))</f>
        <v>1</v>
      </c>
      <c r="AY443" s="8" t="str">
        <f>IF(HS_DB[[#This Row],[Competition Intensity]]&lt;=2,"Highly Concentrated",
 IF(HS_DB[[#This Row],[Competition Intensity]]&lt;=5,"Moderate",
 "Highly Competitive"))</f>
        <v>Highly Concentrated</v>
      </c>
      <c r="AZ443" s="8">
        <f>HS_DB[[#This Row],[Total Market Size - USD]]
*
(1+IFERROR(#REF!,0))
/
HS_DB[[#This Row],[Competition Intensity]]</f>
        <v>173247067</v>
      </c>
      <c r="BA443" s="8" t="str">
        <f>IF(HS_DB[[#This Row],[Commercial Opportunity Score]]&gt;=PERCENTILE(HS_DB[Commercial Opportunity Score],0.9),"High Opportunity",
 IF(HS_DB[[#This Row],[Commercial Opportunity Score]]&gt;=PERCENTILE(HS_DB[Commercial Opportunity Score],0.6),"Medium Opportunity",
 "Routine Market"))</f>
        <v>High Opportunity</v>
      </c>
      <c r="BB443" s="3" t="str">
        <f>IF(AND(HS_DB[[#This Row],[Product Rank]]&gt;0,HS_DB[[#This Row],[Product Rank]]&lt;=10),"Yes","No")</f>
        <v>No</v>
      </c>
      <c r="BC443" s="3" t="str">
        <f>IF(AND(HS_DB[[#This Row],[Origin Rank]]&gt;0,HS_DB[[#This Row],[Origin Rank]]&lt;=10),"Yes","No")</f>
        <v>Yes</v>
      </c>
    </row>
    <row r="444" spans="2:55" x14ac:dyDescent="0.3">
      <c r="B444" s="2">
        <f>HS_DB[[#This Row],[Commodity Code]]</f>
        <v>151211</v>
      </c>
      <c r="C444" s="2">
        <f>IFERROR(INDEX(HS_MD!C:C,MATCH(B444,HS_MD!B:B,0),1),"")</f>
        <v>38</v>
      </c>
      <c r="D444" s="17" t="str">
        <f>IFERROR(INDEX(HS_MD!D:D,MATCH(B444,HS_MD!B:B,0),1),"")</f>
        <v>Sunflower oil</v>
      </c>
      <c r="E444" s="17" t="str">
        <f>IFERROR(INDEX(HS_MD!E:E,MATCH(B444,HS_MD!B:B,0),1),"")</f>
        <v>Sunflower Oil</v>
      </c>
      <c r="F444" s="17" t="str">
        <f>IFERROR(INDEX(HS_MD!F:F,MATCH(B444,HS_MD!B:B,0),1),"")</f>
        <v>Agricultural Raw Materials</v>
      </c>
      <c r="G444" s="17" t="str">
        <f>IFERROR(INDEX(HS_MD!G:G,MATCH(B444,HS_MD!B:B,0),1),"")</f>
        <v>Edible Oils</v>
      </c>
      <c r="H444" s="17" t="str">
        <f>IFERROR(INDEX(HS_MD!H:H,MATCH(B444,HS_MD!B:B,0),1),"")</f>
        <v>Refined Seed Oils</v>
      </c>
      <c r="I444" s="17" t="str">
        <f>IFERROR(INDEX(HS_MD!I:I,MATCH(B444,HS_MD!B:B,0),1),"")</f>
        <v>Snacks / Sauces / Frying</v>
      </c>
      <c r="J444" s="17">
        <f>IFERROR(INDEX(Heat_Map[Index],MATCH(HS_DB[[#This Row],[Reporter]],Heat_Map[Global],0),1),"")</f>
        <v>59</v>
      </c>
      <c r="K444" s="17" t="str">
        <f>IF(AND(HS_DB[[#This Row],[Origin Rank]]&gt;1,HS_DB[[#This Row],[Origin Rank]]&lt;=10),"Yes","No")</f>
        <v>No</v>
      </c>
      <c r="L444" s="2">
        <v>2024</v>
      </c>
      <c r="M444" s="2" t="s">
        <v>57</v>
      </c>
      <c r="N444" s="2" t="s">
        <v>44</v>
      </c>
      <c r="O444" s="2" t="s">
        <v>22</v>
      </c>
      <c r="P444" s="2" t="s">
        <v>23</v>
      </c>
      <c r="Q444" s="2" t="s">
        <v>24</v>
      </c>
      <c r="R444" s="2" t="s">
        <v>25</v>
      </c>
      <c r="S444" s="2">
        <v>151211</v>
      </c>
      <c r="T444" s="3">
        <v>1200</v>
      </c>
      <c r="U444" s="3">
        <v>25</v>
      </c>
      <c r="V444" s="3">
        <v>0</v>
      </c>
      <c r="W444" s="3">
        <v>25</v>
      </c>
      <c r="X444" s="3" t="s">
        <v>58</v>
      </c>
      <c r="Y444" s="3">
        <v>25</v>
      </c>
      <c r="Z444" s="3" t="s">
        <v>58</v>
      </c>
      <c r="AA444" s="6">
        <f>SUMIFS(HS_DB[Trade Value - USD],HS_DB[Reporter],HS_DB[[#This Row],[Reporter]])/SUM(HS_DB[Trade Value - USD])</f>
        <v>1.6951290293147386E-2</v>
      </c>
      <c r="AB444" s="8" cm="1">
        <f t="array" ref="AB444">SUMPRODUCT(
(HS_DB[Reporter]=HS_DB[[#This Row],[Reporter]])*
(HS_DB[Trade Value - USD]&gt;HS_DB[[#This Row],[Trade Value - USD]])
)+1</f>
        <v>33</v>
      </c>
      <c r="AC444" s="8" t="str">
        <f>IFERROR(IF(INDEX(Heat_Map[Crisis Impact %],MATCH(HS_DB[[#This Row],[Reporter]],Heat_Map[Global],0),1)&gt;0,"Yes","No"),"No")</f>
        <v>No</v>
      </c>
      <c r="AD444" s="6">
        <f>IFERROR(INDEX(Heat_Map[Crisis Impact %],MATCH(HS_DB[[#This Row],[Reporter]],Heat_Map[Global],0),1),0)</f>
        <v>0</v>
      </c>
      <c r="AE444" s="8">
        <f>HS_DB[[#This Row],[Crisis Impact%]]*HS_DB[[#This Row],[Trade Value - USD]]</f>
        <v>0</v>
      </c>
      <c r="AF444" s="8">
        <f>HS_DB[[#This Row],[Crisis Impact%]]*HS_DB[[#This Row],[Net Weight -KG]]</f>
        <v>0</v>
      </c>
      <c r="AG444" s="6">
        <f>SUMIFS(HS_DB[Trade Value - USD],HS_DB[Products],HS_DB[[#This Row],[Products]])/SUM(HS_DB[Trade Value - USD])</f>
        <v>9.1907853375793033E-2</v>
      </c>
      <c r="AH444" s="8">
        <f>_xlfn.RANK.EQ(HS_DB[[#This Row],[Trade Value - USD]], HS_DB[Trade Value - USD], 0)
 + COUNTIFS(HS_DB[Trade Value - USD],HS_DB[[#This Row],[Trade Value - USD]],
            HS_DB[HS Code],"&lt;"&amp;HS_DB[[#This Row],[HS Code]])</f>
        <v>482</v>
      </c>
      <c r="AI444" s="9">
        <f>IFERROR(HS_DB[[#This Row],[Trade Value - USD]]/HS_DB[[#This Row],[Net Weight -KG]],0)</f>
        <v>48</v>
      </c>
      <c r="AJ444" s="17" cm="1">
        <f t="array" ref="AJ444">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44" s="17" t="str">
        <f>IF(HS_DB[[#This Row],[HS Code Risk Score]]&gt;=40,"High",
 IF(HS_DB[[#This Row],[HS Code Risk Score]]&gt;=25,"Medium","Low"))</f>
        <v>Medium</v>
      </c>
      <c r="AL444" s="17" t="str">
        <f>IF(RANK(HS_DB[[#This Row],[HS Code Risk Score]],HS_DB[HS Code Risk Score])&lt;=10,"Yes","No")</f>
        <v>No</v>
      </c>
      <c r="AM444" s="8">
        <f>SUMIFS(HS_DB[Net Weight -KG],HS_DB[HS Code],HS_DB[[#This Row],[HS Code]])</f>
        <v>224152755</v>
      </c>
      <c r="AN444" s="8">
        <f>SUMIFS(HS_DB[Trade Value - USD],HS_DB[HS Code],HS_DB[[#This Row],[HS Code]])</f>
        <v>173247067</v>
      </c>
      <c r="AO444" s="6">
        <f>_xlfn.MAXIFS(HS_DB[Origin Share%],HS_DB[HS Code],HS_DB[[#This Row],[HS Code]])</f>
        <v>7.6648679233989533E-2</v>
      </c>
      <c r="AP444" s="8" cm="1">
        <f t="array" ref="AP444">_xlfn.LET(
_xlpm.hs,HS_DB[[#This Row],[HS Code]],
COUNTA(_xlfn.UNIQUE(_xlfn._xlws.FILTER(HS_DB[Reporter],HS_DB[HS Code]=_xlpm.hs)))
)</f>
        <v>7</v>
      </c>
      <c r="AQ444" s="17" t="str">
        <f>IF(HS_DB[[#This Row],[Origin Count]]=1,"Single Source","Multiple Sources")</f>
        <v>Multiple Sources</v>
      </c>
      <c r="AR444" s="8">
        <f>HS_DB[[#This Row],[Annual Spend - USD]]*(HS_DB[[#This Row],[HS Code Risk Score]]/100)</f>
        <v>58904002.780000001</v>
      </c>
      <c r="AS444" s="8">
        <f>RANK(HS_DB[[#This Row],[Risk Exposure - USD]],HS_DB[Risk Exposure - USD],0)</f>
        <v>8</v>
      </c>
      <c r="AT444" s="8" t="str">
        <f>IF(HS_DB[[#This Row],[Risk Exposure Rank]]&lt;=10,"High",
 IF(HS_DB[[#This Row],[Risk Exposure Rank]]&lt;=30,"Medium",
 "Low"))</f>
        <v>High</v>
      </c>
      <c r="AU444" s="8" t="str">
        <f>IF(HS_DB[[#This Row],[Risk Exposure Rank]]&lt;=5,"Immediate Action",
 IF(HS_DB[[#This Row],[Risk Exposure Rank]]&lt;=15,"Monitor Closely",
 "Routine Control"))</f>
        <v>Monitor Closely</v>
      </c>
      <c r="AV444" s="8">
        <f>SUMIFS(HS_DB[Trade Value - USD],HS_DB[HS Code],HS_DB[[#This Row],[HS Code]])</f>
        <v>173247067</v>
      </c>
      <c r="AW444" s="6">
        <f>HS_DB[[#This Row],[Annual Spend - USD]]/HS_DB[[#This Row],[Total Market Size - USD]]</f>
        <v>1</v>
      </c>
      <c r="AX444" s="6" cm="1">
        <f t="array" ref="AX444">COUNTA(_xlfn.UNIQUE(_xlfn._xlws.FILTER(HS_DB[Partner],HS_DB[HS Code]=HS_DB[[#This Row],[HS Code]])))</f>
        <v>1</v>
      </c>
      <c r="AY444" s="8" t="str">
        <f>IF(HS_DB[[#This Row],[Competition Intensity]]&lt;=2,"Highly Concentrated",
 IF(HS_DB[[#This Row],[Competition Intensity]]&lt;=5,"Moderate",
 "Highly Competitive"))</f>
        <v>Highly Concentrated</v>
      </c>
      <c r="AZ444" s="8">
        <f>HS_DB[[#This Row],[Total Market Size - USD]]
*
(1+IFERROR(#REF!,0))
/
HS_DB[[#This Row],[Competition Intensity]]</f>
        <v>173247067</v>
      </c>
      <c r="BA444" s="8" t="str">
        <f>IF(HS_DB[[#This Row],[Commercial Opportunity Score]]&gt;=PERCENTILE(HS_DB[Commercial Opportunity Score],0.9),"High Opportunity",
 IF(HS_DB[[#This Row],[Commercial Opportunity Score]]&gt;=PERCENTILE(HS_DB[Commercial Opportunity Score],0.6),"Medium Opportunity",
 "Routine Market"))</f>
        <v>High Opportunity</v>
      </c>
      <c r="BB444" s="3" t="str">
        <f>IF(AND(HS_DB[[#This Row],[Product Rank]]&gt;0,HS_DB[[#This Row],[Product Rank]]&lt;=10),"Yes","No")</f>
        <v>No</v>
      </c>
      <c r="BC444" s="3" t="str">
        <f>IF(AND(HS_DB[[#This Row],[Origin Rank]]&gt;0,HS_DB[[#This Row],[Origin Rank]]&lt;=10),"Yes","No")</f>
        <v>No</v>
      </c>
    </row>
    <row r="445" spans="2:55" x14ac:dyDescent="0.3">
      <c r="B445" s="2">
        <f>HS_DB[[#This Row],[Commodity Code]]</f>
        <v>151211</v>
      </c>
      <c r="C445" s="2">
        <f>IFERROR(INDEX(HS_MD!C:C,MATCH(B445,HS_MD!B:B,0),1),"")</f>
        <v>38</v>
      </c>
      <c r="D445" s="17" t="str">
        <f>IFERROR(INDEX(HS_MD!D:D,MATCH(B445,HS_MD!B:B,0),1),"")</f>
        <v>Sunflower oil</v>
      </c>
      <c r="E445" s="17" t="str">
        <f>IFERROR(INDEX(HS_MD!E:E,MATCH(B445,HS_MD!B:B,0),1),"")</f>
        <v>Sunflower Oil</v>
      </c>
      <c r="F445" s="17" t="str">
        <f>IFERROR(INDEX(HS_MD!F:F,MATCH(B445,HS_MD!B:B,0),1),"")</f>
        <v>Agricultural Raw Materials</v>
      </c>
      <c r="G445" s="17" t="str">
        <f>IFERROR(INDEX(HS_MD!G:G,MATCH(B445,HS_MD!B:B,0),1),"")</f>
        <v>Edible Oils</v>
      </c>
      <c r="H445" s="17" t="str">
        <f>IFERROR(INDEX(HS_MD!H:H,MATCH(B445,HS_MD!B:B,0),1),"")</f>
        <v>Refined Seed Oils</v>
      </c>
      <c r="I445" s="17" t="str">
        <f>IFERROR(INDEX(HS_MD!I:I,MATCH(B445,HS_MD!B:B,0),1),"")</f>
        <v>Snacks / Sauces / Frying</v>
      </c>
      <c r="J445" s="17">
        <f>IFERROR(INDEX(Heat_Map[Index],MATCH(HS_DB[[#This Row],[Reporter]],Heat_Map[Global],0),1),"")</f>
        <v>88</v>
      </c>
      <c r="K445" s="17" t="str">
        <f>IF(AND(HS_DB[[#This Row],[Origin Rank]]&gt;1,HS_DB[[#This Row],[Origin Rank]]&lt;=10),"Yes","No")</f>
        <v>Yes</v>
      </c>
      <c r="L445" s="2">
        <v>2024</v>
      </c>
      <c r="M445" s="2" t="s">
        <v>57</v>
      </c>
      <c r="N445" s="2" t="s">
        <v>157</v>
      </c>
      <c r="O445" s="2" t="s">
        <v>22</v>
      </c>
      <c r="P445" s="2" t="s">
        <v>23</v>
      </c>
      <c r="Q445" s="2" t="s">
        <v>24</v>
      </c>
      <c r="R445" s="2" t="s">
        <v>25</v>
      </c>
      <c r="S445" s="2">
        <v>151211</v>
      </c>
      <c r="T445" s="3">
        <v>163</v>
      </c>
      <c r="U445" s="3">
        <v>180</v>
      </c>
      <c r="V445" s="3">
        <v>0</v>
      </c>
      <c r="W445" s="3">
        <v>180</v>
      </c>
      <c r="X445" s="3" t="s">
        <v>58</v>
      </c>
      <c r="Y445" s="3">
        <v>180</v>
      </c>
      <c r="Z445" s="3" t="s">
        <v>58</v>
      </c>
      <c r="AA445" s="6">
        <f>SUMIFS(HS_DB[Trade Value - USD],HS_DB[Reporter],HS_DB[[#This Row],[Reporter]])/SUM(HS_DB[Trade Value - USD])</f>
        <v>8.2233059401702185E-6</v>
      </c>
      <c r="AB445" s="8" cm="1">
        <f t="array" ref="AB445">SUMPRODUCT(
(HS_DB[Reporter]=HS_DB[[#This Row],[Reporter]])*
(HS_DB[Trade Value - USD]&gt;HS_DB[[#This Row],[Trade Value - USD]])
)+1</f>
        <v>6</v>
      </c>
      <c r="AC445" s="8" t="str">
        <f>IFERROR(IF(INDEX(Heat_Map[Crisis Impact %],MATCH(HS_DB[[#This Row],[Reporter]],Heat_Map[Global],0),1)&gt;0,"Yes","No"),"No")</f>
        <v>No</v>
      </c>
      <c r="AD445" s="6">
        <f>IFERROR(INDEX(Heat_Map[Crisis Impact %],MATCH(HS_DB[[#This Row],[Reporter]],Heat_Map[Global],0),1),0)</f>
        <v>0</v>
      </c>
      <c r="AE445" s="8">
        <f>HS_DB[[#This Row],[Crisis Impact%]]*HS_DB[[#This Row],[Trade Value - USD]]</f>
        <v>0</v>
      </c>
      <c r="AF445" s="8">
        <f>HS_DB[[#This Row],[Crisis Impact%]]*HS_DB[[#This Row],[Net Weight -KG]]</f>
        <v>0</v>
      </c>
      <c r="AG445" s="6">
        <f>SUMIFS(HS_DB[Trade Value - USD],HS_DB[Products],HS_DB[[#This Row],[Products]])/SUM(HS_DB[Trade Value - USD])</f>
        <v>9.1907853375793033E-2</v>
      </c>
      <c r="AH445" s="8">
        <f>_xlfn.RANK.EQ(HS_DB[[#This Row],[Trade Value - USD]], HS_DB[Trade Value - USD], 0)
 + COUNTIFS(HS_DB[Trade Value - USD],HS_DB[[#This Row],[Trade Value - USD]],
            HS_DB[HS Code],"&lt;"&amp;HS_DB[[#This Row],[HS Code]])</f>
        <v>511</v>
      </c>
      <c r="AI445" s="9">
        <f>IFERROR(HS_DB[[#This Row],[Trade Value - USD]]/HS_DB[[#This Row],[Net Weight -KG]],0)</f>
        <v>0.90555555555555556</v>
      </c>
      <c r="AJ445" s="17" cm="1">
        <f t="array" ref="AJ445">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45" s="17" t="str">
        <f>IF(HS_DB[[#This Row],[HS Code Risk Score]]&gt;=40,"High",
 IF(HS_DB[[#This Row],[HS Code Risk Score]]&gt;=25,"Medium","Low"))</f>
        <v>Medium</v>
      </c>
      <c r="AL445" s="17" t="str">
        <f>IF(RANK(HS_DB[[#This Row],[HS Code Risk Score]],HS_DB[HS Code Risk Score])&lt;=10,"Yes","No")</f>
        <v>No</v>
      </c>
      <c r="AM445" s="8">
        <f>SUMIFS(HS_DB[Net Weight -KG],HS_DB[HS Code],HS_DB[[#This Row],[HS Code]])</f>
        <v>224152755</v>
      </c>
      <c r="AN445" s="8">
        <f>SUMIFS(HS_DB[Trade Value - USD],HS_DB[HS Code],HS_DB[[#This Row],[HS Code]])</f>
        <v>173247067</v>
      </c>
      <c r="AO445" s="6">
        <f>_xlfn.MAXIFS(HS_DB[Origin Share%],HS_DB[HS Code],HS_DB[[#This Row],[HS Code]])</f>
        <v>7.6648679233989533E-2</v>
      </c>
      <c r="AP445" s="8" cm="1">
        <f t="array" ref="AP445">_xlfn.LET(
_xlpm.hs,HS_DB[[#This Row],[HS Code]],
COUNTA(_xlfn.UNIQUE(_xlfn._xlws.FILTER(HS_DB[Reporter],HS_DB[HS Code]=_xlpm.hs)))
)</f>
        <v>7</v>
      </c>
      <c r="AQ445" s="17" t="str">
        <f>IF(HS_DB[[#This Row],[Origin Count]]=1,"Single Source","Multiple Sources")</f>
        <v>Multiple Sources</v>
      </c>
      <c r="AR445" s="8">
        <f>HS_DB[[#This Row],[Annual Spend - USD]]*(HS_DB[[#This Row],[HS Code Risk Score]]/100)</f>
        <v>58904002.780000001</v>
      </c>
      <c r="AS445" s="8">
        <f>RANK(HS_DB[[#This Row],[Risk Exposure - USD]],HS_DB[Risk Exposure - USD],0)</f>
        <v>8</v>
      </c>
      <c r="AT445" s="8" t="str">
        <f>IF(HS_DB[[#This Row],[Risk Exposure Rank]]&lt;=10,"High",
 IF(HS_DB[[#This Row],[Risk Exposure Rank]]&lt;=30,"Medium",
 "Low"))</f>
        <v>High</v>
      </c>
      <c r="AU445" s="8" t="str">
        <f>IF(HS_DB[[#This Row],[Risk Exposure Rank]]&lt;=5,"Immediate Action",
 IF(HS_DB[[#This Row],[Risk Exposure Rank]]&lt;=15,"Monitor Closely",
 "Routine Control"))</f>
        <v>Monitor Closely</v>
      </c>
      <c r="AV445" s="8">
        <f>SUMIFS(HS_DB[Trade Value - USD],HS_DB[HS Code],HS_DB[[#This Row],[HS Code]])</f>
        <v>173247067</v>
      </c>
      <c r="AW445" s="6">
        <f>HS_DB[[#This Row],[Annual Spend - USD]]/HS_DB[[#This Row],[Total Market Size - USD]]</f>
        <v>1</v>
      </c>
      <c r="AX445" s="6" cm="1">
        <f t="array" ref="AX445">COUNTA(_xlfn.UNIQUE(_xlfn._xlws.FILTER(HS_DB[Partner],HS_DB[HS Code]=HS_DB[[#This Row],[HS Code]])))</f>
        <v>1</v>
      </c>
      <c r="AY445" s="8" t="str">
        <f>IF(HS_DB[[#This Row],[Competition Intensity]]&lt;=2,"Highly Concentrated",
 IF(HS_DB[[#This Row],[Competition Intensity]]&lt;=5,"Moderate",
 "Highly Competitive"))</f>
        <v>Highly Concentrated</v>
      </c>
      <c r="AZ445" s="8">
        <f>HS_DB[[#This Row],[Total Market Size - USD]]
*
(1+IFERROR(#REF!,0))
/
HS_DB[[#This Row],[Competition Intensity]]</f>
        <v>173247067</v>
      </c>
      <c r="BA445" s="8" t="str">
        <f>IF(HS_DB[[#This Row],[Commercial Opportunity Score]]&gt;=PERCENTILE(HS_DB[Commercial Opportunity Score],0.9),"High Opportunity",
 IF(HS_DB[[#This Row],[Commercial Opportunity Score]]&gt;=PERCENTILE(HS_DB[Commercial Opportunity Score],0.6),"Medium Opportunity",
 "Routine Market"))</f>
        <v>High Opportunity</v>
      </c>
      <c r="BB445" s="3" t="str">
        <f>IF(AND(HS_DB[[#This Row],[Product Rank]]&gt;0,HS_DB[[#This Row],[Product Rank]]&lt;=10),"Yes","No")</f>
        <v>No</v>
      </c>
      <c r="BC445" s="3" t="str">
        <f>IF(AND(HS_DB[[#This Row],[Origin Rank]]&gt;0,HS_DB[[#This Row],[Origin Rank]]&lt;=10),"Yes","No")</f>
        <v>Yes</v>
      </c>
    </row>
    <row r="446" spans="2:55" x14ac:dyDescent="0.3">
      <c r="B446" s="2">
        <f>HS_DB[[#This Row],[Commodity Code]]</f>
        <v>151211</v>
      </c>
      <c r="C446" s="2">
        <f>IFERROR(INDEX(HS_MD!C:C,MATCH(B446,HS_MD!B:B,0),1),"")</f>
        <v>38</v>
      </c>
      <c r="D446" s="17" t="str">
        <f>IFERROR(INDEX(HS_MD!D:D,MATCH(B446,HS_MD!B:B,0),1),"")</f>
        <v>Sunflower oil</v>
      </c>
      <c r="E446" s="17" t="str">
        <f>IFERROR(INDEX(HS_MD!E:E,MATCH(B446,HS_MD!B:B,0),1),"")</f>
        <v>Sunflower Oil</v>
      </c>
      <c r="F446" s="17" t="str">
        <f>IFERROR(INDEX(HS_MD!F:F,MATCH(B446,HS_MD!B:B,0),1),"")</f>
        <v>Agricultural Raw Materials</v>
      </c>
      <c r="G446" s="17" t="str">
        <f>IFERROR(INDEX(HS_MD!G:G,MATCH(B446,HS_MD!B:B,0),1),"")</f>
        <v>Edible Oils</v>
      </c>
      <c r="H446" s="17" t="str">
        <f>IFERROR(INDEX(HS_MD!H:H,MATCH(B446,HS_MD!B:B,0),1),"")</f>
        <v>Refined Seed Oils</v>
      </c>
      <c r="I446" s="17" t="str">
        <f>IFERROR(INDEX(HS_MD!I:I,MATCH(B446,HS_MD!B:B,0),1),"")</f>
        <v>Snacks / Sauces / Frying</v>
      </c>
      <c r="J446" s="17">
        <f>IFERROR(INDEX(Heat_Map[Index],MATCH(HS_DB[[#This Row],[Reporter]],Heat_Map[Global],0),1),"")</f>
        <v>123</v>
      </c>
      <c r="K446" s="17" t="str">
        <f>IF(AND(HS_DB[[#This Row],[Origin Rank]]&gt;1,HS_DB[[#This Row],[Origin Rank]]&lt;=10),"Yes","No")</f>
        <v>No</v>
      </c>
      <c r="L446" s="2">
        <v>2024</v>
      </c>
      <c r="M446" s="2" t="s">
        <v>57</v>
      </c>
      <c r="N446" s="2" t="s">
        <v>330</v>
      </c>
      <c r="O446" s="2" t="s">
        <v>22</v>
      </c>
      <c r="P446" s="2" t="s">
        <v>23</v>
      </c>
      <c r="Q446" s="2" t="s">
        <v>24</v>
      </c>
      <c r="R446" s="2" t="s">
        <v>25</v>
      </c>
      <c r="S446" s="2">
        <v>151211</v>
      </c>
      <c r="T446" s="3">
        <v>23972652</v>
      </c>
      <c r="U446" s="3">
        <v>29258650</v>
      </c>
      <c r="V446" s="3">
        <v>0</v>
      </c>
      <c r="W446" s="3">
        <v>29258650</v>
      </c>
      <c r="X446" s="3" t="s">
        <v>58</v>
      </c>
      <c r="Y446" s="3">
        <v>29258650</v>
      </c>
      <c r="Z446" s="3" t="s">
        <v>58</v>
      </c>
      <c r="AA446" s="6">
        <f>SUMIFS(HS_DB[Trade Value - USD],HS_DB[Reporter],HS_DB[[#This Row],[Reporter]])/SUM(HS_DB[Trade Value - USD])</f>
        <v>1.389484063100993E-2</v>
      </c>
      <c r="AB446" s="8" cm="1">
        <f t="array" ref="AB446">SUMPRODUCT(
(HS_DB[Reporter]=HS_DB[[#This Row],[Reporter]])*
(HS_DB[Trade Value - USD]&gt;HS_DB[[#This Row],[Trade Value - USD]])
)+1</f>
        <v>1</v>
      </c>
      <c r="AC446" s="8" t="str">
        <f>IFERROR(IF(INDEX(Heat_Map[Crisis Impact %],MATCH(HS_DB[[#This Row],[Reporter]],Heat_Map[Global],0),1)&gt;0,"Yes","No"),"No")</f>
        <v>No</v>
      </c>
      <c r="AD446" s="6">
        <f>IFERROR(INDEX(Heat_Map[Crisis Impact %],MATCH(HS_DB[[#This Row],[Reporter]],Heat_Map[Global],0),1),0)</f>
        <v>0</v>
      </c>
      <c r="AE446" s="8">
        <f>HS_DB[[#This Row],[Crisis Impact%]]*HS_DB[[#This Row],[Trade Value - USD]]</f>
        <v>0</v>
      </c>
      <c r="AF446" s="8">
        <f>HS_DB[[#This Row],[Crisis Impact%]]*HS_DB[[#This Row],[Net Weight -KG]]</f>
        <v>0</v>
      </c>
      <c r="AG446" s="6">
        <f>SUMIFS(HS_DB[Trade Value - USD],HS_DB[Products],HS_DB[[#This Row],[Products]])/SUM(HS_DB[Trade Value - USD])</f>
        <v>9.1907853375793033E-2</v>
      </c>
      <c r="AH446" s="8">
        <f>_xlfn.RANK.EQ(HS_DB[[#This Row],[Trade Value - USD]], HS_DB[Trade Value - USD], 0)
 + COUNTIFS(HS_DB[Trade Value - USD],HS_DB[[#This Row],[Trade Value - USD]],
            HS_DB[HS Code],"&lt;"&amp;HS_DB[[#This Row],[HS Code]])</f>
        <v>6</v>
      </c>
      <c r="AI446" s="9">
        <f>IFERROR(HS_DB[[#This Row],[Trade Value - USD]]/HS_DB[[#This Row],[Net Weight -KG]],0)</f>
        <v>0.81933554692373023</v>
      </c>
      <c r="AJ446" s="17" cm="1">
        <f t="array" ref="AJ446">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46" s="17" t="str">
        <f>IF(HS_DB[[#This Row],[HS Code Risk Score]]&gt;=40,"High",
 IF(HS_DB[[#This Row],[HS Code Risk Score]]&gt;=25,"Medium","Low"))</f>
        <v>Medium</v>
      </c>
      <c r="AL446" s="17" t="str">
        <f>IF(RANK(HS_DB[[#This Row],[HS Code Risk Score]],HS_DB[HS Code Risk Score])&lt;=10,"Yes","No")</f>
        <v>No</v>
      </c>
      <c r="AM446" s="8">
        <f>SUMIFS(HS_DB[Net Weight -KG],HS_DB[HS Code],HS_DB[[#This Row],[HS Code]])</f>
        <v>224152755</v>
      </c>
      <c r="AN446" s="8">
        <f>SUMIFS(HS_DB[Trade Value - USD],HS_DB[HS Code],HS_DB[[#This Row],[HS Code]])</f>
        <v>173247067</v>
      </c>
      <c r="AO446" s="6">
        <f>_xlfn.MAXIFS(HS_DB[Origin Share%],HS_DB[HS Code],HS_DB[[#This Row],[HS Code]])</f>
        <v>7.6648679233989533E-2</v>
      </c>
      <c r="AP446" s="8" cm="1">
        <f t="array" ref="AP446">_xlfn.LET(
_xlpm.hs,HS_DB[[#This Row],[HS Code]],
COUNTA(_xlfn.UNIQUE(_xlfn._xlws.FILTER(HS_DB[Reporter],HS_DB[HS Code]=_xlpm.hs)))
)</f>
        <v>7</v>
      </c>
      <c r="AQ446" s="17" t="str">
        <f>IF(HS_DB[[#This Row],[Origin Count]]=1,"Single Source","Multiple Sources")</f>
        <v>Multiple Sources</v>
      </c>
      <c r="AR446" s="8">
        <f>HS_DB[[#This Row],[Annual Spend - USD]]*(HS_DB[[#This Row],[HS Code Risk Score]]/100)</f>
        <v>58904002.780000001</v>
      </c>
      <c r="AS446" s="8">
        <f>RANK(HS_DB[[#This Row],[Risk Exposure - USD]],HS_DB[Risk Exposure - USD],0)</f>
        <v>8</v>
      </c>
      <c r="AT446" s="8" t="str">
        <f>IF(HS_DB[[#This Row],[Risk Exposure Rank]]&lt;=10,"High",
 IF(HS_DB[[#This Row],[Risk Exposure Rank]]&lt;=30,"Medium",
 "Low"))</f>
        <v>High</v>
      </c>
      <c r="AU446" s="8" t="str">
        <f>IF(HS_DB[[#This Row],[Risk Exposure Rank]]&lt;=5,"Immediate Action",
 IF(HS_DB[[#This Row],[Risk Exposure Rank]]&lt;=15,"Monitor Closely",
 "Routine Control"))</f>
        <v>Monitor Closely</v>
      </c>
      <c r="AV446" s="8">
        <f>SUMIFS(HS_DB[Trade Value - USD],HS_DB[HS Code],HS_DB[[#This Row],[HS Code]])</f>
        <v>173247067</v>
      </c>
      <c r="AW446" s="6">
        <f>HS_DB[[#This Row],[Annual Spend - USD]]/HS_DB[[#This Row],[Total Market Size - USD]]</f>
        <v>1</v>
      </c>
      <c r="AX446" s="6" cm="1">
        <f t="array" ref="AX446">COUNTA(_xlfn.UNIQUE(_xlfn._xlws.FILTER(HS_DB[Partner],HS_DB[HS Code]=HS_DB[[#This Row],[HS Code]])))</f>
        <v>1</v>
      </c>
      <c r="AY446" s="8" t="str">
        <f>IF(HS_DB[[#This Row],[Competition Intensity]]&lt;=2,"Highly Concentrated",
 IF(HS_DB[[#This Row],[Competition Intensity]]&lt;=5,"Moderate",
 "Highly Competitive"))</f>
        <v>Highly Concentrated</v>
      </c>
      <c r="AZ446" s="8">
        <f>HS_DB[[#This Row],[Total Market Size - USD]]
*
(1+IFERROR(#REF!,0))
/
HS_DB[[#This Row],[Competition Intensity]]</f>
        <v>173247067</v>
      </c>
      <c r="BA446" s="8" t="str">
        <f>IF(HS_DB[[#This Row],[Commercial Opportunity Score]]&gt;=PERCENTILE(HS_DB[Commercial Opportunity Score],0.9),"High Opportunity",
 IF(HS_DB[[#This Row],[Commercial Opportunity Score]]&gt;=PERCENTILE(HS_DB[Commercial Opportunity Score],0.6),"Medium Opportunity",
 "Routine Market"))</f>
        <v>High Opportunity</v>
      </c>
      <c r="BB446" s="3" t="str">
        <f>IF(AND(HS_DB[[#This Row],[Product Rank]]&gt;0,HS_DB[[#This Row],[Product Rank]]&lt;=10),"Yes","No")</f>
        <v>Yes</v>
      </c>
      <c r="BC446" s="3" t="str">
        <f>IF(AND(HS_DB[[#This Row],[Origin Rank]]&gt;0,HS_DB[[#This Row],[Origin Rank]]&lt;=10),"Yes","No")</f>
        <v>Yes</v>
      </c>
    </row>
    <row r="447" spans="2:55" x14ac:dyDescent="0.3">
      <c r="B447" s="2">
        <f>HS_DB[[#This Row],[Commodity Code]]</f>
        <v>151211</v>
      </c>
      <c r="C447" s="2">
        <f>IFERROR(INDEX(HS_MD!C:C,MATCH(B447,HS_MD!B:B,0),1),"")</f>
        <v>38</v>
      </c>
      <c r="D447" s="17" t="str">
        <f>IFERROR(INDEX(HS_MD!D:D,MATCH(B447,HS_MD!B:B,0),1),"")</f>
        <v>Sunflower oil</v>
      </c>
      <c r="E447" s="17" t="str">
        <f>IFERROR(INDEX(HS_MD!E:E,MATCH(B447,HS_MD!B:B,0),1),"")</f>
        <v>Sunflower Oil</v>
      </c>
      <c r="F447" s="17" t="str">
        <f>IFERROR(INDEX(HS_MD!F:F,MATCH(B447,HS_MD!B:B,0),1),"")</f>
        <v>Agricultural Raw Materials</v>
      </c>
      <c r="G447" s="17" t="str">
        <f>IFERROR(INDEX(HS_MD!G:G,MATCH(B447,HS_MD!B:B,0),1),"")</f>
        <v>Edible Oils</v>
      </c>
      <c r="H447" s="17" t="str">
        <f>IFERROR(INDEX(HS_MD!H:H,MATCH(B447,HS_MD!B:B,0),1),"")</f>
        <v>Refined Seed Oils</v>
      </c>
      <c r="I447" s="17" t="str">
        <f>IFERROR(INDEX(HS_MD!I:I,MATCH(B447,HS_MD!B:B,0),1),"")</f>
        <v>Snacks / Sauces / Frying</v>
      </c>
      <c r="J447" s="17">
        <f>IFERROR(INDEX(Heat_Map[Index],MATCH(HS_DB[[#This Row],[Reporter]],Heat_Map[Global],0),1),"")</f>
        <v>146</v>
      </c>
      <c r="K447" s="17" t="str">
        <f>IF(AND(HS_DB[[#This Row],[Origin Rank]]&gt;1,HS_DB[[#This Row],[Origin Rank]]&lt;=10),"Yes","No")</f>
        <v>Yes</v>
      </c>
      <c r="L447" s="2">
        <v>2024</v>
      </c>
      <c r="M447" s="2" t="s">
        <v>57</v>
      </c>
      <c r="N447" s="2" t="s">
        <v>27</v>
      </c>
      <c r="O447" s="2" t="s">
        <v>22</v>
      </c>
      <c r="P447" s="2" t="s">
        <v>23</v>
      </c>
      <c r="Q447" s="2" t="s">
        <v>24</v>
      </c>
      <c r="R447" s="2" t="s">
        <v>25</v>
      </c>
      <c r="S447" s="2">
        <v>151211</v>
      </c>
      <c r="T447" s="3">
        <v>120579</v>
      </c>
      <c r="U447" s="3">
        <v>82940</v>
      </c>
      <c r="V447" s="3">
        <v>0</v>
      </c>
      <c r="W447" s="3">
        <v>82940</v>
      </c>
      <c r="X447" s="3" t="s">
        <v>58</v>
      </c>
      <c r="Y447" s="3">
        <v>82940</v>
      </c>
      <c r="Z447" s="3" t="s">
        <v>58</v>
      </c>
      <c r="AA447" s="6">
        <f>SUMIFS(HS_DB[Trade Value - USD],HS_DB[Reporter],HS_DB[[#This Row],[Reporter]])/SUM(HS_DB[Trade Value - USD])</f>
        <v>9.709938116315122E-3</v>
      </c>
      <c r="AB447" s="8" cm="1">
        <f t="array" ref="AB447">SUMPRODUCT(
(HS_DB[Reporter]=HS_DB[[#This Row],[Reporter]])*
(HS_DB[Trade Value - USD]&gt;HS_DB[[#This Row],[Trade Value - USD]])
)+1</f>
        <v>8</v>
      </c>
      <c r="AC447" s="8" t="str">
        <f>IFERROR(IF(INDEX(Heat_Map[Crisis Impact %],MATCH(HS_DB[[#This Row],[Reporter]],Heat_Map[Global],0),1)&gt;0,"Yes","No"),"No")</f>
        <v>No</v>
      </c>
      <c r="AD447" s="6">
        <f>IFERROR(INDEX(Heat_Map[Crisis Impact %],MATCH(HS_DB[[#This Row],[Reporter]],Heat_Map[Global],0),1),0)</f>
        <v>0</v>
      </c>
      <c r="AE447" s="8">
        <f>HS_DB[[#This Row],[Crisis Impact%]]*HS_DB[[#This Row],[Trade Value - USD]]</f>
        <v>0</v>
      </c>
      <c r="AF447" s="8">
        <f>HS_DB[[#This Row],[Crisis Impact%]]*HS_DB[[#This Row],[Net Weight -KG]]</f>
        <v>0</v>
      </c>
      <c r="AG447" s="6">
        <f>SUMIFS(HS_DB[Trade Value - USD],HS_DB[Products],HS_DB[[#This Row],[Products]])/SUM(HS_DB[Trade Value - USD])</f>
        <v>9.1907853375793033E-2</v>
      </c>
      <c r="AH447" s="8">
        <f>_xlfn.RANK.EQ(HS_DB[[#This Row],[Trade Value - USD]], HS_DB[Trade Value - USD], 0)
 + COUNTIFS(HS_DB[Trade Value - USD],HS_DB[[#This Row],[Trade Value - USD]],
            HS_DB[HS Code],"&lt;"&amp;HS_DB[[#This Row],[HS Code]])</f>
        <v>261</v>
      </c>
      <c r="AI447" s="9">
        <f>IFERROR(HS_DB[[#This Row],[Trade Value - USD]]/HS_DB[[#This Row],[Net Weight -KG]],0)</f>
        <v>1.4538099831203279</v>
      </c>
      <c r="AJ447" s="17" cm="1">
        <f t="array" ref="AJ447">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47" s="17" t="str">
        <f>IF(HS_DB[[#This Row],[HS Code Risk Score]]&gt;=40,"High",
 IF(HS_DB[[#This Row],[HS Code Risk Score]]&gt;=25,"Medium","Low"))</f>
        <v>Medium</v>
      </c>
      <c r="AL447" s="17" t="str">
        <f>IF(RANK(HS_DB[[#This Row],[HS Code Risk Score]],HS_DB[HS Code Risk Score])&lt;=10,"Yes","No")</f>
        <v>No</v>
      </c>
      <c r="AM447" s="8">
        <f>SUMIFS(HS_DB[Net Weight -KG],HS_DB[HS Code],HS_DB[[#This Row],[HS Code]])</f>
        <v>224152755</v>
      </c>
      <c r="AN447" s="8">
        <f>SUMIFS(HS_DB[Trade Value - USD],HS_DB[HS Code],HS_DB[[#This Row],[HS Code]])</f>
        <v>173247067</v>
      </c>
      <c r="AO447" s="6">
        <f>_xlfn.MAXIFS(HS_DB[Origin Share%],HS_DB[HS Code],HS_DB[[#This Row],[HS Code]])</f>
        <v>7.6648679233989533E-2</v>
      </c>
      <c r="AP447" s="8" cm="1">
        <f t="array" ref="AP447">_xlfn.LET(
_xlpm.hs,HS_DB[[#This Row],[HS Code]],
COUNTA(_xlfn.UNIQUE(_xlfn._xlws.FILTER(HS_DB[Reporter],HS_DB[HS Code]=_xlpm.hs)))
)</f>
        <v>7</v>
      </c>
      <c r="AQ447" s="17" t="str">
        <f>IF(HS_DB[[#This Row],[Origin Count]]=1,"Single Source","Multiple Sources")</f>
        <v>Multiple Sources</v>
      </c>
      <c r="AR447" s="8">
        <f>HS_DB[[#This Row],[Annual Spend - USD]]*(HS_DB[[#This Row],[HS Code Risk Score]]/100)</f>
        <v>58904002.780000001</v>
      </c>
      <c r="AS447" s="8">
        <f>RANK(HS_DB[[#This Row],[Risk Exposure - USD]],HS_DB[Risk Exposure - USD],0)</f>
        <v>8</v>
      </c>
      <c r="AT447" s="8" t="str">
        <f>IF(HS_DB[[#This Row],[Risk Exposure Rank]]&lt;=10,"High",
 IF(HS_DB[[#This Row],[Risk Exposure Rank]]&lt;=30,"Medium",
 "Low"))</f>
        <v>High</v>
      </c>
      <c r="AU447" s="8" t="str">
        <f>IF(HS_DB[[#This Row],[Risk Exposure Rank]]&lt;=5,"Immediate Action",
 IF(HS_DB[[#This Row],[Risk Exposure Rank]]&lt;=15,"Monitor Closely",
 "Routine Control"))</f>
        <v>Monitor Closely</v>
      </c>
      <c r="AV447" s="8">
        <f>SUMIFS(HS_DB[Trade Value - USD],HS_DB[HS Code],HS_DB[[#This Row],[HS Code]])</f>
        <v>173247067</v>
      </c>
      <c r="AW447" s="6">
        <f>HS_DB[[#This Row],[Annual Spend - USD]]/HS_DB[[#This Row],[Total Market Size - USD]]</f>
        <v>1</v>
      </c>
      <c r="AX447" s="6" cm="1">
        <f t="array" ref="AX447">COUNTA(_xlfn.UNIQUE(_xlfn._xlws.FILTER(HS_DB[Partner],HS_DB[HS Code]=HS_DB[[#This Row],[HS Code]])))</f>
        <v>1</v>
      </c>
      <c r="AY447" s="8" t="str">
        <f>IF(HS_DB[[#This Row],[Competition Intensity]]&lt;=2,"Highly Concentrated",
 IF(HS_DB[[#This Row],[Competition Intensity]]&lt;=5,"Moderate",
 "Highly Competitive"))</f>
        <v>Highly Concentrated</v>
      </c>
      <c r="AZ447" s="8">
        <f>HS_DB[[#This Row],[Total Market Size - USD]]
*
(1+IFERROR(#REF!,0))
/
HS_DB[[#This Row],[Competition Intensity]]</f>
        <v>173247067</v>
      </c>
      <c r="BA447" s="8" t="str">
        <f>IF(HS_DB[[#This Row],[Commercial Opportunity Score]]&gt;=PERCENTILE(HS_DB[Commercial Opportunity Score],0.9),"High Opportunity",
 IF(HS_DB[[#This Row],[Commercial Opportunity Score]]&gt;=PERCENTILE(HS_DB[Commercial Opportunity Score],0.6),"Medium Opportunity",
 "Routine Market"))</f>
        <v>High Opportunity</v>
      </c>
      <c r="BB447" s="3" t="str">
        <f>IF(AND(HS_DB[[#This Row],[Product Rank]]&gt;0,HS_DB[[#This Row],[Product Rank]]&lt;=10),"Yes","No")</f>
        <v>No</v>
      </c>
      <c r="BC447" s="3" t="str">
        <f>IF(AND(HS_DB[[#This Row],[Origin Rank]]&gt;0,HS_DB[[#This Row],[Origin Rank]]&lt;=10),"Yes","No")</f>
        <v>Yes</v>
      </c>
    </row>
    <row r="448" spans="2:55" x14ac:dyDescent="0.3">
      <c r="B448" s="2">
        <f>HS_DB[[#This Row],[Commodity Code]]</f>
        <v>151211</v>
      </c>
      <c r="C448" s="2">
        <f>IFERROR(INDEX(HS_MD!C:C,MATCH(B448,HS_MD!B:B,0),1),"")</f>
        <v>38</v>
      </c>
      <c r="D448" s="17" t="str">
        <f>IFERROR(INDEX(HS_MD!D:D,MATCH(B448,HS_MD!B:B,0),1),"")</f>
        <v>Sunflower oil</v>
      </c>
      <c r="E448" s="17" t="str">
        <f>IFERROR(INDEX(HS_MD!E:E,MATCH(B448,HS_MD!B:B,0),1),"")</f>
        <v>Sunflower Oil</v>
      </c>
      <c r="F448" s="17" t="str">
        <f>IFERROR(INDEX(HS_MD!F:F,MATCH(B448,HS_MD!B:B,0),1),"")</f>
        <v>Agricultural Raw Materials</v>
      </c>
      <c r="G448" s="17" t="str">
        <f>IFERROR(INDEX(HS_MD!G:G,MATCH(B448,HS_MD!B:B,0),1),"")</f>
        <v>Edible Oils</v>
      </c>
      <c r="H448" s="17" t="str">
        <f>IFERROR(INDEX(HS_MD!H:H,MATCH(B448,HS_MD!B:B,0),1),"")</f>
        <v>Refined Seed Oils</v>
      </c>
      <c r="I448" s="17" t="str">
        <f>IFERROR(INDEX(HS_MD!I:I,MATCH(B448,HS_MD!B:B,0),1),"")</f>
        <v>Snacks / Sauces / Frying</v>
      </c>
      <c r="J448" s="17">
        <f>IFERROR(INDEX(Heat_Map[Index],MATCH(HS_DB[[#This Row],[Reporter]],Heat_Map[Global],0),1),"")</f>
        <v>175</v>
      </c>
      <c r="K448" s="17" t="str">
        <f>IF(AND(HS_DB[[#This Row],[Origin Rank]]&gt;1,HS_DB[[#This Row],[Origin Rank]]&lt;=10),"Yes","No")</f>
        <v>No</v>
      </c>
      <c r="L448" s="2">
        <v>2024</v>
      </c>
      <c r="M448" s="2" t="s">
        <v>57</v>
      </c>
      <c r="N448" s="2" t="s">
        <v>34</v>
      </c>
      <c r="O448" s="2" t="s">
        <v>22</v>
      </c>
      <c r="P448" s="2" t="s">
        <v>23</v>
      </c>
      <c r="Q448" s="2" t="s">
        <v>24</v>
      </c>
      <c r="R448" s="2" t="s">
        <v>25</v>
      </c>
      <c r="S448" s="2">
        <v>151211</v>
      </c>
      <c r="T448" s="3">
        <v>48</v>
      </c>
      <c r="U448" s="3">
        <v>40</v>
      </c>
      <c r="V448" s="3">
        <v>0</v>
      </c>
      <c r="W448" s="3">
        <v>40</v>
      </c>
      <c r="X448" s="3" t="s">
        <v>58</v>
      </c>
      <c r="Y448" s="3">
        <v>40</v>
      </c>
      <c r="Z448" s="3" t="s">
        <v>58</v>
      </c>
      <c r="AA448" s="6">
        <f>SUMIFS(HS_DB[Trade Value - USD],HS_DB[Reporter],HS_DB[[#This Row],[Reporter]])/SUM(HS_DB[Trade Value - USD])</f>
        <v>4.7522902002533667E-2</v>
      </c>
      <c r="AB448" s="8" cm="1">
        <f t="array" ref="AB448">SUMPRODUCT(
(HS_DB[Reporter]=HS_DB[[#This Row],[Reporter]])*
(HS_DB[Trade Value - USD]&gt;HS_DB[[#This Row],[Trade Value - USD]])
)+1</f>
        <v>35</v>
      </c>
      <c r="AC448" s="8" t="str">
        <f>IFERROR(IF(INDEX(Heat_Map[Crisis Impact %],MATCH(HS_DB[[#This Row],[Reporter]],Heat_Map[Global],0),1)&gt;0,"Yes","No"),"No")</f>
        <v>Yes</v>
      </c>
      <c r="AD448" s="6">
        <f>IFERROR(INDEX(Heat_Map[Crisis Impact %],MATCH(HS_DB[[#This Row],[Reporter]],Heat_Map[Global],0),1),0)</f>
        <v>0.1</v>
      </c>
      <c r="AE448" s="8">
        <f>HS_DB[[#This Row],[Crisis Impact%]]*HS_DB[[#This Row],[Trade Value - USD]]</f>
        <v>4.8000000000000007</v>
      </c>
      <c r="AF448" s="8">
        <f>HS_DB[[#This Row],[Crisis Impact%]]*HS_DB[[#This Row],[Net Weight -KG]]</f>
        <v>4</v>
      </c>
      <c r="AG448" s="6">
        <f>SUMIFS(HS_DB[Trade Value - USD],HS_DB[Products],HS_DB[[#This Row],[Products]])/SUM(HS_DB[Trade Value - USD])</f>
        <v>9.1907853375793033E-2</v>
      </c>
      <c r="AH448" s="8">
        <f>_xlfn.RANK.EQ(HS_DB[[#This Row],[Trade Value - USD]], HS_DB[Trade Value - USD], 0)
 + COUNTIFS(HS_DB[Trade Value - USD],HS_DB[[#This Row],[Trade Value - USD]],
            HS_DB[HS Code],"&lt;"&amp;HS_DB[[#This Row],[HS Code]])</f>
        <v>525</v>
      </c>
      <c r="AI448" s="9">
        <f>IFERROR(HS_DB[[#This Row],[Trade Value - USD]]/HS_DB[[#This Row],[Net Weight -KG]],0)</f>
        <v>1.2</v>
      </c>
      <c r="AJ448" s="17" cm="1">
        <f t="array" ref="AJ448">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48" s="17" t="str">
        <f>IF(HS_DB[[#This Row],[HS Code Risk Score]]&gt;=40,"High",
 IF(HS_DB[[#This Row],[HS Code Risk Score]]&gt;=25,"Medium","Low"))</f>
        <v>Medium</v>
      </c>
      <c r="AL448" s="17" t="str">
        <f>IF(RANK(HS_DB[[#This Row],[HS Code Risk Score]],HS_DB[HS Code Risk Score])&lt;=10,"Yes","No")</f>
        <v>No</v>
      </c>
      <c r="AM448" s="8">
        <f>SUMIFS(HS_DB[Net Weight -KG],HS_DB[HS Code],HS_DB[[#This Row],[HS Code]])</f>
        <v>224152755</v>
      </c>
      <c r="AN448" s="8">
        <f>SUMIFS(HS_DB[Trade Value - USD],HS_DB[HS Code],HS_DB[[#This Row],[HS Code]])</f>
        <v>173247067</v>
      </c>
      <c r="AO448" s="6">
        <f>_xlfn.MAXIFS(HS_DB[Origin Share%],HS_DB[HS Code],HS_DB[[#This Row],[HS Code]])</f>
        <v>7.6648679233989533E-2</v>
      </c>
      <c r="AP448" s="8" cm="1">
        <f t="array" ref="AP448">_xlfn.LET(
_xlpm.hs,HS_DB[[#This Row],[HS Code]],
COUNTA(_xlfn.UNIQUE(_xlfn._xlws.FILTER(HS_DB[Reporter],HS_DB[HS Code]=_xlpm.hs)))
)</f>
        <v>7</v>
      </c>
      <c r="AQ448" s="17" t="str">
        <f>IF(HS_DB[[#This Row],[Origin Count]]=1,"Single Source","Multiple Sources")</f>
        <v>Multiple Sources</v>
      </c>
      <c r="AR448" s="8">
        <f>HS_DB[[#This Row],[Annual Spend - USD]]*(HS_DB[[#This Row],[HS Code Risk Score]]/100)</f>
        <v>58904002.780000001</v>
      </c>
      <c r="AS448" s="8">
        <f>RANK(HS_DB[[#This Row],[Risk Exposure - USD]],HS_DB[Risk Exposure - USD],0)</f>
        <v>8</v>
      </c>
      <c r="AT448" s="8" t="str">
        <f>IF(HS_DB[[#This Row],[Risk Exposure Rank]]&lt;=10,"High",
 IF(HS_DB[[#This Row],[Risk Exposure Rank]]&lt;=30,"Medium",
 "Low"))</f>
        <v>High</v>
      </c>
      <c r="AU448" s="8" t="str">
        <f>IF(HS_DB[[#This Row],[Risk Exposure Rank]]&lt;=5,"Immediate Action",
 IF(HS_DB[[#This Row],[Risk Exposure Rank]]&lt;=15,"Monitor Closely",
 "Routine Control"))</f>
        <v>Monitor Closely</v>
      </c>
      <c r="AV448" s="8">
        <f>SUMIFS(HS_DB[Trade Value - USD],HS_DB[HS Code],HS_DB[[#This Row],[HS Code]])</f>
        <v>173247067</v>
      </c>
      <c r="AW448" s="6">
        <f>HS_DB[[#This Row],[Annual Spend - USD]]/HS_DB[[#This Row],[Total Market Size - USD]]</f>
        <v>1</v>
      </c>
      <c r="AX448" s="6" cm="1">
        <f t="array" ref="AX448">COUNTA(_xlfn.UNIQUE(_xlfn._xlws.FILTER(HS_DB[Partner],HS_DB[HS Code]=HS_DB[[#This Row],[HS Code]])))</f>
        <v>1</v>
      </c>
      <c r="AY448" s="8" t="str">
        <f>IF(HS_DB[[#This Row],[Competition Intensity]]&lt;=2,"Highly Concentrated",
 IF(HS_DB[[#This Row],[Competition Intensity]]&lt;=5,"Moderate",
 "Highly Competitive"))</f>
        <v>Highly Concentrated</v>
      </c>
      <c r="AZ448" s="8">
        <f>HS_DB[[#This Row],[Total Market Size - USD]]
*
(1+IFERROR(#REF!,0))
/
HS_DB[[#This Row],[Competition Intensity]]</f>
        <v>173247067</v>
      </c>
      <c r="BA448" s="8" t="str">
        <f>IF(HS_DB[[#This Row],[Commercial Opportunity Score]]&gt;=PERCENTILE(HS_DB[Commercial Opportunity Score],0.9),"High Opportunity",
 IF(HS_DB[[#This Row],[Commercial Opportunity Score]]&gt;=PERCENTILE(HS_DB[Commercial Opportunity Score],0.6),"Medium Opportunity",
 "Routine Market"))</f>
        <v>High Opportunity</v>
      </c>
      <c r="BB448" s="3" t="str">
        <f>IF(AND(HS_DB[[#This Row],[Product Rank]]&gt;0,HS_DB[[#This Row],[Product Rank]]&lt;=10),"Yes","No")</f>
        <v>No</v>
      </c>
      <c r="BC448" s="3" t="str">
        <f>IF(AND(HS_DB[[#This Row],[Origin Rank]]&gt;0,HS_DB[[#This Row],[Origin Rank]]&lt;=10),"Yes","No")</f>
        <v>No</v>
      </c>
    </row>
    <row r="449" spans="2:55" x14ac:dyDescent="0.3">
      <c r="B449" s="2">
        <f>HS_DB[[#This Row],[Commodity Code]]</f>
        <v>151211</v>
      </c>
      <c r="C449" s="2">
        <f>IFERROR(INDEX(HS_MD!C:C,MATCH(B449,HS_MD!B:B,0),1),"")</f>
        <v>38</v>
      </c>
      <c r="D449" s="17" t="str">
        <f>IFERROR(INDEX(HS_MD!D:D,MATCH(B449,HS_MD!B:B,0),1),"")</f>
        <v>Sunflower oil</v>
      </c>
      <c r="E449" s="17" t="str">
        <f>IFERROR(INDEX(HS_MD!E:E,MATCH(B449,HS_MD!B:B,0),1),"")</f>
        <v>Sunflower Oil</v>
      </c>
      <c r="F449" s="17" t="str">
        <f>IFERROR(INDEX(HS_MD!F:F,MATCH(B449,HS_MD!B:B,0),1),"")</f>
        <v>Agricultural Raw Materials</v>
      </c>
      <c r="G449" s="17" t="str">
        <f>IFERROR(INDEX(HS_MD!G:G,MATCH(B449,HS_MD!B:B,0),1),"")</f>
        <v>Edible Oils</v>
      </c>
      <c r="H449" s="17" t="str">
        <f>IFERROR(INDEX(HS_MD!H:H,MATCH(B449,HS_MD!B:B,0),1),"")</f>
        <v>Refined Seed Oils</v>
      </c>
      <c r="I449" s="17" t="str">
        <f>IFERROR(INDEX(HS_MD!I:I,MATCH(B449,HS_MD!B:B,0),1),"")</f>
        <v>Snacks / Sauces / Frying</v>
      </c>
      <c r="J449" s="17">
        <f>IFERROR(INDEX(Heat_Map[Index],MATCH(HS_DB[[#This Row],[Reporter]],Heat_Map[Global],0),1),"")</f>
        <v>179</v>
      </c>
      <c r="K449" s="17" t="str">
        <f>IF(AND(HS_DB[[#This Row],[Origin Rank]]&gt;1,HS_DB[[#This Row],[Origin Rank]]&lt;=10),"Yes","No")</f>
        <v>No</v>
      </c>
      <c r="L449" s="2">
        <v>2024</v>
      </c>
      <c r="M449" s="2" t="s">
        <v>57</v>
      </c>
      <c r="N449" s="2" t="s">
        <v>35</v>
      </c>
      <c r="O449" s="2" t="s">
        <v>22</v>
      </c>
      <c r="P449" s="2" t="s">
        <v>23</v>
      </c>
      <c r="Q449" s="2" t="s">
        <v>24</v>
      </c>
      <c r="R449" s="2" t="s">
        <v>25</v>
      </c>
      <c r="S449" s="2">
        <v>151211</v>
      </c>
      <c r="T449" s="3">
        <v>140329747</v>
      </c>
      <c r="U449" s="3">
        <v>184811000</v>
      </c>
      <c r="V449" s="3">
        <v>0</v>
      </c>
      <c r="W449" s="3">
        <v>184811000</v>
      </c>
      <c r="X449" s="3" t="s">
        <v>58</v>
      </c>
      <c r="Y449" s="3">
        <v>184811000</v>
      </c>
      <c r="Z449" s="3" t="s">
        <v>58</v>
      </c>
      <c r="AA449" s="6">
        <f>SUMIFS(HS_DB[Trade Value - USD],HS_DB[Reporter],HS_DB[[#This Row],[Reporter]])/SUM(HS_DB[Trade Value - USD])</f>
        <v>7.6648679233989533E-2</v>
      </c>
      <c r="AB449" s="8" cm="1">
        <f t="array" ref="AB449">SUMPRODUCT(
(HS_DB[Reporter]=HS_DB[[#This Row],[Reporter]])*
(HS_DB[Trade Value - USD]&gt;HS_DB[[#This Row],[Trade Value - USD]])
)+1</f>
        <v>1</v>
      </c>
      <c r="AC449" s="8" t="str">
        <f>IFERROR(IF(INDEX(Heat_Map[Crisis Impact %],MATCH(HS_DB[[#This Row],[Reporter]],Heat_Map[Global],0),1)&gt;0,"Yes","No"),"No")</f>
        <v>Yes</v>
      </c>
      <c r="AD449" s="6">
        <f>IFERROR(INDEX(Heat_Map[Crisis Impact %],MATCH(HS_DB[[#This Row],[Reporter]],Heat_Map[Global],0),1),0)</f>
        <v>0.44999999999999996</v>
      </c>
      <c r="AE449" s="8">
        <f>HS_DB[[#This Row],[Crisis Impact%]]*HS_DB[[#This Row],[Trade Value - USD]]</f>
        <v>63148386.149999991</v>
      </c>
      <c r="AF449" s="8">
        <f>HS_DB[[#This Row],[Crisis Impact%]]*HS_DB[[#This Row],[Net Weight -KG]]</f>
        <v>83164949.999999985</v>
      </c>
      <c r="AG449" s="6">
        <f>SUMIFS(HS_DB[Trade Value - USD],HS_DB[Products],HS_DB[[#This Row],[Products]])/SUM(HS_DB[Trade Value - USD])</f>
        <v>9.1907853375793033E-2</v>
      </c>
      <c r="AH449" s="8">
        <f>_xlfn.RANK.EQ(HS_DB[[#This Row],[Trade Value - USD]], HS_DB[Trade Value - USD], 0)
 + COUNTIFS(HS_DB[Trade Value - USD],HS_DB[[#This Row],[Trade Value - USD]],
            HS_DB[HS Code],"&lt;"&amp;HS_DB[[#This Row],[HS Code]])</f>
        <v>3</v>
      </c>
      <c r="AI449" s="9">
        <f>IFERROR(HS_DB[[#This Row],[Trade Value - USD]]/HS_DB[[#This Row],[Net Weight -KG]],0)</f>
        <v>0.75931490549804936</v>
      </c>
      <c r="AJ449" s="17" cm="1">
        <f t="array" ref="AJ449">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49" s="17" t="str">
        <f>IF(HS_DB[[#This Row],[HS Code Risk Score]]&gt;=40,"High",
 IF(HS_DB[[#This Row],[HS Code Risk Score]]&gt;=25,"Medium","Low"))</f>
        <v>Medium</v>
      </c>
      <c r="AL449" s="17" t="str">
        <f>IF(RANK(HS_DB[[#This Row],[HS Code Risk Score]],HS_DB[HS Code Risk Score])&lt;=10,"Yes","No")</f>
        <v>No</v>
      </c>
      <c r="AM449" s="8">
        <f>SUMIFS(HS_DB[Net Weight -KG],HS_DB[HS Code],HS_DB[[#This Row],[HS Code]])</f>
        <v>224152755</v>
      </c>
      <c r="AN449" s="8">
        <f>SUMIFS(HS_DB[Trade Value - USD],HS_DB[HS Code],HS_DB[[#This Row],[HS Code]])</f>
        <v>173247067</v>
      </c>
      <c r="AO449" s="6">
        <f>_xlfn.MAXIFS(HS_DB[Origin Share%],HS_DB[HS Code],HS_DB[[#This Row],[HS Code]])</f>
        <v>7.6648679233989533E-2</v>
      </c>
      <c r="AP449" s="8" cm="1">
        <f t="array" ref="AP449">_xlfn.LET(
_xlpm.hs,HS_DB[[#This Row],[HS Code]],
COUNTA(_xlfn.UNIQUE(_xlfn._xlws.FILTER(HS_DB[Reporter],HS_DB[HS Code]=_xlpm.hs)))
)</f>
        <v>7</v>
      </c>
      <c r="AQ449" s="17" t="str">
        <f>IF(HS_DB[[#This Row],[Origin Count]]=1,"Single Source","Multiple Sources")</f>
        <v>Multiple Sources</v>
      </c>
      <c r="AR449" s="8">
        <f>HS_DB[[#This Row],[Annual Spend - USD]]*(HS_DB[[#This Row],[HS Code Risk Score]]/100)</f>
        <v>58904002.780000001</v>
      </c>
      <c r="AS449" s="8">
        <f>RANK(HS_DB[[#This Row],[Risk Exposure - USD]],HS_DB[Risk Exposure - USD],0)</f>
        <v>8</v>
      </c>
      <c r="AT449" s="8" t="str">
        <f>IF(HS_DB[[#This Row],[Risk Exposure Rank]]&lt;=10,"High",
 IF(HS_DB[[#This Row],[Risk Exposure Rank]]&lt;=30,"Medium",
 "Low"))</f>
        <v>High</v>
      </c>
      <c r="AU449" s="8" t="str">
        <f>IF(HS_DB[[#This Row],[Risk Exposure Rank]]&lt;=5,"Immediate Action",
 IF(HS_DB[[#This Row],[Risk Exposure Rank]]&lt;=15,"Monitor Closely",
 "Routine Control"))</f>
        <v>Monitor Closely</v>
      </c>
      <c r="AV449" s="8">
        <f>SUMIFS(HS_DB[Trade Value - USD],HS_DB[HS Code],HS_DB[[#This Row],[HS Code]])</f>
        <v>173247067</v>
      </c>
      <c r="AW449" s="6">
        <f>HS_DB[[#This Row],[Annual Spend - USD]]/HS_DB[[#This Row],[Total Market Size - USD]]</f>
        <v>1</v>
      </c>
      <c r="AX449" s="6" cm="1">
        <f t="array" ref="AX449">COUNTA(_xlfn.UNIQUE(_xlfn._xlws.FILTER(HS_DB[Partner],HS_DB[HS Code]=HS_DB[[#This Row],[HS Code]])))</f>
        <v>1</v>
      </c>
      <c r="AY449" s="8" t="str">
        <f>IF(HS_DB[[#This Row],[Competition Intensity]]&lt;=2,"Highly Concentrated",
 IF(HS_DB[[#This Row],[Competition Intensity]]&lt;=5,"Moderate",
 "Highly Competitive"))</f>
        <v>Highly Concentrated</v>
      </c>
      <c r="AZ449" s="8">
        <f>HS_DB[[#This Row],[Total Market Size - USD]]
*
(1+IFERROR(#REF!,0))
/
HS_DB[[#This Row],[Competition Intensity]]</f>
        <v>173247067</v>
      </c>
      <c r="BA449" s="8" t="str">
        <f>IF(HS_DB[[#This Row],[Commercial Opportunity Score]]&gt;=PERCENTILE(HS_DB[Commercial Opportunity Score],0.9),"High Opportunity",
 IF(HS_DB[[#This Row],[Commercial Opportunity Score]]&gt;=PERCENTILE(HS_DB[Commercial Opportunity Score],0.6),"Medium Opportunity",
 "Routine Market"))</f>
        <v>High Opportunity</v>
      </c>
      <c r="BB449" s="3" t="str">
        <f>IF(AND(HS_DB[[#This Row],[Product Rank]]&gt;0,HS_DB[[#This Row],[Product Rank]]&lt;=10),"Yes","No")</f>
        <v>Yes</v>
      </c>
      <c r="BC449" s="3" t="str">
        <f>IF(AND(HS_DB[[#This Row],[Origin Rank]]&gt;0,HS_DB[[#This Row],[Origin Rank]]&lt;=10),"Yes","No")</f>
        <v>Yes</v>
      </c>
    </row>
    <row r="450" spans="2:55" x14ac:dyDescent="0.3">
      <c r="B450" s="2">
        <f>HS_DB[[#This Row],[Commodity Code]]</f>
        <v>151620</v>
      </c>
      <c r="C450" s="2">
        <f>IFERROR(INDEX(HS_MD!C:C,MATCH(B450,HS_MD!B:B,0),1),"")</f>
        <v>39</v>
      </c>
      <c r="D450" s="17" t="str">
        <f>IFERROR(INDEX(HS_MD!D:D,MATCH(B450,HS_MD!B:B,0),1),"")</f>
        <v>Hydrogenated vegetable oils</v>
      </c>
      <c r="E450" s="17" t="str">
        <f>IFERROR(INDEX(HS_MD!E:E,MATCH(B450,HS_MD!B:B,0),1),"")</f>
        <v>Shortening / Hydrogenated Oils</v>
      </c>
      <c r="F450" s="17" t="str">
        <f>IFERROR(INDEX(HS_MD!F:F,MATCH(B450,HS_MD!B:B,0),1),"")</f>
        <v>FUNCTIONAL INGREDIENTS</v>
      </c>
      <c r="G450" s="17" t="str">
        <f>IFERROR(INDEX(HS_MD!G:G,MATCH(B450,HS_MD!B:B,0),1),"")</f>
        <v>Fats &amp; Shortening</v>
      </c>
      <c r="H450" s="17" t="str">
        <f>IFERROR(INDEX(HS_MD!H:H,MATCH(B450,HS_MD!B:B,0),1),"")</f>
        <v>Industrial Shortening</v>
      </c>
      <c r="I450" s="17" t="str">
        <f>IFERROR(INDEX(HS_MD!I:I,MATCH(B450,HS_MD!B:B,0),1),"")</f>
        <v>Bakery / Margarine</v>
      </c>
      <c r="J450" s="17">
        <f>IFERROR(INDEX(Heat_Map[Index],MATCH(HS_DB[[#This Row],[Reporter]],Heat_Map[Global],0),1),"")</f>
        <v>17</v>
      </c>
      <c r="K450" s="17" t="str">
        <f>IF(AND(HS_DB[[#This Row],[Origin Rank]]&gt;1,HS_DB[[#This Row],[Origin Rank]]&lt;=10),"Yes","No")</f>
        <v>No</v>
      </c>
      <c r="L450" s="2">
        <v>2024</v>
      </c>
      <c r="M450" s="2" t="s">
        <v>57</v>
      </c>
      <c r="N450" s="2" t="s">
        <v>5</v>
      </c>
      <c r="O450" s="2" t="s">
        <v>22</v>
      </c>
      <c r="P450" s="2" t="s">
        <v>23</v>
      </c>
      <c r="Q450" s="2" t="s">
        <v>24</v>
      </c>
      <c r="R450" s="2" t="s">
        <v>25</v>
      </c>
      <c r="S450" s="2">
        <v>151620</v>
      </c>
      <c r="T450" s="3">
        <v>5687</v>
      </c>
      <c r="U450" s="3">
        <v>1580</v>
      </c>
      <c r="V450" s="3">
        <v>0</v>
      </c>
      <c r="W450" s="3">
        <v>1580</v>
      </c>
      <c r="X450" s="3" t="s">
        <v>58</v>
      </c>
      <c r="Y450" s="3">
        <v>1580</v>
      </c>
      <c r="Z450" s="3" t="s">
        <v>58</v>
      </c>
      <c r="AA450" s="6">
        <f>SUMIFS(HS_DB[Trade Value - USD],HS_DB[Reporter],HS_DB[[#This Row],[Reporter]])/SUM(HS_DB[Trade Value - USD])</f>
        <v>5.3992075088500962E-3</v>
      </c>
      <c r="AB450" s="8" cm="1">
        <f t="array" ref="AB450">SUMPRODUCT(
(HS_DB[Reporter]=HS_DB[[#This Row],[Reporter]])*
(HS_DB[Trade Value - USD]&gt;HS_DB[[#This Row],[Trade Value - USD]])
)+1</f>
        <v>21</v>
      </c>
      <c r="AC450" s="8" t="str">
        <f>IFERROR(IF(INDEX(Heat_Map[Crisis Impact %],MATCH(HS_DB[[#This Row],[Reporter]],Heat_Map[Global],0),1)&gt;0,"Yes","No"),"No")</f>
        <v>No</v>
      </c>
      <c r="AD450" s="6">
        <f>IFERROR(INDEX(Heat_Map[Crisis Impact %],MATCH(HS_DB[[#This Row],[Reporter]],Heat_Map[Global],0),1),0)</f>
        <v>0</v>
      </c>
      <c r="AE450" s="8">
        <f>HS_DB[[#This Row],[Crisis Impact%]]*HS_DB[[#This Row],[Trade Value - USD]]</f>
        <v>0</v>
      </c>
      <c r="AF450" s="8">
        <f>HS_DB[[#This Row],[Crisis Impact%]]*HS_DB[[#This Row],[Net Weight -KG]]</f>
        <v>0</v>
      </c>
      <c r="AG450" s="6">
        <f>SUMIFS(HS_DB[Trade Value - USD],HS_DB[Products],HS_DB[[#This Row],[Products]])/SUM(HS_DB[Trade Value - USD])</f>
        <v>5.4275292938682683E-2</v>
      </c>
      <c r="AH450" s="8">
        <f>_xlfn.RANK.EQ(HS_DB[[#This Row],[Trade Value - USD]], HS_DB[Trade Value - USD], 0)
 + COUNTIFS(HS_DB[Trade Value - USD],HS_DB[[#This Row],[Trade Value - USD]],
            HS_DB[HS Code],"&lt;"&amp;HS_DB[[#This Row],[HS Code]])</f>
        <v>433</v>
      </c>
      <c r="AI450" s="9">
        <f>IFERROR(HS_DB[[#This Row],[Trade Value - USD]]/HS_DB[[#This Row],[Net Weight -KG]],0)</f>
        <v>3.599367088607595</v>
      </c>
      <c r="AJ450" s="17" cm="1">
        <f t="array" ref="AJ450">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50" s="17" t="str">
        <f>IF(HS_DB[[#This Row],[HS Code Risk Score]]&gt;=40,"High",
 IF(HS_DB[[#This Row],[HS Code Risk Score]]&gt;=25,"Medium","Low"))</f>
        <v>Medium</v>
      </c>
      <c r="AL450" s="17" t="str">
        <f>IF(RANK(HS_DB[[#This Row],[HS Code Risk Score]],HS_DB[HS Code Risk Score])&lt;=10,"Yes","No")</f>
        <v>No</v>
      </c>
      <c r="AM450" s="8">
        <f>SUMIFS(HS_DB[Net Weight -KG],HS_DB[HS Code],HS_DB[[#This Row],[HS Code]])</f>
        <v>80054906</v>
      </c>
      <c r="AN450" s="8">
        <f>SUMIFS(HS_DB[Trade Value - USD],HS_DB[HS Code],HS_DB[[#This Row],[HS Code]])</f>
        <v>102309378</v>
      </c>
      <c r="AO450" s="6">
        <f>_xlfn.MAXIFS(HS_DB[Origin Share%],HS_DB[HS Code],HS_DB[[#This Row],[HS Code]])</f>
        <v>0.39900464236999494</v>
      </c>
      <c r="AP450" s="8" cm="1">
        <f t="array" ref="AP450">_xlfn.LET(
_xlpm.hs,HS_DB[[#This Row],[HS Code]],
COUNTA(_xlfn.UNIQUE(_xlfn._xlws.FILTER(HS_DB[Reporter],HS_DB[HS Code]=_xlpm.hs)))
)</f>
        <v>18</v>
      </c>
      <c r="AQ450" s="17" t="str">
        <f>IF(HS_DB[[#This Row],[Origin Count]]=1,"Single Source","Multiple Sources")</f>
        <v>Multiple Sources</v>
      </c>
      <c r="AR450" s="8">
        <f>HS_DB[[#This Row],[Annual Spend - USD]]*(HS_DB[[#This Row],[HS Code Risk Score]]/100)</f>
        <v>34785188.520000003</v>
      </c>
      <c r="AS450" s="8">
        <f>RANK(HS_DB[[#This Row],[Risk Exposure - USD]],HS_DB[Risk Exposure - USD],0)</f>
        <v>15</v>
      </c>
      <c r="AT450" s="8" t="str">
        <f>IF(HS_DB[[#This Row],[Risk Exposure Rank]]&lt;=10,"High",
 IF(HS_DB[[#This Row],[Risk Exposure Rank]]&lt;=30,"Medium",
 "Low"))</f>
        <v>Medium</v>
      </c>
      <c r="AU450" s="8" t="str">
        <f>IF(HS_DB[[#This Row],[Risk Exposure Rank]]&lt;=5,"Immediate Action",
 IF(HS_DB[[#This Row],[Risk Exposure Rank]]&lt;=15,"Monitor Closely",
 "Routine Control"))</f>
        <v>Monitor Closely</v>
      </c>
      <c r="AV450" s="8">
        <f>SUMIFS(HS_DB[Trade Value - USD],HS_DB[HS Code],HS_DB[[#This Row],[HS Code]])</f>
        <v>102309378</v>
      </c>
      <c r="AW450" s="6">
        <f>HS_DB[[#This Row],[Annual Spend - USD]]/HS_DB[[#This Row],[Total Market Size - USD]]</f>
        <v>1</v>
      </c>
      <c r="AX450" s="6" cm="1">
        <f t="array" ref="AX450">COUNTA(_xlfn.UNIQUE(_xlfn._xlws.FILTER(HS_DB[Partner],HS_DB[HS Code]=HS_DB[[#This Row],[HS Code]])))</f>
        <v>1</v>
      </c>
      <c r="AY450" s="8" t="str">
        <f>IF(HS_DB[[#This Row],[Competition Intensity]]&lt;=2,"Highly Concentrated",
 IF(HS_DB[[#This Row],[Competition Intensity]]&lt;=5,"Moderate",
 "Highly Competitive"))</f>
        <v>Highly Concentrated</v>
      </c>
      <c r="AZ450" s="8">
        <f>HS_DB[[#This Row],[Total Market Size - USD]]
*
(1+IFERROR(#REF!,0))
/
HS_DB[[#This Row],[Competition Intensity]]</f>
        <v>102309378</v>
      </c>
      <c r="BA450" s="8" t="str">
        <f>IF(HS_DB[[#This Row],[Commercial Opportunity Score]]&gt;=PERCENTILE(HS_DB[Commercial Opportunity Score],0.9),"High Opportunity",
 IF(HS_DB[[#This Row],[Commercial Opportunity Score]]&gt;=PERCENTILE(HS_DB[Commercial Opportunity Score],0.6),"Medium Opportunity",
 "Routine Market"))</f>
        <v>High Opportunity</v>
      </c>
      <c r="BB450" s="3" t="str">
        <f>IF(AND(HS_DB[[#This Row],[Product Rank]]&gt;0,HS_DB[[#This Row],[Product Rank]]&lt;=10),"Yes","No")</f>
        <v>No</v>
      </c>
      <c r="BC450" s="3" t="str">
        <f>IF(AND(HS_DB[[#This Row],[Origin Rank]]&gt;0,HS_DB[[#This Row],[Origin Rank]]&lt;=10),"Yes","No")</f>
        <v>No</v>
      </c>
    </row>
    <row r="451" spans="2:55" x14ac:dyDescent="0.3">
      <c r="B451" s="2">
        <f>HS_DB[[#This Row],[Commodity Code]]</f>
        <v>151620</v>
      </c>
      <c r="C451" s="2">
        <f>IFERROR(INDEX(HS_MD!C:C,MATCH(B451,HS_MD!B:B,0),1),"")</f>
        <v>39</v>
      </c>
      <c r="D451" s="17" t="str">
        <f>IFERROR(INDEX(HS_MD!D:D,MATCH(B451,HS_MD!B:B,0),1),"")</f>
        <v>Hydrogenated vegetable oils</v>
      </c>
      <c r="E451" s="17" t="str">
        <f>IFERROR(INDEX(HS_MD!E:E,MATCH(B451,HS_MD!B:B,0),1),"")</f>
        <v>Shortening / Hydrogenated Oils</v>
      </c>
      <c r="F451" s="17" t="str">
        <f>IFERROR(INDEX(HS_MD!F:F,MATCH(B451,HS_MD!B:B,0),1),"")</f>
        <v>FUNCTIONAL INGREDIENTS</v>
      </c>
      <c r="G451" s="17" t="str">
        <f>IFERROR(INDEX(HS_MD!G:G,MATCH(B451,HS_MD!B:B,0),1),"")</f>
        <v>Fats &amp; Shortening</v>
      </c>
      <c r="H451" s="17" t="str">
        <f>IFERROR(INDEX(HS_MD!H:H,MATCH(B451,HS_MD!B:B,0),1),"")</f>
        <v>Industrial Shortening</v>
      </c>
      <c r="I451" s="17" t="str">
        <f>IFERROR(INDEX(HS_MD!I:I,MATCH(B451,HS_MD!B:B,0),1),"")</f>
        <v>Bakery / Margarine</v>
      </c>
      <c r="J451" s="17">
        <f>IFERROR(INDEX(Heat_Map[Index],MATCH(HS_DB[[#This Row],[Reporter]],Heat_Map[Global],0),1),"")</f>
        <v>36</v>
      </c>
      <c r="K451" s="17" t="str">
        <f>IF(AND(HS_DB[[#This Row],[Origin Rank]]&gt;1,HS_DB[[#This Row],[Origin Rank]]&lt;=10),"Yes","No")</f>
        <v>No</v>
      </c>
      <c r="L451" s="2">
        <v>2024</v>
      </c>
      <c r="M451" s="2" t="s">
        <v>57</v>
      </c>
      <c r="N451" s="2" t="s">
        <v>1</v>
      </c>
      <c r="O451" s="2" t="s">
        <v>22</v>
      </c>
      <c r="P451" s="2" t="s">
        <v>23</v>
      </c>
      <c r="Q451" s="2" t="s">
        <v>24</v>
      </c>
      <c r="R451" s="2" t="s">
        <v>25</v>
      </c>
      <c r="S451" s="2">
        <v>151620</v>
      </c>
      <c r="T451" s="3">
        <v>708</v>
      </c>
      <c r="U451" s="3">
        <v>25</v>
      </c>
      <c r="V451" s="3">
        <v>0</v>
      </c>
      <c r="W451" s="3">
        <v>25</v>
      </c>
      <c r="X451" s="3" t="s">
        <v>58</v>
      </c>
      <c r="Y451" s="3">
        <v>25</v>
      </c>
      <c r="Z451" s="3" t="s">
        <v>58</v>
      </c>
      <c r="AA451" s="6">
        <f>SUMIFS(HS_DB[Trade Value - USD],HS_DB[Reporter],HS_DB[[#This Row],[Reporter]])/SUM(HS_DB[Trade Value - USD])</f>
        <v>6.321329281187793E-2</v>
      </c>
      <c r="AB451" s="8" cm="1">
        <f t="array" ref="AB451">SUMPRODUCT(
(HS_DB[Reporter]=HS_DB[[#This Row],[Reporter]])*
(HS_DB[Trade Value - USD]&gt;HS_DB[[#This Row],[Trade Value - USD]])
)+1</f>
        <v>36</v>
      </c>
      <c r="AC451" s="8" t="str">
        <f>IFERROR(IF(INDEX(Heat_Map[Crisis Impact %],MATCH(HS_DB[[#This Row],[Reporter]],Heat_Map[Global],0),1)&gt;0,"Yes","No"),"No")</f>
        <v>Yes</v>
      </c>
      <c r="AD451" s="6">
        <f>IFERROR(INDEX(Heat_Map[Crisis Impact %],MATCH(HS_DB[[#This Row],[Reporter]],Heat_Map[Global],0),1),0)</f>
        <v>0.14000000000000001</v>
      </c>
      <c r="AE451" s="8">
        <f>HS_DB[[#This Row],[Crisis Impact%]]*HS_DB[[#This Row],[Trade Value - USD]]</f>
        <v>99.12</v>
      </c>
      <c r="AF451" s="8">
        <f>HS_DB[[#This Row],[Crisis Impact%]]*HS_DB[[#This Row],[Net Weight -KG]]</f>
        <v>3.5000000000000004</v>
      </c>
      <c r="AG451" s="6">
        <f>SUMIFS(HS_DB[Trade Value - USD],HS_DB[Products],HS_DB[[#This Row],[Products]])/SUM(HS_DB[Trade Value - USD])</f>
        <v>5.4275292938682683E-2</v>
      </c>
      <c r="AH451" s="8">
        <f>_xlfn.RANK.EQ(HS_DB[[#This Row],[Trade Value - USD]], HS_DB[Trade Value - USD], 0)
 + COUNTIFS(HS_DB[Trade Value - USD],HS_DB[[#This Row],[Trade Value - USD]],
            HS_DB[HS Code],"&lt;"&amp;HS_DB[[#This Row],[HS Code]])</f>
        <v>491</v>
      </c>
      <c r="AI451" s="9">
        <f>IFERROR(HS_DB[[#This Row],[Trade Value - USD]]/HS_DB[[#This Row],[Net Weight -KG]],0)</f>
        <v>28.32</v>
      </c>
      <c r="AJ451" s="17" cm="1">
        <f t="array" ref="AJ451">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51" s="17" t="str">
        <f>IF(HS_DB[[#This Row],[HS Code Risk Score]]&gt;=40,"High",
 IF(HS_DB[[#This Row],[HS Code Risk Score]]&gt;=25,"Medium","Low"))</f>
        <v>Medium</v>
      </c>
      <c r="AL451" s="17" t="str">
        <f>IF(RANK(HS_DB[[#This Row],[HS Code Risk Score]],HS_DB[HS Code Risk Score])&lt;=10,"Yes","No")</f>
        <v>No</v>
      </c>
      <c r="AM451" s="8">
        <f>SUMIFS(HS_DB[Net Weight -KG],HS_DB[HS Code],HS_DB[[#This Row],[HS Code]])</f>
        <v>80054906</v>
      </c>
      <c r="AN451" s="8">
        <f>SUMIFS(HS_DB[Trade Value - USD],HS_DB[HS Code],HS_DB[[#This Row],[HS Code]])</f>
        <v>102309378</v>
      </c>
      <c r="AO451" s="6">
        <f>_xlfn.MAXIFS(HS_DB[Origin Share%],HS_DB[HS Code],HS_DB[[#This Row],[HS Code]])</f>
        <v>0.39900464236999494</v>
      </c>
      <c r="AP451" s="8" cm="1">
        <f t="array" ref="AP451">_xlfn.LET(
_xlpm.hs,HS_DB[[#This Row],[HS Code]],
COUNTA(_xlfn.UNIQUE(_xlfn._xlws.FILTER(HS_DB[Reporter],HS_DB[HS Code]=_xlpm.hs)))
)</f>
        <v>18</v>
      </c>
      <c r="AQ451" s="17" t="str">
        <f>IF(HS_DB[[#This Row],[Origin Count]]=1,"Single Source","Multiple Sources")</f>
        <v>Multiple Sources</v>
      </c>
      <c r="AR451" s="8">
        <f>HS_DB[[#This Row],[Annual Spend - USD]]*(HS_DB[[#This Row],[HS Code Risk Score]]/100)</f>
        <v>34785188.520000003</v>
      </c>
      <c r="AS451" s="8">
        <f>RANK(HS_DB[[#This Row],[Risk Exposure - USD]],HS_DB[Risk Exposure - USD],0)</f>
        <v>15</v>
      </c>
      <c r="AT451" s="8" t="str">
        <f>IF(HS_DB[[#This Row],[Risk Exposure Rank]]&lt;=10,"High",
 IF(HS_DB[[#This Row],[Risk Exposure Rank]]&lt;=30,"Medium",
 "Low"))</f>
        <v>Medium</v>
      </c>
      <c r="AU451" s="8" t="str">
        <f>IF(HS_DB[[#This Row],[Risk Exposure Rank]]&lt;=5,"Immediate Action",
 IF(HS_DB[[#This Row],[Risk Exposure Rank]]&lt;=15,"Monitor Closely",
 "Routine Control"))</f>
        <v>Monitor Closely</v>
      </c>
      <c r="AV451" s="8">
        <f>SUMIFS(HS_DB[Trade Value - USD],HS_DB[HS Code],HS_DB[[#This Row],[HS Code]])</f>
        <v>102309378</v>
      </c>
      <c r="AW451" s="6">
        <f>HS_DB[[#This Row],[Annual Spend - USD]]/HS_DB[[#This Row],[Total Market Size - USD]]</f>
        <v>1</v>
      </c>
      <c r="AX451" s="6" cm="1">
        <f t="array" ref="AX451">COUNTA(_xlfn.UNIQUE(_xlfn._xlws.FILTER(HS_DB[Partner],HS_DB[HS Code]=HS_DB[[#This Row],[HS Code]])))</f>
        <v>1</v>
      </c>
      <c r="AY451" s="8" t="str">
        <f>IF(HS_DB[[#This Row],[Competition Intensity]]&lt;=2,"Highly Concentrated",
 IF(HS_DB[[#This Row],[Competition Intensity]]&lt;=5,"Moderate",
 "Highly Competitive"))</f>
        <v>Highly Concentrated</v>
      </c>
      <c r="AZ451" s="8">
        <f>HS_DB[[#This Row],[Total Market Size - USD]]
*
(1+IFERROR(#REF!,0))
/
HS_DB[[#This Row],[Competition Intensity]]</f>
        <v>102309378</v>
      </c>
      <c r="BA451" s="8" t="str">
        <f>IF(HS_DB[[#This Row],[Commercial Opportunity Score]]&gt;=PERCENTILE(HS_DB[Commercial Opportunity Score],0.9),"High Opportunity",
 IF(HS_DB[[#This Row],[Commercial Opportunity Score]]&gt;=PERCENTILE(HS_DB[Commercial Opportunity Score],0.6),"Medium Opportunity",
 "Routine Market"))</f>
        <v>High Opportunity</v>
      </c>
      <c r="BB451" s="3" t="str">
        <f>IF(AND(HS_DB[[#This Row],[Product Rank]]&gt;0,HS_DB[[#This Row],[Product Rank]]&lt;=10),"Yes","No")</f>
        <v>No</v>
      </c>
      <c r="BC451" s="3" t="str">
        <f>IF(AND(HS_DB[[#This Row],[Origin Rank]]&gt;0,HS_DB[[#This Row],[Origin Rank]]&lt;=10),"Yes","No")</f>
        <v>No</v>
      </c>
    </row>
    <row r="452" spans="2:55" x14ac:dyDescent="0.3">
      <c r="B452" s="2">
        <f>HS_DB[[#This Row],[Commodity Code]]</f>
        <v>151620</v>
      </c>
      <c r="C452" s="2">
        <f>IFERROR(INDEX(HS_MD!C:C,MATCH(B452,HS_MD!B:B,0),1),"")</f>
        <v>39</v>
      </c>
      <c r="D452" s="17" t="str">
        <f>IFERROR(INDEX(HS_MD!D:D,MATCH(B452,HS_MD!B:B,0),1),"")</f>
        <v>Hydrogenated vegetable oils</v>
      </c>
      <c r="E452" s="17" t="str">
        <f>IFERROR(INDEX(HS_MD!E:E,MATCH(B452,HS_MD!B:B,0),1),"")</f>
        <v>Shortening / Hydrogenated Oils</v>
      </c>
      <c r="F452" s="17" t="str">
        <f>IFERROR(INDEX(HS_MD!F:F,MATCH(B452,HS_MD!B:B,0),1),"")</f>
        <v>FUNCTIONAL INGREDIENTS</v>
      </c>
      <c r="G452" s="17" t="str">
        <f>IFERROR(INDEX(HS_MD!G:G,MATCH(B452,HS_MD!B:B,0),1),"")</f>
        <v>Fats &amp; Shortening</v>
      </c>
      <c r="H452" s="17" t="str">
        <f>IFERROR(INDEX(HS_MD!H:H,MATCH(B452,HS_MD!B:B,0),1),"")</f>
        <v>Industrial Shortening</v>
      </c>
      <c r="I452" s="17" t="str">
        <f>IFERROR(INDEX(HS_MD!I:I,MATCH(B452,HS_MD!B:B,0),1),"")</f>
        <v>Bakery / Margarine</v>
      </c>
      <c r="J452" s="17">
        <f>IFERROR(INDEX(Heat_Map[Index],MATCH(HS_DB[[#This Row],[Reporter]],Heat_Map[Global],0),1),"")</f>
        <v>45</v>
      </c>
      <c r="K452" s="17" t="str">
        <f>IF(AND(HS_DB[[#This Row],[Origin Rank]]&gt;1,HS_DB[[#This Row],[Origin Rank]]&lt;=10),"Yes","No")</f>
        <v>Yes</v>
      </c>
      <c r="L452" s="2">
        <v>2024</v>
      </c>
      <c r="M452" s="2" t="s">
        <v>57</v>
      </c>
      <c r="N452" s="2" t="s">
        <v>42</v>
      </c>
      <c r="O452" s="2" t="s">
        <v>22</v>
      </c>
      <c r="P452" s="2" t="s">
        <v>23</v>
      </c>
      <c r="Q452" s="2" t="s">
        <v>24</v>
      </c>
      <c r="R452" s="2" t="s">
        <v>25</v>
      </c>
      <c r="S452" s="2">
        <v>151620</v>
      </c>
      <c r="T452" s="3">
        <v>317503</v>
      </c>
      <c r="U452" s="3">
        <v>70730</v>
      </c>
      <c r="V452" s="3">
        <v>0</v>
      </c>
      <c r="W452" s="3">
        <v>70730</v>
      </c>
      <c r="X452" s="3" t="s">
        <v>58</v>
      </c>
      <c r="Y452" s="3">
        <v>70730</v>
      </c>
      <c r="Z452" s="3" t="s">
        <v>58</v>
      </c>
      <c r="AA452" s="6">
        <f>SUMIFS(HS_DB[Trade Value - USD],HS_DB[Reporter],HS_DB[[#This Row],[Reporter]])/SUM(HS_DB[Trade Value - USD])</f>
        <v>4.8573207719329804E-4</v>
      </c>
      <c r="AB452" s="8" cm="1">
        <f t="array" ref="AB452">SUMPRODUCT(
(HS_DB[Reporter]=HS_DB[[#This Row],[Reporter]])*
(HS_DB[Trade Value - USD]&gt;HS_DB[[#This Row],[Trade Value - USD]])
)+1</f>
        <v>2</v>
      </c>
      <c r="AC452" s="8" t="str">
        <f>IFERROR(IF(INDEX(Heat_Map[Crisis Impact %],MATCH(HS_DB[[#This Row],[Reporter]],Heat_Map[Global],0),1)&gt;0,"Yes","No"),"No")</f>
        <v>No</v>
      </c>
      <c r="AD452" s="6">
        <f>IFERROR(INDEX(Heat_Map[Crisis Impact %],MATCH(HS_DB[[#This Row],[Reporter]],Heat_Map[Global],0),1),0)</f>
        <v>0</v>
      </c>
      <c r="AE452" s="8">
        <f>HS_DB[[#This Row],[Crisis Impact%]]*HS_DB[[#This Row],[Trade Value - USD]]</f>
        <v>0</v>
      </c>
      <c r="AF452" s="8">
        <f>HS_DB[[#This Row],[Crisis Impact%]]*HS_DB[[#This Row],[Net Weight -KG]]</f>
        <v>0</v>
      </c>
      <c r="AG452" s="6">
        <f>SUMIFS(HS_DB[Trade Value - USD],HS_DB[Products],HS_DB[[#This Row],[Products]])/SUM(HS_DB[Trade Value - USD])</f>
        <v>5.4275292938682683E-2</v>
      </c>
      <c r="AH452" s="8">
        <f>_xlfn.RANK.EQ(HS_DB[[#This Row],[Trade Value - USD]], HS_DB[Trade Value - USD], 0)
 + COUNTIFS(HS_DB[Trade Value - USD],HS_DB[[#This Row],[Trade Value - USD]],
            HS_DB[HS Code],"&lt;"&amp;HS_DB[[#This Row],[HS Code]])</f>
        <v>183</v>
      </c>
      <c r="AI452" s="9">
        <f>IFERROR(HS_DB[[#This Row],[Trade Value - USD]]/HS_DB[[#This Row],[Net Weight -KG]],0)</f>
        <v>4.4889438710589564</v>
      </c>
      <c r="AJ452" s="17" cm="1">
        <f t="array" ref="AJ452">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52" s="17" t="str">
        <f>IF(HS_DB[[#This Row],[HS Code Risk Score]]&gt;=40,"High",
 IF(HS_DB[[#This Row],[HS Code Risk Score]]&gt;=25,"Medium","Low"))</f>
        <v>Medium</v>
      </c>
      <c r="AL452" s="17" t="str">
        <f>IF(RANK(HS_DB[[#This Row],[HS Code Risk Score]],HS_DB[HS Code Risk Score])&lt;=10,"Yes","No")</f>
        <v>No</v>
      </c>
      <c r="AM452" s="8">
        <f>SUMIFS(HS_DB[Net Weight -KG],HS_DB[HS Code],HS_DB[[#This Row],[HS Code]])</f>
        <v>80054906</v>
      </c>
      <c r="AN452" s="8">
        <f>SUMIFS(HS_DB[Trade Value - USD],HS_DB[HS Code],HS_DB[[#This Row],[HS Code]])</f>
        <v>102309378</v>
      </c>
      <c r="AO452" s="6">
        <f>_xlfn.MAXIFS(HS_DB[Origin Share%],HS_DB[HS Code],HS_DB[[#This Row],[HS Code]])</f>
        <v>0.39900464236999494</v>
      </c>
      <c r="AP452" s="8" cm="1">
        <f t="array" ref="AP452">_xlfn.LET(
_xlpm.hs,HS_DB[[#This Row],[HS Code]],
COUNTA(_xlfn.UNIQUE(_xlfn._xlws.FILTER(HS_DB[Reporter],HS_DB[HS Code]=_xlpm.hs)))
)</f>
        <v>18</v>
      </c>
      <c r="AQ452" s="17" t="str">
        <f>IF(HS_DB[[#This Row],[Origin Count]]=1,"Single Source","Multiple Sources")</f>
        <v>Multiple Sources</v>
      </c>
      <c r="AR452" s="8">
        <f>HS_DB[[#This Row],[Annual Spend - USD]]*(HS_DB[[#This Row],[HS Code Risk Score]]/100)</f>
        <v>34785188.520000003</v>
      </c>
      <c r="AS452" s="8">
        <f>RANK(HS_DB[[#This Row],[Risk Exposure - USD]],HS_DB[Risk Exposure - USD],0)</f>
        <v>15</v>
      </c>
      <c r="AT452" s="8" t="str">
        <f>IF(HS_DB[[#This Row],[Risk Exposure Rank]]&lt;=10,"High",
 IF(HS_DB[[#This Row],[Risk Exposure Rank]]&lt;=30,"Medium",
 "Low"))</f>
        <v>Medium</v>
      </c>
      <c r="AU452" s="8" t="str">
        <f>IF(HS_DB[[#This Row],[Risk Exposure Rank]]&lt;=5,"Immediate Action",
 IF(HS_DB[[#This Row],[Risk Exposure Rank]]&lt;=15,"Monitor Closely",
 "Routine Control"))</f>
        <v>Monitor Closely</v>
      </c>
      <c r="AV452" s="8">
        <f>SUMIFS(HS_DB[Trade Value - USD],HS_DB[HS Code],HS_DB[[#This Row],[HS Code]])</f>
        <v>102309378</v>
      </c>
      <c r="AW452" s="6">
        <f>HS_DB[[#This Row],[Annual Spend - USD]]/HS_DB[[#This Row],[Total Market Size - USD]]</f>
        <v>1</v>
      </c>
      <c r="AX452" s="6" cm="1">
        <f t="array" ref="AX452">COUNTA(_xlfn.UNIQUE(_xlfn._xlws.FILTER(HS_DB[Partner],HS_DB[HS Code]=HS_DB[[#This Row],[HS Code]])))</f>
        <v>1</v>
      </c>
      <c r="AY452" s="8" t="str">
        <f>IF(HS_DB[[#This Row],[Competition Intensity]]&lt;=2,"Highly Concentrated",
 IF(HS_DB[[#This Row],[Competition Intensity]]&lt;=5,"Moderate",
 "Highly Competitive"))</f>
        <v>Highly Concentrated</v>
      </c>
      <c r="AZ452" s="8">
        <f>HS_DB[[#This Row],[Total Market Size - USD]]
*
(1+IFERROR(#REF!,0))
/
HS_DB[[#This Row],[Competition Intensity]]</f>
        <v>102309378</v>
      </c>
      <c r="BA452" s="8" t="str">
        <f>IF(HS_DB[[#This Row],[Commercial Opportunity Score]]&gt;=PERCENTILE(HS_DB[Commercial Opportunity Score],0.9),"High Opportunity",
 IF(HS_DB[[#This Row],[Commercial Opportunity Score]]&gt;=PERCENTILE(HS_DB[Commercial Opportunity Score],0.6),"Medium Opportunity",
 "Routine Market"))</f>
        <v>High Opportunity</v>
      </c>
      <c r="BB452" s="3" t="str">
        <f>IF(AND(HS_DB[[#This Row],[Product Rank]]&gt;0,HS_DB[[#This Row],[Product Rank]]&lt;=10),"Yes","No")</f>
        <v>No</v>
      </c>
      <c r="BC452" s="3" t="str">
        <f>IF(AND(HS_DB[[#This Row],[Origin Rank]]&gt;0,HS_DB[[#This Row],[Origin Rank]]&lt;=10),"Yes","No")</f>
        <v>Yes</v>
      </c>
    </row>
    <row r="453" spans="2:55" x14ac:dyDescent="0.3">
      <c r="B453" s="2">
        <f>HS_DB[[#This Row],[Commodity Code]]</f>
        <v>151620</v>
      </c>
      <c r="C453" s="2">
        <f>IFERROR(INDEX(HS_MD!C:C,MATCH(B453,HS_MD!B:B,0),1),"")</f>
        <v>39</v>
      </c>
      <c r="D453" s="17" t="str">
        <f>IFERROR(INDEX(HS_MD!D:D,MATCH(B453,HS_MD!B:B,0),1),"")</f>
        <v>Hydrogenated vegetable oils</v>
      </c>
      <c r="E453" s="17" t="str">
        <f>IFERROR(INDEX(HS_MD!E:E,MATCH(B453,HS_MD!B:B,0),1),"")</f>
        <v>Shortening / Hydrogenated Oils</v>
      </c>
      <c r="F453" s="17" t="str">
        <f>IFERROR(INDEX(HS_MD!F:F,MATCH(B453,HS_MD!B:B,0),1),"")</f>
        <v>FUNCTIONAL INGREDIENTS</v>
      </c>
      <c r="G453" s="17" t="str">
        <f>IFERROR(INDEX(HS_MD!G:G,MATCH(B453,HS_MD!B:B,0),1),"")</f>
        <v>Fats &amp; Shortening</v>
      </c>
      <c r="H453" s="17" t="str">
        <f>IFERROR(INDEX(HS_MD!H:H,MATCH(B453,HS_MD!B:B,0),1),"")</f>
        <v>Industrial Shortening</v>
      </c>
      <c r="I453" s="17" t="str">
        <f>IFERROR(INDEX(HS_MD!I:I,MATCH(B453,HS_MD!B:B,0),1),"")</f>
        <v>Bakery / Margarine</v>
      </c>
      <c r="J453" s="17">
        <f>IFERROR(INDEX(Heat_Map[Index],MATCH(HS_DB[[#This Row],[Reporter]],Heat_Map[Global],0),1),"")</f>
        <v>59</v>
      </c>
      <c r="K453" s="17" t="str">
        <f>IF(AND(HS_DB[[#This Row],[Origin Rank]]&gt;1,HS_DB[[#This Row],[Origin Rank]]&lt;=10),"Yes","No")</f>
        <v>Yes</v>
      </c>
      <c r="L453" s="2">
        <v>2024</v>
      </c>
      <c r="M453" s="2" t="s">
        <v>57</v>
      </c>
      <c r="N453" s="2" t="s">
        <v>44</v>
      </c>
      <c r="O453" s="2" t="s">
        <v>22</v>
      </c>
      <c r="P453" s="2" t="s">
        <v>23</v>
      </c>
      <c r="Q453" s="2" t="s">
        <v>24</v>
      </c>
      <c r="R453" s="2" t="s">
        <v>25</v>
      </c>
      <c r="S453" s="2">
        <v>151620</v>
      </c>
      <c r="T453" s="3">
        <v>1352247</v>
      </c>
      <c r="U453" s="3">
        <v>236543</v>
      </c>
      <c r="V453" s="3">
        <v>0</v>
      </c>
      <c r="W453" s="3">
        <v>236543</v>
      </c>
      <c r="X453" s="3" t="s">
        <v>58</v>
      </c>
      <c r="Y453" s="3">
        <v>236543</v>
      </c>
      <c r="Z453" s="3" t="s">
        <v>58</v>
      </c>
      <c r="AA453" s="6">
        <f>SUMIFS(HS_DB[Trade Value - USD],HS_DB[Reporter],HS_DB[[#This Row],[Reporter]])/SUM(HS_DB[Trade Value - USD])</f>
        <v>1.6951290293147386E-2</v>
      </c>
      <c r="AB453" s="8" cm="1">
        <f t="array" ref="AB453">SUMPRODUCT(
(HS_DB[Reporter]=HS_DB[[#This Row],[Reporter]])*
(HS_DB[Trade Value - USD]&gt;HS_DB[[#This Row],[Trade Value - USD]])
)+1</f>
        <v>5</v>
      </c>
      <c r="AC453" s="8" t="str">
        <f>IFERROR(IF(INDEX(Heat_Map[Crisis Impact %],MATCH(HS_DB[[#This Row],[Reporter]],Heat_Map[Global],0),1)&gt;0,"Yes","No"),"No")</f>
        <v>No</v>
      </c>
      <c r="AD453" s="6">
        <f>IFERROR(INDEX(Heat_Map[Crisis Impact %],MATCH(HS_DB[[#This Row],[Reporter]],Heat_Map[Global],0),1),0)</f>
        <v>0</v>
      </c>
      <c r="AE453" s="8">
        <f>HS_DB[[#This Row],[Crisis Impact%]]*HS_DB[[#This Row],[Trade Value - USD]]</f>
        <v>0</v>
      </c>
      <c r="AF453" s="8">
        <f>HS_DB[[#This Row],[Crisis Impact%]]*HS_DB[[#This Row],[Net Weight -KG]]</f>
        <v>0</v>
      </c>
      <c r="AG453" s="6">
        <f>SUMIFS(HS_DB[Trade Value - USD],HS_DB[Products],HS_DB[[#This Row],[Products]])/SUM(HS_DB[Trade Value - USD])</f>
        <v>5.4275292938682683E-2</v>
      </c>
      <c r="AH453" s="8">
        <f>_xlfn.RANK.EQ(HS_DB[[#This Row],[Trade Value - USD]], HS_DB[Trade Value - USD], 0)
 + COUNTIFS(HS_DB[Trade Value - USD],HS_DB[[#This Row],[Trade Value - USD]],
            HS_DB[HS Code],"&lt;"&amp;HS_DB[[#This Row],[HS Code]])</f>
        <v>83</v>
      </c>
      <c r="AI453" s="9">
        <f>IFERROR(HS_DB[[#This Row],[Trade Value - USD]]/HS_DB[[#This Row],[Net Weight -KG]],0)</f>
        <v>5.7167068989570611</v>
      </c>
      <c r="AJ453" s="17" cm="1">
        <f t="array" ref="AJ453">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53" s="17" t="str">
        <f>IF(HS_DB[[#This Row],[HS Code Risk Score]]&gt;=40,"High",
 IF(HS_DB[[#This Row],[HS Code Risk Score]]&gt;=25,"Medium","Low"))</f>
        <v>Medium</v>
      </c>
      <c r="AL453" s="17" t="str">
        <f>IF(RANK(HS_DB[[#This Row],[HS Code Risk Score]],HS_DB[HS Code Risk Score])&lt;=10,"Yes","No")</f>
        <v>No</v>
      </c>
      <c r="AM453" s="8">
        <f>SUMIFS(HS_DB[Net Weight -KG],HS_DB[HS Code],HS_DB[[#This Row],[HS Code]])</f>
        <v>80054906</v>
      </c>
      <c r="AN453" s="8">
        <f>SUMIFS(HS_DB[Trade Value - USD],HS_DB[HS Code],HS_DB[[#This Row],[HS Code]])</f>
        <v>102309378</v>
      </c>
      <c r="AO453" s="6">
        <f>_xlfn.MAXIFS(HS_DB[Origin Share%],HS_DB[HS Code],HS_DB[[#This Row],[HS Code]])</f>
        <v>0.39900464236999494</v>
      </c>
      <c r="AP453" s="8" cm="1">
        <f t="array" ref="AP453">_xlfn.LET(
_xlpm.hs,HS_DB[[#This Row],[HS Code]],
COUNTA(_xlfn.UNIQUE(_xlfn._xlws.FILTER(HS_DB[Reporter],HS_DB[HS Code]=_xlpm.hs)))
)</f>
        <v>18</v>
      </c>
      <c r="AQ453" s="17" t="str">
        <f>IF(HS_DB[[#This Row],[Origin Count]]=1,"Single Source","Multiple Sources")</f>
        <v>Multiple Sources</v>
      </c>
      <c r="AR453" s="8">
        <f>HS_DB[[#This Row],[Annual Spend - USD]]*(HS_DB[[#This Row],[HS Code Risk Score]]/100)</f>
        <v>34785188.520000003</v>
      </c>
      <c r="AS453" s="8">
        <f>RANK(HS_DB[[#This Row],[Risk Exposure - USD]],HS_DB[Risk Exposure - USD],0)</f>
        <v>15</v>
      </c>
      <c r="AT453" s="8" t="str">
        <f>IF(HS_DB[[#This Row],[Risk Exposure Rank]]&lt;=10,"High",
 IF(HS_DB[[#This Row],[Risk Exposure Rank]]&lt;=30,"Medium",
 "Low"))</f>
        <v>Medium</v>
      </c>
      <c r="AU453" s="8" t="str">
        <f>IF(HS_DB[[#This Row],[Risk Exposure Rank]]&lt;=5,"Immediate Action",
 IF(HS_DB[[#This Row],[Risk Exposure Rank]]&lt;=15,"Monitor Closely",
 "Routine Control"))</f>
        <v>Monitor Closely</v>
      </c>
      <c r="AV453" s="8">
        <f>SUMIFS(HS_DB[Trade Value - USD],HS_DB[HS Code],HS_DB[[#This Row],[HS Code]])</f>
        <v>102309378</v>
      </c>
      <c r="AW453" s="6">
        <f>HS_DB[[#This Row],[Annual Spend - USD]]/HS_DB[[#This Row],[Total Market Size - USD]]</f>
        <v>1</v>
      </c>
      <c r="AX453" s="6" cm="1">
        <f t="array" ref="AX453">COUNTA(_xlfn.UNIQUE(_xlfn._xlws.FILTER(HS_DB[Partner],HS_DB[HS Code]=HS_DB[[#This Row],[HS Code]])))</f>
        <v>1</v>
      </c>
      <c r="AY453" s="8" t="str">
        <f>IF(HS_DB[[#This Row],[Competition Intensity]]&lt;=2,"Highly Concentrated",
 IF(HS_DB[[#This Row],[Competition Intensity]]&lt;=5,"Moderate",
 "Highly Competitive"))</f>
        <v>Highly Concentrated</v>
      </c>
      <c r="AZ453" s="8">
        <f>HS_DB[[#This Row],[Total Market Size - USD]]
*
(1+IFERROR(#REF!,0))
/
HS_DB[[#This Row],[Competition Intensity]]</f>
        <v>102309378</v>
      </c>
      <c r="BA453" s="8" t="str">
        <f>IF(HS_DB[[#This Row],[Commercial Opportunity Score]]&gt;=PERCENTILE(HS_DB[Commercial Opportunity Score],0.9),"High Opportunity",
 IF(HS_DB[[#This Row],[Commercial Opportunity Score]]&gt;=PERCENTILE(HS_DB[Commercial Opportunity Score],0.6),"Medium Opportunity",
 "Routine Market"))</f>
        <v>High Opportunity</v>
      </c>
      <c r="BB453" s="3" t="str">
        <f>IF(AND(HS_DB[[#This Row],[Product Rank]]&gt;0,HS_DB[[#This Row],[Product Rank]]&lt;=10),"Yes","No")</f>
        <v>No</v>
      </c>
      <c r="BC453" s="3" t="str">
        <f>IF(AND(HS_DB[[#This Row],[Origin Rank]]&gt;0,HS_DB[[#This Row],[Origin Rank]]&lt;=10),"Yes","No")</f>
        <v>Yes</v>
      </c>
    </row>
    <row r="454" spans="2:55" x14ac:dyDescent="0.3">
      <c r="B454" s="2">
        <f>HS_DB[[#This Row],[Commodity Code]]</f>
        <v>151620</v>
      </c>
      <c r="C454" s="2">
        <f>IFERROR(INDEX(HS_MD!C:C,MATCH(B454,HS_MD!B:B,0),1),"")</f>
        <v>39</v>
      </c>
      <c r="D454" s="17" t="str">
        <f>IFERROR(INDEX(HS_MD!D:D,MATCH(B454,HS_MD!B:B,0),1),"")</f>
        <v>Hydrogenated vegetable oils</v>
      </c>
      <c r="E454" s="17" t="str">
        <f>IFERROR(INDEX(HS_MD!E:E,MATCH(B454,HS_MD!B:B,0),1),"")</f>
        <v>Shortening / Hydrogenated Oils</v>
      </c>
      <c r="F454" s="17" t="str">
        <f>IFERROR(INDEX(HS_MD!F:F,MATCH(B454,HS_MD!B:B,0),1),"")</f>
        <v>FUNCTIONAL INGREDIENTS</v>
      </c>
      <c r="G454" s="17" t="str">
        <f>IFERROR(INDEX(HS_MD!G:G,MATCH(B454,HS_MD!B:B,0),1),"")</f>
        <v>Fats &amp; Shortening</v>
      </c>
      <c r="H454" s="17" t="str">
        <f>IFERROR(INDEX(HS_MD!H:H,MATCH(B454,HS_MD!B:B,0),1),"")</f>
        <v>Industrial Shortening</v>
      </c>
      <c r="I454" s="17" t="str">
        <f>IFERROR(INDEX(HS_MD!I:I,MATCH(B454,HS_MD!B:B,0),1),"")</f>
        <v>Bakery / Margarine</v>
      </c>
      <c r="J454" s="17">
        <f>IFERROR(INDEX(Heat_Map[Index],MATCH(HS_DB[[#This Row],[Reporter]],Heat_Map[Global],0),1),"")</f>
        <v>63</v>
      </c>
      <c r="K454" s="17" t="str">
        <f>IF(AND(HS_DB[[#This Row],[Origin Rank]]&gt;1,HS_DB[[#This Row],[Origin Rank]]&lt;=10),"Yes","No")</f>
        <v>Yes</v>
      </c>
      <c r="L454" s="2">
        <v>2024</v>
      </c>
      <c r="M454" s="2" t="s">
        <v>57</v>
      </c>
      <c r="N454" s="2" t="s">
        <v>2</v>
      </c>
      <c r="O454" s="2" t="s">
        <v>22</v>
      </c>
      <c r="P454" s="2" t="s">
        <v>23</v>
      </c>
      <c r="Q454" s="2" t="s">
        <v>24</v>
      </c>
      <c r="R454" s="2" t="s">
        <v>25</v>
      </c>
      <c r="S454" s="2">
        <v>151620</v>
      </c>
      <c r="T454" s="3">
        <v>796106</v>
      </c>
      <c r="U454" s="3">
        <v>110984</v>
      </c>
      <c r="V454" s="3">
        <v>0</v>
      </c>
      <c r="W454" s="3">
        <v>110984</v>
      </c>
      <c r="X454" s="3" t="s">
        <v>58</v>
      </c>
      <c r="Y454" s="3">
        <v>110984</v>
      </c>
      <c r="Z454" s="3" t="s">
        <v>58</v>
      </c>
      <c r="AA454" s="6">
        <f>SUMIFS(HS_DB[Trade Value - USD],HS_DB[Reporter],HS_DB[[#This Row],[Reporter]])/SUM(HS_DB[Trade Value - USD])</f>
        <v>1.1674623358397021E-2</v>
      </c>
      <c r="AB454" s="8" cm="1">
        <f t="array" ref="AB454">SUMPRODUCT(
(HS_DB[Reporter]=HS_DB[[#This Row],[Reporter]])*
(HS_DB[Trade Value - USD]&gt;HS_DB[[#This Row],[Trade Value - USD]])
)+1</f>
        <v>9</v>
      </c>
      <c r="AC454" s="8" t="str">
        <f>IFERROR(IF(INDEX(Heat_Map[Crisis Impact %],MATCH(HS_DB[[#This Row],[Reporter]],Heat_Map[Global],0),1)&gt;0,"Yes","No"),"No")</f>
        <v>No</v>
      </c>
      <c r="AD454" s="6">
        <f>IFERROR(INDEX(Heat_Map[Crisis Impact %],MATCH(HS_DB[[#This Row],[Reporter]],Heat_Map[Global],0),1),0)</f>
        <v>0</v>
      </c>
      <c r="AE454" s="8">
        <f>HS_DB[[#This Row],[Crisis Impact%]]*HS_DB[[#This Row],[Trade Value - USD]]</f>
        <v>0</v>
      </c>
      <c r="AF454" s="8">
        <f>HS_DB[[#This Row],[Crisis Impact%]]*HS_DB[[#This Row],[Net Weight -KG]]</f>
        <v>0</v>
      </c>
      <c r="AG454" s="6">
        <f>SUMIFS(HS_DB[Trade Value - USD],HS_DB[Products],HS_DB[[#This Row],[Products]])/SUM(HS_DB[Trade Value - USD])</f>
        <v>5.4275292938682683E-2</v>
      </c>
      <c r="AH454" s="8">
        <f>_xlfn.RANK.EQ(HS_DB[[#This Row],[Trade Value - USD]], HS_DB[Trade Value - USD], 0)
 + COUNTIFS(HS_DB[Trade Value - USD],HS_DB[[#This Row],[Trade Value - USD]],
            HS_DB[HS Code],"&lt;"&amp;HS_DB[[#This Row],[HS Code]])</f>
        <v>114</v>
      </c>
      <c r="AI454" s="9">
        <f>IFERROR(HS_DB[[#This Row],[Trade Value - USD]]/HS_DB[[#This Row],[Net Weight -KG]],0)</f>
        <v>7.1731600951488499</v>
      </c>
      <c r="AJ454" s="17" cm="1">
        <f t="array" ref="AJ454">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54" s="17" t="str">
        <f>IF(HS_DB[[#This Row],[HS Code Risk Score]]&gt;=40,"High",
 IF(HS_DB[[#This Row],[HS Code Risk Score]]&gt;=25,"Medium","Low"))</f>
        <v>Medium</v>
      </c>
      <c r="AL454" s="17" t="str">
        <f>IF(RANK(HS_DB[[#This Row],[HS Code Risk Score]],HS_DB[HS Code Risk Score])&lt;=10,"Yes","No")</f>
        <v>No</v>
      </c>
      <c r="AM454" s="8">
        <f>SUMIFS(HS_DB[Net Weight -KG],HS_DB[HS Code],HS_DB[[#This Row],[HS Code]])</f>
        <v>80054906</v>
      </c>
      <c r="AN454" s="8">
        <f>SUMIFS(HS_DB[Trade Value - USD],HS_DB[HS Code],HS_DB[[#This Row],[HS Code]])</f>
        <v>102309378</v>
      </c>
      <c r="AO454" s="6">
        <f>_xlfn.MAXIFS(HS_DB[Origin Share%],HS_DB[HS Code],HS_DB[[#This Row],[HS Code]])</f>
        <v>0.39900464236999494</v>
      </c>
      <c r="AP454" s="8" cm="1">
        <f t="array" ref="AP454">_xlfn.LET(
_xlpm.hs,HS_DB[[#This Row],[HS Code]],
COUNTA(_xlfn.UNIQUE(_xlfn._xlws.FILTER(HS_DB[Reporter],HS_DB[HS Code]=_xlpm.hs)))
)</f>
        <v>18</v>
      </c>
      <c r="AQ454" s="17" t="str">
        <f>IF(HS_DB[[#This Row],[Origin Count]]=1,"Single Source","Multiple Sources")</f>
        <v>Multiple Sources</v>
      </c>
      <c r="AR454" s="8">
        <f>HS_DB[[#This Row],[Annual Spend - USD]]*(HS_DB[[#This Row],[HS Code Risk Score]]/100)</f>
        <v>34785188.520000003</v>
      </c>
      <c r="AS454" s="8">
        <f>RANK(HS_DB[[#This Row],[Risk Exposure - USD]],HS_DB[Risk Exposure - USD],0)</f>
        <v>15</v>
      </c>
      <c r="AT454" s="8" t="str">
        <f>IF(HS_DB[[#This Row],[Risk Exposure Rank]]&lt;=10,"High",
 IF(HS_DB[[#This Row],[Risk Exposure Rank]]&lt;=30,"Medium",
 "Low"))</f>
        <v>Medium</v>
      </c>
      <c r="AU454" s="8" t="str">
        <f>IF(HS_DB[[#This Row],[Risk Exposure Rank]]&lt;=5,"Immediate Action",
 IF(HS_DB[[#This Row],[Risk Exposure Rank]]&lt;=15,"Monitor Closely",
 "Routine Control"))</f>
        <v>Monitor Closely</v>
      </c>
      <c r="AV454" s="8">
        <f>SUMIFS(HS_DB[Trade Value - USD],HS_DB[HS Code],HS_DB[[#This Row],[HS Code]])</f>
        <v>102309378</v>
      </c>
      <c r="AW454" s="6">
        <f>HS_DB[[#This Row],[Annual Spend - USD]]/HS_DB[[#This Row],[Total Market Size - USD]]</f>
        <v>1</v>
      </c>
      <c r="AX454" s="6" cm="1">
        <f t="array" ref="AX454">COUNTA(_xlfn.UNIQUE(_xlfn._xlws.FILTER(HS_DB[Partner],HS_DB[HS Code]=HS_DB[[#This Row],[HS Code]])))</f>
        <v>1</v>
      </c>
      <c r="AY454" s="8" t="str">
        <f>IF(HS_DB[[#This Row],[Competition Intensity]]&lt;=2,"Highly Concentrated",
 IF(HS_DB[[#This Row],[Competition Intensity]]&lt;=5,"Moderate",
 "Highly Competitive"))</f>
        <v>Highly Concentrated</v>
      </c>
      <c r="AZ454" s="8">
        <f>HS_DB[[#This Row],[Total Market Size - USD]]
*
(1+IFERROR(#REF!,0))
/
HS_DB[[#This Row],[Competition Intensity]]</f>
        <v>102309378</v>
      </c>
      <c r="BA454" s="8" t="str">
        <f>IF(HS_DB[[#This Row],[Commercial Opportunity Score]]&gt;=PERCENTILE(HS_DB[Commercial Opportunity Score],0.9),"High Opportunity",
 IF(HS_DB[[#This Row],[Commercial Opportunity Score]]&gt;=PERCENTILE(HS_DB[Commercial Opportunity Score],0.6),"Medium Opportunity",
 "Routine Market"))</f>
        <v>High Opportunity</v>
      </c>
      <c r="BB454" s="3" t="str">
        <f>IF(AND(HS_DB[[#This Row],[Product Rank]]&gt;0,HS_DB[[#This Row],[Product Rank]]&lt;=10),"Yes","No")</f>
        <v>No</v>
      </c>
      <c r="BC454" s="3" t="str">
        <f>IF(AND(HS_DB[[#This Row],[Origin Rank]]&gt;0,HS_DB[[#This Row],[Origin Rank]]&lt;=10),"Yes","No")</f>
        <v>Yes</v>
      </c>
    </row>
    <row r="455" spans="2:55" x14ac:dyDescent="0.3">
      <c r="B455" s="2">
        <f>HS_DB[[#This Row],[Commodity Code]]</f>
        <v>151620</v>
      </c>
      <c r="C455" s="2">
        <f>IFERROR(INDEX(HS_MD!C:C,MATCH(B455,HS_MD!B:B,0),1),"")</f>
        <v>39</v>
      </c>
      <c r="D455" s="17" t="str">
        <f>IFERROR(INDEX(HS_MD!D:D,MATCH(B455,HS_MD!B:B,0),1),"")</f>
        <v>Hydrogenated vegetable oils</v>
      </c>
      <c r="E455" s="17" t="str">
        <f>IFERROR(INDEX(HS_MD!E:E,MATCH(B455,HS_MD!B:B,0),1),"")</f>
        <v>Shortening / Hydrogenated Oils</v>
      </c>
      <c r="F455" s="17" t="str">
        <f>IFERROR(INDEX(HS_MD!F:F,MATCH(B455,HS_MD!B:B,0),1),"")</f>
        <v>FUNCTIONAL INGREDIENTS</v>
      </c>
      <c r="G455" s="17" t="str">
        <f>IFERROR(INDEX(HS_MD!G:G,MATCH(B455,HS_MD!B:B,0),1),"")</f>
        <v>Fats &amp; Shortening</v>
      </c>
      <c r="H455" s="17" t="str">
        <f>IFERROR(INDEX(HS_MD!H:H,MATCH(B455,HS_MD!B:B,0),1),"")</f>
        <v>Industrial Shortening</v>
      </c>
      <c r="I455" s="17" t="str">
        <f>IFERROR(INDEX(HS_MD!I:I,MATCH(B455,HS_MD!B:B,0),1),"")</f>
        <v>Bakery / Margarine</v>
      </c>
      <c r="J455" s="17">
        <f>IFERROR(INDEX(Heat_Map[Index],MATCH(HS_DB[[#This Row],[Reporter]],Heat_Map[Global],0),1),"")</f>
        <v>76</v>
      </c>
      <c r="K455" s="17" t="str">
        <f>IF(AND(HS_DB[[#This Row],[Origin Rank]]&gt;1,HS_DB[[#This Row],[Origin Rank]]&lt;=10),"Yes","No")</f>
        <v>Yes</v>
      </c>
      <c r="L455" s="2">
        <v>2024</v>
      </c>
      <c r="M455" s="2" t="s">
        <v>57</v>
      </c>
      <c r="N455" s="2" t="s">
        <v>47</v>
      </c>
      <c r="O455" s="2" t="s">
        <v>22</v>
      </c>
      <c r="P455" s="2" t="s">
        <v>23</v>
      </c>
      <c r="Q455" s="2" t="s">
        <v>24</v>
      </c>
      <c r="R455" s="2" t="s">
        <v>25</v>
      </c>
      <c r="S455" s="2">
        <v>151620</v>
      </c>
      <c r="T455" s="3">
        <v>17335950</v>
      </c>
      <c r="U455" s="3">
        <v>13133000</v>
      </c>
      <c r="V455" s="3">
        <v>0</v>
      </c>
      <c r="W455" s="3">
        <v>13133000</v>
      </c>
      <c r="X455" s="3" t="s">
        <v>58</v>
      </c>
      <c r="Y455" s="3">
        <v>13133000</v>
      </c>
      <c r="Z455" s="3" t="s">
        <v>58</v>
      </c>
      <c r="AA455" s="6">
        <f>SUMIFS(HS_DB[Trade Value - USD],HS_DB[Reporter],HS_DB[[#This Row],[Reporter]])/SUM(HS_DB[Trade Value - USD])</f>
        <v>0.39900464236999494</v>
      </c>
      <c r="AB455" s="8" cm="1">
        <f t="array" ref="AB455">SUMPRODUCT(
(HS_DB[Reporter]=HS_DB[[#This Row],[Reporter]])*
(HS_DB[Trade Value - USD]&gt;HS_DB[[#This Row],[Trade Value - USD]])
)+1</f>
        <v>2</v>
      </c>
      <c r="AC455" s="8" t="str">
        <f>IFERROR(IF(INDEX(Heat_Map[Crisis Impact %],MATCH(HS_DB[[#This Row],[Reporter]],Heat_Map[Global],0),1)&gt;0,"Yes","No"),"No")</f>
        <v>Yes</v>
      </c>
      <c r="AD455" s="6">
        <f>IFERROR(INDEX(Heat_Map[Crisis Impact %],MATCH(HS_DB[[#This Row],[Reporter]],Heat_Map[Global],0),1),0)</f>
        <v>0.21</v>
      </c>
      <c r="AE455" s="8">
        <f>HS_DB[[#This Row],[Crisis Impact%]]*HS_DB[[#This Row],[Trade Value - USD]]</f>
        <v>3640549.5</v>
      </c>
      <c r="AF455" s="8">
        <f>HS_DB[[#This Row],[Crisis Impact%]]*HS_DB[[#This Row],[Net Weight -KG]]</f>
        <v>2757930</v>
      </c>
      <c r="AG455" s="6">
        <f>SUMIFS(HS_DB[Trade Value - USD],HS_DB[Products],HS_DB[[#This Row],[Products]])/SUM(HS_DB[Trade Value - USD])</f>
        <v>5.4275292938682683E-2</v>
      </c>
      <c r="AH455" s="8">
        <f>_xlfn.RANK.EQ(HS_DB[[#This Row],[Trade Value - USD]], HS_DB[Trade Value - USD], 0)
 + COUNTIFS(HS_DB[Trade Value - USD],HS_DB[[#This Row],[Trade Value - USD]],
            HS_DB[HS Code],"&lt;"&amp;HS_DB[[#This Row],[HS Code]])</f>
        <v>7</v>
      </c>
      <c r="AI455" s="9">
        <f>IFERROR(HS_DB[[#This Row],[Trade Value - USD]]/HS_DB[[#This Row],[Net Weight -KG]],0)</f>
        <v>1.3200296961851823</v>
      </c>
      <c r="AJ455" s="17" cm="1">
        <f t="array" ref="AJ455">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55" s="17" t="str">
        <f>IF(HS_DB[[#This Row],[HS Code Risk Score]]&gt;=40,"High",
 IF(HS_DB[[#This Row],[HS Code Risk Score]]&gt;=25,"Medium","Low"))</f>
        <v>Medium</v>
      </c>
      <c r="AL455" s="17" t="str">
        <f>IF(RANK(HS_DB[[#This Row],[HS Code Risk Score]],HS_DB[HS Code Risk Score])&lt;=10,"Yes","No")</f>
        <v>No</v>
      </c>
      <c r="AM455" s="8">
        <f>SUMIFS(HS_DB[Net Weight -KG],HS_DB[HS Code],HS_DB[[#This Row],[HS Code]])</f>
        <v>80054906</v>
      </c>
      <c r="AN455" s="8">
        <f>SUMIFS(HS_DB[Trade Value - USD],HS_DB[HS Code],HS_DB[[#This Row],[HS Code]])</f>
        <v>102309378</v>
      </c>
      <c r="AO455" s="6">
        <f>_xlfn.MAXIFS(HS_DB[Origin Share%],HS_DB[HS Code],HS_DB[[#This Row],[HS Code]])</f>
        <v>0.39900464236999494</v>
      </c>
      <c r="AP455" s="8" cm="1">
        <f t="array" ref="AP455">_xlfn.LET(
_xlpm.hs,HS_DB[[#This Row],[HS Code]],
COUNTA(_xlfn.UNIQUE(_xlfn._xlws.FILTER(HS_DB[Reporter],HS_DB[HS Code]=_xlpm.hs)))
)</f>
        <v>18</v>
      </c>
      <c r="AQ455" s="17" t="str">
        <f>IF(HS_DB[[#This Row],[Origin Count]]=1,"Single Source","Multiple Sources")</f>
        <v>Multiple Sources</v>
      </c>
      <c r="AR455" s="8">
        <f>HS_DB[[#This Row],[Annual Spend - USD]]*(HS_DB[[#This Row],[HS Code Risk Score]]/100)</f>
        <v>34785188.520000003</v>
      </c>
      <c r="AS455" s="8">
        <f>RANK(HS_DB[[#This Row],[Risk Exposure - USD]],HS_DB[Risk Exposure - USD],0)</f>
        <v>15</v>
      </c>
      <c r="AT455" s="8" t="str">
        <f>IF(HS_DB[[#This Row],[Risk Exposure Rank]]&lt;=10,"High",
 IF(HS_DB[[#This Row],[Risk Exposure Rank]]&lt;=30,"Medium",
 "Low"))</f>
        <v>Medium</v>
      </c>
      <c r="AU455" s="8" t="str">
        <f>IF(HS_DB[[#This Row],[Risk Exposure Rank]]&lt;=5,"Immediate Action",
 IF(HS_DB[[#This Row],[Risk Exposure Rank]]&lt;=15,"Monitor Closely",
 "Routine Control"))</f>
        <v>Monitor Closely</v>
      </c>
      <c r="AV455" s="8">
        <f>SUMIFS(HS_DB[Trade Value - USD],HS_DB[HS Code],HS_DB[[#This Row],[HS Code]])</f>
        <v>102309378</v>
      </c>
      <c r="AW455" s="6">
        <f>HS_DB[[#This Row],[Annual Spend - USD]]/HS_DB[[#This Row],[Total Market Size - USD]]</f>
        <v>1</v>
      </c>
      <c r="AX455" s="6" cm="1">
        <f t="array" ref="AX455">COUNTA(_xlfn.UNIQUE(_xlfn._xlws.FILTER(HS_DB[Partner],HS_DB[HS Code]=HS_DB[[#This Row],[HS Code]])))</f>
        <v>1</v>
      </c>
      <c r="AY455" s="8" t="str">
        <f>IF(HS_DB[[#This Row],[Competition Intensity]]&lt;=2,"Highly Concentrated",
 IF(HS_DB[[#This Row],[Competition Intensity]]&lt;=5,"Moderate",
 "Highly Competitive"))</f>
        <v>Highly Concentrated</v>
      </c>
      <c r="AZ455" s="8">
        <f>HS_DB[[#This Row],[Total Market Size - USD]]
*
(1+IFERROR(#REF!,0))
/
HS_DB[[#This Row],[Competition Intensity]]</f>
        <v>102309378</v>
      </c>
      <c r="BA455" s="8" t="str">
        <f>IF(HS_DB[[#This Row],[Commercial Opportunity Score]]&gt;=PERCENTILE(HS_DB[Commercial Opportunity Score],0.9),"High Opportunity",
 IF(HS_DB[[#This Row],[Commercial Opportunity Score]]&gt;=PERCENTILE(HS_DB[Commercial Opportunity Score],0.6),"Medium Opportunity",
 "Routine Market"))</f>
        <v>High Opportunity</v>
      </c>
      <c r="BB455" s="3" t="str">
        <f>IF(AND(HS_DB[[#This Row],[Product Rank]]&gt;0,HS_DB[[#This Row],[Product Rank]]&lt;=10),"Yes","No")</f>
        <v>Yes</v>
      </c>
      <c r="BC455" s="3" t="str">
        <f>IF(AND(HS_DB[[#This Row],[Origin Rank]]&gt;0,HS_DB[[#This Row],[Origin Rank]]&lt;=10),"Yes","No")</f>
        <v>Yes</v>
      </c>
    </row>
    <row r="456" spans="2:55" x14ac:dyDescent="0.3">
      <c r="B456" s="2">
        <f>HS_DB[[#This Row],[Commodity Code]]</f>
        <v>151620</v>
      </c>
      <c r="C456" s="2">
        <f>IFERROR(INDEX(HS_MD!C:C,MATCH(B456,HS_MD!B:B,0),1),"")</f>
        <v>39</v>
      </c>
      <c r="D456" s="17" t="str">
        <f>IFERROR(INDEX(HS_MD!D:D,MATCH(B456,HS_MD!B:B,0),1),"")</f>
        <v>Hydrogenated vegetable oils</v>
      </c>
      <c r="E456" s="17" t="str">
        <f>IFERROR(INDEX(HS_MD!E:E,MATCH(B456,HS_MD!B:B,0),1),"")</f>
        <v>Shortening / Hydrogenated Oils</v>
      </c>
      <c r="F456" s="17" t="str">
        <f>IFERROR(INDEX(HS_MD!F:F,MATCH(B456,HS_MD!B:B,0),1),"")</f>
        <v>FUNCTIONAL INGREDIENTS</v>
      </c>
      <c r="G456" s="17" t="str">
        <f>IFERROR(INDEX(HS_MD!G:G,MATCH(B456,HS_MD!B:B,0),1),"")</f>
        <v>Fats &amp; Shortening</v>
      </c>
      <c r="H456" s="17" t="str">
        <f>IFERROR(INDEX(HS_MD!H:H,MATCH(B456,HS_MD!B:B,0),1),"")</f>
        <v>Industrial Shortening</v>
      </c>
      <c r="I456" s="17" t="str">
        <f>IFERROR(INDEX(HS_MD!I:I,MATCH(B456,HS_MD!B:B,0),1),"")</f>
        <v>Bakery / Margarine</v>
      </c>
      <c r="J456" s="17">
        <f>IFERROR(INDEX(Heat_Map[Index],MATCH(HS_DB[[#This Row],[Reporter]],Heat_Map[Global],0),1),"")</f>
        <v>81</v>
      </c>
      <c r="K456" s="17" t="str">
        <f>IF(AND(HS_DB[[#This Row],[Origin Rank]]&gt;1,HS_DB[[#This Row],[Origin Rank]]&lt;=10),"Yes","No")</f>
        <v>No</v>
      </c>
      <c r="L456" s="2">
        <v>2024</v>
      </c>
      <c r="M456" s="2" t="s">
        <v>57</v>
      </c>
      <c r="N456" s="2" t="s">
        <v>49</v>
      </c>
      <c r="O456" s="2" t="s">
        <v>22</v>
      </c>
      <c r="P456" s="2" t="s">
        <v>23</v>
      </c>
      <c r="Q456" s="2" t="s">
        <v>24</v>
      </c>
      <c r="R456" s="2" t="s">
        <v>25</v>
      </c>
      <c r="S456" s="2">
        <v>151620</v>
      </c>
      <c r="T456" s="3">
        <v>119031</v>
      </c>
      <c r="U456" s="3">
        <v>56840</v>
      </c>
      <c r="V456" s="3">
        <v>0</v>
      </c>
      <c r="W456" s="3">
        <v>56840</v>
      </c>
      <c r="X456" s="3" t="s">
        <v>58</v>
      </c>
      <c r="Y456" s="3">
        <v>56840</v>
      </c>
      <c r="Z456" s="3" t="s">
        <v>58</v>
      </c>
      <c r="AA456" s="6">
        <f>SUMIFS(HS_DB[Trade Value - USD],HS_DB[Reporter],HS_DB[[#This Row],[Reporter]])/SUM(HS_DB[Trade Value - USD])</f>
        <v>1.1178535358665947E-2</v>
      </c>
      <c r="AB456" s="8" cm="1">
        <f t="array" ref="AB456">SUMPRODUCT(
(HS_DB[Reporter]=HS_DB[[#This Row],[Reporter]])*
(HS_DB[Trade Value - USD]&gt;HS_DB[[#This Row],[Trade Value - USD]])
)+1</f>
        <v>12</v>
      </c>
      <c r="AC456" s="8" t="str">
        <f>IFERROR(IF(INDEX(Heat_Map[Crisis Impact %],MATCH(HS_DB[[#This Row],[Reporter]],Heat_Map[Global],0),1)&gt;0,"Yes","No"),"No")</f>
        <v>No</v>
      </c>
      <c r="AD456" s="6">
        <f>IFERROR(INDEX(Heat_Map[Crisis Impact %],MATCH(HS_DB[[#This Row],[Reporter]],Heat_Map[Global],0),1),0)</f>
        <v>0</v>
      </c>
      <c r="AE456" s="8">
        <f>HS_DB[[#This Row],[Crisis Impact%]]*HS_DB[[#This Row],[Trade Value - USD]]</f>
        <v>0</v>
      </c>
      <c r="AF456" s="8">
        <f>HS_DB[[#This Row],[Crisis Impact%]]*HS_DB[[#This Row],[Net Weight -KG]]</f>
        <v>0</v>
      </c>
      <c r="AG456" s="6">
        <f>SUMIFS(HS_DB[Trade Value - USD],HS_DB[Products],HS_DB[[#This Row],[Products]])/SUM(HS_DB[Trade Value - USD])</f>
        <v>5.4275292938682683E-2</v>
      </c>
      <c r="AH456" s="8">
        <f>_xlfn.RANK.EQ(HS_DB[[#This Row],[Trade Value - USD]], HS_DB[Trade Value - USD], 0)
 + COUNTIFS(HS_DB[Trade Value - USD],HS_DB[[#This Row],[Trade Value - USD]],
            HS_DB[HS Code],"&lt;"&amp;HS_DB[[#This Row],[HS Code]])</f>
        <v>263</v>
      </c>
      <c r="AI456" s="9">
        <f>IFERROR(HS_DB[[#This Row],[Trade Value - USD]]/HS_DB[[#This Row],[Net Weight -KG]],0)</f>
        <v>2.0941414496833217</v>
      </c>
      <c r="AJ456" s="17" cm="1">
        <f t="array" ref="AJ456">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56" s="17" t="str">
        <f>IF(HS_DB[[#This Row],[HS Code Risk Score]]&gt;=40,"High",
 IF(HS_DB[[#This Row],[HS Code Risk Score]]&gt;=25,"Medium","Low"))</f>
        <v>Medium</v>
      </c>
      <c r="AL456" s="17" t="str">
        <f>IF(RANK(HS_DB[[#This Row],[HS Code Risk Score]],HS_DB[HS Code Risk Score])&lt;=10,"Yes","No")</f>
        <v>No</v>
      </c>
      <c r="AM456" s="8">
        <f>SUMIFS(HS_DB[Net Weight -KG],HS_DB[HS Code],HS_DB[[#This Row],[HS Code]])</f>
        <v>80054906</v>
      </c>
      <c r="AN456" s="8">
        <f>SUMIFS(HS_DB[Trade Value - USD],HS_DB[HS Code],HS_DB[[#This Row],[HS Code]])</f>
        <v>102309378</v>
      </c>
      <c r="AO456" s="6">
        <f>_xlfn.MAXIFS(HS_DB[Origin Share%],HS_DB[HS Code],HS_DB[[#This Row],[HS Code]])</f>
        <v>0.39900464236999494</v>
      </c>
      <c r="AP456" s="8" cm="1">
        <f t="array" ref="AP456">_xlfn.LET(
_xlpm.hs,HS_DB[[#This Row],[HS Code]],
COUNTA(_xlfn.UNIQUE(_xlfn._xlws.FILTER(HS_DB[Reporter],HS_DB[HS Code]=_xlpm.hs)))
)</f>
        <v>18</v>
      </c>
      <c r="AQ456" s="17" t="str">
        <f>IF(HS_DB[[#This Row],[Origin Count]]=1,"Single Source","Multiple Sources")</f>
        <v>Multiple Sources</v>
      </c>
      <c r="AR456" s="8">
        <f>HS_DB[[#This Row],[Annual Spend - USD]]*(HS_DB[[#This Row],[HS Code Risk Score]]/100)</f>
        <v>34785188.520000003</v>
      </c>
      <c r="AS456" s="8">
        <f>RANK(HS_DB[[#This Row],[Risk Exposure - USD]],HS_DB[Risk Exposure - USD],0)</f>
        <v>15</v>
      </c>
      <c r="AT456" s="8" t="str">
        <f>IF(HS_DB[[#This Row],[Risk Exposure Rank]]&lt;=10,"High",
 IF(HS_DB[[#This Row],[Risk Exposure Rank]]&lt;=30,"Medium",
 "Low"))</f>
        <v>Medium</v>
      </c>
      <c r="AU456" s="8" t="str">
        <f>IF(HS_DB[[#This Row],[Risk Exposure Rank]]&lt;=5,"Immediate Action",
 IF(HS_DB[[#This Row],[Risk Exposure Rank]]&lt;=15,"Monitor Closely",
 "Routine Control"))</f>
        <v>Monitor Closely</v>
      </c>
      <c r="AV456" s="8">
        <f>SUMIFS(HS_DB[Trade Value - USD],HS_DB[HS Code],HS_DB[[#This Row],[HS Code]])</f>
        <v>102309378</v>
      </c>
      <c r="AW456" s="6">
        <f>HS_DB[[#This Row],[Annual Spend - USD]]/HS_DB[[#This Row],[Total Market Size - USD]]</f>
        <v>1</v>
      </c>
      <c r="AX456" s="6" cm="1">
        <f t="array" ref="AX456">COUNTA(_xlfn.UNIQUE(_xlfn._xlws.FILTER(HS_DB[Partner],HS_DB[HS Code]=HS_DB[[#This Row],[HS Code]])))</f>
        <v>1</v>
      </c>
      <c r="AY456" s="8" t="str">
        <f>IF(HS_DB[[#This Row],[Competition Intensity]]&lt;=2,"Highly Concentrated",
 IF(HS_DB[[#This Row],[Competition Intensity]]&lt;=5,"Moderate",
 "Highly Competitive"))</f>
        <v>Highly Concentrated</v>
      </c>
      <c r="AZ456" s="8">
        <f>HS_DB[[#This Row],[Total Market Size - USD]]
*
(1+IFERROR(#REF!,0))
/
HS_DB[[#This Row],[Competition Intensity]]</f>
        <v>102309378</v>
      </c>
      <c r="BA456" s="8" t="str">
        <f>IF(HS_DB[[#This Row],[Commercial Opportunity Score]]&gt;=PERCENTILE(HS_DB[Commercial Opportunity Score],0.9),"High Opportunity",
 IF(HS_DB[[#This Row],[Commercial Opportunity Score]]&gt;=PERCENTILE(HS_DB[Commercial Opportunity Score],0.6),"Medium Opportunity",
 "Routine Market"))</f>
        <v>High Opportunity</v>
      </c>
      <c r="BB456" s="3" t="str">
        <f>IF(AND(HS_DB[[#This Row],[Product Rank]]&gt;0,HS_DB[[#This Row],[Product Rank]]&lt;=10),"Yes","No")</f>
        <v>No</v>
      </c>
      <c r="BC456" s="3" t="str">
        <f>IF(AND(HS_DB[[#This Row],[Origin Rank]]&gt;0,HS_DB[[#This Row],[Origin Rank]]&lt;=10),"Yes","No")</f>
        <v>No</v>
      </c>
    </row>
    <row r="457" spans="2:55" x14ac:dyDescent="0.3">
      <c r="B457" s="2">
        <f>HS_DB[[#This Row],[Commodity Code]]</f>
        <v>151620</v>
      </c>
      <c r="C457" s="2">
        <f>IFERROR(INDEX(HS_MD!C:C,MATCH(B457,HS_MD!B:B,0),1),"")</f>
        <v>39</v>
      </c>
      <c r="D457" s="17" t="str">
        <f>IFERROR(INDEX(HS_MD!D:D,MATCH(B457,HS_MD!B:B,0),1),"")</f>
        <v>Hydrogenated vegetable oils</v>
      </c>
      <c r="E457" s="17" t="str">
        <f>IFERROR(INDEX(HS_MD!E:E,MATCH(B457,HS_MD!B:B,0),1),"")</f>
        <v>Shortening / Hydrogenated Oils</v>
      </c>
      <c r="F457" s="17" t="str">
        <f>IFERROR(INDEX(HS_MD!F:F,MATCH(B457,HS_MD!B:B,0),1),"")</f>
        <v>FUNCTIONAL INGREDIENTS</v>
      </c>
      <c r="G457" s="17" t="str">
        <f>IFERROR(INDEX(HS_MD!G:G,MATCH(B457,HS_MD!B:B,0),1),"")</f>
        <v>Fats &amp; Shortening</v>
      </c>
      <c r="H457" s="17" t="str">
        <f>IFERROR(INDEX(HS_MD!H:H,MATCH(B457,HS_MD!B:B,0),1),"")</f>
        <v>Industrial Shortening</v>
      </c>
      <c r="I457" s="17" t="str">
        <f>IFERROR(INDEX(HS_MD!I:I,MATCH(B457,HS_MD!B:B,0),1),"")</f>
        <v>Bakery / Margarine</v>
      </c>
      <c r="J457" s="17">
        <f>IFERROR(INDEX(Heat_Map[Index],MATCH(HS_DB[[#This Row],[Reporter]],Heat_Map[Global],0),1),"")</f>
        <v>123</v>
      </c>
      <c r="K457" s="17" t="str">
        <f>IF(AND(HS_DB[[#This Row],[Origin Rank]]&gt;1,HS_DB[[#This Row],[Origin Rank]]&lt;=10),"Yes","No")</f>
        <v>Yes</v>
      </c>
      <c r="L457" s="2">
        <v>2024</v>
      </c>
      <c r="M457" s="2" t="s">
        <v>57</v>
      </c>
      <c r="N457" s="2" t="s">
        <v>330</v>
      </c>
      <c r="O457" s="2" t="s">
        <v>22</v>
      </c>
      <c r="P457" s="2" t="s">
        <v>23</v>
      </c>
      <c r="Q457" s="2" t="s">
        <v>24</v>
      </c>
      <c r="R457" s="2" t="s">
        <v>25</v>
      </c>
      <c r="S457" s="2">
        <v>151620</v>
      </c>
      <c r="T457" s="3">
        <v>5981</v>
      </c>
      <c r="U457" s="3">
        <v>1600</v>
      </c>
      <c r="V457" s="3">
        <v>0</v>
      </c>
      <c r="W457" s="3">
        <v>1600</v>
      </c>
      <c r="X457" s="3" t="s">
        <v>58</v>
      </c>
      <c r="Y457" s="3">
        <v>1600</v>
      </c>
      <c r="Z457" s="3" t="s">
        <v>58</v>
      </c>
      <c r="AA457" s="6">
        <f>SUMIFS(HS_DB[Trade Value - USD],HS_DB[Reporter],HS_DB[[#This Row],[Reporter]])/SUM(HS_DB[Trade Value - USD])</f>
        <v>1.389484063100993E-2</v>
      </c>
      <c r="AB457" s="8" cm="1">
        <f t="array" ref="AB457">SUMPRODUCT(
(HS_DB[Reporter]=HS_DB[[#This Row],[Reporter]])*
(HS_DB[Trade Value - USD]&gt;HS_DB[[#This Row],[Trade Value - USD]])
)+1</f>
        <v>7</v>
      </c>
      <c r="AC457" s="8" t="str">
        <f>IFERROR(IF(INDEX(Heat_Map[Crisis Impact %],MATCH(HS_DB[[#This Row],[Reporter]],Heat_Map[Global],0),1)&gt;0,"Yes","No"),"No")</f>
        <v>No</v>
      </c>
      <c r="AD457" s="6">
        <f>IFERROR(INDEX(Heat_Map[Crisis Impact %],MATCH(HS_DB[[#This Row],[Reporter]],Heat_Map[Global],0),1),0)</f>
        <v>0</v>
      </c>
      <c r="AE457" s="8">
        <f>HS_DB[[#This Row],[Crisis Impact%]]*HS_DB[[#This Row],[Trade Value - USD]]</f>
        <v>0</v>
      </c>
      <c r="AF457" s="8">
        <f>HS_DB[[#This Row],[Crisis Impact%]]*HS_DB[[#This Row],[Net Weight -KG]]</f>
        <v>0</v>
      </c>
      <c r="AG457" s="6">
        <f>SUMIFS(HS_DB[Trade Value - USD],HS_DB[Products],HS_DB[[#This Row],[Products]])/SUM(HS_DB[Trade Value - USD])</f>
        <v>5.4275292938682683E-2</v>
      </c>
      <c r="AH457" s="8">
        <f>_xlfn.RANK.EQ(HS_DB[[#This Row],[Trade Value - USD]], HS_DB[Trade Value - USD], 0)
 + COUNTIFS(HS_DB[Trade Value - USD],HS_DB[[#This Row],[Trade Value - USD]],
            HS_DB[HS Code],"&lt;"&amp;HS_DB[[#This Row],[HS Code]])</f>
        <v>432</v>
      </c>
      <c r="AI457" s="9">
        <f>IFERROR(HS_DB[[#This Row],[Trade Value - USD]]/HS_DB[[#This Row],[Net Weight -KG]],0)</f>
        <v>3.7381250000000001</v>
      </c>
      <c r="AJ457" s="17" cm="1">
        <f t="array" ref="AJ457">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57" s="17" t="str">
        <f>IF(HS_DB[[#This Row],[HS Code Risk Score]]&gt;=40,"High",
 IF(HS_DB[[#This Row],[HS Code Risk Score]]&gt;=25,"Medium","Low"))</f>
        <v>Medium</v>
      </c>
      <c r="AL457" s="17" t="str">
        <f>IF(RANK(HS_DB[[#This Row],[HS Code Risk Score]],HS_DB[HS Code Risk Score])&lt;=10,"Yes","No")</f>
        <v>No</v>
      </c>
      <c r="AM457" s="8">
        <f>SUMIFS(HS_DB[Net Weight -KG],HS_DB[HS Code],HS_DB[[#This Row],[HS Code]])</f>
        <v>80054906</v>
      </c>
      <c r="AN457" s="8">
        <f>SUMIFS(HS_DB[Trade Value - USD],HS_DB[HS Code],HS_DB[[#This Row],[HS Code]])</f>
        <v>102309378</v>
      </c>
      <c r="AO457" s="6">
        <f>_xlfn.MAXIFS(HS_DB[Origin Share%],HS_DB[HS Code],HS_DB[[#This Row],[HS Code]])</f>
        <v>0.39900464236999494</v>
      </c>
      <c r="AP457" s="8" cm="1">
        <f t="array" ref="AP457">_xlfn.LET(
_xlpm.hs,HS_DB[[#This Row],[HS Code]],
COUNTA(_xlfn.UNIQUE(_xlfn._xlws.FILTER(HS_DB[Reporter],HS_DB[HS Code]=_xlpm.hs)))
)</f>
        <v>18</v>
      </c>
      <c r="AQ457" s="17" t="str">
        <f>IF(HS_DB[[#This Row],[Origin Count]]=1,"Single Source","Multiple Sources")</f>
        <v>Multiple Sources</v>
      </c>
      <c r="AR457" s="8">
        <f>HS_DB[[#This Row],[Annual Spend - USD]]*(HS_DB[[#This Row],[HS Code Risk Score]]/100)</f>
        <v>34785188.520000003</v>
      </c>
      <c r="AS457" s="8">
        <f>RANK(HS_DB[[#This Row],[Risk Exposure - USD]],HS_DB[Risk Exposure - USD],0)</f>
        <v>15</v>
      </c>
      <c r="AT457" s="8" t="str">
        <f>IF(HS_DB[[#This Row],[Risk Exposure Rank]]&lt;=10,"High",
 IF(HS_DB[[#This Row],[Risk Exposure Rank]]&lt;=30,"Medium",
 "Low"))</f>
        <v>Medium</v>
      </c>
      <c r="AU457" s="8" t="str">
        <f>IF(HS_DB[[#This Row],[Risk Exposure Rank]]&lt;=5,"Immediate Action",
 IF(HS_DB[[#This Row],[Risk Exposure Rank]]&lt;=15,"Monitor Closely",
 "Routine Control"))</f>
        <v>Monitor Closely</v>
      </c>
      <c r="AV457" s="8">
        <f>SUMIFS(HS_DB[Trade Value - USD],HS_DB[HS Code],HS_DB[[#This Row],[HS Code]])</f>
        <v>102309378</v>
      </c>
      <c r="AW457" s="6">
        <f>HS_DB[[#This Row],[Annual Spend - USD]]/HS_DB[[#This Row],[Total Market Size - USD]]</f>
        <v>1</v>
      </c>
      <c r="AX457" s="6" cm="1">
        <f t="array" ref="AX457">COUNTA(_xlfn.UNIQUE(_xlfn._xlws.FILTER(HS_DB[Partner],HS_DB[HS Code]=HS_DB[[#This Row],[HS Code]])))</f>
        <v>1</v>
      </c>
      <c r="AY457" s="8" t="str">
        <f>IF(HS_DB[[#This Row],[Competition Intensity]]&lt;=2,"Highly Concentrated",
 IF(HS_DB[[#This Row],[Competition Intensity]]&lt;=5,"Moderate",
 "Highly Competitive"))</f>
        <v>Highly Concentrated</v>
      </c>
      <c r="AZ457" s="8">
        <f>HS_DB[[#This Row],[Total Market Size - USD]]
*
(1+IFERROR(#REF!,0))
/
HS_DB[[#This Row],[Competition Intensity]]</f>
        <v>102309378</v>
      </c>
      <c r="BA457" s="8" t="str">
        <f>IF(HS_DB[[#This Row],[Commercial Opportunity Score]]&gt;=PERCENTILE(HS_DB[Commercial Opportunity Score],0.9),"High Opportunity",
 IF(HS_DB[[#This Row],[Commercial Opportunity Score]]&gt;=PERCENTILE(HS_DB[Commercial Opportunity Score],0.6),"Medium Opportunity",
 "Routine Market"))</f>
        <v>High Opportunity</v>
      </c>
      <c r="BB457" s="3" t="str">
        <f>IF(AND(HS_DB[[#This Row],[Product Rank]]&gt;0,HS_DB[[#This Row],[Product Rank]]&lt;=10),"Yes","No")</f>
        <v>No</v>
      </c>
      <c r="BC457" s="3" t="str">
        <f>IF(AND(HS_DB[[#This Row],[Origin Rank]]&gt;0,HS_DB[[#This Row],[Origin Rank]]&lt;=10),"Yes","No")</f>
        <v>Yes</v>
      </c>
    </row>
    <row r="458" spans="2:55" x14ac:dyDescent="0.3">
      <c r="B458" s="2">
        <f>HS_DB[[#This Row],[Commodity Code]]</f>
        <v>151620</v>
      </c>
      <c r="C458" s="2">
        <f>IFERROR(INDEX(HS_MD!C:C,MATCH(B458,HS_MD!B:B,0),1),"")</f>
        <v>39</v>
      </c>
      <c r="D458" s="17" t="str">
        <f>IFERROR(INDEX(HS_MD!D:D,MATCH(B458,HS_MD!B:B,0),1),"")</f>
        <v>Hydrogenated vegetable oils</v>
      </c>
      <c r="E458" s="17" t="str">
        <f>IFERROR(INDEX(HS_MD!E:E,MATCH(B458,HS_MD!B:B,0),1),"")</f>
        <v>Shortening / Hydrogenated Oils</v>
      </c>
      <c r="F458" s="17" t="str">
        <f>IFERROR(INDEX(HS_MD!F:F,MATCH(B458,HS_MD!B:B,0),1),"")</f>
        <v>FUNCTIONAL INGREDIENTS</v>
      </c>
      <c r="G458" s="17" t="str">
        <f>IFERROR(INDEX(HS_MD!G:G,MATCH(B458,HS_MD!B:B,0),1),"")</f>
        <v>Fats &amp; Shortening</v>
      </c>
      <c r="H458" s="17" t="str">
        <f>IFERROR(INDEX(HS_MD!H:H,MATCH(B458,HS_MD!B:B,0),1),"")</f>
        <v>Industrial Shortening</v>
      </c>
      <c r="I458" s="17" t="str">
        <f>IFERROR(INDEX(HS_MD!I:I,MATCH(B458,HS_MD!B:B,0),1),"")</f>
        <v>Bakery / Margarine</v>
      </c>
      <c r="J458" s="17">
        <f>IFERROR(INDEX(Heat_Map[Index],MATCH(HS_DB[[#This Row],[Reporter]],Heat_Map[Global],0),1),"")</f>
        <v>100</v>
      </c>
      <c r="K458" s="17" t="str">
        <f>IF(AND(HS_DB[[#This Row],[Origin Rank]]&gt;1,HS_DB[[#This Row],[Origin Rank]]&lt;=10),"Yes","No")</f>
        <v>Yes</v>
      </c>
      <c r="L458" s="2">
        <v>2024</v>
      </c>
      <c r="M458" s="2" t="s">
        <v>57</v>
      </c>
      <c r="N458" s="2" t="s">
        <v>51</v>
      </c>
      <c r="O458" s="2" t="s">
        <v>22</v>
      </c>
      <c r="P458" s="2" t="s">
        <v>23</v>
      </c>
      <c r="Q458" s="2" t="s">
        <v>24</v>
      </c>
      <c r="R458" s="2" t="s">
        <v>25</v>
      </c>
      <c r="S458" s="2">
        <v>151620</v>
      </c>
      <c r="T458" s="3">
        <v>80455158</v>
      </c>
      <c r="U458" s="3">
        <v>65575375</v>
      </c>
      <c r="V458" s="3">
        <v>0</v>
      </c>
      <c r="W458" s="3">
        <v>65575375</v>
      </c>
      <c r="X458" s="3" t="s">
        <v>58</v>
      </c>
      <c r="Y458" s="3">
        <v>0</v>
      </c>
      <c r="Z458" s="3" t="s">
        <v>26</v>
      </c>
      <c r="AA458" s="6">
        <f>SUMIFS(HS_DB[Trade Value - USD],HS_DB[Reporter],HS_DB[[#This Row],[Reporter]])/SUM(HS_DB[Trade Value - USD])</f>
        <v>0.25769345655074266</v>
      </c>
      <c r="AB458" s="8" cm="1">
        <f t="array" ref="AB458">SUMPRODUCT(
(HS_DB[Reporter]=HS_DB[[#This Row],[Reporter]])*
(HS_DB[Trade Value - USD]&gt;HS_DB[[#This Row],[Trade Value - USD]])
)+1</f>
        <v>2</v>
      </c>
      <c r="AC458" s="8" t="str">
        <f>IFERROR(IF(INDEX(Heat_Map[Crisis Impact %],MATCH(HS_DB[[#This Row],[Reporter]],Heat_Map[Global],0),1)&gt;0,"Yes","No"),"No")</f>
        <v>No</v>
      </c>
      <c r="AD458" s="6">
        <f>IFERROR(INDEX(Heat_Map[Crisis Impact %],MATCH(HS_DB[[#This Row],[Reporter]],Heat_Map[Global],0),1),0)</f>
        <v>0</v>
      </c>
      <c r="AE458" s="8">
        <f>HS_DB[[#This Row],[Crisis Impact%]]*HS_DB[[#This Row],[Trade Value - USD]]</f>
        <v>0</v>
      </c>
      <c r="AF458" s="8">
        <f>HS_DB[[#This Row],[Crisis Impact%]]*HS_DB[[#This Row],[Net Weight -KG]]</f>
        <v>0</v>
      </c>
      <c r="AG458" s="6">
        <f>SUMIFS(HS_DB[Trade Value - USD],HS_DB[Products],HS_DB[[#This Row],[Products]])/SUM(HS_DB[Trade Value - USD])</f>
        <v>5.4275292938682683E-2</v>
      </c>
      <c r="AH458" s="8">
        <f>_xlfn.RANK.EQ(HS_DB[[#This Row],[Trade Value - USD]], HS_DB[Trade Value - USD], 0)
 + COUNTIFS(HS_DB[Trade Value - USD],HS_DB[[#This Row],[Trade Value - USD]],
            HS_DB[HS Code],"&lt;"&amp;HS_DB[[#This Row],[HS Code]])</f>
        <v>4</v>
      </c>
      <c r="AI458" s="9">
        <f>IFERROR(HS_DB[[#This Row],[Trade Value - USD]]/HS_DB[[#This Row],[Net Weight -KG]],0)</f>
        <v>1.2269111385180793</v>
      </c>
      <c r="AJ458" s="17" cm="1">
        <f t="array" ref="AJ458">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58" s="17" t="str">
        <f>IF(HS_DB[[#This Row],[HS Code Risk Score]]&gt;=40,"High",
 IF(HS_DB[[#This Row],[HS Code Risk Score]]&gt;=25,"Medium","Low"))</f>
        <v>Medium</v>
      </c>
      <c r="AL458" s="17" t="str">
        <f>IF(RANK(HS_DB[[#This Row],[HS Code Risk Score]],HS_DB[HS Code Risk Score])&lt;=10,"Yes","No")</f>
        <v>No</v>
      </c>
      <c r="AM458" s="8">
        <f>SUMIFS(HS_DB[Net Weight -KG],HS_DB[HS Code],HS_DB[[#This Row],[HS Code]])</f>
        <v>80054906</v>
      </c>
      <c r="AN458" s="8">
        <f>SUMIFS(HS_DB[Trade Value - USD],HS_DB[HS Code],HS_DB[[#This Row],[HS Code]])</f>
        <v>102309378</v>
      </c>
      <c r="AO458" s="6">
        <f>_xlfn.MAXIFS(HS_DB[Origin Share%],HS_DB[HS Code],HS_DB[[#This Row],[HS Code]])</f>
        <v>0.39900464236999494</v>
      </c>
      <c r="AP458" s="8" cm="1">
        <f t="array" ref="AP458">_xlfn.LET(
_xlpm.hs,HS_DB[[#This Row],[HS Code]],
COUNTA(_xlfn.UNIQUE(_xlfn._xlws.FILTER(HS_DB[Reporter],HS_DB[HS Code]=_xlpm.hs)))
)</f>
        <v>18</v>
      </c>
      <c r="AQ458" s="17" t="str">
        <f>IF(HS_DB[[#This Row],[Origin Count]]=1,"Single Source","Multiple Sources")</f>
        <v>Multiple Sources</v>
      </c>
      <c r="AR458" s="8">
        <f>HS_DB[[#This Row],[Annual Spend - USD]]*(HS_DB[[#This Row],[HS Code Risk Score]]/100)</f>
        <v>34785188.520000003</v>
      </c>
      <c r="AS458" s="8">
        <f>RANK(HS_DB[[#This Row],[Risk Exposure - USD]],HS_DB[Risk Exposure - USD],0)</f>
        <v>15</v>
      </c>
      <c r="AT458" s="8" t="str">
        <f>IF(HS_DB[[#This Row],[Risk Exposure Rank]]&lt;=10,"High",
 IF(HS_DB[[#This Row],[Risk Exposure Rank]]&lt;=30,"Medium",
 "Low"))</f>
        <v>Medium</v>
      </c>
      <c r="AU458" s="8" t="str">
        <f>IF(HS_DB[[#This Row],[Risk Exposure Rank]]&lt;=5,"Immediate Action",
 IF(HS_DB[[#This Row],[Risk Exposure Rank]]&lt;=15,"Monitor Closely",
 "Routine Control"))</f>
        <v>Monitor Closely</v>
      </c>
      <c r="AV458" s="8">
        <f>SUMIFS(HS_DB[Trade Value - USD],HS_DB[HS Code],HS_DB[[#This Row],[HS Code]])</f>
        <v>102309378</v>
      </c>
      <c r="AW458" s="6">
        <f>HS_DB[[#This Row],[Annual Spend - USD]]/HS_DB[[#This Row],[Total Market Size - USD]]</f>
        <v>1</v>
      </c>
      <c r="AX458" s="6" cm="1">
        <f t="array" ref="AX458">COUNTA(_xlfn.UNIQUE(_xlfn._xlws.FILTER(HS_DB[Partner],HS_DB[HS Code]=HS_DB[[#This Row],[HS Code]])))</f>
        <v>1</v>
      </c>
      <c r="AY458" s="8" t="str">
        <f>IF(HS_DB[[#This Row],[Competition Intensity]]&lt;=2,"Highly Concentrated",
 IF(HS_DB[[#This Row],[Competition Intensity]]&lt;=5,"Moderate",
 "Highly Competitive"))</f>
        <v>Highly Concentrated</v>
      </c>
      <c r="AZ458" s="8">
        <f>HS_DB[[#This Row],[Total Market Size - USD]]
*
(1+IFERROR(#REF!,0))
/
HS_DB[[#This Row],[Competition Intensity]]</f>
        <v>102309378</v>
      </c>
      <c r="BA458" s="8" t="str">
        <f>IF(HS_DB[[#This Row],[Commercial Opportunity Score]]&gt;=PERCENTILE(HS_DB[Commercial Opportunity Score],0.9),"High Opportunity",
 IF(HS_DB[[#This Row],[Commercial Opportunity Score]]&gt;=PERCENTILE(HS_DB[Commercial Opportunity Score],0.6),"Medium Opportunity",
 "Routine Market"))</f>
        <v>High Opportunity</v>
      </c>
      <c r="BB458" s="3" t="str">
        <f>IF(AND(HS_DB[[#This Row],[Product Rank]]&gt;0,HS_DB[[#This Row],[Product Rank]]&lt;=10),"Yes","No")</f>
        <v>Yes</v>
      </c>
      <c r="BC458" s="3" t="str">
        <f>IF(AND(HS_DB[[#This Row],[Origin Rank]]&gt;0,HS_DB[[#This Row],[Origin Rank]]&lt;=10),"Yes","No")</f>
        <v>Yes</v>
      </c>
    </row>
    <row r="459" spans="2:55" x14ac:dyDescent="0.3">
      <c r="B459" s="2">
        <f>HS_DB[[#This Row],[Commodity Code]]</f>
        <v>151620</v>
      </c>
      <c r="C459" s="2">
        <f>IFERROR(INDEX(HS_MD!C:C,MATCH(B459,HS_MD!B:B,0),1),"")</f>
        <v>39</v>
      </c>
      <c r="D459" s="17" t="str">
        <f>IFERROR(INDEX(HS_MD!D:D,MATCH(B459,HS_MD!B:B,0),1),"")</f>
        <v>Hydrogenated vegetable oils</v>
      </c>
      <c r="E459" s="17" t="str">
        <f>IFERROR(INDEX(HS_MD!E:E,MATCH(B459,HS_MD!B:B,0),1),"")</f>
        <v>Shortening / Hydrogenated Oils</v>
      </c>
      <c r="F459" s="17" t="str">
        <f>IFERROR(INDEX(HS_MD!F:F,MATCH(B459,HS_MD!B:B,0),1),"")</f>
        <v>FUNCTIONAL INGREDIENTS</v>
      </c>
      <c r="G459" s="17" t="str">
        <f>IFERROR(INDEX(HS_MD!G:G,MATCH(B459,HS_MD!B:B,0),1),"")</f>
        <v>Fats &amp; Shortening</v>
      </c>
      <c r="H459" s="17" t="str">
        <f>IFERROR(INDEX(HS_MD!H:H,MATCH(B459,HS_MD!B:B,0),1),"")</f>
        <v>Industrial Shortening</v>
      </c>
      <c r="I459" s="17" t="str">
        <f>IFERROR(INDEX(HS_MD!I:I,MATCH(B459,HS_MD!B:B,0),1),"")</f>
        <v>Bakery / Margarine</v>
      </c>
      <c r="J459" s="17">
        <f>IFERROR(INDEX(Heat_Map[Index],MATCH(HS_DB[[#This Row],[Reporter]],Heat_Map[Global],0),1),"")</f>
        <v>112</v>
      </c>
      <c r="K459" s="17" t="str">
        <f>IF(AND(HS_DB[[#This Row],[Origin Rank]]&gt;1,HS_DB[[#This Row],[Origin Rank]]&lt;=10),"Yes","No")</f>
        <v>Yes</v>
      </c>
      <c r="L459" s="2">
        <v>2024</v>
      </c>
      <c r="M459" s="2" t="s">
        <v>57</v>
      </c>
      <c r="N459" s="2" t="s">
        <v>52</v>
      </c>
      <c r="O459" s="2" t="s">
        <v>22</v>
      </c>
      <c r="P459" s="2" t="s">
        <v>23</v>
      </c>
      <c r="Q459" s="2" t="s">
        <v>24</v>
      </c>
      <c r="R459" s="2" t="s">
        <v>25</v>
      </c>
      <c r="S459" s="2">
        <v>151620</v>
      </c>
      <c r="T459" s="3">
        <v>8871</v>
      </c>
      <c r="U459" s="3">
        <v>1200</v>
      </c>
      <c r="V459" s="3">
        <v>0</v>
      </c>
      <c r="W459" s="3">
        <v>1200</v>
      </c>
      <c r="X459" s="3" t="s">
        <v>58</v>
      </c>
      <c r="Y459" s="3">
        <v>1200</v>
      </c>
      <c r="Z459" s="3" t="s">
        <v>58</v>
      </c>
      <c r="AA459" s="6">
        <f>SUMIFS(HS_DB[Trade Value - USD],HS_DB[Reporter],HS_DB[[#This Row],[Reporter]])/SUM(HS_DB[Trade Value - USD])</f>
        <v>1.4429559760252854E-3</v>
      </c>
      <c r="AB459" s="8" cm="1">
        <f t="array" ref="AB459">SUMPRODUCT(
(HS_DB[Reporter]=HS_DB[[#This Row],[Reporter]])*
(HS_DB[Trade Value - USD]&gt;HS_DB[[#This Row],[Trade Value - USD]])
)+1</f>
        <v>4</v>
      </c>
      <c r="AC459" s="8" t="str">
        <f>IFERROR(IF(INDEX(Heat_Map[Crisis Impact %],MATCH(HS_DB[[#This Row],[Reporter]],Heat_Map[Global],0),1)&gt;0,"Yes","No"),"No")</f>
        <v>No</v>
      </c>
      <c r="AD459" s="6">
        <f>IFERROR(INDEX(Heat_Map[Crisis Impact %],MATCH(HS_DB[[#This Row],[Reporter]],Heat_Map[Global],0),1),0)</f>
        <v>0</v>
      </c>
      <c r="AE459" s="8">
        <f>HS_DB[[#This Row],[Crisis Impact%]]*HS_DB[[#This Row],[Trade Value - USD]]</f>
        <v>0</v>
      </c>
      <c r="AF459" s="8">
        <f>HS_DB[[#This Row],[Crisis Impact%]]*HS_DB[[#This Row],[Net Weight -KG]]</f>
        <v>0</v>
      </c>
      <c r="AG459" s="6">
        <f>SUMIFS(HS_DB[Trade Value - USD],HS_DB[Products],HS_DB[[#This Row],[Products]])/SUM(HS_DB[Trade Value - USD])</f>
        <v>5.4275292938682683E-2</v>
      </c>
      <c r="AH459" s="8">
        <f>_xlfn.RANK.EQ(HS_DB[[#This Row],[Trade Value - USD]], HS_DB[Trade Value - USD], 0)
 + COUNTIFS(HS_DB[Trade Value - USD],HS_DB[[#This Row],[Trade Value - USD]],
            HS_DB[HS Code],"&lt;"&amp;HS_DB[[#This Row],[HS Code]])</f>
        <v>417</v>
      </c>
      <c r="AI459" s="9">
        <f>IFERROR(HS_DB[[#This Row],[Trade Value - USD]]/HS_DB[[#This Row],[Net Weight -KG]],0)</f>
        <v>7.3925000000000001</v>
      </c>
      <c r="AJ459" s="17" cm="1">
        <f t="array" ref="AJ459">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59" s="17" t="str">
        <f>IF(HS_DB[[#This Row],[HS Code Risk Score]]&gt;=40,"High",
 IF(HS_DB[[#This Row],[HS Code Risk Score]]&gt;=25,"Medium","Low"))</f>
        <v>Medium</v>
      </c>
      <c r="AL459" s="17" t="str">
        <f>IF(RANK(HS_DB[[#This Row],[HS Code Risk Score]],HS_DB[HS Code Risk Score])&lt;=10,"Yes","No")</f>
        <v>No</v>
      </c>
      <c r="AM459" s="8">
        <f>SUMIFS(HS_DB[Net Weight -KG],HS_DB[HS Code],HS_DB[[#This Row],[HS Code]])</f>
        <v>80054906</v>
      </c>
      <c r="AN459" s="8">
        <f>SUMIFS(HS_DB[Trade Value - USD],HS_DB[HS Code],HS_DB[[#This Row],[HS Code]])</f>
        <v>102309378</v>
      </c>
      <c r="AO459" s="6">
        <f>_xlfn.MAXIFS(HS_DB[Origin Share%],HS_DB[HS Code],HS_DB[[#This Row],[HS Code]])</f>
        <v>0.39900464236999494</v>
      </c>
      <c r="AP459" s="8" cm="1">
        <f t="array" ref="AP459">_xlfn.LET(
_xlpm.hs,HS_DB[[#This Row],[HS Code]],
COUNTA(_xlfn.UNIQUE(_xlfn._xlws.FILTER(HS_DB[Reporter],HS_DB[HS Code]=_xlpm.hs)))
)</f>
        <v>18</v>
      </c>
      <c r="AQ459" s="17" t="str">
        <f>IF(HS_DB[[#This Row],[Origin Count]]=1,"Single Source","Multiple Sources")</f>
        <v>Multiple Sources</v>
      </c>
      <c r="AR459" s="8">
        <f>HS_DB[[#This Row],[Annual Spend - USD]]*(HS_DB[[#This Row],[HS Code Risk Score]]/100)</f>
        <v>34785188.520000003</v>
      </c>
      <c r="AS459" s="8">
        <f>RANK(HS_DB[[#This Row],[Risk Exposure - USD]],HS_DB[Risk Exposure - USD],0)</f>
        <v>15</v>
      </c>
      <c r="AT459" s="8" t="str">
        <f>IF(HS_DB[[#This Row],[Risk Exposure Rank]]&lt;=10,"High",
 IF(HS_DB[[#This Row],[Risk Exposure Rank]]&lt;=30,"Medium",
 "Low"))</f>
        <v>Medium</v>
      </c>
      <c r="AU459" s="8" t="str">
        <f>IF(HS_DB[[#This Row],[Risk Exposure Rank]]&lt;=5,"Immediate Action",
 IF(HS_DB[[#This Row],[Risk Exposure Rank]]&lt;=15,"Monitor Closely",
 "Routine Control"))</f>
        <v>Monitor Closely</v>
      </c>
      <c r="AV459" s="8">
        <f>SUMIFS(HS_DB[Trade Value - USD],HS_DB[HS Code],HS_DB[[#This Row],[HS Code]])</f>
        <v>102309378</v>
      </c>
      <c r="AW459" s="6">
        <f>HS_DB[[#This Row],[Annual Spend - USD]]/HS_DB[[#This Row],[Total Market Size - USD]]</f>
        <v>1</v>
      </c>
      <c r="AX459" s="6" cm="1">
        <f t="array" ref="AX459">COUNTA(_xlfn.UNIQUE(_xlfn._xlws.FILTER(HS_DB[Partner],HS_DB[HS Code]=HS_DB[[#This Row],[HS Code]])))</f>
        <v>1</v>
      </c>
      <c r="AY459" s="8" t="str">
        <f>IF(HS_DB[[#This Row],[Competition Intensity]]&lt;=2,"Highly Concentrated",
 IF(HS_DB[[#This Row],[Competition Intensity]]&lt;=5,"Moderate",
 "Highly Competitive"))</f>
        <v>Highly Concentrated</v>
      </c>
      <c r="AZ459" s="8">
        <f>HS_DB[[#This Row],[Total Market Size - USD]]
*
(1+IFERROR(#REF!,0))
/
HS_DB[[#This Row],[Competition Intensity]]</f>
        <v>102309378</v>
      </c>
      <c r="BA459" s="8" t="str">
        <f>IF(HS_DB[[#This Row],[Commercial Opportunity Score]]&gt;=PERCENTILE(HS_DB[Commercial Opportunity Score],0.9),"High Opportunity",
 IF(HS_DB[[#This Row],[Commercial Opportunity Score]]&gt;=PERCENTILE(HS_DB[Commercial Opportunity Score],0.6),"Medium Opportunity",
 "Routine Market"))</f>
        <v>High Opportunity</v>
      </c>
      <c r="BB459" s="3" t="str">
        <f>IF(AND(HS_DB[[#This Row],[Product Rank]]&gt;0,HS_DB[[#This Row],[Product Rank]]&lt;=10),"Yes","No")</f>
        <v>No</v>
      </c>
      <c r="BC459" s="3" t="str">
        <f>IF(AND(HS_DB[[#This Row],[Origin Rank]]&gt;0,HS_DB[[#This Row],[Origin Rank]]&lt;=10),"Yes","No")</f>
        <v>Yes</v>
      </c>
    </row>
    <row r="460" spans="2:55" x14ac:dyDescent="0.3">
      <c r="B460" s="2">
        <f>HS_DB[[#This Row],[Commodity Code]]</f>
        <v>151620</v>
      </c>
      <c r="C460" s="2">
        <f>IFERROR(INDEX(HS_MD!C:C,MATCH(B460,HS_MD!B:B,0),1),"")</f>
        <v>39</v>
      </c>
      <c r="D460" s="17" t="str">
        <f>IFERROR(INDEX(HS_MD!D:D,MATCH(B460,HS_MD!B:B,0),1),"")</f>
        <v>Hydrogenated vegetable oils</v>
      </c>
      <c r="E460" s="17" t="str">
        <f>IFERROR(INDEX(HS_MD!E:E,MATCH(B460,HS_MD!B:B,0),1),"")</f>
        <v>Shortening / Hydrogenated Oils</v>
      </c>
      <c r="F460" s="17" t="str">
        <f>IFERROR(INDEX(HS_MD!F:F,MATCH(B460,HS_MD!B:B,0),1),"")</f>
        <v>FUNCTIONAL INGREDIENTS</v>
      </c>
      <c r="G460" s="17" t="str">
        <f>IFERROR(INDEX(HS_MD!G:G,MATCH(B460,HS_MD!B:B,0),1),"")</f>
        <v>Fats &amp; Shortening</v>
      </c>
      <c r="H460" s="17" t="str">
        <f>IFERROR(INDEX(HS_MD!H:H,MATCH(B460,HS_MD!B:B,0),1),"")</f>
        <v>Industrial Shortening</v>
      </c>
      <c r="I460" s="17" t="str">
        <f>IFERROR(INDEX(HS_MD!I:I,MATCH(B460,HS_MD!B:B,0),1),"")</f>
        <v>Bakery / Margarine</v>
      </c>
      <c r="J460" s="17">
        <f>IFERROR(INDEX(Heat_Map[Index],MATCH(HS_DB[[#This Row],[Reporter]],Heat_Map[Global],0),1),"")</f>
        <v>118</v>
      </c>
      <c r="K460" s="17" t="str">
        <f>IF(AND(HS_DB[[#This Row],[Origin Rank]]&gt;1,HS_DB[[#This Row],[Origin Rank]]&lt;=10),"Yes","No")</f>
        <v>No</v>
      </c>
      <c r="L460" s="2">
        <v>2024</v>
      </c>
      <c r="M460" s="2" t="s">
        <v>57</v>
      </c>
      <c r="N460" s="2" t="s">
        <v>53</v>
      </c>
      <c r="O460" s="2" t="s">
        <v>22</v>
      </c>
      <c r="P460" s="2" t="s">
        <v>23</v>
      </c>
      <c r="Q460" s="2" t="s">
        <v>24</v>
      </c>
      <c r="R460" s="2" t="s">
        <v>25</v>
      </c>
      <c r="S460" s="2">
        <v>151620</v>
      </c>
      <c r="T460" s="3">
        <v>108461</v>
      </c>
      <c r="U460" s="3">
        <v>25807</v>
      </c>
      <c r="V460" s="3">
        <v>0</v>
      </c>
      <c r="W460" s="3">
        <v>25807</v>
      </c>
      <c r="X460" s="3" t="s">
        <v>58</v>
      </c>
      <c r="Y460" s="3">
        <v>25807</v>
      </c>
      <c r="Z460" s="3" t="s">
        <v>58</v>
      </c>
      <c r="AA460" s="6">
        <f>SUMIFS(HS_DB[Trade Value - USD],HS_DB[Reporter],HS_DB[[#This Row],[Reporter]])/SUM(HS_DB[Trade Value - USD])</f>
        <v>1.4561232389604124E-2</v>
      </c>
      <c r="AB460" s="8" cm="1">
        <f t="array" ref="AB460">SUMPRODUCT(
(HS_DB[Reporter]=HS_DB[[#This Row],[Reporter]])*
(HS_DB[Trade Value - USD]&gt;HS_DB[[#This Row],[Trade Value - USD]])
)+1</f>
        <v>14</v>
      </c>
      <c r="AC460" s="8" t="str">
        <f>IFERROR(IF(INDEX(Heat_Map[Crisis Impact %],MATCH(HS_DB[[#This Row],[Reporter]],Heat_Map[Global],0),1)&gt;0,"Yes","No"),"No")</f>
        <v>No</v>
      </c>
      <c r="AD460" s="6">
        <f>IFERROR(INDEX(Heat_Map[Crisis Impact %],MATCH(HS_DB[[#This Row],[Reporter]],Heat_Map[Global],0),1),0)</f>
        <v>0</v>
      </c>
      <c r="AE460" s="8">
        <f>HS_DB[[#This Row],[Crisis Impact%]]*HS_DB[[#This Row],[Trade Value - USD]]</f>
        <v>0</v>
      </c>
      <c r="AF460" s="8">
        <f>HS_DB[[#This Row],[Crisis Impact%]]*HS_DB[[#This Row],[Net Weight -KG]]</f>
        <v>0</v>
      </c>
      <c r="AG460" s="6">
        <f>SUMIFS(HS_DB[Trade Value - USD],HS_DB[Products],HS_DB[[#This Row],[Products]])/SUM(HS_DB[Trade Value - USD])</f>
        <v>5.4275292938682683E-2</v>
      </c>
      <c r="AH460" s="8">
        <f>_xlfn.RANK.EQ(HS_DB[[#This Row],[Trade Value - USD]], HS_DB[Trade Value - USD], 0)
 + COUNTIFS(HS_DB[Trade Value - USD],HS_DB[[#This Row],[Trade Value - USD]],
            HS_DB[HS Code],"&lt;"&amp;HS_DB[[#This Row],[HS Code]])</f>
        <v>270</v>
      </c>
      <c r="AI460" s="9">
        <f>IFERROR(HS_DB[[#This Row],[Trade Value - USD]]/HS_DB[[#This Row],[Net Weight -KG]],0)</f>
        <v>4.202774441043128</v>
      </c>
      <c r="AJ460" s="17" cm="1">
        <f t="array" ref="AJ460">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60" s="17" t="str">
        <f>IF(HS_DB[[#This Row],[HS Code Risk Score]]&gt;=40,"High",
 IF(HS_DB[[#This Row],[HS Code Risk Score]]&gt;=25,"Medium","Low"))</f>
        <v>Medium</v>
      </c>
      <c r="AL460" s="17" t="str">
        <f>IF(RANK(HS_DB[[#This Row],[HS Code Risk Score]],HS_DB[HS Code Risk Score])&lt;=10,"Yes","No")</f>
        <v>No</v>
      </c>
      <c r="AM460" s="8">
        <f>SUMIFS(HS_DB[Net Weight -KG],HS_DB[HS Code],HS_DB[[#This Row],[HS Code]])</f>
        <v>80054906</v>
      </c>
      <c r="AN460" s="8">
        <f>SUMIFS(HS_DB[Trade Value - USD],HS_DB[HS Code],HS_DB[[#This Row],[HS Code]])</f>
        <v>102309378</v>
      </c>
      <c r="AO460" s="6">
        <f>_xlfn.MAXIFS(HS_DB[Origin Share%],HS_DB[HS Code],HS_DB[[#This Row],[HS Code]])</f>
        <v>0.39900464236999494</v>
      </c>
      <c r="AP460" s="8" cm="1">
        <f t="array" ref="AP460">_xlfn.LET(
_xlpm.hs,HS_DB[[#This Row],[HS Code]],
COUNTA(_xlfn.UNIQUE(_xlfn._xlws.FILTER(HS_DB[Reporter],HS_DB[HS Code]=_xlpm.hs)))
)</f>
        <v>18</v>
      </c>
      <c r="AQ460" s="17" t="str">
        <f>IF(HS_DB[[#This Row],[Origin Count]]=1,"Single Source","Multiple Sources")</f>
        <v>Multiple Sources</v>
      </c>
      <c r="AR460" s="8">
        <f>HS_DB[[#This Row],[Annual Spend - USD]]*(HS_DB[[#This Row],[HS Code Risk Score]]/100)</f>
        <v>34785188.520000003</v>
      </c>
      <c r="AS460" s="8">
        <f>RANK(HS_DB[[#This Row],[Risk Exposure - USD]],HS_DB[Risk Exposure - USD],0)</f>
        <v>15</v>
      </c>
      <c r="AT460" s="8" t="str">
        <f>IF(HS_DB[[#This Row],[Risk Exposure Rank]]&lt;=10,"High",
 IF(HS_DB[[#This Row],[Risk Exposure Rank]]&lt;=30,"Medium",
 "Low"))</f>
        <v>Medium</v>
      </c>
      <c r="AU460" s="8" t="str">
        <f>IF(HS_DB[[#This Row],[Risk Exposure Rank]]&lt;=5,"Immediate Action",
 IF(HS_DB[[#This Row],[Risk Exposure Rank]]&lt;=15,"Monitor Closely",
 "Routine Control"))</f>
        <v>Monitor Closely</v>
      </c>
      <c r="AV460" s="8">
        <f>SUMIFS(HS_DB[Trade Value - USD],HS_DB[HS Code],HS_DB[[#This Row],[HS Code]])</f>
        <v>102309378</v>
      </c>
      <c r="AW460" s="6">
        <f>HS_DB[[#This Row],[Annual Spend - USD]]/HS_DB[[#This Row],[Total Market Size - USD]]</f>
        <v>1</v>
      </c>
      <c r="AX460" s="6" cm="1">
        <f t="array" ref="AX460">COUNTA(_xlfn.UNIQUE(_xlfn._xlws.FILTER(HS_DB[Partner],HS_DB[HS Code]=HS_DB[[#This Row],[HS Code]])))</f>
        <v>1</v>
      </c>
      <c r="AY460" s="8" t="str">
        <f>IF(HS_DB[[#This Row],[Competition Intensity]]&lt;=2,"Highly Concentrated",
 IF(HS_DB[[#This Row],[Competition Intensity]]&lt;=5,"Moderate",
 "Highly Competitive"))</f>
        <v>Highly Concentrated</v>
      </c>
      <c r="AZ460" s="8">
        <f>HS_DB[[#This Row],[Total Market Size - USD]]
*
(1+IFERROR(#REF!,0))
/
HS_DB[[#This Row],[Competition Intensity]]</f>
        <v>102309378</v>
      </c>
      <c r="BA460" s="8" t="str">
        <f>IF(HS_DB[[#This Row],[Commercial Opportunity Score]]&gt;=PERCENTILE(HS_DB[Commercial Opportunity Score],0.9),"High Opportunity",
 IF(HS_DB[[#This Row],[Commercial Opportunity Score]]&gt;=PERCENTILE(HS_DB[Commercial Opportunity Score],0.6),"Medium Opportunity",
 "Routine Market"))</f>
        <v>High Opportunity</v>
      </c>
      <c r="BB460" s="3" t="str">
        <f>IF(AND(HS_DB[[#This Row],[Product Rank]]&gt;0,HS_DB[[#This Row],[Product Rank]]&lt;=10),"Yes","No")</f>
        <v>No</v>
      </c>
      <c r="BC460" s="3" t="str">
        <f>IF(AND(HS_DB[[#This Row],[Origin Rank]]&gt;0,HS_DB[[#This Row],[Origin Rank]]&lt;=10),"Yes","No")</f>
        <v>No</v>
      </c>
    </row>
    <row r="461" spans="2:55" x14ac:dyDescent="0.3">
      <c r="B461" s="2">
        <f>HS_DB[[#This Row],[Commodity Code]]</f>
        <v>151620</v>
      </c>
      <c r="C461" s="2">
        <f>IFERROR(INDEX(HS_MD!C:C,MATCH(B461,HS_MD!B:B,0),1),"")</f>
        <v>39</v>
      </c>
      <c r="D461" s="17" t="str">
        <f>IFERROR(INDEX(HS_MD!D:D,MATCH(B461,HS_MD!B:B,0),1),"")</f>
        <v>Hydrogenated vegetable oils</v>
      </c>
      <c r="E461" s="17" t="str">
        <f>IFERROR(INDEX(HS_MD!E:E,MATCH(B461,HS_MD!B:B,0),1),"")</f>
        <v>Shortening / Hydrogenated Oils</v>
      </c>
      <c r="F461" s="17" t="str">
        <f>IFERROR(INDEX(HS_MD!F:F,MATCH(B461,HS_MD!B:B,0),1),"")</f>
        <v>FUNCTIONAL INGREDIENTS</v>
      </c>
      <c r="G461" s="17" t="str">
        <f>IFERROR(INDEX(HS_MD!G:G,MATCH(B461,HS_MD!B:B,0),1),"")</f>
        <v>Fats &amp; Shortening</v>
      </c>
      <c r="H461" s="17" t="str">
        <f>IFERROR(INDEX(HS_MD!H:H,MATCH(B461,HS_MD!B:B,0),1),"")</f>
        <v>Industrial Shortening</v>
      </c>
      <c r="I461" s="17" t="str">
        <f>IFERROR(INDEX(HS_MD!I:I,MATCH(B461,HS_MD!B:B,0),1),"")</f>
        <v>Bakery / Margarine</v>
      </c>
      <c r="J461" s="17">
        <f>IFERROR(INDEX(Heat_Map[Index],MATCH(HS_DB[[#This Row],[Reporter]],Heat_Map[Global],0),1),"")</f>
        <v>146</v>
      </c>
      <c r="K461" s="17" t="str">
        <f>IF(AND(HS_DB[[#This Row],[Origin Rank]]&gt;1,HS_DB[[#This Row],[Origin Rank]]&lt;=10),"Yes","No")</f>
        <v>Yes</v>
      </c>
      <c r="L461" s="2">
        <v>2024</v>
      </c>
      <c r="M461" s="2" t="s">
        <v>57</v>
      </c>
      <c r="N461" s="2" t="s">
        <v>27</v>
      </c>
      <c r="O461" s="2" t="s">
        <v>22</v>
      </c>
      <c r="P461" s="2" t="s">
        <v>23</v>
      </c>
      <c r="Q461" s="2" t="s">
        <v>24</v>
      </c>
      <c r="R461" s="2" t="s">
        <v>25</v>
      </c>
      <c r="S461" s="2">
        <v>151620</v>
      </c>
      <c r="T461" s="3">
        <v>375578</v>
      </c>
      <c r="U461" s="3">
        <v>318456</v>
      </c>
      <c r="V461" s="3">
        <v>0</v>
      </c>
      <c r="W461" s="3">
        <v>318456</v>
      </c>
      <c r="X461" s="3" t="s">
        <v>58</v>
      </c>
      <c r="Y461" s="3">
        <v>318456</v>
      </c>
      <c r="Z461" s="3" t="s">
        <v>58</v>
      </c>
      <c r="AA461" s="6">
        <f>SUMIFS(HS_DB[Trade Value - USD],HS_DB[Reporter],HS_DB[[#This Row],[Reporter]])/SUM(HS_DB[Trade Value - USD])</f>
        <v>9.709938116315122E-3</v>
      </c>
      <c r="AB461" s="8" cm="1">
        <f t="array" ref="AB461">SUMPRODUCT(
(HS_DB[Reporter]=HS_DB[[#This Row],[Reporter]])*
(HS_DB[Trade Value - USD]&gt;HS_DB[[#This Row],[Trade Value - USD]])
)+1</f>
        <v>5</v>
      </c>
      <c r="AC461" s="8" t="str">
        <f>IFERROR(IF(INDEX(Heat_Map[Crisis Impact %],MATCH(HS_DB[[#This Row],[Reporter]],Heat_Map[Global],0),1)&gt;0,"Yes","No"),"No")</f>
        <v>No</v>
      </c>
      <c r="AD461" s="6">
        <f>IFERROR(INDEX(Heat_Map[Crisis Impact %],MATCH(HS_DB[[#This Row],[Reporter]],Heat_Map[Global],0),1),0)</f>
        <v>0</v>
      </c>
      <c r="AE461" s="8">
        <f>HS_DB[[#This Row],[Crisis Impact%]]*HS_DB[[#This Row],[Trade Value - USD]]</f>
        <v>0</v>
      </c>
      <c r="AF461" s="8">
        <f>HS_DB[[#This Row],[Crisis Impact%]]*HS_DB[[#This Row],[Net Weight -KG]]</f>
        <v>0</v>
      </c>
      <c r="AG461" s="6">
        <f>SUMIFS(HS_DB[Trade Value - USD],HS_DB[Products],HS_DB[[#This Row],[Products]])/SUM(HS_DB[Trade Value - USD])</f>
        <v>5.4275292938682683E-2</v>
      </c>
      <c r="AH461" s="8">
        <f>_xlfn.RANK.EQ(HS_DB[[#This Row],[Trade Value - USD]], HS_DB[Trade Value - USD], 0)
 + COUNTIFS(HS_DB[Trade Value - USD],HS_DB[[#This Row],[Trade Value - USD]],
            HS_DB[HS Code],"&lt;"&amp;HS_DB[[#This Row],[HS Code]])</f>
        <v>166</v>
      </c>
      <c r="AI461" s="9">
        <f>IFERROR(HS_DB[[#This Row],[Trade Value - USD]]/HS_DB[[#This Row],[Net Weight -KG]],0)</f>
        <v>1.179371718541965</v>
      </c>
      <c r="AJ461" s="17" cm="1">
        <f t="array" ref="AJ461">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61" s="17" t="str">
        <f>IF(HS_DB[[#This Row],[HS Code Risk Score]]&gt;=40,"High",
 IF(HS_DB[[#This Row],[HS Code Risk Score]]&gt;=25,"Medium","Low"))</f>
        <v>Medium</v>
      </c>
      <c r="AL461" s="17" t="str">
        <f>IF(RANK(HS_DB[[#This Row],[HS Code Risk Score]],HS_DB[HS Code Risk Score])&lt;=10,"Yes","No")</f>
        <v>No</v>
      </c>
      <c r="AM461" s="8">
        <f>SUMIFS(HS_DB[Net Weight -KG],HS_DB[HS Code],HS_DB[[#This Row],[HS Code]])</f>
        <v>80054906</v>
      </c>
      <c r="AN461" s="8">
        <f>SUMIFS(HS_DB[Trade Value - USD],HS_DB[HS Code],HS_DB[[#This Row],[HS Code]])</f>
        <v>102309378</v>
      </c>
      <c r="AO461" s="6">
        <f>_xlfn.MAXIFS(HS_DB[Origin Share%],HS_DB[HS Code],HS_DB[[#This Row],[HS Code]])</f>
        <v>0.39900464236999494</v>
      </c>
      <c r="AP461" s="8" cm="1">
        <f t="array" ref="AP461">_xlfn.LET(
_xlpm.hs,HS_DB[[#This Row],[HS Code]],
COUNTA(_xlfn.UNIQUE(_xlfn._xlws.FILTER(HS_DB[Reporter],HS_DB[HS Code]=_xlpm.hs)))
)</f>
        <v>18</v>
      </c>
      <c r="AQ461" s="17" t="str">
        <f>IF(HS_DB[[#This Row],[Origin Count]]=1,"Single Source","Multiple Sources")</f>
        <v>Multiple Sources</v>
      </c>
      <c r="AR461" s="8">
        <f>HS_DB[[#This Row],[Annual Spend - USD]]*(HS_DB[[#This Row],[HS Code Risk Score]]/100)</f>
        <v>34785188.520000003</v>
      </c>
      <c r="AS461" s="8">
        <f>RANK(HS_DB[[#This Row],[Risk Exposure - USD]],HS_DB[Risk Exposure - USD],0)</f>
        <v>15</v>
      </c>
      <c r="AT461" s="8" t="str">
        <f>IF(HS_DB[[#This Row],[Risk Exposure Rank]]&lt;=10,"High",
 IF(HS_DB[[#This Row],[Risk Exposure Rank]]&lt;=30,"Medium",
 "Low"))</f>
        <v>Medium</v>
      </c>
      <c r="AU461" s="8" t="str">
        <f>IF(HS_DB[[#This Row],[Risk Exposure Rank]]&lt;=5,"Immediate Action",
 IF(HS_DB[[#This Row],[Risk Exposure Rank]]&lt;=15,"Monitor Closely",
 "Routine Control"))</f>
        <v>Monitor Closely</v>
      </c>
      <c r="AV461" s="8">
        <f>SUMIFS(HS_DB[Trade Value - USD],HS_DB[HS Code],HS_DB[[#This Row],[HS Code]])</f>
        <v>102309378</v>
      </c>
      <c r="AW461" s="6">
        <f>HS_DB[[#This Row],[Annual Spend - USD]]/HS_DB[[#This Row],[Total Market Size - USD]]</f>
        <v>1</v>
      </c>
      <c r="AX461" s="6" cm="1">
        <f t="array" ref="AX461">COUNTA(_xlfn.UNIQUE(_xlfn._xlws.FILTER(HS_DB[Partner],HS_DB[HS Code]=HS_DB[[#This Row],[HS Code]])))</f>
        <v>1</v>
      </c>
      <c r="AY461" s="8" t="str">
        <f>IF(HS_DB[[#This Row],[Competition Intensity]]&lt;=2,"Highly Concentrated",
 IF(HS_DB[[#This Row],[Competition Intensity]]&lt;=5,"Moderate",
 "Highly Competitive"))</f>
        <v>Highly Concentrated</v>
      </c>
      <c r="AZ461" s="8">
        <f>HS_DB[[#This Row],[Total Market Size - USD]]
*
(1+IFERROR(#REF!,0))
/
HS_DB[[#This Row],[Competition Intensity]]</f>
        <v>102309378</v>
      </c>
      <c r="BA461" s="8" t="str">
        <f>IF(HS_DB[[#This Row],[Commercial Opportunity Score]]&gt;=PERCENTILE(HS_DB[Commercial Opportunity Score],0.9),"High Opportunity",
 IF(HS_DB[[#This Row],[Commercial Opportunity Score]]&gt;=PERCENTILE(HS_DB[Commercial Opportunity Score],0.6),"Medium Opportunity",
 "Routine Market"))</f>
        <v>High Opportunity</v>
      </c>
      <c r="BB461" s="3" t="str">
        <f>IF(AND(HS_DB[[#This Row],[Product Rank]]&gt;0,HS_DB[[#This Row],[Product Rank]]&lt;=10),"Yes","No")</f>
        <v>No</v>
      </c>
      <c r="BC461" s="3" t="str">
        <f>IF(AND(HS_DB[[#This Row],[Origin Rank]]&gt;0,HS_DB[[#This Row],[Origin Rank]]&lt;=10),"Yes","No")</f>
        <v>Yes</v>
      </c>
    </row>
    <row r="462" spans="2:55" x14ac:dyDescent="0.3">
      <c r="B462" s="2">
        <f>HS_DB[[#This Row],[Commodity Code]]</f>
        <v>151620</v>
      </c>
      <c r="C462" s="2">
        <f>IFERROR(INDEX(HS_MD!C:C,MATCH(B462,HS_MD!B:B,0),1),"")</f>
        <v>39</v>
      </c>
      <c r="D462" s="17" t="str">
        <f>IFERROR(INDEX(HS_MD!D:D,MATCH(B462,HS_MD!B:B,0),1),"")</f>
        <v>Hydrogenated vegetable oils</v>
      </c>
      <c r="E462" s="17" t="str">
        <f>IFERROR(INDEX(HS_MD!E:E,MATCH(B462,HS_MD!B:B,0),1),"")</f>
        <v>Shortening / Hydrogenated Oils</v>
      </c>
      <c r="F462" s="17" t="str">
        <f>IFERROR(INDEX(HS_MD!F:F,MATCH(B462,HS_MD!B:B,0),1),"")</f>
        <v>FUNCTIONAL INGREDIENTS</v>
      </c>
      <c r="G462" s="17" t="str">
        <f>IFERROR(INDEX(HS_MD!G:G,MATCH(B462,HS_MD!B:B,0),1),"")</f>
        <v>Fats &amp; Shortening</v>
      </c>
      <c r="H462" s="17" t="str">
        <f>IFERROR(INDEX(HS_MD!H:H,MATCH(B462,HS_MD!B:B,0),1),"")</f>
        <v>Industrial Shortening</v>
      </c>
      <c r="I462" s="17" t="str">
        <f>IFERROR(INDEX(HS_MD!I:I,MATCH(B462,HS_MD!B:B,0),1),"")</f>
        <v>Bakery / Margarine</v>
      </c>
      <c r="J462" s="17">
        <f>IFERROR(INDEX(Heat_Map[Index],MATCH(HS_DB[[#This Row],[Reporter]],Heat_Map[Global],0),1),"")</f>
        <v>75</v>
      </c>
      <c r="K462" s="17" t="str">
        <f>IF(AND(HS_DB[[#This Row],[Origin Rank]]&gt;1,HS_DB[[#This Row],[Origin Rank]]&lt;=10),"Yes","No")</f>
        <v>No</v>
      </c>
      <c r="L462" s="2">
        <v>2024</v>
      </c>
      <c r="M462" s="2" t="s">
        <v>57</v>
      </c>
      <c r="N462" s="2" t="s">
        <v>8</v>
      </c>
      <c r="O462" s="2" t="s">
        <v>22</v>
      </c>
      <c r="P462" s="2" t="s">
        <v>23</v>
      </c>
      <c r="Q462" s="2" t="s">
        <v>24</v>
      </c>
      <c r="R462" s="2" t="s">
        <v>25</v>
      </c>
      <c r="S462" s="2">
        <v>151620</v>
      </c>
      <c r="T462" s="3">
        <v>380121</v>
      </c>
      <c r="U462" s="3">
        <v>206390</v>
      </c>
      <c r="V462" s="3">
        <v>0</v>
      </c>
      <c r="W462" s="3">
        <v>206390</v>
      </c>
      <c r="X462" s="3" t="s">
        <v>58</v>
      </c>
      <c r="Y462" s="3">
        <v>206390</v>
      </c>
      <c r="Z462" s="3" t="s">
        <v>58</v>
      </c>
      <c r="AA462" s="6">
        <f>SUMIFS(HS_DB[Trade Value - USD],HS_DB[Reporter],HS_DB[[#This Row],[Reporter]])/SUM(HS_DB[Trade Value - USD])</f>
        <v>2.2441761060335613E-2</v>
      </c>
      <c r="AB462" s="8" cm="1">
        <f t="array" ref="AB462">SUMPRODUCT(
(HS_DB[Reporter]=HS_DB[[#This Row],[Reporter]])*
(HS_DB[Trade Value - USD]&gt;HS_DB[[#This Row],[Trade Value - USD]])
)+1</f>
        <v>18</v>
      </c>
      <c r="AC462" s="8" t="str">
        <f>IFERROR(IF(INDEX(Heat_Map[Crisis Impact %],MATCH(HS_DB[[#This Row],[Reporter]],Heat_Map[Global],0),1)&gt;0,"Yes","No"),"No")</f>
        <v>No</v>
      </c>
      <c r="AD462" s="6">
        <f>IFERROR(INDEX(Heat_Map[Crisis Impact %],MATCH(HS_DB[[#This Row],[Reporter]],Heat_Map[Global],0),1),0)</f>
        <v>0</v>
      </c>
      <c r="AE462" s="8">
        <f>HS_DB[[#This Row],[Crisis Impact%]]*HS_DB[[#This Row],[Trade Value - USD]]</f>
        <v>0</v>
      </c>
      <c r="AF462" s="8">
        <f>HS_DB[[#This Row],[Crisis Impact%]]*HS_DB[[#This Row],[Net Weight -KG]]</f>
        <v>0</v>
      </c>
      <c r="AG462" s="6">
        <f>SUMIFS(HS_DB[Trade Value - USD],HS_DB[Products],HS_DB[[#This Row],[Products]])/SUM(HS_DB[Trade Value - USD])</f>
        <v>5.4275292938682683E-2</v>
      </c>
      <c r="AH462" s="8">
        <f>_xlfn.RANK.EQ(HS_DB[[#This Row],[Trade Value - USD]], HS_DB[Trade Value - USD], 0)
 + COUNTIFS(HS_DB[Trade Value - USD],HS_DB[[#This Row],[Trade Value - USD]],
            HS_DB[HS Code],"&lt;"&amp;HS_DB[[#This Row],[HS Code]])</f>
        <v>164</v>
      </c>
      <c r="AI462" s="9">
        <f>IFERROR(HS_DB[[#This Row],[Trade Value - USD]]/HS_DB[[#This Row],[Net Weight -KG]],0)</f>
        <v>1.8417607442221038</v>
      </c>
      <c r="AJ462" s="17" cm="1">
        <f t="array" ref="AJ462">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62" s="17" t="str">
        <f>IF(HS_DB[[#This Row],[HS Code Risk Score]]&gt;=40,"High",
 IF(HS_DB[[#This Row],[HS Code Risk Score]]&gt;=25,"Medium","Low"))</f>
        <v>Medium</v>
      </c>
      <c r="AL462" s="17" t="str">
        <f>IF(RANK(HS_DB[[#This Row],[HS Code Risk Score]],HS_DB[HS Code Risk Score])&lt;=10,"Yes","No")</f>
        <v>No</v>
      </c>
      <c r="AM462" s="8">
        <f>SUMIFS(HS_DB[Net Weight -KG],HS_DB[HS Code],HS_DB[[#This Row],[HS Code]])</f>
        <v>80054906</v>
      </c>
      <c r="AN462" s="8">
        <f>SUMIFS(HS_DB[Trade Value - USD],HS_DB[HS Code],HS_DB[[#This Row],[HS Code]])</f>
        <v>102309378</v>
      </c>
      <c r="AO462" s="6">
        <f>_xlfn.MAXIFS(HS_DB[Origin Share%],HS_DB[HS Code],HS_DB[[#This Row],[HS Code]])</f>
        <v>0.39900464236999494</v>
      </c>
      <c r="AP462" s="8" cm="1">
        <f t="array" ref="AP462">_xlfn.LET(
_xlpm.hs,HS_DB[[#This Row],[HS Code]],
COUNTA(_xlfn.UNIQUE(_xlfn._xlws.FILTER(HS_DB[Reporter],HS_DB[HS Code]=_xlpm.hs)))
)</f>
        <v>18</v>
      </c>
      <c r="AQ462" s="17" t="str">
        <f>IF(HS_DB[[#This Row],[Origin Count]]=1,"Single Source","Multiple Sources")</f>
        <v>Multiple Sources</v>
      </c>
      <c r="AR462" s="8">
        <f>HS_DB[[#This Row],[Annual Spend - USD]]*(HS_DB[[#This Row],[HS Code Risk Score]]/100)</f>
        <v>34785188.520000003</v>
      </c>
      <c r="AS462" s="8">
        <f>RANK(HS_DB[[#This Row],[Risk Exposure - USD]],HS_DB[Risk Exposure - USD],0)</f>
        <v>15</v>
      </c>
      <c r="AT462" s="8" t="str">
        <f>IF(HS_DB[[#This Row],[Risk Exposure Rank]]&lt;=10,"High",
 IF(HS_DB[[#This Row],[Risk Exposure Rank]]&lt;=30,"Medium",
 "Low"))</f>
        <v>Medium</v>
      </c>
      <c r="AU462" s="8" t="str">
        <f>IF(HS_DB[[#This Row],[Risk Exposure Rank]]&lt;=5,"Immediate Action",
 IF(HS_DB[[#This Row],[Risk Exposure Rank]]&lt;=15,"Monitor Closely",
 "Routine Control"))</f>
        <v>Monitor Closely</v>
      </c>
      <c r="AV462" s="8">
        <f>SUMIFS(HS_DB[Trade Value - USD],HS_DB[HS Code],HS_DB[[#This Row],[HS Code]])</f>
        <v>102309378</v>
      </c>
      <c r="AW462" s="6">
        <f>HS_DB[[#This Row],[Annual Spend - USD]]/HS_DB[[#This Row],[Total Market Size - USD]]</f>
        <v>1</v>
      </c>
      <c r="AX462" s="6" cm="1">
        <f t="array" ref="AX462">COUNTA(_xlfn.UNIQUE(_xlfn._xlws.FILTER(HS_DB[Partner],HS_DB[HS Code]=HS_DB[[#This Row],[HS Code]])))</f>
        <v>1</v>
      </c>
      <c r="AY462" s="8" t="str">
        <f>IF(HS_DB[[#This Row],[Competition Intensity]]&lt;=2,"Highly Concentrated",
 IF(HS_DB[[#This Row],[Competition Intensity]]&lt;=5,"Moderate",
 "Highly Competitive"))</f>
        <v>Highly Concentrated</v>
      </c>
      <c r="AZ462" s="8">
        <f>HS_DB[[#This Row],[Total Market Size - USD]]
*
(1+IFERROR(#REF!,0))
/
HS_DB[[#This Row],[Competition Intensity]]</f>
        <v>102309378</v>
      </c>
      <c r="BA462" s="8" t="str">
        <f>IF(HS_DB[[#This Row],[Commercial Opportunity Score]]&gt;=PERCENTILE(HS_DB[Commercial Opportunity Score],0.9),"High Opportunity",
 IF(HS_DB[[#This Row],[Commercial Opportunity Score]]&gt;=PERCENTILE(HS_DB[Commercial Opportunity Score],0.6),"Medium Opportunity",
 "Routine Market"))</f>
        <v>High Opportunity</v>
      </c>
      <c r="BB462" s="3" t="str">
        <f>IF(AND(HS_DB[[#This Row],[Product Rank]]&gt;0,HS_DB[[#This Row],[Product Rank]]&lt;=10),"Yes","No")</f>
        <v>No</v>
      </c>
      <c r="BC462" s="3" t="str">
        <f>IF(AND(HS_DB[[#This Row],[Origin Rank]]&gt;0,HS_DB[[#This Row],[Origin Rank]]&lt;=10),"Yes","No")</f>
        <v>No</v>
      </c>
    </row>
    <row r="463" spans="2:55" x14ac:dyDescent="0.3">
      <c r="B463" s="2">
        <f>HS_DB[[#This Row],[Commodity Code]]</f>
        <v>151620</v>
      </c>
      <c r="C463" s="2">
        <f>IFERROR(INDEX(HS_MD!C:C,MATCH(B463,HS_MD!B:B,0),1),"")</f>
        <v>39</v>
      </c>
      <c r="D463" s="17" t="str">
        <f>IFERROR(INDEX(HS_MD!D:D,MATCH(B463,HS_MD!B:B,0),1),"")</f>
        <v>Hydrogenated vegetable oils</v>
      </c>
      <c r="E463" s="17" t="str">
        <f>IFERROR(INDEX(HS_MD!E:E,MATCH(B463,HS_MD!B:B,0),1),"")</f>
        <v>Shortening / Hydrogenated Oils</v>
      </c>
      <c r="F463" s="17" t="str">
        <f>IFERROR(INDEX(HS_MD!F:F,MATCH(B463,HS_MD!B:B,0),1),"")</f>
        <v>FUNCTIONAL INGREDIENTS</v>
      </c>
      <c r="G463" s="17" t="str">
        <f>IFERROR(INDEX(HS_MD!G:G,MATCH(B463,HS_MD!B:B,0),1),"")</f>
        <v>Fats &amp; Shortening</v>
      </c>
      <c r="H463" s="17" t="str">
        <f>IFERROR(INDEX(HS_MD!H:H,MATCH(B463,HS_MD!B:B,0),1),"")</f>
        <v>Industrial Shortening</v>
      </c>
      <c r="I463" s="17" t="str">
        <f>IFERROR(INDEX(HS_MD!I:I,MATCH(B463,HS_MD!B:B,0),1),"")</f>
        <v>Bakery / Margarine</v>
      </c>
      <c r="J463" s="17">
        <f>IFERROR(INDEX(Heat_Map[Index],MATCH(HS_DB[[#This Row],[Reporter]],Heat_Map[Global],0),1),"")</f>
        <v>153</v>
      </c>
      <c r="K463" s="17" t="str">
        <f>IF(AND(HS_DB[[#This Row],[Origin Rank]]&gt;1,HS_DB[[#This Row],[Origin Rank]]&lt;=10),"Yes","No")</f>
        <v>Yes</v>
      </c>
      <c r="L463" s="2">
        <v>2024</v>
      </c>
      <c r="M463" s="2" t="s">
        <v>57</v>
      </c>
      <c r="N463" s="2" t="s">
        <v>151</v>
      </c>
      <c r="O463" s="2" t="s">
        <v>22</v>
      </c>
      <c r="P463" s="2" t="s">
        <v>23</v>
      </c>
      <c r="Q463" s="2" t="s">
        <v>24</v>
      </c>
      <c r="R463" s="2" t="s">
        <v>25</v>
      </c>
      <c r="S463" s="2">
        <v>151620</v>
      </c>
      <c r="T463" s="3">
        <v>21804</v>
      </c>
      <c r="U463" s="3">
        <v>14270</v>
      </c>
      <c r="V463" s="3">
        <v>0</v>
      </c>
      <c r="W463" s="3">
        <v>14270</v>
      </c>
      <c r="X463" s="3" t="s">
        <v>58</v>
      </c>
      <c r="Y463" s="3">
        <v>14270</v>
      </c>
      <c r="Z463" s="3" t="s">
        <v>58</v>
      </c>
      <c r="AA463" s="6">
        <f>SUMIFS(HS_DB[Trade Value - USD],HS_DB[Reporter],HS_DB[[#This Row],[Reporter]])/SUM(HS_DB[Trade Value - USD])</f>
        <v>5.6395507468920406E-5</v>
      </c>
      <c r="AB463" s="8" cm="1">
        <f t="array" ref="AB463">SUMPRODUCT(
(HS_DB[Reporter]=HS_DB[[#This Row],[Reporter]])*
(HS_DB[Trade Value - USD]&gt;HS_DB[[#This Row],[Trade Value - USD]])
)+1</f>
        <v>2</v>
      </c>
      <c r="AC463" s="8" t="str">
        <f>IFERROR(IF(INDEX(Heat_Map[Crisis Impact %],MATCH(HS_DB[[#This Row],[Reporter]],Heat_Map[Global],0),1)&gt;0,"Yes","No"),"No")</f>
        <v>No</v>
      </c>
      <c r="AD463" s="6">
        <f>IFERROR(INDEX(Heat_Map[Crisis Impact %],MATCH(HS_DB[[#This Row],[Reporter]],Heat_Map[Global],0),1),0)</f>
        <v>0</v>
      </c>
      <c r="AE463" s="8">
        <f>HS_DB[[#This Row],[Crisis Impact%]]*HS_DB[[#This Row],[Trade Value - USD]]</f>
        <v>0</v>
      </c>
      <c r="AF463" s="8">
        <f>HS_DB[[#This Row],[Crisis Impact%]]*HS_DB[[#This Row],[Net Weight -KG]]</f>
        <v>0</v>
      </c>
      <c r="AG463" s="6">
        <f>SUMIFS(HS_DB[Trade Value - USD],HS_DB[Products],HS_DB[[#This Row],[Products]])/SUM(HS_DB[Trade Value - USD])</f>
        <v>5.4275292938682683E-2</v>
      </c>
      <c r="AH463" s="8">
        <f>_xlfn.RANK.EQ(HS_DB[[#This Row],[Trade Value - USD]], HS_DB[Trade Value - USD], 0)
 + COUNTIFS(HS_DB[Trade Value - USD],HS_DB[[#This Row],[Trade Value - USD]],
            HS_DB[HS Code],"&lt;"&amp;HS_DB[[#This Row],[HS Code]])</f>
        <v>374</v>
      </c>
      <c r="AI463" s="9">
        <f>IFERROR(HS_DB[[#This Row],[Trade Value - USD]]/HS_DB[[#This Row],[Net Weight -KG]],0)</f>
        <v>1.5279607568325158</v>
      </c>
      <c r="AJ463" s="17" cm="1">
        <f t="array" ref="AJ463">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63" s="17" t="str">
        <f>IF(HS_DB[[#This Row],[HS Code Risk Score]]&gt;=40,"High",
 IF(HS_DB[[#This Row],[HS Code Risk Score]]&gt;=25,"Medium","Low"))</f>
        <v>Medium</v>
      </c>
      <c r="AL463" s="17" t="str">
        <f>IF(RANK(HS_DB[[#This Row],[HS Code Risk Score]],HS_DB[HS Code Risk Score])&lt;=10,"Yes","No")</f>
        <v>No</v>
      </c>
      <c r="AM463" s="8">
        <f>SUMIFS(HS_DB[Net Weight -KG],HS_DB[HS Code],HS_DB[[#This Row],[HS Code]])</f>
        <v>80054906</v>
      </c>
      <c r="AN463" s="8">
        <f>SUMIFS(HS_DB[Trade Value - USD],HS_DB[HS Code],HS_DB[[#This Row],[HS Code]])</f>
        <v>102309378</v>
      </c>
      <c r="AO463" s="6">
        <f>_xlfn.MAXIFS(HS_DB[Origin Share%],HS_DB[HS Code],HS_DB[[#This Row],[HS Code]])</f>
        <v>0.39900464236999494</v>
      </c>
      <c r="AP463" s="8" cm="1">
        <f t="array" ref="AP463">_xlfn.LET(
_xlpm.hs,HS_DB[[#This Row],[HS Code]],
COUNTA(_xlfn.UNIQUE(_xlfn._xlws.FILTER(HS_DB[Reporter],HS_DB[HS Code]=_xlpm.hs)))
)</f>
        <v>18</v>
      </c>
      <c r="AQ463" s="17" t="str">
        <f>IF(HS_DB[[#This Row],[Origin Count]]=1,"Single Source","Multiple Sources")</f>
        <v>Multiple Sources</v>
      </c>
      <c r="AR463" s="8">
        <f>HS_DB[[#This Row],[Annual Spend - USD]]*(HS_DB[[#This Row],[HS Code Risk Score]]/100)</f>
        <v>34785188.520000003</v>
      </c>
      <c r="AS463" s="8">
        <f>RANK(HS_DB[[#This Row],[Risk Exposure - USD]],HS_DB[Risk Exposure - USD],0)</f>
        <v>15</v>
      </c>
      <c r="AT463" s="8" t="str">
        <f>IF(HS_DB[[#This Row],[Risk Exposure Rank]]&lt;=10,"High",
 IF(HS_DB[[#This Row],[Risk Exposure Rank]]&lt;=30,"Medium",
 "Low"))</f>
        <v>Medium</v>
      </c>
      <c r="AU463" s="8" t="str">
        <f>IF(HS_DB[[#This Row],[Risk Exposure Rank]]&lt;=5,"Immediate Action",
 IF(HS_DB[[#This Row],[Risk Exposure Rank]]&lt;=15,"Monitor Closely",
 "Routine Control"))</f>
        <v>Monitor Closely</v>
      </c>
      <c r="AV463" s="8">
        <f>SUMIFS(HS_DB[Trade Value - USD],HS_DB[HS Code],HS_DB[[#This Row],[HS Code]])</f>
        <v>102309378</v>
      </c>
      <c r="AW463" s="6">
        <f>HS_DB[[#This Row],[Annual Spend - USD]]/HS_DB[[#This Row],[Total Market Size - USD]]</f>
        <v>1</v>
      </c>
      <c r="AX463" s="6" cm="1">
        <f t="array" ref="AX463">COUNTA(_xlfn.UNIQUE(_xlfn._xlws.FILTER(HS_DB[Partner],HS_DB[HS Code]=HS_DB[[#This Row],[HS Code]])))</f>
        <v>1</v>
      </c>
      <c r="AY463" s="8" t="str">
        <f>IF(HS_DB[[#This Row],[Competition Intensity]]&lt;=2,"Highly Concentrated",
 IF(HS_DB[[#This Row],[Competition Intensity]]&lt;=5,"Moderate",
 "Highly Competitive"))</f>
        <v>Highly Concentrated</v>
      </c>
      <c r="AZ463" s="8">
        <f>HS_DB[[#This Row],[Total Market Size - USD]]
*
(1+IFERROR(#REF!,0))
/
HS_DB[[#This Row],[Competition Intensity]]</f>
        <v>102309378</v>
      </c>
      <c r="BA463" s="8" t="str">
        <f>IF(HS_DB[[#This Row],[Commercial Opportunity Score]]&gt;=PERCENTILE(HS_DB[Commercial Opportunity Score],0.9),"High Opportunity",
 IF(HS_DB[[#This Row],[Commercial Opportunity Score]]&gt;=PERCENTILE(HS_DB[Commercial Opportunity Score],0.6),"Medium Opportunity",
 "Routine Market"))</f>
        <v>High Opportunity</v>
      </c>
      <c r="BB463" s="3" t="str">
        <f>IF(AND(HS_DB[[#This Row],[Product Rank]]&gt;0,HS_DB[[#This Row],[Product Rank]]&lt;=10),"Yes","No")</f>
        <v>No</v>
      </c>
      <c r="BC463" s="3" t="str">
        <f>IF(AND(HS_DB[[#This Row],[Origin Rank]]&gt;0,HS_DB[[#This Row],[Origin Rank]]&lt;=10),"Yes","No")</f>
        <v>Yes</v>
      </c>
    </row>
    <row r="464" spans="2:55" x14ac:dyDescent="0.3">
      <c r="B464" s="2">
        <f>HS_DB[[#This Row],[Commodity Code]]</f>
        <v>151620</v>
      </c>
      <c r="C464" s="2">
        <f>IFERROR(INDEX(HS_MD!C:C,MATCH(B464,HS_MD!B:B,0),1),"")</f>
        <v>39</v>
      </c>
      <c r="D464" s="17" t="str">
        <f>IFERROR(INDEX(HS_MD!D:D,MATCH(B464,HS_MD!B:B,0),1),"")</f>
        <v>Hydrogenated vegetable oils</v>
      </c>
      <c r="E464" s="17" t="str">
        <f>IFERROR(INDEX(HS_MD!E:E,MATCH(B464,HS_MD!B:B,0),1),"")</f>
        <v>Shortening / Hydrogenated Oils</v>
      </c>
      <c r="F464" s="17" t="str">
        <f>IFERROR(INDEX(HS_MD!F:F,MATCH(B464,HS_MD!B:B,0),1),"")</f>
        <v>FUNCTIONAL INGREDIENTS</v>
      </c>
      <c r="G464" s="17" t="str">
        <f>IFERROR(INDEX(HS_MD!G:G,MATCH(B464,HS_MD!B:B,0),1),"")</f>
        <v>Fats &amp; Shortening</v>
      </c>
      <c r="H464" s="17" t="str">
        <f>IFERROR(INDEX(HS_MD!H:H,MATCH(B464,HS_MD!B:B,0),1),"")</f>
        <v>Industrial Shortening</v>
      </c>
      <c r="I464" s="17" t="str">
        <f>IFERROR(INDEX(HS_MD!I:I,MATCH(B464,HS_MD!B:B,0),1),"")</f>
        <v>Bakery / Margarine</v>
      </c>
      <c r="J464" s="17">
        <f>IFERROR(INDEX(Heat_Map[Index],MATCH(HS_DB[[#This Row],[Reporter]],Heat_Map[Global],0),1),"")</f>
        <v>159</v>
      </c>
      <c r="K464" s="17" t="str">
        <f>IF(AND(HS_DB[[#This Row],[Origin Rank]]&gt;1,HS_DB[[#This Row],[Origin Rank]]&lt;=10),"Yes","No")</f>
        <v>Yes</v>
      </c>
      <c r="L464" s="2">
        <v>2024</v>
      </c>
      <c r="M464" s="2" t="s">
        <v>57</v>
      </c>
      <c r="N464" s="2" t="s">
        <v>30</v>
      </c>
      <c r="O464" s="2" t="s">
        <v>22</v>
      </c>
      <c r="P464" s="2" t="s">
        <v>23</v>
      </c>
      <c r="Q464" s="2" t="s">
        <v>24</v>
      </c>
      <c r="R464" s="2" t="s">
        <v>25</v>
      </c>
      <c r="S464" s="2">
        <v>151620</v>
      </c>
      <c r="T464" s="3">
        <v>304876</v>
      </c>
      <c r="U464" s="3">
        <v>65590</v>
      </c>
      <c r="V464" s="3">
        <v>0</v>
      </c>
      <c r="W464" s="3">
        <v>65590</v>
      </c>
      <c r="X464" s="3" t="s">
        <v>58</v>
      </c>
      <c r="Y464" s="3">
        <v>65590</v>
      </c>
      <c r="Z464" s="3" t="s">
        <v>58</v>
      </c>
      <c r="AA464" s="6">
        <f>SUMIFS(HS_DB[Trade Value - USD],HS_DB[Reporter],HS_DB[[#This Row],[Reporter]])/SUM(HS_DB[Trade Value - USD])</f>
        <v>6.110186869383482E-3</v>
      </c>
      <c r="AB464" s="8" cm="1">
        <f t="array" ref="AB464">SUMPRODUCT(
(HS_DB[Reporter]=HS_DB[[#This Row],[Reporter]])*
(HS_DB[Trade Value - USD]&gt;HS_DB[[#This Row],[Trade Value - USD]])
)+1</f>
        <v>10</v>
      </c>
      <c r="AC464" s="8" t="str">
        <f>IFERROR(IF(INDEX(Heat_Map[Crisis Impact %],MATCH(HS_DB[[#This Row],[Reporter]],Heat_Map[Global],0),1)&gt;0,"Yes","No"),"No")</f>
        <v>No</v>
      </c>
      <c r="AD464" s="6">
        <f>IFERROR(INDEX(Heat_Map[Crisis Impact %],MATCH(HS_DB[[#This Row],[Reporter]],Heat_Map[Global],0),1),0)</f>
        <v>0</v>
      </c>
      <c r="AE464" s="8">
        <f>HS_DB[[#This Row],[Crisis Impact%]]*HS_DB[[#This Row],[Trade Value - USD]]</f>
        <v>0</v>
      </c>
      <c r="AF464" s="8">
        <f>HS_DB[[#This Row],[Crisis Impact%]]*HS_DB[[#This Row],[Net Weight -KG]]</f>
        <v>0</v>
      </c>
      <c r="AG464" s="6">
        <f>SUMIFS(HS_DB[Trade Value - USD],HS_DB[Products],HS_DB[[#This Row],[Products]])/SUM(HS_DB[Trade Value - USD])</f>
        <v>5.4275292938682683E-2</v>
      </c>
      <c r="AH464" s="8">
        <f>_xlfn.RANK.EQ(HS_DB[[#This Row],[Trade Value - USD]], HS_DB[Trade Value - USD], 0)
 + COUNTIFS(HS_DB[Trade Value - USD],HS_DB[[#This Row],[Trade Value - USD]],
            HS_DB[HS Code],"&lt;"&amp;HS_DB[[#This Row],[HS Code]])</f>
        <v>186</v>
      </c>
      <c r="AI464" s="9">
        <f>IFERROR(HS_DB[[#This Row],[Trade Value - USD]]/HS_DB[[#This Row],[Net Weight -KG]],0)</f>
        <v>4.6482085683793262</v>
      </c>
      <c r="AJ464" s="17" cm="1">
        <f t="array" ref="AJ464">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64" s="17" t="str">
        <f>IF(HS_DB[[#This Row],[HS Code Risk Score]]&gt;=40,"High",
 IF(HS_DB[[#This Row],[HS Code Risk Score]]&gt;=25,"Medium","Low"))</f>
        <v>Medium</v>
      </c>
      <c r="AL464" s="17" t="str">
        <f>IF(RANK(HS_DB[[#This Row],[HS Code Risk Score]],HS_DB[HS Code Risk Score])&lt;=10,"Yes","No")</f>
        <v>No</v>
      </c>
      <c r="AM464" s="8">
        <f>SUMIFS(HS_DB[Net Weight -KG],HS_DB[HS Code],HS_DB[[#This Row],[HS Code]])</f>
        <v>80054906</v>
      </c>
      <c r="AN464" s="8">
        <f>SUMIFS(HS_DB[Trade Value - USD],HS_DB[HS Code],HS_DB[[#This Row],[HS Code]])</f>
        <v>102309378</v>
      </c>
      <c r="AO464" s="6">
        <f>_xlfn.MAXIFS(HS_DB[Origin Share%],HS_DB[HS Code],HS_DB[[#This Row],[HS Code]])</f>
        <v>0.39900464236999494</v>
      </c>
      <c r="AP464" s="8" cm="1">
        <f t="array" ref="AP464">_xlfn.LET(
_xlpm.hs,HS_DB[[#This Row],[HS Code]],
COUNTA(_xlfn.UNIQUE(_xlfn._xlws.FILTER(HS_DB[Reporter],HS_DB[HS Code]=_xlpm.hs)))
)</f>
        <v>18</v>
      </c>
      <c r="AQ464" s="17" t="str">
        <f>IF(HS_DB[[#This Row],[Origin Count]]=1,"Single Source","Multiple Sources")</f>
        <v>Multiple Sources</v>
      </c>
      <c r="AR464" s="8">
        <f>HS_DB[[#This Row],[Annual Spend - USD]]*(HS_DB[[#This Row],[HS Code Risk Score]]/100)</f>
        <v>34785188.520000003</v>
      </c>
      <c r="AS464" s="8">
        <f>RANK(HS_DB[[#This Row],[Risk Exposure - USD]],HS_DB[Risk Exposure - USD],0)</f>
        <v>15</v>
      </c>
      <c r="AT464" s="8" t="str">
        <f>IF(HS_DB[[#This Row],[Risk Exposure Rank]]&lt;=10,"High",
 IF(HS_DB[[#This Row],[Risk Exposure Rank]]&lt;=30,"Medium",
 "Low"))</f>
        <v>Medium</v>
      </c>
      <c r="AU464" s="8" t="str">
        <f>IF(HS_DB[[#This Row],[Risk Exposure Rank]]&lt;=5,"Immediate Action",
 IF(HS_DB[[#This Row],[Risk Exposure Rank]]&lt;=15,"Monitor Closely",
 "Routine Control"))</f>
        <v>Monitor Closely</v>
      </c>
      <c r="AV464" s="8">
        <f>SUMIFS(HS_DB[Trade Value - USD],HS_DB[HS Code],HS_DB[[#This Row],[HS Code]])</f>
        <v>102309378</v>
      </c>
      <c r="AW464" s="6">
        <f>HS_DB[[#This Row],[Annual Spend - USD]]/HS_DB[[#This Row],[Total Market Size - USD]]</f>
        <v>1</v>
      </c>
      <c r="AX464" s="6" cm="1">
        <f t="array" ref="AX464">COUNTA(_xlfn.UNIQUE(_xlfn._xlws.FILTER(HS_DB[Partner],HS_DB[HS Code]=HS_DB[[#This Row],[HS Code]])))</f>
        <v>1</v>
      </c>
      <c r="AY464" s="8" t="str">
        <f>IF(HS_DB[[#This Row],[Competition Intensity]]&lt;=2,"Highly Concentrated",
 IF(HS_DB[[#This Row],[Competition Intensity]]&lt;=5,"Moderate",
 "Highly Competitive"))</f>
        <v>Highly Concentrated</v>
      </c>
      <c r="AZ464" s="8">
        <f>HS_DB[[#This Row],[Total Market Size - USD]]
*
(1+IFERROR(#REF!,0))
/
HS_DB[[#This Row],[Competition Intensity]]</f>
        <v>102309378</v>
      </c>
      <c r="BA464" s="8" t="str">
        <f>IF(HS_DB[[#This Row],[Commercial Opportunity Score]]&gt;=PERCENTILE(HS_DB[Commercial Opportunity Score],0.9),"High Opportunity",
 IF(HS_DB[[#This Row],[Commercial Opportunity Score]]&gt;=PERCENTILE(HS_DB[Commercial Opportunity Score],0.6),"Medium Opportunity",
 "Routine Market"))</f>
        <v>High Opportunity</v>
      </c>
      <c r="BB464" s="3" t="str">
        <f>IF(AND(HS_DB[[#This Row],[Product Rank]]&gt;0,HS_DB[[#This Row],[Product Rank]]&lt;=10),"Yes","No")</f>
        <v>No</v>
      </c>
      <c r="BC464" s="3" t="str">
        <f>IF(AND(HS_DB[[#This Row],[Origin Rank]]&gt;0,HS_DB[[#This Row],[Origin Rank]]&lt;=10),"Yes","No")</f>
        <v>Yes</v>
      </c>
    </row>
    <row r="465" spans="2:55" x14ac:dyDescent="0.3">
      <c r="B465" s="2">
        <f>HS_DB[[#This Row],[Commodity Code]]</f>
        <v>151620</v>
      </c>
      <c r="C465" s="2">
        <f>IFERROR(INDEX(HS_MD!C:C,MATCH(B465,HS_MD!B:B,0),1),"")</f>
        <v>39</v>
      </c>
      <c r="D465" s="17" t="str">
        <f>IFERROR(INDEX(HS_MD!D:D,MATCH(B465,HS_MD!B:B,0),1),"")</f>
        <v>Hydrogenated vegetable oils</v>
      </c>
      <c r="E465" s="17" t="str">
        <f>IFERROR(INDEX(HS_MD!E:E,MATCH(B465,HS_MD!B:B,0),1),"")</f>
        <v>Shortening / Hydrogenated Oils</v>
      </c>
      <c r="F465" s="17" t="str">
        <f>IFERROR(INDEX(HS_MD!F:F,MATCH(B465,HS_MD!B:B,0),1),"")</f>
        <v>FUNCTIONAL INGREDIENTS</v>
      </c>
      <c r="G465" s="17" t="str">
        <f>IFERROR(INDEX(HS_MD!G:G,MATCH(B465,HS_MD!B:B,0),1),"")</f>
        <v>Fats &amp; Shortening</v>
      </c>
      <c r="H465" s="17" t="str">
        <f>IFERROR(INDEX(HS_MD!H:H,MATCH(B465,HS_MD!B:B,0),1),"")</f>
        <v>Industrial Shortening</v>
      </c>
      <c r="I465" s="17" t="str">
        <f>IFERROR(INDEX(HS_MD!I:I,MATCH(B465,HS_MD!B:B,0),1),"")</f>
        <v>Bakery / Margarine</v>
      </c>
      <c r="J465" s="17">
        <f>IFERROR(INDEX(Heat_Map[Index],MATCH(HS_DB[[#This Row],[Reporter]],Heat_Map[Global],0),1),"")</f>
        <v>163</v>
      </c>
      <c r="K465" s="17" t="str">
        <f>IF(AND(HS_DB[[#This Row],[Origin Rank]]&gt;1,HS_DB[[#This Row],[Origin Rank]]&lt;=10),"Yes","No")</f>
        <v>No</v>
      </c>
      <c r="L465" s="2">
        <v>2024</v>
      </c>
      <c r="M465" s="2" t="s">
        <v>57</v>
      </c>
      <c r="N465" s="2" t="s">
        <v>31</v>
      </c>
      <c r="O465" s="2" t="s">
        <v>22</v>
      </c>
      <c r="P465" s="2" t="s">
        <v>23</v>
      </c>
      <c r="Q465" s="2" t="s">
        <v>24</v>
      </c>
      <c r="R465" s="2" t="s">
        <v>25</v>
      </c>
      <c r="S465" s="2">
        <v>151620</v>
      </c>
      <c r="T465" s="3">
        <v>105605</v>
      </c>
      <c r="U465" s="3">
        <v>45000</v>
      </c>
      <c r="V465" s="3">
        <v>0</v>
      </c>
      <c r="W465" s="3">
        <v>45000</v>
      </c>
      <c r="X465" s="3" t="s">
        <v>58</v>
      </c>
      <c r="Y465" s="3">
        <v>45000</v>
      </c>
      <c r="Z465" s="3" t="s">
        <v>58</v>
      </c>
      <c r="AA465" s="6">
        <f>SUMIFS(HS_DB[Trade Value - USD],HS_DB[Reporter],HS_DB[[#This Row],[Reporter]])/SUM(HS_DB[Trade Value - USD])</f>
        <v>1.1596288425054823E-4</v>
      </c>
      <c r="AB465" s="8" cm="1">
        <f t="array" ref="AB465">SUMPRODUCT(
(HS_DB[Reporter]=HS_DB[[#This Row],[Reporter]])*
(HS_DB[Trade Value - USD]&gt;HS_DB[[#This Row],[Trade Value - USD]])
)+1</f>
        <v>1</v>
      </c>
      <c r="AC465" s="8" t="str">
        <f>IFERROR(IF(INDEX(Heat_Map[Crisis Impact %],MATCH(HS_DB[[#This Row],[Reporter]],Heat_Map[Global],0),1)&gt;0,"Yes","No"),"No")</f>
        <v>No</v>
      </c>
      <c r="AD465" s="6">
        <f>IFERROR(INDEX(Heat_Map[Crisis Impact %],MATCH(HS_DB[[#This Row],[Reporter]],Heat_Map[Global],0),1),0)</f>
        <v>0</v>
      </c>
      <c r="AE465" s="8">
        <f>HS_DB[[#This Row],[Crisis Impact%]]*HS_DB[[#This Row],[Trade Value - USD]]</f>
        <v>0</v>
      </c>
      <c r="AF465" s="8">
        <f>HS_DB[[#This Row],[Crisis Impact%]]*HS_DB[[#This Row],[Net Weight -KG]]</f>
        <v>0</v>
      </c>
      <c r="AG465" s="6">
        <f>SUMIFS(HS_DB[Trade Value - USD],HS_DB[Products],HS_DB[[#This Row],[Products]])/SUM(HS_DB[Trade Value - USD])</f>
        <v>5.4275292938682683E-2</v>
      </c>
      <c r="AH465" s="8">
        <f>_xlfn.RANK.EQ(HS_DB[[#This Row],[Trade Value - USD]], HS_DB[Trade Value - USD], 0)
 + COUNTIFS(HS_DB[Trade Value - USD],HS_DB[[#This Row],[Trade Value - USD]],
            HS_DB[HS Code],"&lt;"&amp;HS_DB[[#This Row],[HS Code]])</f>
        <v>273</v>
      </c>
      <c r="AI465" s="9">
        <f>IFERROR(HS_DB[[#This Row],[Trade Value - USD]]/HS_DB[[#This Row],[Net Weight -KG]],0)</f>
        <v>2.3467777777777776</v>
      </c>
      <c r="AJ465" s="17" cm="1">
        <f t="array" ref="AJ465">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65" s="17" t="str">
        <f>IF(HS_DB[[#This Row],[HS Code Risk Score]]&gt;=40,"High",
 IF(HS_DB[[#This Row],[HS Code Risk Score]]&gt;=25,"Medium","Low"))</f>
        <v>Medium</v>
      </c>
      <c r="AL465" s="17" t="str">
        <f>IF(RANK(HS_DB[[#This Row],[HS Code Risk Score]],HS_DB[HS Code Risk Score])&lt;=10,"Yes","No")</f>
        <v>No</v>
      </c>
      <c r="AM465" s="8">
        <f>SUMIFS(HS_DB[Net Weight -KG],HS_DB[HS Code],HS_DB[[#This Row],[HS Code]])</f>
        <v>80054906</v>
      </c>
      <c r="AN465" s="8">
        <f>SUMIFS(HS_DB[Trade Value - USD],HS_DB[HS Code],HS_DB[[#This Row],[HS Code]])</f>
        <v>102309378</v>
      </c>
      <c r="AO465" s="6">
        <f>_xlfn.MAXIFS(HS_DB[Origin Share%],HS_DB[HS Code],HS_DB[[#This Row],[HS Code]])</f>
        <v>0.39900464236999494</v>
      </c>
      <c r="AP465" s="8" cm="1">
        <f t="array" ref="AP465">_xlfn.LET(
_xlpm.hs,HS_DB[[#This Row],[HS Code]],
COUNTA(_xlfn.UNIQUE(_xlfn._xlws.FILTER(HS_DB[Reporter],HS_DB[HS Code]=_xlpm.hs)))
)</f>
        <v>18</v>
      </c>
      <c r="AQ465" s="17" t="str">
        <f>IF(HS_DB[[#This Row],[Origin Count]]=1,"Single Source","Multiple Sources")</f>
        <v>Multiple Sources</v>
      </c>
      <c r="AR465" s="8">
        <f>HS_DB[[#This Row],[Annual Spend - USD]]*(HS_DB[[#This Row],[HS Code Risk Score]]/100)</f>
        <v>34785188.520000003</v>
      </c>
      <c r="AS465" s="8">
        <f>RANK(HS_DB[[#This Row],[Risk Exposure - USD]],HS_DB[Risk Exposure - USD],0)</f>
        <v>15</v>
      </c>
      <c r="AT465" s="8" t="str">
        <f>IF(HS_DB[[#This Row],[Risk Exposure Rank]]&lt;=10,"High",
 IF(HS_DB[[#This Row],[Risk Exposure Rank]]&lt;=30,"Medium",
 "Low"))</f>
        <v>Medium</v>
      </c>
      <c r="AU465" s="8" t="str">
        <f>IF(HS_DB[[#This Row],[Risk Exposure Rank]]&lt;=5,"Immediate Action",
 IF(HS_DB[[#This Row],[Risk Exposure Rank]]&lt;=15,"Monitor Closely",
 "Routine Control"))</f>
        <v>Monitor Closely</v>
      </c>
      <c r="AV465" s="8">
        <f>SUMIFS(HS_DB[Trade Value - USD],HS_DB[HS Code],HS_DB[[#This Row],[HS Code]])</f>
        <v>102309378</v>
      </c>
      <c r="AW465" s="6">
        <f>HS_DB[[#This Row],[Annual Spend - USD]]/HS_DB[[#This Row],[Total Market Size - USD]]</f>
        <v>1</v>
      </c>
      <c r="AX465" s="6" cm="1">
        <f t="array" ref="AX465">COUNTA(_xlfn.UNIQUE(_xlfn._xlws.FILTER(HS_DB[Partner],HS_DB[HS Code]=HS_DB[[#This Row],[HS Code]])))</f>
        <v>1</v>
      </c>
      <c r="AY465" s="8" t="str">
        <f>IF(HS_DB[[#This Row],[Competition Intensity]]&lt;=2,"Highly Concentrated",
 IF(HS_DB[[#This Row],[Competition Intensity]]&lt;=5,"Moderate",
 "Highly Competitive"))</f>
        <v>Highly Concentrated</v>
      </c>
      <c r="AZ465" s="8">
        <f>HS_DB[[#This Row],[Total Market Size - USD]]
*
(1+IFERROR(#REF!,0))
/
HS_DB[[#This Row],[Competition Intensity]]</f>
        <v>102309378</v>
      </c>
      <c r="BA465" s="8" t="str">
        <f>IF(HS_DB[[#This Row],[Commercial Opportunity Score]]&gt;=PERCENTILE(HS_DB[Commercial Opportunity Score],0.9),"High Opportunity",
 IF(HS_DB[[#This Row],[Commercial Opportunity Score]]&gt;=PERCENTILE(HS_DB[Commercial Opportunity Score],0.6),"Medium Opportunity",
 "Routine Market"))</f>
        <v>High Opportunity</v>
      </c>
      <c r="BB465" s="3" t="str">
        <f>IF(AND(HS_DB[[#This Row],[Product Rank]]&gt;0,HS_DB[[#This Row],[Product Rank]]&lt;=10),"Yes","No")</f>
        <v>No</v>
      </c>
      <c r="BC465" s="3" t="str">
        <f>IF(AND(HS_DB[[#This Row],[Origin Rank]]&gt;0,HS_DB[[#This Row],[Origin Rank]]&lt;=10),"Yes","No")</f>
        <v>Yes</v>
      </c>
    </row>
    <row r="466" spans="2:55" x14ac:dyDescent="0.3">
      <c r="B466" s="2">
        <f>HS_DB[[#This Row],[Commodity Code]]</f>
        <v>151620</v>
      </c>
      <c r="C466" s="2">
        <f>IFERROR(INDEX(HS_MD!C:C,MATCH(B466,HS_MD!B:B,0),1),"")</f>
        <v>39</v>
      </c>
      <c r="D466" s="17" t="str">
        <f>IFERROR(INDEX(HS_MD!D:D,MATCH(B466,HS_MD!B:B,0),1),"")</f>
        <v>Hydrogenated vegetable oils</v>
      </c>
      <c r="E466" s="17" t="str">
        <f>IFERROR(INDEX(HS_MD!E:E,MATCH(B466,HS_MD!B:B,0),1),"")</f>
        <v>Shortening / Hydrogenated Oils</v>
      </c>
      <c r="F466" s="17" t="str">
        <f>IFERROR(INDEX(HS_MD!F:F,MATCH(B466,HS_MD!B:B,0),1),"")</f>
        <v>FUNCTIONAL INGREDIENTS</v>
      </c>
      <c r="G466" s="17" t="str">
        <f>IFERROR(INDEX(HS_MD!G:G,MATCH(B466,HS_MD!B:B,0),1),"")</f>
        <v>Fats &amp; Shortening</v>
      </c>
      <c r="H466" s="17" t="str">
        <f>IFERROR(INDEX(HS_MD!H:H,MATCH(B466,HS_MD!B:B,0),1),"")</f>
        <v>Industrial Shortening</v>
      </c>
      <c r="I466" s="17" t="str">
        <f>IFERROR(INDEX(HS_MD!I:I,MATCH(B466,HS_MD!B:B,0),1),"")</f>
        <v>Bakery / Margarine</v>
      </c>
      <c r="J466" s="17">
        <f>IFERROR(INDEX(Heat_Map[Index],MATCH(HS_DB[[#This Row],[Reporter]],Heat_Map[Global],0),1),"")</f>
        <v>175</v>
      </c>
      <c r="K466" s="17" t="str">
        <f>IF(AND(HS_DB[[#This Row],[Origin Rank]]&gt;1,HS_DB[[#This Row],[Origin Rank]]&lt;=10),"Yes","No")</f>
        <v>No</v>
      </c>
      <c r="L466" s="2">
        <v>2024</v>
      </c>
      <c r="M466" s="2" t="s">
        <v>57</v>
      </c>
      <c r="N466" s="2" t="s">
        <v>34</v>
      </c>
      <c r="O466" s="2" t="s">
        <v>22</v>
      </c>
      <c r="P466" s="2" t="s">
        <v>23</v>
      </c>
      <c r="Q466" s="2" t="s">
        <v>24</v>
      </c>
      <c r="R466" s="2" t="s">
        <v>25</v>
      </c>
      <c r="S466" s="2">
        <v>151620</v>
      </c>
      <c r="T466" s="3">
        <v>189273</v>
      </c>
      <c r="U466" s="3">
        <v>118450</v>
      </c>
      <c r="V466" s="3">
        <v>0</v>
      </c>
      <c r="W466" s="3">
        <v>118450</v>
      </c>
      <c r="X466" s="3" t="s">
        <v>58</v>
      </c>
      <c r="Y466" s="3">
        <v>118450</v>
      </c>
      <c r="Z466" s="3" t="s">
        <v>58</v>
      </c>
      <c r="AA466" s="6">
        <f>SUMIFS(HS_DB[Trade Value - USD],HS_DB[Reporter],HS_DB[[#This Row],[Reporter]])/SUM(HS_DB[Trade Value - USD])</f>
        <v>4.7522902002533667E-2</v>
      </c>
      <c r="AB466" s="8" cm="1">
        <f t="array" ref="AB466">SUMPRODUCT(
(HS_DB[Reporter]=HS_DB[[#This Row],[Reporter]])*
(HS_DB[Trade Value - USD]&gt;HS_DB[[#This Row],[Trade Value - USD]])
)+1</f>
        <v>21</v>
      </c>
      <c r="AC466" s="8" t="str">
        <f>IFERROR(IF(INDEX(Heat_Map[Crisis Impact %],MATCH(HS_DB[[#This Row],[Reporter]],Heat_Map[Global],0),1)&gt;0,"Yes","No"),"No")</f>
        <v>Yes</v>
      </c>
      <c r="AD466" s="6">
        <f>IFERROR(INDEX(Heat_Map[Crisis Impact %],MATCH(HS_DB[[#This Row],[Reporter]],Heat_Map[Global],0),1),0)</f>
        <v>0.1</v>
      </c>
      <c r="AE466" s="8">
        <f>HS_DB[[#This Row],[Crisis Impact%]]*HS_DB[[#This Row],[Trade Value - USD]]</f>
        <v>18927.3</v>
      </c>
      <c r="AF466" s="8">
        <f>HS_DB[[#This Row],[Crisis Impact%]]*HS_DB[[#This Row],[Net Weight -KG]]</f>
        <v>11845</v>
      </c>
      <c r="AG466" s="6">
        <f>SUMIFS(HS_DB[Trade Value - USD],HS_DB[Products],HS_DB[[#This Row],[Products]])/SUM(HS_DB[Trade Value - USD])</f>
        <v>5.4275292938682683E-2</v>
      </c>
      <c r="AH466" s="8">
        <f>_xlfn.RANK.EQ(HS_DB[[#This Row],[Trade Value - USD]], HS_DB[Trade Value - USD], 0)
 + COUNTIFS(HS_DB[Trade Value - USD],HS_DB[[#This Row],[Trade Value - USD]],
            HS_DB[HS Code],"&lt;"&amp;HS_DB[[#This Row],[HS Code]])</f>
        <v>223</v>
      </c>
      <c r="AI466" s="9">
        <f>IFERROR(HS_DB[[#This Row],[Trade Value - USD]]/HS_DB[[#This Row],[Net Weight -KG]],0)</f>
        <v>1.5979147319544111</v>
      </c>
      <c r="AJ466" s="17" cm="1">
        <f t="array" ref="AJ466">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66" s="17" t="str">
        <f>IF(HS_DB[[#This Row],[HS Code Risk Score]]&gt;=40,"High",
 IF(HS_DB[[#This Row],[HS Code Risk Score]]&gt;=25,"Medium","Low"))</f>
        <v>Medium</v>
      </c>
      <c r="AL466" s="17" t="str">
        <f>IF(RANK(HS_DB[[#This Row],[HS Code Risk Score]],HS_DB[HS Code Risk Score])&lt;=10,"Yes","No")</f>
        <v>No</v>
      </c>
      <c r="AM466" s="8">
        <f>SUMIFS(HS_DB[Net Weight -KG],HS_DB[HS Code],HS_DB[[#This Row],[HS Code]])</f>
        <v>80054906</v>
      </c>
      <c r="AN466" s="8">
        <f>SUMIFS(HS_DB[Trade Value - USD],HS_DB[HS Code],HS_DB[[#This Row],[HS Code]])</f>
        <v>102309378</v>
      </c>
      <c r="AO466" s="6">
        <f>_xlfn.MAXIFS(HS_DB[Origin Share%],HS_DB[HS Code],HS_DB[[#This Row],[HS Code]])</f>
        <v>0.39900464236999494</v>
      </c>
      <c r="AP466" s="8" cm="1">
        <f t="array" ref="AP466">_xlfn.LET(
_xlpm.hs,HS_DB[[#This Row],[HS Code]],
COUNTA(_xlfn.UNIQUE(_xlfn._xlws.FILTER(HS_DB[Reporter],HS_DB[HS Code]=_xlpm.hs)))
)</f>
        <v>18</v>
      </c>
      <c r="AQ466" s="17" t="str">
        <f>IF(HS_DB[[#This Row],[Origin Count]]=1,"Single Source","Multiple Sources")</f>
        <v>Multiple Sources</v>
      </c>
      <c r="AR466" s="8">
        <f>HS_DB[[#This Row],[Annual Spend - USD]]*(HS_DB[[#This Row],[HS Code Risk Score]]/100)</f>
        <v>34785188.520000003</v>
      </c>
      <c r="AS466" s="8">
        <f>RANK(HS_DB[[#This Row],[Risk Exposure - USD]],HS_DB[Risk Exposure - USD],0)</f>
        <v>15</v>
      </c>
      <c r="AT466" s="8" t="str">
        <f>IF(HS_DB[[#This Row],[Risk Exposure Rank]]&lt;=10,"High",
 IF(HS_DB[[#This Row],[Risk Exposure Rank]]&lt;=30,"Medium",
 "Low"))</f>
        <v>Medium</v>
      </c>
      <c r="AU466" s="8" t="str">
        <f>IF(HS_DB[[#This Row],[Risk Exposure Rank]]&lt;=5,"Immediate Action",
 IF(HS_DB[[#This Row],[Risk Exposure Rank]]&lt;=15,"Monitor Closely",
 "Routine Control"))</f>
        <v>Monitor Closely</v>
      </c>
      <c r="AV466" s="8">
        <f>SUMIFS(HS_DB[Trade Value - USD],HS_DB[HS Code],HS_DB[[#This Row],[HS Code]])</f>
        <v>102309378</v>
      </c>
      <c r="AW466" s="6">
        <f>HS_DB[[#This Row],[Annual Spend - USD]]/HS_DB[[#This Row],[Total Market Size - USD]]</f>
        <v>1</v>
      </c>
      <c r="AX466" s="6" cm="1">
        <f t="array" ref="AX466">COUNTA(_xlfn.UNIQUE(_xlfn._xlws.FILTER(HS_DB[Partner],HS_DB[HS Code]=HS_DB[[#This Row],[HS Code]])))</f>
        <v>1</v>
      </c>
      <c r="AY466" s="8" t="str">
        <f>IF(HS_DB[[#This Row],[Competition Intensity]]&lt;=2,"Highly Concentrated",
 IF(HS_DB[[#This Row],[Competition Intensity]]&lt;=5,"Moderate",
 "Highly Competitive"))</f>
        <v>Highly Concentrated</v>
      </c>
      <c r="AZ466" s="8">
        <f>HS_DB[[#This Row],[Total Market Size - USD]]
*
(1+IFERROR(#REF!,0))
/
HS_DB[[#This Row],[Competition Intensity]]</f>
        <v>102309378</v>
      </c>
      <c r="BA466" s="8" t="str">
        <f>IF(HS_DB[[#This Row],[Commercial Opportunity Score]]&gt;=PERCENTILE(HS_DB[Commercial Opportunity Score],0.9),"High Opportunity",
 IF(HS_DB[[#This Row],[Commercial Opportunity Score]]&gt;=PERCENTILE(HS_DB[Commercial Opportunity Score],0.6),"Medium Opportunity",
 "Routine Market"))</f>
        <v>High Opportunity</v>
      </c>
      <c r="BB466" s="3" t="str">
        <f>IF(AND(HS_DB[[#This Row],[Product Rank]]&gt;0,HS_DB[[#This Row],[Product Rank]]&lt;=10),"Yes","No")</f>
        <v>No</v>
      </c>
      <c r="BC466" s="3" t="str">
        <f>IF(AND(HS_DB[[#This Row],[Origin Rank]]&gt;0,HS_DB[[#This Row],[Origin Rank]]&lt;=10),"Yes","No")</f>
        <v>No</v>
      </c>
    </row>
    <row r="467" spans="2:55" x14ac:dyDescent="0.3">
      <c r="B467" s="2">
        <f>HS_DB[[#This Row],[Commodity Code]]</f>
        <v>151620</v>
      </c>
      <c r="C467" s="2">
        <f>IFERROR(INDEX(HS_MD!C:C,MATCH(B467,HS_MD!B:B,0),1),"")</f>
        <v>39</v>
      </c>
      <c r="D467" s="17" t="str">
        <f>IFERROR(INDEX(HS_MD!D:D,MATCH(B467,HS_MD!B:B,0),1),"")</f>
        <v>Hydrogenated vegetable oils</v>
      </c>
      <c r="E467" s="17" t="str">
        <f>IFERROR(INDEX(HS_MD!E:E,MATCH(B467,HS_MD!B:B,0),1),"")</f>
        <v>Shortening / Hydrogenated Oils</v>
      </c>
      <c r="F467" s="17" t="str">
        <f>IFERROR(INDEX(HS_MD!F:F,MATCH(B467,HS_MD!B:B,0),1),"")</f>
        <v>FUNCTIONAL INGREDIENTS</v>
      </c>
      <c r="G467" s="17" t="str">
        <f>IFERROR(INDEX(HS_MD!G:G,MATCH(B467,HS_MD!B:B,0),1),"")</f>
        <v>Fats &amp; Shortening</v>
      </c>
      <c r="H467" s="17" t="str">
        <f>IFERROR(INDEX(HS_MD!H:H,MATCH(B467,HS_MD!B:B,0),1),"")</f>
        <v>Industrial Shortening</v>
      </c>
      <c r="I467" s="17" t="str">
        <f>IFERROR(INDEX(HS_MD!I:I,MATCH(B467,HS_MD!B:B,0),1),"")</f>
        <v>Bakery / Margarine</v>
      </c>
      <c r="J467" s="17">
        <f>IFERROR(INDEX(Heat_Map[Index],MATCH(HS_DB[[#This Row],[Reporter]],Heat_Map[Global],0),1),"")</f>
        <v>182</v>
      </c>
      <c r="K467" s="17" t="str">
        <f>IF(AND(HS_DB[[#This Row],[Origin Rank]]&gt;1,HS_DB[[#This Row],[Origin Rank]]&lt;=10),"Yes","No")</f>
        <v>Yes</v>
      </c>
      <c r="L467" s="2">
        <v>2024</v>
      </c>
      <c r="M467" s="2" t="s">
        <v>57</v>
      </c>
      <c r="N467" s="2" t="s">
        <v>56</v>
      </c>
      <c r="O467" s="2" t="s">
        <v>22</v>
      </c>
      <c r="P467" s="2" t="s">
        <v>23</v>
      </c>
      <c r="Q467" s="2" t="s">
        <v>24</v>
      </c>
      <c r="R467" s="2" t="s">
        <v>25</v>
      </c>
      <c r="S467" s="2">
        <v>151620</v>
      </c>
      <c r="T467" s="3">
        <v>426418</v>
      </c>
      <c r="U467" s="3">
        <v>73066</v>
      </c>
      <c r="V467" s="3">
        <v>0</v>
      </c>
      <c r="W467" s="3">
        <v>73066</v>
      </c>
      <c r="X467" s="3" t="s">
        <v>58</v>
      </c>
      <c r="Y467" s="3">
        <v>73066</v>
      </c>
      <c r="Z467" s="3" t="s">
        <v>58</v>
      </c>
      <c r="AA467" s="6">
        <f>SUMIFS(HS_DB[Trade Value - USD],HS_DB[Reporter],HS_DB[[#This Row],[Reporter]])/SUM(HS_DB[Trade Value - USD])</f>
        <v>9.425427433633813E-3</v>
      </c>
      <c r="AB467" s="8" cm="1">
        <f t="array" ref="AB467">SUMPRODUCT(
(HS_DB[Reporter]=HS_DB[[#This Row],[Reporter]])*
(HS_DB[Trade Value - USD]&gt;HS_DB[[#This Row],[Trade Value - USD]])
)+1</f>
        <v>6</v>
      </c>
      <c r="AC467" s="8" t="str">
        <f>IFERROR(IF(INDEX(Heat_Map[Crisis Impact %],MATCH(HS_DB[[#This Row],[Reporter]],Heat_Map[Global],0),1)&gt;0,"Yes","No"),"No")</f>
        <v>Yes</v>
      </c>
      <c r="AD467" s="6">
        <f>IFERROR(INDEX(Heat_Map[Crisis Impact %],MATCH(HS_DB[[#This Row],[Reporter]],Heat_Map[Global],0),1),0)</f>
        <v>4.0000000000000008E-2</v>
      </c>
      <c r="AE467" s="8">
        <f>HS_DB[[#This Row],[Crisis Impact%]]*HS_DB[[#This Row],[Trade Value - USD]]</f>
        <v>17056.720000000005</v>
      </c>
      <c r="AF467" s="8">
        <f>HS_DB[[#This Row],[Crisis Impact%]]*HS_DB[[#This Row],[Net Weight -KG]]</f>
        <v>2922.6400000000008</v>
      </c>
      <c r="AG467" s="6">
        <f>SUMIFS(HS_DB[Trade Value - USD],HS_DB[Products],HS_DB[[#This Row],[Products]])/SUM(HS_DB[Trade Value - USD])</f>
        <v>5.4275292938682683E-2</v>
      </c>
      <c r="AH467" s="8">
        <f>_xlfn.RANK.EQ(HS_DB[[#This Row],[Trade Value - USD]], HS_DB[Trade Value - USD], 0)
 + COUNTIFS(HS_DB[Trade Value - USD],HS_DB[[#This Row],[Trade Value - USD]],
            HS_DB[HS Code],"&lt;"&amp;HS_DB[[#This Row],[HS Code]])</f>
        <v>157</v>
      </c>
      <c r="AI467" s="9">
        <f>IFERROR(HS_DB[[#This Row],[Trade Value - USD]]/HS_DB[[#This Row],[Net Weight -KG]],0)</f>
        <v>5.836066022500205</v>
      </c>
      <c r="AJ467" s="17" cm="1">
        <f t="array" ref="AJ467">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67" s="17" t="str">
        <f>IF(HS_DB[[#This Row],[HS Code Risk Score]]&gt;=40,"High",
 IF(HS_DB[[#This Row],[HS Code Risk Score]]&gt;=25,"Medium","Low"))</f>
        <v>Medium</v>
      </c>
      <c r="AL467" s="17" t="str">
        <f>IF(RANK(HS_DB[[#This Row],[HS Code Risk Score]],HS_DB[HS Code Risk Score])&lt;=10,"Yes","No")</f>
        <v>No</v>
      </c>
      <c r="AM467" s="8">
        <f>SUMIFS(HS_DB[Net Weight -KG],HS_DB[HS Code],HS_DB[[#This Row],[HS Code]])</f>
        <v>80054906</v>
      </c>
      <c r="AN467" s="8">
        <f>SUMIFS(HS_DB[Trade Value - USD],HS_DB[HS Code],HS_DB[[#This Row],[HS Code]])</f>
        <v>102309378</v>
      </c>
      <c r="AO467" s="6">
        <f>_xlfn.MAXIFS(HS_DB[Origin Share%],HS_DB[HS Code],HS_DB[[#This Row],[HS Code]])</f>
        <v>0.39900464236999494</v>
      </c>
      <c r="AP467" s="8" cm="1">
        <f t="array" ref="AP467">_xlfn.LET(
_xlpm.hs,HS_DB[[#This Row],[HS Code]],
COUNTA(_xlfn.UNIQUE(_xlfn._xlws.FILTER(HS_DB[Reporter],HS_DB[HS Code]=_xlpm.hs)))
)</f>
        <v>18</v>
      </c>
      <c r="AQ467" s="17" t="str">
        <f>IF(HS_DB[[#This Row],[Origin Count]]=1,"Single Source","Multiple Sources")</f>
        <v>Multiple Sources</v>
      </c>
      <c r="AR467" s="8">
        <f>HS_DB[[#This Row],[Annual Spend - USD]]*(HS_DB[[#This Row],[HS Code Risk Score]]/100)</f>
        <v>34785188.520000003</v>
      </c>
      <c r="AS467" s="8">
        <f>RANK(HS_DB[[#This Row],[Risk Exposure - USD]],HS_DB[Risk Exposure - USD],0)</f>
        <v>15</v>
      </c>
      <c r="AT467" s="8" t="str">
        <f>IF(HS_DB[[#This Row],[Risk Exposure Rank]]&lt;=10,"High",
 IF(HS_DB[[#This Row],[Risk Exposure Rank]]&lt;=30,"Medium",
 "Low"))</f>
        <v>Medium</v>
      </c>
      <c r="AU467" s="8" t="str">
        <f>IF(HS_DB[[#This Row],[Risk Exposure Rank]]&lt;=5,"Immediate Action",
 IF(HS_DB[[#This Row],[Risk Exposure Rank]]&lt;=15,"Monitor Closely",
 "Routine Control"))</f>
        <v>Monitor Closely</v>
      </c>
      <c r="AV467" s="8">
        <f>SUMIFS(HS_DB[Trade Value - USD],HS_DB[HS Code],HS_DB[[#This Row],[HS Code]])</f>
        <v>102309378</v>
      </c>
      <c r="AW467" s="6">
        <f>HS_DB[[#This Row],[Annual Spend - USD]]/HS_DB[[#This Row],[Total Market Size - USD]]</f>
        <v>1</v>
      </c>
      <c r="AX467" s="6" cm="1">
        <f t="array" ref="AX467">COUNTA(_xlfn.UNIQUE(_xlfn._xlws.FILTER(HS_DB[Partner],HS_DB[HS Code]=HS_DB[[#This Row],[HS Code]])))</f>
        <v>1</v>
      </c>
      <c r="AY467" s="8" t="str">
        <f>IF(HS_DB[[#This Row],[Competition Intensity]]&lt;=2,"Highly Concentrated",
 IF(HS_DB[[#This Row],[Competition Intensity]]&lt;=5,"Moderate",
 "Highly Competitive"))</f>
        <v>Highly Concentrated</v>
      </c>
      <c r="AZ467" s="8">
        <f>HS_DB[[#This Row],[Total Market Size - USD]]
*
(1+IFERROR(#REF!,0))
/
HS_DB[[#This Row],[Competition Intensity]]</f>
        <v>102309378</v>
      </c>
      <c r="BA467" s="8" t="str">
        <f>IF(HS_DB[[#This Row],[Commercial Opportunity Score]]&gt;=PERCENTILE(HS_DB[Commercial Opportunity Score],0.9),"High Opportunity",
 IF(HS_DB[[#This Row],[Commercial Opportunity Score]]&gt;=PERCENTILE(HS_DB[Commercial Opportunity Score],0.6),"Medium Opportunity",
 "Routine Market"))</f>
        <v>High Opportunity</v>
      </c>
      <c r="BB467" s="3" t="str">
        <f>IF(AND(HS_DB[[#This Row],[Product Rank]]&gt;0,HS_DB[[#This Row],[Product Rank]]&lt;=10),"Yes","No")</f>
        <v>No</v>
      </c>
      <c r="BC467" s="3" t="str">
        <f>IF(AND(HS_DB[[#This Row],[Origin Rank]]&gt;0,HS_DB[[#This Row],[Origin Rank]]&lt;=10),"Yes","No")</f>
        <v>Yes</v>
      </c>
    </row>
    <row r="468" spans="2:55" x14ac:dyDescent="0.3">
      <c r="B468" s="2">
        <f>HS_DB[[#This Row],[Commodity Code]]</f>
        <v>170211</v>
      </c>
      <c r="C468" s="2">
        <f>IFERROR(INDEX(HS_MD!C:C,MATCH(B468,HS_MD!B:B,0),1),"")</f>
        <v>40</v>
      </c>
      <c r="D468" s="17" t="str">
        <f>IFERROR(INDEX(HS_MD!D:D,MATCH(B468,HS_MD!B:B,0),1),"")</f>
        <v>Lactose</v>
      </c>
      <c r="E468" s="17" t="str">
        <f>IFERROR(INDEX(HS_MD!E:E,MATCH(B468,HS_MD!B:B,0),1),"")</f>
        <v>Lactose</v>
      </c>
      <c r="F468" s="17" t="str">
        <f>IFERROR(INDEX(HS_MD!F:F,MATCH(B468,HS_MD!B:B,0),1),"")</f>
        <v>Dairy Ingredients</v>
      </c>
      <c r="G468" s="17" t="str">
        <f>IFERROR(INDEX(HS_MD!G:G,MATCH(B468,HS_MD!B:B,0),1),"")</f>
        <v>Milk Sugars</v>
      </c>
      <c r="H468" s="17" t="str">
        <f>IFERROR(INDEX(HS_MD!H:H,MATCH(B468,HS_MD!B:B,0),1),"")</f>
        <v>Lactose Powder</v>
      </c>
      <c r="I468" s="17" t="str">
        <f>IFERROR(INDEX(HS_MD!I:I,MATCH(B468,HS_MD!B:B,0),1),"")</f>
        <v>Confectionery / Pharma</v>
      </c>
      <c r="J468" s="17">
        <f>IFERROR(INDEX(Heat_Map[Index],MATCH(HS_DB[[#This Row],[Reporter]],Heat_Map[Global],0),1),"")</f>
        <v>36</v>
      </c>
      <c r="K468" s="17" t="str">
        <f>IF(AND(HS_DB[[#This Row],[Origin Rank]]&gt;1,HS_DB[[#This Row],[Origin Rank]]&lt;=10),"Yes","No")</f>
        <v>No</v>
      </c>
      <c r="L468" s="2">
        <v>2024</v>
      </c>
      <c r="M468" s="2" t="s">
        <v>57</v>
      </c>
      <c r="N468" s="2" t="s">
        <v>1</v>
      </c>
      <c r="O468" s="2" t="s">
        <v>22</v>
      </c>
      <c r="P468" s="2" t="s">
        <v>23</v>
      </c>
      <c r="Q468" s="2" t="s">
        <v>24</v>
      </c>
      <c r="R468" s="2" t="s">
        <v>25</v>
      </c>
      <c r="S468" s="2">
        <v>170211</v>
      </c>
      <c r="T468" s="3">
        <v>3150</v>
      </c>
      <c r="U468" s="3">
        <v>150</v>
      </c>
      <c r="V468" s="3">
        <v>0</v>
      </c>
      <c r="W468" s="3">
        <v>150</v>
      </c>
      <c r="X468" s="3" t="s">
        <v>58</v>
      </c>
      <c r="Y468" s="3">
        <v>150</v>
      </c>
      <c r="Z468" s="3" t="s">
        <v>58</v>
      </c>
      <c r="AA468" s="6">
        <f>SUMIFS(HS_DB[Trade Value - USD],HS_DB[Reporter],HS_DB[[#This Row],[Reporter]])/SUM(HS_DB[Trade Value - USD])</f>
        <v>6.321329281187793E-2</v>
      </c>
      <c r="AB468" s="8" cm="1">
        <f t="array" ref="AB468">SUMPRODUCT(
(HS_DB[Reporter]=HS_DB[[#This Row],[Reporter]])*
(HS_DB[Trade Value - USD]&gt;HS_DB[[#This Row],[Trade Value - USD]])
)+1</f>
        <v>34</v>
      </c>
      <c r="AC468" s="8" t="str">
        <f>IFERROR(IF(INDEX(Heat_Map[Crisis Impact %],MATCH(HS_DB[[#This Row],[Reporter]],Heat_Map[Global],0),1)&gt;0,"Yes","No"),"No")</f>
        <v>Yes</v>
      </c>
      <c r="AD468" s="6">
        <f>IFERROR(INDEX(Heat_Map[Crisis Impact %],MATCH(HS_DB[[#This Row],[Reporter]],Heat_Map[Global],0),1),0)</f>
        <v>0.14000000000000001</v>
      </c>
      <c r="AE468" s="8">
        <f>HS_DB[[#This Row],[Crisis Impact%]]*HS_DB[[#This Row],[Trade Value - USD]]</f>
        <v>441.00000000000006</v>
      </c>
      <c r="AF468" s="8">
        <f>HS_DB[[#This Row],[Crisis Impact%]]*HS_DB[[#This Row],[Net Weight -KG]]</f>
        <v>21.000000000000004</v>
      </c>
      <c r="AG468" s="6">
        <f>SUMIFS(HS_DB[Trade Value - USD],HS_DB[Products],HS_DB[[#This Row],[Products]])/SUM(HS_DB[Trade Value - USD])</f>
        <v>5.139731729118439E-3</v>
      </c>
      <c r="AH468" s="8">
        <f>_xlfn.RANK.EQ(HS_DB[[#This Row],[Trade Value - USD]], HS_DB[Trade Value - USD], 0)
 + COUNTIFS(HS_DB[Trade Value - USD],HS_DB[[#This Row],[Trade Value - USD]],
            HS_DB[HS Code],"&lt;"&amp;HS_DB[[#This Row],[HS Code]])</f>
        <v>457</v>
      </c>
      <c r="AI468" s="9">
        <f>IFERROR(HS_DB[[#This Row],[Trade Value - USD]]/HS_DB[[#This Row],[Net Weight -KG]],0)</f>
        <v>21</v>
      </c>
      <c r="AJ468" s="17" cm="1">
        <f t="array" ref="AJ468">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68" s="17" t="str">
        <f>IF(HS_DB[[#This Row],[HS Code Risk Score]]&gt;=40,"High",
 IF(HS_DB[[#This Row],[HS Code Risk Score]]&gt;=25,"Medium","Low"))</f>
        <v>Medium</v>
      </c>
      <c r="AL468" s="17" t="str">
        <f>IF(RANK(HS_DB[[#This Row],[HS Code Risk Score]],HS_DB[HS Code Risk Score])&lt;=10,"Yes","No")</f>
        <v>No</v>
      </c>
      <c r="AM468" s="8">
        <f>SUMIFS(HS_DB[Net Weight -KG],HS_DB[HS Code],HS_DB[[#This Row],[HS Code]])</f>
        <v>5242717.7</v>
      </c>
      <c r="AN468" s="8">
        <f>SUMIFS(HS_DB[Trade Value - USD],HS_DB[HS Code],HS_DB[[#This Row],[HS Code]])</f>
        <v>9688437</v>
      </c>
      <c r="AO468" s="6">
        <f>_xlfn.MAXIFS(HS_DB[Origin Share%],HS_DB[HS Code],HS_DB[[#This Row],[HS Code]])</f>
        <v>6.321329281187793E-2</v>
      </c>
      <c r="AP468" s="8" cm="1">
        <f t="array" ref="AP468">_xlfn.LET(
_xlpm.hs,HS_DB[[#This Row],[HS Code]],
COUNTA(_xlfn.UNIQUE(_xlfn._xlws.FILTER(HS_DB[Reporter],HS_DB[HS Code]=_xlpm.hs)))
)</f>
        <v>11</v>
      </c>
      <c r="AQ468" s="17" t="str">
        <f>IF(HS_DB[[#This Row],[Origin Count]]=1,"Single Source","Multiple Sources")</f>
        <v>Multiple Sources</v>
      </c>
      <c r="AR468" s="8">
        <f>HS_DB[[#This Row],[Annual Spend - USD]]*(HS_DB[[#This Row],[HS Code Risk Score]]/100)</f>
        <v>3294068.58</v>
      </c>
      <c r="AS468" s="8">
        <f>RANK(HS_DB[[#This Row],[Risk Exposure - USD]],HS_DB[Risk Exposure - USD],0)</f>
        <v>304</v>
      </c>
      <c r="AT468" s="8" t="str">
        <f>IF(HS_DB[[#This Row],[Risk Exposure Rank]]&lt;=10,"High",
 IF(HS_DB[[#This Row],[Risk Exposure Rank]]&lt;=30,"Medium",
 "Low"))</f>
        <v>Low</v>
      </c>
      <c r="AU468" s="8" t="str">
        <f>IF(HS_DB[[#This Row],[Risk Exposure Rank]]&lt;=5,"Immediate Action",
 IF(HS_DB[[#This Row],[Risk Exposure Rank]]&lt;=15,"Monitor Closely",
 "Routine Control"))</f>
        <v>Routine Control</v>
      </c>
      <c r="AV468" s="8">
        <f>SUMIFS(HS_DB[Trade Value - USD],HS_DB[HS Code],HS_DB[[#This Row],[HS Code]])</f>
        <v>9688437</v>
      </c>
      <c r="AW468" s="6">
        <f>HS_DB[[#This Row],[Annual Spend - USD]]/HS_DB[[#This Row],[Total Market Size - USD]]</f>
        <v>1</v>
      </c>
      <c r="AX468" s="6" cm="1">
        <f t="array" ref="AX468">COUNTA(_xlfn.UNIQUE(_xlfn._xlws.FILTER(HS_DB[Partner],HS_DB[HS Code]=HS_DB[[#This Row],[HS Code]])))</f>
        <v>1</v>
      </c>
      <c r="AY468" s="8" t="str">
        <f>IF(HS_DB[[#This Row],[Competition Intensity]]&lt;=2,"Highly Concentrated",
 IF(HS_DB[[#This Row],[Competition Intensity]]&lt;=5,"Moderate",
 "Highly Competitive"))</f>
        <v>Highly Concentrated</v>
      </c>
      <c r="AZ468" s="8">
        <f>HS_DB[[#This Row],[Total Market Size - USD]]
*
(1+IFERROR(#REF!,0))
/
HS_DB[[#This Row],[Competition Intensity]]</f>
        <v>9688437</v>
      </c>
      <c r="BA468" s="8" t="str">
        <f>IF(HS_DB[[#This Row],[Commercial Opportunity Score]]&gt;=PERCENTILE(HS_DB[Commercial Opportunity Score],0.9),"High Opportunity",
 IF(HS_DB[[#This Row],[Commercial Opportunity Score]]&gt;=PERCENTILE(HS_DB[Commercial Opportunity Score],0.6),"Medium Opportunity",
 "Routine Market"))</f>
        <v>Routine Market</v>
      </c>
      <c r="BB468" s="3" t="str">
        <f>IF(AND(HS_DB[[#This Row],[Product Rank]]&gt;0,HS_DB[[#This Row],[Product Rank]]&lt;=10),"Yes","No")</f>
        <v>No</v>
      </c>
      <c r="BC468" s="3" t="str">
        <f>IF(AND(HS_DB[[#This Row],[Origin Rank]]&gt;0,HS_DB[[#This Row],[Origin Rank]]&lt;=10),"Yes","No")</f>
        <v>No</v>
      </c>
    </row>
    <row r="469" spans="2:55" x14ac:dyDescent="0.3">
      <c r="B469" s="2">
        <f>HS_DB[[#This Row],[Commodity Code]]</f>
        <v>170211</v>
      </c>
      <c r="C469" s="2">
        <f>IFERROR(INDEX(HS_MD!C:C,MATCH(B469,HS_MD!B:B,0),1),"")</f>
        <v>40</v>
      </c>
      <c r="D469" s="17" t="str">
        <f>IFERROR(INDEX(HS_MD!D:D,MATCH(B469,HS_MD!B:B,0),1),"")</f>
        <v>Lactose</v>
      </c>
      <c r="E469" s="17" t="str">
        <f>IFERROR(INDEX(HS_MD!E:E,MATCH(B469,HS_MD!B:B,0),1),"")</f>
        <v>Lactose</v>
      </c>
      <c r="F469" s="17" t="str">
        <f>IFERROR(INDEX(HS_MD!F:F,MATCH(B469,HS_MD!B:B,0),1),"")</f>
        <v>Dairy Ingredients</v>
      </c>
      <c r="G469" s="17" t="str">
        <f>IFERROR(INDEX(HS_MD!G:G,MATCH(B469,HS_MD!B:B,0),1),"")</f>
        <v>Milk Sugars</v>
      </c>
      <c r="H469" s="17" t="str">
        <f>IFERROR(INDEX(HS_MD!H:H,MATCH(B469,HS_MD!B:B,0),1),"")</f>
        <v>Lactose Powder</v>
      </c>
      <c r="I469" s="17" t="str">
        <f>IFERROR(INDEX(HS_MD!I:I,MATCH(B469,HS_MD!B:B,0),1),"")</f>
        <v>Confectionery / Pharma</v>
      </c>
      <c r="J469" s="17">
        <f>IFERROR(INDEX(Heat_Map[Index],MATCH(HS_DB[[#This Row],[Reporter]],Heat_Map[Global],0),1),"")</f>
        <v>59</v>
      </c>
      <c r="K469" s="17" t="str">
        <f>IF(AND(HS_DB[[#This Row],[Origin Rank]]&gt;1,HS_DB[[#This Row],[Origin Rank]]&lt;=10),"Yes","No")</f>
        <v>Yes</v>
      </c>
      <c r="L469" s="2">
        <v>2024</v>
      </c>
      <c r="M469" s="2" t="s">
        <v>57</v>
      </c>
      <c r="N469" s="2" t="s">
        <v>44</v>
      </c>
      <c r="O469" s="2" t="s">
        <v>22</v>
      </c>
      <c r="P469" s="2" t="s">
        <v>23</v>
      </c>
      <c r="Q469" s="2" t="s">
        <v>24</v>
      </c>
      <c r="R469" s="2" t="s">
        <v>25</v>
      </c>
      <c r="S469" s="2">
        <v>170211</v>
      </c>
      <c r="T469" s="3">
        <v>861139</v>
      </c>
      <c r="U469" s="3">
        <v>570925</v>
      </c>
      <c r="V469" s="3">
        <v>0</v>
      </c>
      <c r="W469" s="3">
        <v>570925</v>
      </c>
      <c r="X469" s="3" t="s">
        <v>58</v>
      </c>
      <c r="Y469" s="3">
        <v>570925</v>
      </c>
      <c r="Z469" s="3" t="s">
        <v>58</v>
      </c>
      <c r="AA469" s="6">
        <f>SUMIFS(HS_DB[Trade Value - USD],HS_DB[Reporter],HS_DB[[#This Row],[Reporter]])/SUM(HS_DB[Trade Value - USD])</f>
        <v>1.6951290293147386E-2</v>
      </c>
      <c r="AB469" s="8" cm="1">
        <f t="array" ref="AB469">SUMPRODUCT(
(HS_DB[Reporter]=HS_DB[[#This Row],[Reporter]])*
(HS_DB[Trade Value - USD]&gt;HS_DB[[#This Row],[Trade Value - USD]])
)+1</f>
        <v>7</v>
      </c>
      <c r="AC469" s="8" t="str">
        <f>IFERROR(IF(INDEX(Heat_Map[Crisis Impact %],MATCH(HS_DB[[#This Row],[Reporter]],Heat_Map[Global],0),1)&gt;0,"Yes","No"),"No")</f>
        <v>No</v>
      </c>
      <c r="AD469" s="6">
        <f>IFERROR(INDEX(Heat_Map[Crisis Impact %],MATCH(HS_DB[[#This Row],[Reporter]],Heat_Map[Global],0),1),0)</f>
        <v>0</v>
      </c>
      <c r="AE469" s="8">
        <f>HS_DB[[#This Row],[Crisis Impact%]]*HS_DB[[#This Row],[Trade Value - USD]]</f>
        <v>0</v>
      </c>
      <c r="AF469" s="8">
        <f>HS_DB[[#This Row],[Crisis Impact%]]*HS_DB[[#This Row],[Net Weight -KG]]</f>
        <v>0</v>
      </c>
      <c r="AG469" s="6">
        <f>SUMIFS(HS_DB[Trade Value - USD],HS_DB[Products],HS_DB[[#This Row],[Products]])/SUM(HS_DB[Trade Value - USD])</f>
        <v>5.139731729118439E-3</v>
      </c>
      <c r="AH469" s="8">
        <f>_xlfn.RANK.EQ(HS_DB[[#This Row],[Trade Value - USD]], HS_DB[Trade Value - USD], 0)
 + COUNTIFS(HS_DB[Trade Value - USD],HS_DB[[#This Row],[Trade Value - USD]],
            HS_DB[HS Code],"&lt;"&amp;HS_DB[[#This Row],[HS Code]])</f>
        <v>112</v>
      </c>
      <c r="AI469" s="9">
        <f>IFERROR(HS_DB[[#This Row],[Trade Value - USD]]/HS_DB[[#This Row],[Net Weight -KG]],0)</f>
        <v>1.5083224591671411</v>
      </c>
      <c r="AJ469" s="17" cm="1">
        <f t="array" ref="AJ469">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69" s="17" t="str">
        <f>IF(HS_DB[[#This Row],[HS Code Risk Score]]&gt;=40,"High",
 IF(HS_DB[[#This Row],[HS Code Risk Score]]&gt;=25,"Medium","Low"))</f>
        <v>Medium</v>
      </c>
      <c r="AL469" s="17" t="str">
        <f>IF(RANK(HS_DB[[#This Row],[HS Code Risk Score]],HS_DB[HS Code Risk Score])&lt;=10,"Yes","No")</f>
        <v>No</v>
      </c>
      <c r="AM469" s="8">
        <f>SUMIFS(HS_DB[Net Weight -KG],HS_DB[HS Code],HS_DB[[#This Row],[HS Code]])</f>
        <v>5242717.7</v>
      </c>
      <c r="AN469" s="8">
        <f>SUMIFS(HS_DB[Trade Value - USD],HS_DB[HS Code],HS_DB[[#This Row],[HS Code]])</f>
        <v>9688437</v>
      </c>
      <c r="AO469" s="6">
        <f>_xlfn.MAXIFS(HS_DB[Origin Share%],HS_DB[HS Code],HS_DB[[#This Row],[HS Code]])</f>
        <v>6.321329281187793E-2</v>
      </c>
      <c r="AP469" s="8" cm="1">
        <f t="array" ref="AP469">_xlfn.LET(
_xlpm.hs,HS_DB[[#This Row],[HS Code]],
COUNTA(_xlfn.UNIQUE(_xlfn._xlws.FILTER(HS_DB[Reporter],HS_DB[HS Code]=_xlpm.hs)))
)</f>
        <v>11</v>
      </c>
      <c r="AQ469" s="17" t="str">
        <f>IF(HS_DB[[#This Row],[Origin Count]]=1,"Single Source","Multiple Sources")</f>
        <v>Multiple Sources</v>
      </c>
      <c r="AR469" s="8">
        <f>HS_DB[[#This Row],[Annual Spend - USD]]*(HS_DB[[#This Row],[HS Code Risk Score]]/100)</f>
        <v>3294068.58</v>
      </c>
      <c r="AS469" s="8">
        <f>RANK(HS_DB[[#This Row],[Risk Exposure - USD]],HS_DB[Risk Exposure - USD],0)</f>
        <v>304</v>
      </c>
      <c r="AT469" s="8" t="str">
        <f>IF(HS_DB[[#This Row],[Risk Exposure Rank]]&lt;=10,"High",
 IF(HS_DB[[#This Row],[Risk Exposure Rank]]&lt;=30,"Medium",
 "Low"))</f>
        <v>Low</v>
      </c>
      <c r="AU469" s="8" t="str">
        <f>IF(HS_DB[[#This Row],[Risk Exposure Rank]]&lt;=5,"Immediate Action",
 IF(HS_DB[[#This Row],[Risk Exposure Rank]]&lt;=15,"Monitor Closely",
 "Routine Control"))</f>
        <v>Routine Control</v>
      </c>
      <c r="AV469" s="8">
        <f>SUMIFS(HS_DB[Trade Value - USD],HS_DB[HS Code],HS_DB[[#This Row],[HS Code]])</f>
        <v>9688437</v>
      </c>
      <c r="AW469" s="6">
        <f>HS_DB[[#This Row],[Annual Spend - USD]]/HS_DB[[#This Row],[Total Market Size - USD]]</f>
        <v>1</v>
      </c>
      <c r="AX469" s="6" cm="1">
        <f t="array" ref="AX469">COUNTA(_xlfn.UNIQUE(_xlfn._xlws.FILTER(HS_DB[Partner],HS_DB[HS Code]=HS_DB[[#This Row],[HS Code]])))</f>
        <v>1</v>
      </c>
      <c r="AY469" s="8" t="str">
        <f>IF(HS_DB[[#This Row],[Competition Intensity]]&lt;=2,"Highly Concentrated",
 IF(HS_DB[[#This Row],[Competition Intensity]]&lt;=5,"Moderate",
 "Highly Competitive"))</f>
        <v>Highly Concentrated</v>
      </c>
      <c r="AZ469" s="8">
        <f>HS_DB[[#This Row],[Total Market Size - USD]]
*
(1+IFERROR(#REF!,0))
/
HS_DB[[#This Row],[Competition Intensity]]</f>
        <v>9688437</v>
      </c>
      <c r="BA469" s="8" t="str">
        <f>IF(HS_DB[[#This Row],[Commercial Opportunity Score]]&gt;=PERCENTILE(HS_DB[Commercial Opportunity Score],0.9),"High Opportunity",
 IF(HS_DB[[#This Row],[Commercial Opportunity Score]]&gt;=PERCENTILE(HS_DB[Commercial Opportunity Score],0.6),"Medium Opportunity",
 "Routine Market"))</f>
        <v>Routine Market</v>
      </c>
      <c r="BB469" s="3" t="str">
        <f>IF(AND(HS_DB[[#This Row],[Product Rank]]&gt;0,HS_DB[[#This Row],[Product Rank]]&lt;=10),"Yes","No")</f>
        <v>No</v>
      </c>
      <c r="BC469" s="3" t="str">
        <f>IF(AND(HS_DB[[#This Row],[Origin Rank]]&gt;0,HS_DB[[#This Row],[Origin Rank]]&lt;=10),"Yes","No")</f>
        <v>Yes</v>
      </c>
    </row>
    <row r="470" spans="2:55" x14ac:dyDescent="0.3">
      <c r="B470" s="2">
        <f>HS_DB[[#This Row],[Commodity Code]]</f>
        <v>170211</v>
      </c>
      <c r="C470" s="2">
        <f>IFERROR(INDEX(HS_MD!C:C,MATCH(B470,HS_MD!B:B,0),1),"")</f>
        <v>40</v>
      </c>
      <c r="D470" s="17" t="str">
        <f>IFERROR(INDEX(HS_MD!D:D,MATCH(B470,HS_MD!B:B,0),1),"")</f>
        <v>Lactose</v>
      </c>
      <c r="E470" s="17" t="str">
        <f>IFERROR(INDEX(HS_MD!E:E,MATCH(B470,HS_MD!B:B,0),1),"")</f>
        <v>Lactose</v>
      </c>
      <c r="F470" s="17" t="str">
        <f>IFERROR(INDEX(HS_MD!F:F,MATCH(B470,HS_MD!B:B,0),1),"")</f>
        <v>Dairy Ingredients</v>
      </c>
      <c r="G470" s="17" t="str">
        <f>IFERROR(INDEX(HS_MD!G:G,MATCH(B470,HS_MD!B:B,0),1),"")</f>
        <v>Milk Sugars</v>
      </c>
      <c r="H470" s="17" t="str">
        <f>IFERROR(INDEX(HS_MD!H:H,MATCH(B470,HS_MD!B:B,0),1),"")</f>
        <v>Lactose Powder</v>
      </c>
      <c r="I470" s="17" t="str">
        <f>IFERROR(INDEX(HS_MD!I:I,MATCH(B470,HS_MD!B:B,0),1),"")</f>
        <v>Confectionery / Pharma</v>
      </c>
      <c r="J470" s="17">
        <f>IFERROR(INDEX(Heat_Map[Index],MATCH(HS_DB[[#This Row],[Reporter]],Heat_Map[Global],0),1),"")</f>
        <v>63</v>
      </c>
      <c r="K470" s="17" t="str">
        <f>IF(AND(HS_DB[[#This Row],[Origin Rank]]&gt;1,HS_DB[[#This Row],[Origin Rank]]&lt;=10),"Yes","No")</f>
        <v>Yes</v>
      </c>
      <c r="L470" s="2">
        <v>2024</v>
      </c>
      <c r="M470" s="2" t="s">
        <v>57</v>
      </c>
      <c r="N470" s="2" t="s">
        <v>2</v>
      </c>
      <c r="O470" s="2" t="s">
        <v>22</v>
      </c>
      <c r="P470" s="2" t="s">
        <v>23</v>
      </c>
      <c r="Q470" s="2" t="s">
        <v>24</v>
      </c>
      <c r="R470" s="2" t="s">
        <v>25</v>
      </c>
      <c r="S470" s="2">
        <v>170211</v>
      </c>
      <c r="T470" s="3">
        <v>1463602</v>
      </c>
      <c r="U470" s="3">
        <v>527932.19999999995</v>
      </c>
      <c r="V470" s="3">
        <v>0</v>
      </c>
      <c r="W470" s="3">
        <v>527932</v>
      </c>
      <c r="X470" s="3" t="s">
        <v>58</v>
      </c>
      <c r="Y470" s="3">
        <v>0</v>
      </c>
      <c r="Z470" s="3" t="s">
        <v>26</v>
      </c>
      <c r="AA470" s="6">
        <f>SUMIFS(HS_DB[Trade Value - USD],HS_DB[Reporter],HS_DB[[#This Row],[Reporter]])/SUM(HS_DB[Trade Value - USD])</f>
        <v>1.1674623358397021E-2</v>
      </c>
      <c r="AB470" s="8" cm="1">
        <f t="array" ref="AB470">SUMPRODUCT(
(HS_DB[Reporter]=HS_DB[[#This Row],[Reporter]])*
(HS_DB[Trade Value - USD]&gt;HS_DB[[#This Row],[Trade Value - USD]])
)+1</f>
        <v>5</v>
      </c>
      <c r="AC470" s="8" t="str">
        <f>IFERROR(IF(INDEX(Heat_Map[Crisis Impact %],MATCH(HS_DB[[#This Row],[Reporter]],Heat_Map[Global],0),1)&gt;0,"Yes","No"),"No")</f>
        <v>No</v>
      </c>
      <c r="AD470" s="6">
        <f>IFERROR(INDEX(Heat_Map[Crisis Impact %],MATCH(HS_DB[[#This Row],[Reporter]],Heat_Map[Global],0),1),0)</f>
        <v>0</v>
      </c>
      <c r="AE470" s="8">
        <f>HS_DB[[#This Row],[Crisis Impact%]]*HS_DB[[#This Row],[Trade Value - USD]]</f>
        <v>0</v>
      </c>
      <c r="AF470" s="8">
        <f>HS_DB[[#This Row],[Crisis Impact%]]*HS_DB[[#This Row],[Net Weight -KG]]</f>
        <v>0</v>
      </c>
      <c r="AG470" s="6">
        <f>SUMIFS(HS_DB[Trade Value - USD],HS_DB[Products],HS_DB[[#This Row],[Products]])/SUM(HS_DB[Trade Value - USD])</f>
        <v>5.139731729118439E-3</v>
      </c>
      <c r="AH470" s="8">
        <f>_xlfn.RANK.EQ(HS_DB[[#This Row],[Trade Value - USD]], HS_DB[Trade Value - USD], 0)
 + COUNTIFS(HS_DB[Trade Value - USD],HS_DB[[#This Row],[Trade Value - USD]],
            HS_DB[HS Code],"&lt;"&amp;HS_DB[[#This Row],[HS Code]])</f>
        <v>78</v>
      </c>
      <c r="AI470" s="9">
        <f>IFERROR(HS_DB[[#This Row],[Trade Value - USD]]/HS_DB[[#This Row],[Net Weight -KG]],0)</f>
        <v>2.7723294771563474</v>
      </c>
      <c r="AJ470" s="17" cm="1">
        <f t="array" ref="AJ470">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70" s="17" t="str">
        <f>IF(HS_DB[[#This Row],[HS Code Risk Score]]&gt;=40,"High",
 IF(HS_DB[[#This Row],[HS Code Risk Score]]&gt;=25,"Medium","Low"))</f>
        <v>Medium</v>
      </c>
      <c r="AL470" s="17" t="str">
        <f>IF(RANK(HS_DB[[#This Row],[HS Code Risk Score]],HS_DB[HS Code Risk Score])&lt;=10,"Yes","No")</f>
        <v>No</v>
      </c>
      <c r="AM470" s="8">
        <f>SUMIFS(HS_DB[Net Weight -KG],HS_DB[HS Code],HS_DB[[#This Row],[HS Code]])</f>
        <v>5242717.7</v>
      </c>
      <c r="AN470" s="8">
        <f>SUMIFS(HS_DB[Trade Value - USD],HS_DB[HS Code],HS_DB[[#This Row],[HS Code]])</f>
        <v>9688437</v>
      </c>
      <c r="AO470" s="6">
        <f>_xlfn.MAXIFS(HS_DB[Origin Share%],HS_DB[HS Code],HS_DB[[#This Row],[HS Code]])</f>
        <v>6.321329281187793E-2</v>
      </c>
      <c r="AP470" s="8" cm="1">
        <f t="array" ref="AP470">_xlfn.LET(
_xlpm.hs,HS_DB[[#This Row],[HS Code]],
COUNTA(_xlfn.UNIQUE(_xlfn._xlws.FILTER(HS_DB[Reporter],HS_DB[HS Code]=_xlpm.hs)))
)</f>
        <v>11</v>
      </c>
      <c r="AQ470" s="17" t="str">
        <f>IF(HS_DB[[#This Row],[Origin Count]]=1,"Single Source","Multiple Sources")</f>
        <v>Multiple Sources</v>
      </c>
      <c r="AR470" s="8">
        <f>HS_DB[[#This Row],[Annual Spend - USD]]*(HS_DB[[#This Row],[HS Code Risk Score]]/100)</f>
        <v>3294068.58</v>
      </c>
      <c r="AS470" s="8">
        <f>RANK(HS_DB[[#This Row],[Risk Exposure - USD]],HS_DB[Risk Exposure - USD],0)</f>
        <v>304</v>
      </c>
      <c r="AT470" s="8" t="str">
        <f>IF(HS_DB[[#This Row],[Risk Exposure Rank]]&lt;=10,"High",
 IF(HS_DB[[#This Row],[Risk Exposure Rank]]&lt;=30,"Medium",
 "Low"))</f>
        <v>Low</v>
      </c>
      <c r="AU470" s="8" t="str">
        <f>IF(HS_DB[[#This Row],[Risk Exposure Rank]]&lt;=5,"Immediate Action",
 IF(HS_DB[[#This Row],[Risk Exposure Rank]]&lt;=15,"Monitor Closely",
 "Routine Control"))</f>
        <v>Routine Control</v>
      </c>
      <c r="AV470" s="8">
        <f>SUMIFS(HS_DB[Trade Value - USD],HS_DB[HS Code],HS_DB[[#This Row],[HS Code]])</f>
        <v>9688437</v>
      </c>
      <c r="AW470" s="6">
        <f>HS_DB[[#This Row],[Annual Spend - USD]]/HS_DB[[#This Row],[Total Market Size - USD]]</f>
        <v>1</v>
      </c>
      <c r="AX470" s="6" cm="1">
        <f t="array" ref="AX470">COUNTA(_xlfn.UNIQUE(_xlfn._xlws.FILTER(HS_DB[Partner],HS_DB[HS Code]=HS_DB[[#This Row],[HS Code]])))</f>
        <v>1</v>
      </c>
      <c r="AY470" s="8" t="str">
        <f>IF(HS_DB[[#This Row],[Competition Intensity]]&lt;=2,"Highly Concentrated",
 IF(HS_DB[[#This Row],[Competition Intensity]]&lt;=5,"Moderate",
 "Highly Competitive"))</f>
        <v>Highly Concentrated</v>
      </c>
      <c r="AZ470" s="8">
        <f>HS_DB[[#This Row],[Total Market Size - USD]]
*
(1+IFERROR(#REF!,0))
/
HS_DB[[#This Row],[Competition Intensity]]</f>
        <v>9688437</v>
      </c>
      <c r="BA470" s="8" t="str">
        <f>IF(HS_DB[[#This Row],[Commercial Opportunity Score]]&gt;=PERCENTILE(HS_DB[Commercial Opportunity Score],0.9),"High Opportunity",
 IF(HS_DB[[#This Row],[Commercial Opportunity Score]]&gt;=PERCENTILE(HS_DB[Commercial Opportunity Score],0.6),"Medium Opportunity",
 "Routine Market"))</f>
        <v>Routine Market</v>
      </c>
      <c r="BB470" s="3" t="str">
        <f>IF(AND(HS_DB[[#This Row],[Product Rank]]&gt;0,HS_DB[[#This Row],[Product Rank]]&lt;=10),"Yes","No")</f>
        <v>No</v>
      </c>
      <c r="BC470" s="3" t="str">
        <f>IF(AND(HS_DB[[#This Row],[Origin Rank]]&gt;0,HS_DB[[#This Row],[Origin Rank]]&lt;=10),"Yes","No")</f>
        <v>Yes</v>
      </c>
    </row>
    <row r="471" spans="2:55" x14ac:dyDescent="0.3">
      <c r="B471" s="2">
        <f>HS_DB[[#This Row],[Commodity Code]]</f>
        <v>170211</v>
      </c>
      <c r="C471" s="2">
        <f>IFERROR(INDEX(HS_MD!C:C,MATCH(B471,HS_MD!B:B,0),1),"")</f>
        <v>40</v>
      </c>
      <c r="D471" s="17" t="str">
        <f>IFERROR(INDEX(HS_MD!D:D,MATCH(B471,HS_MD!B:B,0),1),"")</f>
        <v>Lactose</v>
      </c>
      <c r="E471" s="17" t="str">
        <f>IFERROR(INDEX(HS_MD!E:E,MATCH(B471,HS_MD!B:B,0),1),"")</f>
        <v>Lactose</v>
      </c>
      <c r="F471" s="17" t="str">
        <f>IFERROR(INDEX(HS_MD!F:F,MATCH(B471,HS_MD!B:B,0),1),"")</f>
        <v>Dairy Ingredients</v>
      </c>
      <c r="G471" s="17" t="str">
        <f>IFERROR(INDEX(HS_MD!G:G,MATCH(B471,HS_MD!B:B,0),1),"")</f>
        <v>Milk Sugars</v>
      </c>
      <c r="H471" s="17" t="str">
        <f>IFERROR(INDEX(HS_MD!H:H,MATCH(B471,HS_MD!B:B,0),1),"")</f>
        <v>Lactose Powder</v>
      </c>
      <c r="I471" s="17" t="str">
        <f>IFERROR(INDEX(HS_MD!I:I,MATCH(B471,HS_MD!B:B,0),1),"")</f>
        <v>Confectionery / Pharma</v>
      </c>
      <c r="J471" s="17">
        <f>IFERROR(INDEX(Heat_Map[Index],MATCH(HS_DB[[#This Row],[Reporter]],Heat_Map[Global],0),1),"")</f>
        <v>96</v>
      </c>
      <c r="K471" s="17" t="str">
        <f>IF(AND(HS_DB[[#This Row],[Origin Rank]]&gt;1,HS_DB[[#This Row],[Origin Rank]]&lt;=10),"Yes","No")</f>
        <v>No</v>
      </c>
      <c r="L471" s="2">
        <v>2024</v>
      </c>
      <c r="M471" s="2" t="s">
        <v>57</v>
      </c>
      <c r="N471" s="2" t="s">
        <v>307</v>
      </c>
      <c r="O471" s="2" t="s">
        <v>22</v>
      </c>
      <c r="P471" s="2" t="s">
        <v>23</v>
      </c>
      <c r="Q471" s="2" t="s">
        <v>24</v>
      </c>
      <c r="R471" s="2" t="s">
        <v>25</v>
      </c>
      <c r="S471" s="2">
        <v>170211</v>
      </c>
      <c r="T471" s="3">
        <v>517215</v>
      </c>
      <c r="U471" s="3">
        <v>700000</v>
      </c>
      <c r="V471" s="3">
        <v>0</v>
      </c>
      <c r="W471" s="3">
        <v>700000</v>
      </c>
      <c r="X471" s="3" t="s">
        <v>58</v>
      </c>
      <c r="Y471" s="3">
        <v>700000</v>
      </c>
      <c r="Z471" s="3" t="s">
        <v>58</v>
      </c>
      <c r="AA471" s="6">
        <f>SUMIFS(HS_DB[Trade Value - USD],HS_DB[Reporter],HS_DB[[#This Row],[Reporter]])/SUM(HS_DB[Trade Value - USD])</f>
        <v>2.7438340635088957E-4</v>
      </c>
      <c r="AB471" s="8" cm="1">
        <f t="array" ref="AB471">SUMPRODUCT(
(HS_DB[Reporter]=HS_DB[[#This Row],[Reporter]])*
(HS_DB[Trade Value - USD]&gt;HS_DB[[#This Row],[Trade Value - USD]])
)+1</f>
        <v>1</v>
      </c>
      <c r="AC471" s="8" t="str">
        <f>IFERROR(IF(INDEX(Heat_Map[Crisis Impact %],MATCH(HS_DB[[#This Row],[Reporter]],Heat_Map[Global],0),1)&gt;0,"Yes","No"),"No")</f>
        <v>No</v>
      </c>
      <c r="AD471" s="6">
        <f>IFERROR(INDEX(Heat_Map[Crisis Impact %],MATCH(HS_DB[[#This Row],[Reporter]],Heat_Map[Global],0),1),0)</f>
        <v>0</v>
      </c>
      <c r="AE471" s="8">
        <f>HS_DB[[#This Row],[Crisis Impact%]]*HS_DB[[#This Row],[Trade Value - USD]]</f>
        <v>0</v>
      </c>
      <c r="AF471" s="8">
        <f>HS_DB[[#This Row],[Crisis Impact%]]*HS_DB[[#This Row],[Net Weight -KG]]</f>
        <v>0</v>
      </c>
      <c r="AG471" s="6">
        <f>SUMIFS(HS_DB[Trade Value - USD],HS_DB[Products],HS_DB[[#This Row],[Products]])/SUM(HS_DB[Trade Value - USD])</f>
        <v>5.139731729118439E-3</v>
      </c>
      <c r="AH471" s="8">
        <f>_xlfn.RANK.EQ(HS_DB[[#This Row],[Trade Value - USD]], HS_DB[Trade Value - USD], 0)
 + COUNTIFS(HS_DB[Trade Value - USD],HS_DB[[#This Row],[Trade Value - USD]],
            HS_DB[HS Code],"&lt;"&amp;HS_DB[[#This Row],[HS Code]])</f>
        <v>145</v>
      </c>
      <c r="AI471" s="9">
        <f>IFERROR(HS_DB[[#This Row],[Trade Value - USD]]/HS_DB[[#This Row],[Net Weight -KG]],0)</f>
        <v>0.73887857142857138</v>
      </c>
      <c r="AJ471" s="17" cm="1">
        <f t="array" ref="AJ471">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71" s="17" t="str">
        <f>IF(HS_DB[[#This Row],[HS Code Risk Score]]&gt;=40,"High",
 IF(HS_DB[[#This Row],[HS Code Risk Score]]&gt;=25,"Medium","Low"))</f>
        <v>Medium</v>
      </c>
      <c r="AL471" s="17" t="str">
        <f>IF(RANK(HS_DB[[#This Row],[HS Code Risk Score]],HS_DB[HS Code Risk Score])&lt;=10,"Yes","No")</f>
        <v>No</v>
      </c>
      <c r="AM471" s="8">
        <f>SUMIFS(HS_DB[Net Weight -KG],HS_DB[HS Code],HS_DB[[#This Row],[HS Code]])</f>
        <v>5242717.7</v>
      </c>
      <c r="AN471" s="8">
        <f>SUMIFS(HS_DB[Trade Value - USD],HS_DB[HS Code],HS_DB[[#This Row],[HS Code]])</f>
        <v>9688437</v>
      </c>
      <c r="AO471" s="6">
        <f>_xlfn.MAXIFS(HS_DB[Origin Share%],HS_DB[HS Code],HS_DB[[#This Row],[HS Code]])</f>
        <v>6.321329281187793E-2</v>
      </c>
      <c r="AP471" s="8" cm="1">
        <f t="array" ref="AP471">_xlfn.LET(
_xlpm.hs,HS_DB[[#This Row],[HS Code]],
COUNTA(_xlfn.UNIQUE(_xlfn._xlws.FILTER(HS_DB[Reporter],HS_DB[HS Code]=_xlpm.hs)))
)</f>
        <v>11</v>
      </c>
      <c r="AQ471" s="17" t="str">
        <f>IF(HS_DB[[#This Row],[Origin Count]]=1,"Single Source","Multiple Sources")</f>
        <v>Multiple Sources</v>
      </c>
      <c r="AR471" s="8">
        <f>HS_DB[[#This Row],[Annual Spend - USD]]*(HS_DB[[#This Row],[HS Code Risk Score]]/100)</f>
        <v>3294068.58</v>
      </c>
      <c r="AS471" s="8">
        <f>RANK(HS_DB[[#This Row],[Risk Exposure - USD]],HS_DB[Risk Exposure - USD],0)</f>
        <v>304</v>
      </c>
      <c r="AT471" s="8" t="str">
        <f>IF(HS_DB[[#This Row],[Risk Exposure Rank]]&lt;=10,"High",
 IF(HS_DB[[#This Row],[Risk Exposure Rank]]&lt;=30,"Medium",
 "Low"))</f>
        <v>Low</v>
      </c>
      <c r="AU471" s="8" t="str">
        <f>IF(HS_DB[[#This Row],[Risk Exposure Rank]]&lt;=5,"Immediate Action",
 IF(HS_DB[[#This Row],[Risk Exposure Rank]]&lt;=15,"Monitor Closely",
 "Routine Control"))</f>
        <v>Routine Control</v>
      </c>
      <c r="AV471" s="8">
        <f>SUMIFS(HS_DB[Trade Value - USD],HS_DB[HS Code],HS_DB[[#This Row],[HS Code]])</f>
        <v>9688437</v>
      </c>
      <c r="AW471" s="6">
        <f>HS_DB[[#This Row],[Annual Spend - USD]]/HS_DB[[#This Row],[Total Market Size - USD]]</f>
        <v>1</v>
      </c>
      <c r="AX471" s="6" cm="1">
        <f t="array" ref="AX471">COUNTA(_xlfn.UNIQUE(_xlfn._xlws.FILTER(HS_DB[Partner],HS_DB[HS Code]=HS_DB[[#This Row],[HS Code]])))</f>
        <v>1</v>
      </c>
      <c r="AY471" s="8" t="str">
        <f>IF(HS_DB[[#This Row],[Competition Intensity]]&lt;=2,"Highly Concentrated",
 IF(HS_DB[[#This Row],[Competition Intensity]]&lt;=5,"Moderate",
 "Highly Competitive"))</f>
        <v>Highly Concentrated</v>
      </c>
      <c r="AZ471" s="8">
        <f>HS_DB[[#This Row],[Total Market Size - USD]]
*
(1+IFERROR(#REF!,0))
/
HS_DB[[#This Row],[Competition Intensity]]</f>
        <v>9688437</v>
      </c>
      <c r="BA471" s="8" t="str">
        <f>IF(HS_DB[[#This Row],[Commercial Opportunity Score]]&gt;=PERCENTILE(HS_DB[Commercial Opportunity Score],0.9),"High Opportunity",
 IF(HS_DB[[#This Row],[Commercial Opportunity Score]]&gt;=PERCENTILE(HS_DB[Commercial Opportunity Score],0.6),"Medium Opportunity",
 "Routine Market"))</f>
        <v>Routine Market</v>
      </c>
      <c r="BB471" s="3" t="str">
        <f>IF(AND(HS_DB[[#This Row],[Product Rank]]&gt;0,HS_DB[[#This Row],[Product Rank]]&lt;=10),"Yes","No")</f>
        <v>No</v>
      </c>
      <c r="BC471" s="3" t="str">
        <f>IF(AND(HS_DB[[#This Row],[Origin Rank]]&gt;0,HS_DB[[#This Row],[Origin Rank]]&lt;=10),"Yes","No")</f>
        <v>Yes</v>
      </c>
    </row>
    <row r="472" spans="2:55" x14ac:dyDescent="0.3">
      <c r="B472" s="2">
        <f>HS_DB[[#This Row],[Commodity Code]]</f>
        <v>170211</v>
      </c>
      <c r="C472" s="2">
        <f>IFERROR(INDEX(HS_MD!C:C,MATCH(B472,HS_MD!B:B,0),1),"")</f>
        <v>40</v>
      </c>
      <c r="D472" s="17" t="str">
        <f>IFERROR(INDEX(HS_MD!D:D,MATCH(B472,HS_MD!B:B,0),1),"")</f>
        <v>Lactose</v>
      </c>
      <c r="E472" s="17" t="str">
        <f>IFERROR(INDEX(HS_MD!E:E,MATCH(B472,HS_MD!B:B,0),1),"")</f>
        <v>Lactose</v>
      </c>
      <c r="F472" s="17" t="str">
        <f>IFERROR(INDEX(HS_MD!F:F,MATCH(B472,HS_MD!B:B,0),1),"")</f>
        <v>Dairy Ingredients</v>
      </c>
      <c r="G472" s="17" t="str">
        <f>IFERROR(INDEX(HS_MD!G:G,MATCH(B472,HS_MD!B:B,0),1),"")</f>
        <v>Milk Sugars</v>
      </c>
      <c r="H472" s="17" t="str">
        <f>IFERROR(INDEX(HS_MD!H:H,MATCH(B472,HS_MD!B:B,0),1),"")</f>
        <v>Lactose Powder</v>
      </c>
      <c r="I472" s="17" t="str">
        <f>IFERROR(INDEX(HS_MD!I:I,MATCH(B472,HS_MD!B:B,0),1),"")</f>
        <v>Confectionery / Pharma</v>
      </c>
      <c r="J472" s="17">
        <f>IFERROR(INDEX(Heat_Map[Index],MATCH(HS_DB[[#This Row],[Reporter]],Heat_Map[Global],0),1),"")</f>
        <v>118</v>
      </c>
      <c r="K472" s="17" t="str">
        <f>IF(AND(HS_DB[[#This Row],[Origin Rank]]&gt;1,HS_DB[[#This Row],[Origin Rank]]&lt;=10),"Yes","No")</f>
        <v>Yes</v>
      </c>
      <c r="L472" s="2">
        <v>2024</v>
      </c>
      <c r="M472" s="2" t="s">
        <v>57</v>
      </c>
      <c r="N472" s="2" t="s">
        <v>53</v>
      </c>
      <c r="O472" s="2" t="s">
        <v>22</v>
      </c>
      <c r="P472" s="2" t="s">
        <v>23</v>
      </c>
      <c r="Q472" s="2" t="s">
        <v>24</v>
      </c>
      <c r="R472" s="2" t="s">
        <v>25</v>
      </c>
      <c r="S472" s="2">
        <v>170211</v>
      </c>
      <c r="T472" s="3">
        <v>2910829</v>
      </c>
      <c r="U472" s="3">
        <v>781573</v>
      </c>
      <c r="V472" s="3">
        <v>0</v>
      </c>
      <c r="W472" s="3">
        <v>781573</v>
      </c>
      <c r="X472" s="3" t="s">
        <v>58</v>
      </c>
      <c r="Y472" s="3">
        <v>781573</v>
      </c>
      <c r="Z472" s="3" t="s">
        <v>58</v>
      </c>
      <c r="AA472" s="6">
        <f>SUMIFS(HS_DB[Trade Value - USD],HS_DB[Reporter],HS_DB[[#This Row],[Reporter]])/SUM(HS_DB[Trade Value - USD])</f>
        <v>1.4561232389604124E-2</v>
      </c>
      <c r="AB472" s="8" cm="1">
        <f t="array" ref="AB472">SUMPRODUCT(
(HS_DB[Reporter]=HS_DB[[#This Row],[Reporter]])*
(HS_DB[Trade Value - USD]&gt;HS_DB[[#This Row],[Trade Value - USD]])
)+1</f>
        <v>3</v>
      </c>
      <c r="AC472" s="8" t="str">
        <f>IFERROR(IF(INDEX(Heat_Map[Crisis Impact %],MATCH(HS_DB[[#This Row],[Reporter]],Heat_Map[Global],0),1)&gt;0,"Yes","No"),"No")</f>
        <v>No</v>
      </c>
      <c r="AD472" s="6">
        <f>IFERROR(INDEX(Heat_Map[Crisis Impact %],MATCH(HS_DB[[#This Row],[Reporter]],Heat_Map[Global],0),1),0)</f>
        <v>0</v>
      </c>
      <c r="AE472" s="8">
        <f>HS_DB[[#This Row],[Crisis Impact%]]*HS_DB[[#This Row],[Trade Value - USD]]</f>
        <v>0</v>
      </c>
      <c r="AF472" s="8">
        <f>HS_DB[[#This Row],[Crisis Impact%]]*HS_DB[[#This Row],[Net Weight -KG]]</f>
        <v>0</v>
      </c>
      <c r="AG472" s="6">
        <f>SUMIFS(HS_DB[Trade Value - USD],HS_DB[Products],HS_DB[[#This Row],[Products]])/SUM(HS_DB[Trade Value - USD])</f>
        <v>5.139731729118439E-3</v>
      </c>
      <c r="AH472" s="8">
        <f>_xlfn.RANK.EQ(HS_DB[[#This Row],[Trade Value - USD]], HS_DB[Trade Value - USD], 0)
 + COUNTIFS(HS_DB[Trade Value - USD],HS_DB[[#This Row],[Trade Value - USD]],
            HS_DB[HS Code],"&lt;"&amp;HS_DB[[#This Row],[HS Code]])</f>
        <v>46</v>
      </c>
      <c r="AI472" s="9">
        <f>IFERROR(HS_DB[[#This Row],[Trade Value - USD]]/HS_DB[[#This Row],[Net Weight -KG]],0)</f>
        <v>3.7243213365866015</v>
      </c>
      <c r="AJ472" s="17" cm="1">
        <f t="array" ref="AJ472">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72" s="17" t="str">
        <f>IF(HS_DB[[#This Row],[HS Code Risk Score]]&gt;=40,"High",
 IF(HS_DB[[#This Row],[HS Code Risk Score]]&gt;=25,"Medium","Low"))</f>
        <v>Medium</v>
      </c>
      <c r="AL472" s="17" t="str">
        <f>IF(RANK(HS_DB[[#This Row],[HS Code Risk Score]],HS_DB[HS Code Risk Score])&lt;=10,"Yes","No")</f>
        <v>No</v>
      </c>
      <c r="AM472" s="8">
        <f>SUMIFS(HS_DB[Net Weight -KG],HS_DB[HS Code],HS_DB[[#This Row],[HS Code]])</f>
        <v>5242717.7</v>
      </c>
      <c r="AN472" s="8">
        <f>SUMIFS(HS_DB[Trade Value - USD],HS_DB[HS Code],HS_DB[[#This Row],[HS Code]])</f>
        <v>9688437</v>
      </c>
      <c r="AO472" s="6">
        <f>_xlfn.MAXIFS(HS_DB[Origin Share%],HS_DB[HS Code],HS_DB[[#This Row],[HS Code]])</f>
        <v>6.321329281187793E-2</v>
      </c>
      <c r="AP472" s="8" cm="1">
        <f t="array" ref="AP472">_xlfn.LET(
_xlpm.hs,HS_DB[[#This Row],[HS Code]],
COUNTA(_xlfn.UNIQUE(_xlfn._xlws.FILTER(HS_DB[Reporter],HS_DB[HS Code]=_xlpm.hs)))
)</f>
        <v>11</v>
      </c>
      <c r="AQ472" s="17" t="str">
        <f>IF(HS_DB[[#This Row],[Origin Count]]=1,"Single Source","Multiple Sources")</f>
        <v>Multiple Sources</v>
      </c>
      <c r="AR472" s="8">
        <f>HS_DB[[#This Row],[Annual Spend - USD]]*(HS_DB[[#This Row],[HS Code Risk Score]]/100)</f>
        <v>3294068.58</v>
      </c>
      <c r="AS472" s="8">
        <f>RANK(HS_DB[[#This Row],[Risk Exposure - USD]],HS_DB[Risk Exposure - USD],0)</f>
        <v>304</v>
      </c>
      <c r="AT472" s="8" t="str">
        <f>IF(HS_DB[[#This Row],[Risk Exposure Rank]]&lt;=10,"High",
 IF(HS_DB[[#This Row],[Risk Exposure Rank]]&lt;=30,"Medium",
 "Low"))</f>
        <v>Low</v>
      </c>
      <c r="AU472" s="8" t="str">
        <f>IF(HS_DB[[#This Row],[Risk Exposure Rank]]&lt;=5,"Immediate Action",
 IF(HS_DB[[#This Row],[Risk Exposure Rank]]&lt;=15,"Monitor Closely",
 "Routine Control"))</f>
        <v>Routine Control</v>
      </c>
      <c r="AV472" s="8">
        <f>SUMIFS(HS_DB[Trade Value - USD],HS_DB[HS Code],HS_DB[[#This Row],[HS Code]])</f>
        <v>9688437</v>
      </c>
      <c r="AW472" s="6">
        <f>HS_DB[[#This Row],[Annual Spend - USD]]/HS_DB[[#This Row],[Total Market Size - USD]]</f>
        <v>1</v>
      </c>
      <c r="AX472" s="6" cm="1">
        <f t="array" ref="AX472">COUNTA(_xlfn.UNIQUE(_xlfn._xlws.FILTER(HS_DB[Partner],HS_DB[HS Code]=HS_DB[[#This Row],[HS Code]])))</f>
        <v>1</v>
      </c>
      <c r="AY472" s="8" t="str">
        <f>IF(HS_DB[[#This Row],[Competition Intensity]]&lt;=2,"Highly Concentrated",
 IF(HS_DB[[#This Row],[Competition Intensity]]&lt;=5,"Moderate",
 "Highly Competitive"))</f>
        <v>Highly Concentrated</v>
      </c>
      <c r="AZ472" s="8">
        <f>HS_DB[[#This Row],[Total Market Size - USD]]
*
(1+IFERROR(#REF!,0))
/
HS_DB[[#This Row],[Competition Intensity]]</f>
        <v>9688437</v>
      </c>
      <c r="BA472" s="8" t="str">
        <f>IF(HS_DB[[#This Row],[Commercial Opportunity Score]]&gt;=PERCENTILE(HS_DB[Commercial Opportunity Score],0.9),"High Opportunity",
 IF(HS_DB[[#This Row],[Commercial Opportunity Score]]&gt;=PERCENTILE(HS_DB[Commercial Opportunity Score],0.6),"Medium Opportunity",
 "Routine Market"))</f>
        <v>Routine Market</v>
      </c>
      <c r="BB472" s="3" t="str">
        <f>IF(AND(HS_DB[[#This Row],[Product Rank]]&gt;0,HS_DB[[#This Row],[Product Rank]]&lt;=10),"Yes","No")</f>
        <v>No</v>
      </c>
      <c r="BC472" s="3" t="str">
        <f>IF(AND(HS_DB[[#This Row],[Origin Rank]]&gt;0,HS_DB[[#This Row],[Origin Rank]]&lt;=10),"Yes","No")</f>
        <v>Yes</v>
      </c>
    </row>
    <row r="473" spans="2:55" x14ac:dyDescent="0.3">
      <c r="B473" s="2">
        <f>HS_DB[[#This Row],[Commodity Code]]</f>
        <v>170211</v>
      </c>
      <c r="C473" s="2">
        <f>IFERROR(INDEX(HS_MD!C:C,MATCH(B473,HS_MD!B:B,0),1),"")</f>
        <v>40</v>
      </c>
      <c r="D473" s="17" t="str">
        <f>IFERROR(INDEX(HS_MD!D:D,MATCH(B473,HS_MD!B:B,0),1),"")</f>
        <v>Lactose</v>
      </c>
      <c r="E473" s="17" t="str">
        <f>IFERROR(INDEX(HS_MD!E:E,MATCH(B473,HS_MD!B:B,0),1),"")</f>
        <v>Lactose</v>
      </c>
      <c r="F473" s="17" t="str">
        <f>IFERROR(INDEX(HS_MD!F:F,MATCH(B473,HS_MD!B:B,0),1),"")</f>
        <v>Dairy Ingredients</v>
      </c>
      <c r="G473" s="17" t="str">
        <f>IFERROR(INDEX(HS_MD!G:G,MATCH(B473,HS_MD!B:B,0),1),"")</f>
        <v>Milk Sugars</v>
      </c>
      <c r="H473" s="17" t="str">
        <f>IFERROR(INDEX(HS_MD!H:H,MATCH(B473,HS_MD!B:B,0),1),"")</f>
        <v>Lactose Powder</v>
      </c>
      <c r="I473" s="17" t="str">
        <f>IFERROR(INDEX(HS_MD!I:I,MATCH(B473,HS_MD!B:B,0),1),"")</f>
        <v>Confectionery / Pharma</v>
      </c>
      <c r="J473" s="17">
        <f>IFERROR(INDEX(Heat_Map[Index],MATCH(HS_DB[[#This Row],[Reporter]],Heat_Map[Global],0),1),"")</f>
        <v>75</v>
      </c>
      <c r="K473" s="17" t="str">
        <f>IF(AND(HS_DB[[#This Row],[Origin Rank]]&gt;1,HS_DB[[#This Row],[Origin Rank]]&lt;=10),"Yes","No")</f>
        <v>No</v>
      </c>
      <c r="L473" s="2">
        <v>2024</v>
      </c>
      <c r="M473" s="2" t="s">
        <v>57</v>
      </c>
      <c r="N473" s="2" t="s">
        <v>8</v>
      </c>
      <c r="O473" s="2" t="s">
        <v>22</v>
      </c>
      <c r="P473" s="2" t="s">
        <v>23</v>
      </c>
      <c r="Q473" s="2" t="s">
        <v>24</v>
      </c>
      <c r="R473" s="2" t="s">
        <v>25</v>
      </c>
      <c r="S473" s="2">
        <v>170211</v>
      </c>
      <c r="T473" s="3">
        <v>1075728</v>
      </c>
      <c r="U473" s="3">
        <v>472038</v>
      </c>
      <c r="V473" s="3">
        <v>0</v>
      </c>
      <c r="W473" s="3">
        <v>472038</v>
      </c>
      <c r="X473" s="3" t="s">
        <v>58</v>
      </c>
      <c r="Y473" s="3">
        <v>472038</v>
      </c>
      <c r="Z473" s="3" t="s">
        <v>58</v>
      </c>
      <c r="AA473" s="6">
        <f>SUMIFS(HS_DB[Trade Value - USD],HS_DB[Reporter],HS_DB[[#This Row],[Reporter]])/SUM(HS_DB[Trade Value - USD])</f>
        <v>2.2441761060335613E-2</v>
      </c>
      <c r="AB473" s="8" cm="1">
        <f t="array" ref="AB473">SUMPRODUCT(
(HS_DB[Reporter]=HS_DB[[#This Row],[Reporter]])*
(HS_DB[Trade Value - USD]&gt;HS_DB[[#This Row],[Trade Value - USD]])
)+1</f>
        <v>11</v>
      </c>
      <c r="AC473" s="8" t="str">
        <f>IFERROR(IF(INDEX(Heat_Map[Crisis Impact %],MATCH(HS_DB[[#This Row],[Reporter]],Heat_Map[Global],0),1)&gt;0,"Yes","No"),"No")</f>
        <v>No</v>
      </c>
      <c r="AD473" s="6">
        <f>IFERROR(INDEX(Heat_Map[Crisis Impact %],MATCH(HS_DB[[#This Row],[Reporter]],Heat_Map[Global],0),1),0)</f>
        <v>0</v>
      </c>
      <c r="AE473" s="8">
        <f>HS_DB[[#This Row],[Crisis Impact%]]*HS_DB[[#This Row],[Trade Value - USD]]</f>
        <v>0</v>
      </c>
      <c r="AF473" s="8">
        <f>HS_DB[[#This Row],[Crisis Impact%]]*HS_DB[[#This Row],[Net Weight -KG]]</f>
        <v>0</v>
      </c>
      <c r="AG473" s="6">
        <f>SUMIFS(HS_DB[Trade Value - USD],HS_DB[Products],HS_DB[[#This Row],[Products]])/SUM(HS_DB[Trade Value - USD])</f>
        <v>5.139731729118439E-3</v>
      </c>
      <c r="AH473" s="8">
        <f>_xlfn.RANK.EQ(HS_DB[[#This Row],[Trade Value - USD]], HS_DB[Trade Value - USD], 0)
 + COUNTIFS(HS_DB[Trade Value - USD],HS_DB[[#This Row],[Trade Value - USD]],
            HS_DB[HS Code],"&lt;"&amp;HS_DB[[#This Row],[HS Code]])</f>
        <v>100</v>
      </c>
      <c r="AI473" s="9">
        <f>IFERROR(HS_DB[[#This Row],[Trade Value - USD]]/HS_DB[[#This Row],[Net Weight -KG]],0)</f>
        <v>2.2789012748973598</v>
      </c>
      <c r="AJ473" s="17" cm="1">
        <f t="array" ref="AJ473">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73" s="17" t="str">
        <f>IF(HS_DB[[#This Row],[HS Code Risk Score]]&gt;=40,"High",
 IF(HS_DB[[#This Row],[HS Code Risk Score]]&gt;=25,"Medium","Low"))</f>
        <v>Medium</v>
      </c>
      <c r="AL473" s="17" t="str">
        <f>IF(RANK(HS_DB[[#This Row],[HS Code Risk Score]],HS_DB[HS Code Risk Score])&lt;=10,"Yes","No")</f>
        <v>No</v>
      </c>
      <c r="AM473" s="8">
        <f>SUMIFS(HS_DB[Net Weight -KG],HS_DB[HS Code],HS_DB[[#This Row],[HS Code]])</f>
        <v>5242717.7</v>
      </c>
      <c r="AN473" s="8">
        <f>SUMIFS(HS_DB[Trade Value - USD],HS_DB[HS Code],HS_DB[[#This Row],[HS Code]])</f>
        <v>9688437</v>
      </c>
      <c r="AO473" s="6">
        <f>_xlfn.MAXIFS(HS_DB[Origin Share%],HS_DB[HS Code],HS_DB[[#This Row],[HS Code]])</f>
        <v>6.321329281187793E-2</v>
      </c>
      <c r="AP473" s="8" cm="1">
        <f t="array" ref="AP473">_xlfn.LET(
_xlpm.hs,HS_DB[[#This Row],[HS Code]],
COUNTA(_xlfn.UNIQUE(_xlfn._xlws.FILTER(HS_DB[Reporter],HS_DB[HS Code]=_xlpm.hs)))
)</f>
        <v>11</v>
      </c>
      <c r="AQ473" s="17" t="str">
        <f>IF(HS_DB[[#This Row],[Origin Count]]=1,"Single Source","Multiple Sources")</f>
        <v>Multiple Sources</v>
      </c>
      <c r="AR473" s="8">
        <f>HS_DB[[#This Row],[Annual Spend - USD]]*(HS_DB[[#This Row],[HS Code Risk Score]]/100)</f>
        <v>3294068.58</v>
      </c>
      <c r="AS473" s="8">
        <f>RANK(HS_DB[[#This Row],[Risk Exposure - USD]],HS_DB[Risk Exposure - USD],0)</f>
        <v>304</v>
      </c>
      <c r="AT473" s="8" t="str">
        <f>IF(HS_DB[[#This Row],[Risk Exposure Rank]]&lt;=10,"High",
 IF(HS_DB[[#This Row],[Risk Exposure Rank]]&lt;=30,"Medium",
 "Low"))</f>
        <v>Low</v>
      </c>
      <c r="AU473" s="8" t="str">
        <f>IF(HS_DB[[#This Row],[Risk Exposure Rank]]&lt;=5,"Immediate Action",
 IF(HS_DB[[#This Row],[Risk Exposure Rank]]&lt;=15,"Monitor Closely",
 "Routine Control"))</f>
        <v>Routine Control</v>
      </c>
      <c r="AV473" s="8">
        <f>SUMIFS(HS_DB[Trade Value - USD],HS_DB[HS Code],HS_DB[[#This Row],[HS Code]])</f>
        <v>9688437</v>
      </c>
      <c r="AW473" s="6">
        <f>HS_DB[[#This Row],[Annual Spend - USD]]/HS_DB[[#This Row],[Total Market Size - USD]]</f>
        <v>1</v>
      </c>
      <c r="AX473" s="6" cm="1">
        <f t="array" ref="AX473">COUNTA(_xlfn.UNIQUE(_xlfn._xlws.FILTER(HS_DB[Partner],HS_DB[HS Code]=HS_DB[[#This Row],[HS Code]])))</f>
        <v>1</v>
      </c>
      <c r="AY473" s="8" t="str">
        <f>IF(HS_DB[[#This Row],[Competition Intensity]]&lt;=2,"Highly Concentrated",
 IF(HS_DB[[#This Row],[Competition Intensity]]&lt;=5,"Moderate",
 "Highly Competitive"))</f>
        <v>Highly Concentrated</v>
      </c>
      <c r="AZ473" s="8">
        <f>HS_DB[[#This Row],[Total Market Size - USD]]
*
(1+IFERROR(#REF!,0))
/
HS_DB[[#This Row],[Competition Intensity]]</f>
        <v>9688437</v>
      </c>
      <c r="BA473" s="8" t="str">
        <f>IF(HS_DB[[#This Row],[Commercial Opportunity Score]]&gt;=PERCENTILE(HS_DB[Commercial Opportunity Score],0.9),"High Opportunity",
 IF(HS_DB[[#This Row],[Commercial Opportunity Score]]&gt;=PERCENTILE(HS_DB[Commercial Opportunity Score],0.6),"Medium Opportunity",
 "Routine Market"))</f>
        <v>Routine Market</v>
      </c>
      <c r="BB473" s="3" t="str">
        <f>IF(AND(HS_DB[[#This Row],[Product Rank]]&gt;0,HS_DB[[#This Row],[Product Rank]]&lt;=10),"Yes","No")</f>
        <v>No</v>
      </c>
      <c r="BC473" s="3" t="str">
        <f>IF(AND(HS_DB[[#This Row],[Origin Rank]]&gt;0,HS_DB[[#This Row],[Origin Rank]]&lt;=10),"Yes","No")</f>
        <v>No</v>
      </c>
    </row>
    <row r="474" spans="2:55" x14ac:dyDescent="0.3">
      <c r="B474" s="2">
        <f>HS_DB[[#This Row],[Commodity Code]]</f>
        <v>170211</v>
      </c>
      <c r="C474" s="2">
        <f>IFERROR(INDEX(HS_MD!C:C,MATCH(B474,HS_MD!B:B,0),1),"")</f>
        <v>40</v>
      </c>
      <c r="D474" s="17" t="str">
        <f>IFERROR(INDEX(HS_MD!D:D,MATCH(B474,HS_MD!B:B,0),1),"")</f>
        <v>Lactose</v>
      </c>
      <c r="E474" s="17" t="str">
        <f>IFERROR(INDEX(HS_MD!E:E,MATCH(B474,HS_MD!B:B,0),1),"")</f>
        <v>Lactose</v>
      </c>
      <c r="F474" s="17" t="str">
        <f>IFERROR(INDEX(HS_MD!F:F,MATCH(B474,HS_MD!B:B,0),1),"")</f>
        <v>Dairy Ingredients</v>
      </c>
      <c r="G474" s="17" t="str">
        <f>IFERROR(INDEX(HS_MD!G:G,MATCH(B474,HS_MD!B:B,0),1),"")</f>
        <v>Milk Sugars</v>
      </c>
      <c r="H474" s="17" t="str">
        <f>IFERROR(INDEX(HS_MD!H:H,MATCH(B474,HS_MD!B:B,0),1),"")</f>
        <v>Lactose Powder</v>
      </c>
      <c r="I474" s="17" t="str">
        <f>IFERROR(INDEX(HS_MD!I:I,MATCH(B474,HS_MD!B:B,0),1),"")</f>
        <v>Confectionery / Pharma</v>
      </c>
      <c r="J474" s="17">
        <f>IFERROR(INDEX(Heat_Map[Index],MATCH(HS_DB[[#This Row],[Reporter]],Heat_Map[Global],0),1),"")</f>
        <v>152</v>
      </c>
      <c r="K474" s="17" t="str">
        <f>IF(AND(HS_DB[[#This Row],[Origin Rank]]&gt;1,HS_DB[[#This Row],[Origin Rank]]&lt;=10),"Yes","No")</f>
        <v>Yes</v>
      </c>
      <c r="L474" s="2">
        <v>2024</v>
      </c>
      <c r="M474" s="2" t="s">
        <v>57</v>
      </c>
      <c r="N474" s="2" t="s">
        <v>153</v>
      </c>
      <c r="O474" s="2" t="s">
        <v>22</v>
      </c>
      <c r="P474" s="2" t="s">
        <v>23</v>
      </c>
      <c r="Q474" s="2" t="s">
        <v>24</v>
      </c>
      <c r="R474" s="2" t="s">
        <v>25</v>
      </c>
      <c r="S474" s="2">
        <v>170211</v>
      </c>
      <c r="T474" s="3">
        <v>93193</v>
      </c>
      <c r="U474" s="3">
        <v>123000</v>
      </c>
      <c r="V474" s="3">
        <v>0</v>
      </c>
      <c r="W474" s="3">
        <v>123000</v>
      </c>
      <c r="X474" s="3" t="s">
        <v>58</v>
      </c>
      <c r="Y474" s="3">
        <v>123000</v>
      </c>
      <c r="Z474" s="3" t="s">
        <v>58</v>
      </c>
      <c r="AA474" s="6">
        <f>SUMIFS(HS_DB[Trade Value - USD],HS_DB[Reporter],HS_DB[[#This Row],[Reporter]])/SUM(HS_DB[Trade Value - USD])</f>
        <v>3.4112051281327349E-4</v>
      </c>
      <c r="AB474" s="8" cm="1">
        <f t="array" ref="AB474">SUMPRODUCT(
(HS_DB[Reporter]=HS_DB[[#This Row],[Reporter]])*
(HS_DB[Trade Value - USD]&gt;HS_DB[[#This Row],[Trade Value - USD]])
)+1</f>
        <v>2</v>
      </c>
      <c r="AC474" s="8" t="str">
        <f>IFERROR(IF(INDEX(Heat_Map[Crisis Impact %],MATCH(HS_DB[[#This Row],[Reporter]],Heat_Map[Global],0),1)&gt;0,"Yes","No"),"No")</f>
        <v>No</v>
      </c>
      <c r="AD474" s="6">
        <f>IFERROR(INDEX(Heat_Map[Crisis Impact %],MATCH(HS_DB[[#This Row],[Reporter]],Heat_Map[Global],0),1),0)</f>
        <v>0</v>
      </c>
      <c r="AE474" s="8">
        <f>HS_DB[[#This Row],[Crisis Impact%]]*HS_DB[[#This Row],[Trade Value - USD]]</f>
        <v>0</v>
      </c>
      <c r="AF474" s="8">
        <f>HS_DB[[#This Row],[Crisis Impact%]]*HS_DB[[#This Row],[Net Weight -KG]]</f>
        <v>0</v>
      </c>
      <c r="AG474" s="6">
        <f>SUMIFS(HS_DB[Trade Value - USD],HS_DB[Products],HS_DB[[#This Row],[Products]])/SUM(HS_DB[Trade Value - USD])</f>
        <v>5.139731729118439E-3</v>
      </c>
      <c r="AH474" s="8">
        <f>_xlfn.RANK.EQ(HS_DB[[#This Row],[Trade Value - USD]], HS_DB[Trade Value - USD], 0)
 + COUNTIFS(HS_DB[Trade Value - USD],HS_DB[[#This Row],[Trade Value - USD]],
            HS_DB[HS Code],"&lt;"&amp;HS_DB[[#This Row],[HS Code]])</f>
        <v>279</v>
      </c>
      <c r="AI474" s="9">
        <f>IFERROR(HS_DB[[#This Row],[Trade Value - USD]]/HS_DB[[#This Row],[Net Weight -KG]],0)</f>
        <v>0.75766666666666671</v>
      </c>
      <c r="AJ474" s="17" cm="1">
        <f t="array" ref="AJ474">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74" s="17" t="str">
        <f>IF(HS_DB[[#This Row],[HS Code Risk Score]]&gt;=40,"High",
 IF(HS_DB[[#This Row],[HS Code Risk Score]]&gt;=25,"Medium","Low"))</f>
        <v>Medium</v>
      </c>
      <c r="AL474" s="17" t="str">
        <f>IF(RANK(HS_DB[[#This Row],[HS Code Risk Score]],HS_DB[HS Code Risk Score])&lt;=10,"Yes","No")</f>
        <v>No</v>
      </c>
      <c r="AM474" s="8">
        <f>SUMIFS(HS_DB[Net Weight -KG],HS_DB[HS Code],HS_DB[[#This Row],[HS Code]])</f>
        <v>5242717.7</v>
      </c>
      <c r="AN474" s="8">
        <f>SUMIFS(HS_DB[Trade Value - USD],HS_DB[HS Code],HS_DB[[#This Row],[HS Code]])</f>
        <v>9688437</v>
      </c>
      <c r="AO474" s="6">
        <f>_xlfn.MAXIFS(HS_DB[Origin Share%],HS_DB[HS Code],HS_DB[[#This Row],[HS Code]])</f>
        <v>6.321329281187793E-2</v>
      </c>
      <c r="AP474" s="8" cm="1">
        <f t="array" ref="AP474">_xlfn.LET(
_xlpm.hs,HS_DB[[#This Row],[HS Code]],
COUNTA(_xlfn.UNIQUE(_xlfn._xlws.FILTER(HS_DB[Reporter],HS_DB[HS Code]=_xlpm.hs)))
)</f>
        <v>11</v>
      </c>
      <c r="AQ474" s="17" t="str">
        <f>IF(HS_DB[[#This Row],[Origin Count]]=1,"Single Source","Multiple Sources")</f>
        <v>Multiple Sources</v>
      </c>
      <c r="AR474" s="8">
        <f>HS_DB[[#This Row],[Annual Spend - USD]]*(HS_DB[[#This Row],[HS Code Risk Score]]/100)</f>
        <v>3294068.58</v>
      </c>
      <c r="AS474" s="8">
        <f>RANK(HS_DB[[#This Row],[Risk Exposure - USD]],HS_DB[Risk Exposure - USD],0)</f>
        <v>304</v>
      </c>
      <c r="AT474" s="8" t="str">
        <f>IF(HS_DB[[#This Row],[Risk Exposure Rank]]&lt;=10,"High",
 IF(HS_DB[[#This Row],[Risk Exposure Rank]]&lt;=30,"Medium",
 "Low"))</f>
        <v>Low</v>
      </c>
      <c r="AU474" s="8" t="str">
        <f>IF(HS_DB[[#This Row],[Risk Exposure Rank]]&lt;=5,"Immediate Action",
 IF(HS_DB[[#This Row],[Risk Exposure Rank]]&lt;=15,"Monitor Closely",
 "Routine Control"))</f>
        <v>Routine Control</v>
      </c>
      <c r="AV474" s="8">
        <f>SUMIFS(HS_DB[Trade Value - USD],HS_DB[HS Code],HS_DB[[#This Row],[HS Code]])</f>
        <v>9688437</v>
      </c>
      <c r="AW474" s="6">
        <f>HS_DB[[#This Row],[Annual Spend - USD]]/HS_DB[[#This Row],[Total Market Size - USD]]</f>
        <v>1</v>
      </c>
      <c r="AX474" s="6" cm="1">
        <f t="array" ref="AX474">COUNTA(_xlfn.UNIQUE(_xlfn._xlws.FILTER(HS_DB[Partner],HS_DB[HS Code]=HS_DB[[#This Row],[HS Code]])))</f>
        <v>1</v>
      </c>
      <c r="AY474" s="8" t="str">
        <f>IF(HS_DB[[#This Row],[Competition Intensity]]&lt;=2,"Highly Concentrated",
 IF(HS_DB[[#This Row],[Competition Intensity]]&lt;=5,"Moderate",
 "Highly Competitive"))</f>
        <v>Highly Concentrated</v>
      </c>
      <c r="AZ474" s="8">
        <f>HS_DB[[#This Row],[Total Market Size - USD]]
*
(1+IFERROR(#REF!,0))
/
HS_DB[[#This Row],[Competition Intensity]]</f>
        <v>9688437</v>
      </c>
      <c r="BA474" s="8" t="str">
        <f>IF(HS_DB[[#This Row],[Commercial Opportunity Score]]&gt;=PERCENTILE(HS_DB[Commercial Opportunity Score],0.9),"High Opportunity",
 IF(HS_DB[[#This Row],[Commercial Opportunity Score]]&gt;=PERCENTILE(HS_DB[Commercial Opportunity Score],0.6),"Medium Opportunity",
 "Routine Market"))</f>
        <v>Routine Market</v>
      </c>
      <c r="BB474" s="3" t="str">
        <f>IF(AND(HS_DB[[#This Row],[Product Rank]]&gt;0,HS_DB[[#This Row],[Product Rank]]&lt;=10),"Yes","No")</f>
        <v>No</v>
      </c>
      <c r="BC474" s="3" t="str">
        <f>IF(AND(HS_DB[[#This Row],[Origin Rank]]&gt;0,HS_DB[[#This Row],[Origin Rank]]&lt;=10),"Yes","No")</f>
        <v>Yes</v>
      </c>
    </row>
    <row r="475" spans="2:55" x14ac:dyDescent="0.3">
      <c r="B475" s="2">
        <f>HS_DB[[#This Row],[Commodity Code]]</f>
        <v>170211</v>
      </c>
      <c r="C475" s="2">
        <f>IFERROR(INDEX(HS_MD!C:C,MATCH(B475,HS_MD!B:B,0),1),"")</f>
        <v>40</v>
      </c>
      <c r="D475" s="17" t="str">
        <f>IFERROR(INDEX(HS_MD!D:D,MATCH(B475,HS_MD!B:B,0),1),"")</f>
        <v>Lactose</v>
      </c>
      <c r="E475" s="17" t="str">
        <f>IFERROR(INDEX(HS_MD!E:E,MATCH(B475,HS_MD!B:B,0),1),"")</f>
        <v>Lactose</v>
      </c>
      <c r="F475" s="17" t="str">
        <f>IFERROR(INDEX(HS_MD!F:F,MATCH(B475,HS_MD!B:B,0),1),"")</f>
        <v>Dairy Ingredients</v>
      </c>
      <c r="G475" s="17" t="str">
        <f>IFERROR(INDEX(HS_MD!G:G,MATCH(B475,HS_MD!B:B,0),1),"")</f>
        <v>Milk Sugars</v>
      </c>
      <c r="H475" s="17" t="str">
        <f>IFERROR(INDEX(HS_MD!H:H,MATCH(B475,HS_MD!B:B,0),1),"")</f>
        <v>Lactose Powder</v>
      </c>
      <c r="I475" s="17" t="str">
        <f>IFERROR(INDEX(HS_MD!I:I,MATCH(B475,HS_MD!B:B,0),1),"")</f>
        <v>Confectionery / Pharma</v>
      </c>
      <c r="J475" s="17">
        <f>IFERROR(INDEX(Heat_Map[Index],MATCH(HS_DB[[#This Row],[Reporter]],Heat_Map[Global],0),1),"")</f>
        <v>159</v>
      </c>
      <c r="K475" s="17" t="str">
        <f>IF(AND(HS_DB[[#This Row],[Origin Rank]]&gt;1,HS_DB[[#This Row],[Origin Rank]]&lt;=10),"Yes","No")</f>
        <v>No</v>
      </c>
      <c r="L475" s="2">
        <v>2024</v>
      </c>
      <c r="M475" s="2" t="s">
        <v>57</v>
      </c>
      <c r="N475" s="2" t="s">
        <v>30</v>
      </c>
      <c r="O475" s="2" t="s">
        <v>22</v>
      </c>
      <c r="P475" s="2" t="s">
        <v>23</v>
      </c>
      <c r="Q475" s="2" t="s">
        <v>24</v>
      </c>
      <c r="R475" s="2" t="s">
        <v>25</v>
      </c>
      <c r="S475" s="2">
        <v>170211</v>
      </c>
      <c r="T475" s="3">
        <v>159</v>
      </c>
      <c r="U475" s="3">
        <v>1.5</v>
      </c>
      <c r="V475" s="3">
        <v>0</v>
      </c>
      <c r="W475" s="3">
        <v>2</v>
      </c>
      <c r="X475" s="3" t="s">
        <v>58</v>
      </c>
      <c r="Y475" s="3">
        <v>2</v>
      </c>
      <c r="Z475" s="3" t="s">
        <v>58</v>
      </c>
      <c r="AA475" s="6">
        <f>SUMIFS(HS_DB[Trade Value - USD],HS_DB[Reporter],HS_DB[[#This Row],[Reporter]])/SUM(HS_DB[Trade Value - USD])</f>
        <v>6.110186869383482E-3</v>
      </c>
      <c r="AB475" s="8" cm="1">
        <f t="array" ref="AB475">SUMPRODUCT(
(HS_DB[Reporter]=HS_DB[[#This Row],[Reporter]])*
(HS_DB[Trade Value - USD]&gt;HS_DB[[#This Row],[Trade Value - USD]])
)+1</f>
        <v>27</v>
      </c>
      <c r="AC475" s="8" t="str">
        <f>IFERROR(IF(INDEX(Heat_Map[Crisis Impact %],MATCH(HS_DB[[#This Row],[Reporter]],Heat_Map[Global],0),1)&gt;0,"Yes","No"),"No")</f>
        <v>No</v>
      </c>
      <c r="AD475" s="6">
        <f>IFERROR(INDEX(Heat_Map[Crisis Impact %],MATCH(HS_DB[[#This Row],[Reporter]],Heat_Map[Global],0),1),0)</f>
        <v>0</v>
      </c>
      <c r="AE475" s="8">
        <f>HS_DB[[#This Row],[Crisis Impact%]]*HS_DB[[#This Row],[Trade Value - USD]]</f>
        <v>0</v>
      </c>
      <c r="AF475" s="8">
        <f>HS_DB[[#This Row],[Crisis Impact%]]*HS_DB[[#This Row],[Net Weight -KG]]</f>
        <v>0</v>
      </c>
      <c r="AG475" s="6">
        <f>SUMIFS(HS_DB[Trade Value - USD],HS_DB[Products],HS_DB[[#This Row],[Products]])/SUM(HS_DB[Trade Value - USD])</f>
        <v>5.139731729118439E-3</v>
      </c>
      <c r="AH475" s="8">
        <f>_xlfn.RANK.EQ(HS_DB[[#This Row],[Trade Value - USD]], HS_DB[Trade Value - USD], 0)
 + COUNTIFS(HS_DB[Trade Value - USD],HS_DB[[#This Row],[Trade Value - USD]],
            HS_DB[HS Code],"&lt;"&amp;HS_DB[[#This Row],[HS Code]])</f>
        <v>512</v>
      </c>
      <c r="AI475" s="9">
        <f>IFERROR(HS_DB[[#This Row],[Trade Value - USD]]/HS_DB[[#This Row],[Net Weight -KG]],0)</f>
        <v>106</v>
      </c>
      <c r="AJ475" s="17" cm="1">
        <f t="array" ref="AJ475">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75" s="17" t="str">
        <f>IF(HS_DB[[#This Row],[HS Code Risk Score]]&gt;=40,"High",
 IF(HS_DB[[#This Row],[HS Code Risk Score]]&gt;=25,"Medium","Low"))</f>
        <v>Medium</v>
      </c>
      <c r="AL475" s="17" t="str">
        <f>IF(RANK(HS_DB[[#This Row],[HS Code Risk Score]],HS_DB[HS Code Risk Score])&lt;=10,"Yes","No")</f>
        <v>No</v>
      </c>
      <c r="AM475" s="8">
        <f>SUMIFS(HS_DB[Net Weight -KG],HS_DB[HS Code],HS_DB[[#This Row],[HS Code]])</f>
        <v>5242717.7</v>
      </c>
      <c r="AN475" s="8">
        <f>SUMIFS(HS_DB[Trade Value - USD],HS_DB[HS Code],HS_DB[[#This Row],[HS Code]])</f>
        <v>9688437</v>
      </c>
      <c r="AO475" s="6">
        <f>_xlfn.MAXIFS(HS_DB[Origin Share%],HS_DB[HS Code],HS_DB[[#This Row],[HS Code]])</f>
        <v>6.321329281187793E-2</v>
      </c>
      <c r="AP475" s="8" cm="1">
        <f t="array" ref="AP475">_xlfn.LET(
_xlpm.hs,HS_DB[[#This Row],[HS Code]],
COUNTA(_xlfn.UNIQUE(_xlfn._xlws.FILTER(HS_DB[Reporter],HS_DB[HS Code]=_xlpm.hs)))
)</f>
        <v>11</v>
      </c>
      <c r="AQ475" s="17" t="str">
        <f>IF(HS_DB[[#This Row],[Origin Count]]=1,"Single Source","Multiple Sources")</f>
        <v>Multiple Sources</v>
      </c>
      <c r="AR475" s="8">
        <f>HS_DB[[#This Row],[Annual Spend - USD]]*(HS_DB[[#This Row],[HS Code Risk Score]]/100)</f>
        <v>3294068.58</v>
      </c>
      <c r="AS475" s="8">
        <f>RANK(HS_DB[[#This Row],[Risk Exposure - USD]],HS_DB[Risk Exposure - USD],0)</f>
        <v>304</v>
      </c>
      <c r="AT475" s="8" t="str">
        <f>IF(HS_DB[[#This Row],[Risk Exposure Rank]]&lt;=10,"High",
 IF(HS_DB[[#This Row],[Risk Exposure Rank]]&lt;=30,"Medium",
 "Low"))</f>
        <v>Low</v>
      </c>
      <c r="AU475" s="8" t="str">
        <f>IF(HS_DB[[#This Row],[Risk Exposure Rank]]&lt;=5,"Immediate Action",
 IF(HS_DB[[#This Row],[Risk Exposure Rank]]&lt;=15,"Monitor Closely",
 "Routine Control"))</f>
        <v>Routine Control</v>
      </c>
      <c r="AV475" s="8">
        <f>SUMIFS(HS_DB[Trade Value - USD],HS_DB[HS Code],HS_DB[[#This Row],[HS Code]])</f>
        <v>9688437</v>
      </c>
      <c r="AW475" s="6">
        <f>HS_DB[[#This Row],[Annual Spend - USD]]/HS_DB[[#This Row],[Total Market Size - USD]]</f>
        <v>1</v>
      </c>
      <c r="AX475" s="6" cm="1">
        <f t="array" ref="AX475">COUNTA(_xlfn.UNIQUE(_xlfn._xlws.FILTER(HS_DB[Partner],HS_DB[HS Code]=HS_DB[[#This Row],[HS Code]])))</f>
        <v>1</v>
      </c>
      <c r="AY475" s="8" t="str">
        <f>IF(HS_DB[[#This Row],[Competition Intensity]]&lt;=2,"Highly Concentrated",
 IF(HS_DB[[#This Row],[Competition Intensity]]&lt;=5,"Moderate",
 "Highly Competitive"))</f>
        <v>Highly Concentrated</v>
      </c>
      <c r="AZ475" s="8">
        <f>HS_DB[[#This Row],[Total Market Size - USD]]
*
(1+IFERROR(#REF!,0))
/
HS_DB[[#This Row],[Competition Intensity]]</f>
        <v>9688437</v>
      </c>
      <c r="BA475" s="8" t="str">
        <f>IF(HS_DB[[#This Row],[Commercial Opportunity Score]]&gt;=PERCENTILE(HS_DB[Commercial Opportunity Score],0.9),"High Opportunity",
 IF(HS_DB[[#This Row],[Commercial Opportunity Score]]&gt;=PERCENTILE(HS_DB[Commercial Opportunity Score],0.6),"Medium Opportunity",
 "Routine Market"))</f>
        <v>Routine Market</v>
      </c>
      <c r="BB475" s="3" t="str">
        <f>IF(AND(HS_DB[[#This Row],[Product Rank]]&gt;0,HS_DB[[#This Row],[Product Rank]]&lt;=10),"Yes","No")</f>
        <v>No</v>
      </c>
      <c r="BC475" s="3" t="str">
        <f>IF(AND(HS_DB[[#This Row],[Origin Rank]]&gt;0,HS_DB[[#This Row],[Origin Rank]]&lt;=10),"Yes","No")</f>
        <v>No</v>
      </c>
    </row>
    <row r="476" spans="2:55" x14ac:dyDescent="0.3">
      <c r="B476" s="2">
        <f>HS_DB[[#This Row],[Commodity Code]]</f>
        <v>170211</v>
      </c>
      <c r="C476" s="2">
        <f>IFERROR(INDEX(HS_MD!C:C,MATCH(B476,HS_MD!B:B,0),1),"")</f>
        <v>40</v>
      </c>
      <c r="D476" s="17" t="str">
        <f>IFERROR(INDEX(HS_MD!D:D,MATCH(B476,HS_MD!B:B,0),1),"")</f>
        <v>Lactose</v>
      </c>
      <c r="E476" s="17" t="str">
        <f>IFERROR(INDEX(HS_MD!E:E,MATCH(B476,HS_MD!B:B,0),1),"")</f>
        <v>Lactose</v>
      </c>
      <c r="F476" s="17" t="str">
        <f>IFERROR(INDEX(HS_MD!F:F,MATCH(B476,HS_MD!B:B,0),1),"")</f>
        <v>Dairy Ingredients</v>
      </c>
      <c r="G476" s="17" t="str">
        <f>IFERROR(INDEX(HS_MD!G:G,MATCH(B476,HS_MD!B:B,0),1),"")</f>
        <v>Milk Sugars</v>
      </c>
      <c r="H476" s="17" t="str">
        <f>IFERROR(INDEX(HS_MD!H:H,MATCH(B476,HS_MD!B:B,0),1),"")</f>
        <v>Lactose Powder</v>
      </c>
      <c r="I476" s="17" t="str">
        <f>IFERROR(INDEX(HS_MD!I:I,MATCH(B476,HS_MD!B:B,0),1),"")</f>
        <v>Confectionery / Pharma</v>
      </c>
      <c r="J476" s="17">
        <f>IFERROR(INDEX(Heat_Map[Index],MATCH(HS_DB[[#This Row],[Reporter]],Heat_Map[Global],0),1),"")</f>
        <v>175</v>
      </c>
      <c r="K476" s="17" t="str">
        <f>IF(AND(HS_DB[[#This Row],[Origin Rank]]&gt;1,HS_DB[[#This Row],[Origin Rank]]&lt;=10),"Yes","No")</f>
        <v>No</v>
      </c>
      <c r="L476" s="2">
        <v>2024</v>
      </c>
      <c r="M476" s="2" t="s">
        <v>57</v>
      </c>
      <c r="N476" s="2" t="s">
        <v>34</v>
      </c>
      <c r="O476" s="2" t="s">
        <v>22</v>
      </c>
      <c r="P476" s="2" t="s">
        <v>23</v>
      </c>
      <c r="Q476" s="2" t="s">
        <v>24</v>
      </c>
      <c r="R476" s="2" t="s">
        <v>25</v>
      </c>
      <c r="S476" s="2">
        <v>170211</v>
      </c>
      <c r="T476" s="3">
        <v>360701</v>
      </c>
      <c r="U476" s="3">
        <v>322000</v>
      </c>
      <c r="V476" s="3">
        <v>0</v>
      </c>
      <c r="W476" s="3">
        <v>322000</v>
      </c>
      <c r="X476" s="3" t="s">
        <v>58</v>
      </c>
      <c r="Y476" s="3">
        <v>322000</v>
      </c>
      <c r="Z476" s="3" t="s">
        <v>58</v>
      </c>
      <c r="AA476" s="6">
        <f>SUMIFS(HS_DB[Trade Value - USD],HS_DB[Reporter],HS_DB[[#This Row],[Reporter]])/SUM(HS_DB[Trade Value - USD])</f>
        <v>4.7522902002533667E-2</v>
      </c>
      <c r="AB476" s="8" cm="1">
        <f t="array" ref="AB476">SUMPRODUCT(
(HS_DB[Reporter]=HS_DB[[#This Row],[Reporter]])*
(HS_DB[Trade Value - USD]&gt;HS_DB[[#This Row],[Trade Value - USD]])
)+1</f>
        <v>19</v>
      </c>
      <c r="AC476" s="8" t="str">
        <f>IFERROR(IF(INDEX(Heat_Map[Crisis Impact %],MATCH(HS_DB[[#This Row],[Reporter]],Heat_Map[Global],0),1)&gt;0,"Yes","No"),"No")</f>
        <v>Yes</v>
      </c>
      <c r="AD476" s="6">
        <f>IFERROR(INDEX(Heat_Map[Crisis Impact %],MATCH(HS_DB[[#This Row],[Reporter]],Heat_Map[Global],0),1),0)</f>
        <v>0.1</v>
      </c>
      <c r="AE476" s="8">
        <f>HS_DB[[#This Row],[Crisis Impact%]]*HS_DB[[#This Row],[Trade Value - USD]]</f>
        <v>36070.1</v>
      </c>
      <c r="AF476" s="8">
        <f>HS_DB[[#This Row],[Crisis Impact%]]*HS_DB[[#This Row],[Net Weight -KG]]</f>
        <v>32200</v>
      </c>
      <c r="AG476" s="6">
        <f>SUMIFS(HS_DB[Trade Value - USD],HS_DB[Products],HS_DB[[#This Row],[Products]])/SUM(HS_DB[Trade Value - USD])</f>
        <v>5.139731729118439E-3</v>
      </c>
      <c r="AH476" s="8">
        <f>_xlfn.RANK.EQ(HS_DB[[#This Row],[Trade Value - USD]], HS_DB[Trade Value - USD], 0)
 + COUNTIFS(HS_DB[Trade Value - USD],HS_DB[[#This Row],[Trade Value - USD]],
            HS_DB[HS Code],"&lt;"&amp;HS_DB[[#This Row],[HS Code]])</f>
        <v>174</v>
      </c>
      <c r="AI476" s="9">
        <f>IFERROR(HS_DB[[#This Row],[Trade Value - USD]]/HS_DB[[#This Row],[Net Weight -KG]],0)</f>
        <v>1.1201894409937889</v>
      </c>
      <c r="AJ476" s="17" cm="1">
        <f t="array" ref="AJ476">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76" s="17" t="str">
        <f>IF(HS_DB[[#This Row],[HS Code Risk Score]]&gt;=40,"High",
 IF(HS_DB[[#This Row],[HS Code Risk Score]]&gt;=25,"Medium","Low"))</f>
        <v>Medium</v>
      </c>
      <c r="AL476" s="17" t="str">
        <f>IF(RANK(HS_DB[[#This Row],[HS Code Risk Score]],HS_DB[HS Code Risk Score])&lt;=10,"Yes","No")</f>
        <v>No</v>
      </c>
      <c r="AM476" s="8">
        <f>SUMIFS(HS_DB[Net Weight -KG],HS_DB[HS Code],HS_DB[[#This Row],[HS Code]])</f>
        <v>5242717.7</v>
      </c>
      <c r="AN476" s="8">
        <f>SUMIFS(HS_DB[Trade Value - USD],HS_DB[HS Code],HS_DB[[#This Row],[HS Code]])</f>
        <v>9688437</v>
      </c>
      <c r="AO476" s="6">
        <f>_xlfn.MAXIFS(HS_DB[Origin Share%],HS_DB[HS Code],HS_DB[[#This Row],[HS Code]])</f>
        <v>6.321329281187793E-2</v>
      </c>
      <c r="AP476" s="8" cm="1">
        <f t="array" ref="AP476">_xlfn.LET(
_xlpm.hs,HS_DB[[#This Row],[HS Code]],
COUNTA(_xlfn.UNIQUE(_xlfn._xlws.FILTER(HS_DB[Reporter],HS_DB[HS Code]=_xlpm.hs)))
)</f>
        <v>11</v>
      </c>
      <c r="AQ476" s="17" t="str">
        <f>IF(HS_DB[[#This Row],[Origin Count]]=1,"Single Source","Multiple Sources")</f>
        <v>Multiple Sources</v>
      </c>
      <c r="AR476" s="8">
        <f>HS_DB[[#This Row],[Annual Spend - USD]]*(HS_DB[[#This Row],[HS Code Risk Score]]/100)</f>
        <v>3294068.58</v>
      </c>
      <c r="AS476" s="8">
        <f>RANK(HS_DB[[#This Row],[Risk Exposure - USD]],HS_DB[Risk Exposure - USD],0)</f>
        <v>304</v>
      </c>
      <c r="AT476" s="8" t="str">
        <f>IF(HS_DB[[#This Row],[Risk Exposure Rank]]&lt;=10,"High",
 IF(HS_DB[[#This Row],[Risk Exposure Rank]]&lt;=30,"Medium",
 "Low"))</f>
        <v>Low</v>
      </c>
      <c r="AU476" s="8" t="str">
        <f>IF(HS_DB[[#This Row],[Risk Exposure Rank]]&lt;=5,"Immediate Action",
 IF(HS_DB[[#This Row],[Risk Exposure Rank]]&lt;=15,"Monitor Closely",
 "Routine Control"))</f>
        <v>Routine Control</v>
      </c>
      <c r="AV476" s="8">
        <f>SUMIFS(HS_DB[Trade Value - USD],HS_DB[HS Code],HS_DB[[#This Row],[HS Code]])</f>
        <v>9688437</v>
      </c>
      <c r="AW476" s="6">
        <f>HS_DB[[#This Row],[Annual Spend - USD]]/HS_DB[[#This Row],[Total Market Size - USD]]</f>
        <v>1</v>
      </c>
      <c r="AX476" s="6" cm="1">
        <f t="array" ref="AX476">COUNTA(_xlfn.UNIQUE(_xlfn._xlws.FILTER(HS_DB[Partner],HS_DB[HS Code]=HS_DB[[#This Row],[HS Code]])))</f>
        <v>1</v>
      </c>
      <c r="AY476" s="8" t="str">
        <f>IF(HS_DB[[#This Row],[Competition Intensity]]&lt;=2,"Highly Concentrated",
 IF(HS_DB[[#This Row],[Competition Intensity]]&lt;=5,"Moderate",
 "Highly Competitive"))</f>
        <v>Highly Concentrated</v>
      </c>
      <c r="AZ476" s="8">
        <f>HS_DB[[#This Row],[Total Market Size - USD]]
*
(1+IFERROR(#REF!,0))
/
HS_DB[[#This Row],[Competition Intensity]]</f>
        <v>9688437</v>
      </c>
      <c r="BA476" s="8" t="str">
        <f>IF(HS_DB[[#This Row],[Commercial Opportunity Score]]&gt;=PERCENTILE(HS_DB[Commercial Opportunity Score],0.9),"High Opportunity",
 IF(HS_DB[[#This Row],[Commercial Opportunity Score]]&gt;=PERCENTILE(HS_DB[Commercial Opportunity Score],0.6),"Medium Opportunity",
 "Routine Market"))</f>
        <v>Routine Market</v>
      </c>
      <c r="BB476" s="3" t="str">
        <f>IF(AND(HS_DB[[#This Row],[Product Rank]]&gt;0,HS_DB[[#This Row],[Product Rank]]&lt;=10),"Yes","No")</f>
        <v>No</v>
      </c>
      <c r="BC476" s="3" t="str">
        <f>IF(AND(HS_DB[[#This Row],[Origin Rank]]&gt;0,HS_DB[[#This Row],[Origin Rank]]&lt;=10),"Yes","No")</f>
        <v>No</v>
      </c>
    </row>
    <row r="477" spans="2:55" x14ac:dyDescent="0.3">
      <c r="B477" s="2">
        <f>HS_DB[[#This Row],[Commodity Code]]</f>
        <v>170211</v>
      </c>
      <c r="C477" s="2">
        <f>IFERROR(INDEX(HS_MD!C:C,MATCH(B477,HS_MD!B:B,0),1),"")</f>
        <v>40</v>
      </c>
      <c r="D477" s="17" t="str">
        <f>IFERROR(INDEX(HS_MD!D:D,MATCH(B477,HS_MD!B:B,0),1),"")</f>
        <v>Lactose</v>
      </c>
      <c r="E477" s="17" t="str">
        <f>IFERROR(INDEX(HS_MD!E:E,MATCH(B477,HS_MD!B:B,0),1),"")</f>
        <v>Lactose</v>
      </c>
      <c r="F477" s="17" t="str">
        <f>IFERROR(INDEX(HS_MD!F:F,MATCH(B477,HS_MD!B:B,0),1),"")</f>
        <v>Dairy Ingredients</v>
      </c>
      <c r="G477" s="17" t="str">
        <f>IFERROR(INDEX(HS_MD!G:G,MATCH(B477,HS_MD!B:B,0),1),"")</f>
        <v>Milk Sugars</v>
      </c>
      <c r="H477" s="17" t="str">
        <f>IFERROR(INDEX(HS_MD!H:H,MATCH(B477,HS_MD!B:B,0),1),"")</f>
        <v>Lactose Powder</v>
      </c>
      <c r="I477" s="17" t="str">
        <f>IFERROR(INDEX(HS_MD!I:I,MATCH(B477,HS_MD!B:B,0),1),"")</f>
        <v>Confectionery / Pharma</v>
      </c>
      <c r="J477" s="17">
        <f>IFERROR(INDEX(Heat_Map[Index],MATCH(HS_DB[[#This Row],[Reporter]],Heat_Map[Global],0),1),"")</f>
        <v>181</v>
      </c>
      <c r="K477" s="17" t="str">
        <f>IF(AND(HS_DB[[#This Row],[Origin Rank]]&gt;1,HS_DB[[#This Row],[Origin Rank]]&lt;=10),"Yes","No")</f>
        <v>Yes</v>
      </c>
      <c r="L477" s="2">
        <v>2024</v>
      </c>
      <c r="M477" s="2" t="s">
        <v>57</v>
      </c>
      <c r="N477" s="2" t="s">
        <v>36</v>
      </c>
      <c r="O477" s="2" t="s">
        <v>22</v>
      </c>
      <c r="P477" s="2" t="s">
        <v>23</v>
      </c>
      <c r="Q477" s="2" t="s">
        <v>24</v>
      </c>
      <c r="R477" s="2" t="s">
        <v>25</v>
      </c>
      <c r="S477" s="2">
        <v>170211</v>
      </c>
      <c r="T477" s="3">
        <v>82367</v>
      </c>
      <c r="U477" s="3">
        <v>101000</v>
      </c>
      <c r="V477" s="3">
        <v>0</v>
      </c>
      <c r="W477" s="3">
        <v>101000</v>
      </c>
      <c r="X477" s="3" t="s">
        <v>58</v>
      </c>
      <c r="Y477" s="3">
        <v>101000</v>
      </c>
      <c r="Z477" s="3" t="s">
        <v>58</v>
      </c>
      <c r="AA477" s="6">
        <f>SUMIFS(HS_DB[Trade Value - USD],HS_DB[Reporter],HS_DB[[#This Row],[Reporter]])/SUM(HS_DB[Trade Value - USD])</f>
        <v>1.3104801671892474E-3</v>
      </c>
      <c r="AB477" s="8" cm="1">
        <f t="array" ref="AB477">SUMPRODUCT(
(HS_DB[Reporter]=HS_DB[[#This Row],[Reporter]])*
(HS_DB[Trade Value - USD]&gt;HS_DB[[#This Row],[Trade Value - USD]])
)+1</f>
        <v>7</v>
      </c>
      <c r="AC477" s="8" t="str">
        <f>IFERROR(IF(INDEX(Heat_Map[Crisis Impact %],MATCH(HS_DB[[#This Row],[Reporter]],Heat_Map[Global],0),1)&gt;0,"Yes","No"),"No")</f>
        <v>No</v>
      </c>
      <c r="AD477" s="6">
        <f>IFERROR(INDEX(Heat_Map[Crisis Impact %],MATCH(HS_DB[[#This Row],[Reporter]],Heat_Map[Global],0),1),0)</f>
        <v>0</v>
      </c>
      <c r="AE477" s="8">
        <f>HS_DB[[#This Row],[Crisis Impact%]]*HS_DB[[#This Row],[Trade Value - USD]]</f>
        <v>0</v>
      </c>
      <c r="AF477" s="8">
        <f>HS_DB[[#This Row],[Crisis Impact%]]*HS_DB[[#This Row],[Net Weight -KG]]</f>
        <v>0</v>
      </c>
      <c r="AG477" s="6">
        <f>SUMIFS(HS_DB[Trade Value - USD],HS_DB[Products],HS_DB[[#This Row],[Products]])/SUM(HS_DB[Trade Value - USD])</f>
        <v>5.139731729118439E-3</v>
      </c>
      <c r="AH477" s="8">
        <f>_xlfn.RANK.EQ(HS_DB[[#This Row],[Trade Value - USD]], HS_DB[Trade Value - USD], 0)
 + COUNTIFS(HS_DB[Trade Value - USD],HS_DB[[#This Row],[Trade Value - USD]],
            HS_DB[HS Code],"&lt;"&amp;HS_DB[[#This Row],[HS Code]])</f>
        <v>290</v>
      </c>
      <c r="AI477" s="9">
        <f>IFERROR(HS_DB[[#This Row],[Trade Value - USD]]/HS_DB[[#This Row],[Net Weight -KG]],0)</f>
        <v>0.81551485148514846</v>
      </c>
      <c r="AJ477" s="17" cm="1">
        <f t="array" ref="AJ477">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77" s="17" t="str">
        <f>IF(HS_DB[[#This Row],[HS Code Risk Score]]&gt;=40,"High",
 IF(HS_DB[[#This Row],[HS Code Risk Score]]&gt;=25,"Medium","Low"))</f>
        <v>Medium</v>
      </c>
      <c r="AL477" s="17" t="str">
        <f>IF(RANK(HS_DB[[#This Row],[HS Code Risk Score]],HS_DB[HS Code Risk Score])&lt;=10,"Yes","No")</f>
        <v>No</v>
      </c>
      <c r="AM477" s="8">
        <f>SUMIFS(HS_DB[Net Weight -KG],HS_DB[HS Code],HS_DB[[#This Row],[HS Code]])</f>
        <v>5242717.7</v>
      </c>
      <c r="AN477" s="8">
        <f>SUMIFS(HS_DB[Trade Value - USD],HS_DB[HS Code],HS_DB[[#This Row],[HS Code]])</f>
        <v>9688437</v>
      </c>
      <c r="AO477" s="6">
        <f>_xlfn.MAXIFS(HS_DB[Origin Share%],HS_DB[HS Code],HS_DB[[#This Row],[HS Code]])</f>
        <v>6.321329281187793E-2</v>
      </c>
      <c r="AP477" s="8" cm="1">
        <f t="array" ref="AP477">_xlfn.LET(
_xlpm.hs,HS_DB[[#This Row],[HS Code]],
COUNTA(_xlfn.UNIQUE(_xlfn._xlws.FILTER(HS_DB[Reporter],HS_DB[HS Code]=_xlpm.hs)))
)</f>
        <v>11</v>
      </c>
      <c r="AQ477" s="17" t="str">
        <f>IF(HS_DB[[#This Row],[Origin Count]]=1,"Single Source","Multiple Sources")</f>
        <v>Multiple Sources</v>
      </c>
      <c r="AR477" s="8">
        <f>HS_DB[[#This Row],[Annual Spend - USD]]*(HS_DB[[#This Row],[HS Code Risk Score]]/100)</f>
        <v>3294068.58</v>
      </c>
      <c r="AS477" s="8">
        <f>RANK(HS_DB[[#This Row],[Risk Exposure - USD]],HS_DB[Risk Exposure - USD],0)</f>
        <v>304</v>
      </c>
      <c r="AT477" s="8" t="str">
        <f>IF(HS_DB[[#This Row],[Risk Exposure Rank]]&lt;=10,"High",
 IF(HS_DB[[#This Row],[Risk Exposure Rank]]&lt;=30,"Medium",
 "Low"))</f>
        <v>Low</v>
      </c>
      <c r="AU477" s="8" t="str">
        <f>IF(HS_DB[[#This Row],[Risk Exposure Rank]]&lt;=5,"Immediate Action",
 IF(HS_DB[[#This Row],[Risk Exposure Rank]]&lt;=15,"Monitor Closely",
 "Routine Control"))</f>
        <v>Routine Control</v>
      </c>
      <c r="AV477" s="8">
        <f>SUMIFS(HS_DB[Trade Value - USD],HS_DB[HS Code],HS_DB[[#This Row],[HS Code]])</f>
        <v>9688437</v>
      </c>
      <c r="AW477" s="6">
        <f>HS_DB[[#This Row],[Annual Spend - USD]]/HS_DB[[#This Row],[Total Market Size - USD]]</f>
        <v>1</v>
      </c>
      <c r="AX477" s="6" cm="1">
        <f t="array" ref="AX477">COUNTA(_xlfn.UNIQUE(_xlfn._xlws.FILTER(HS_DB[Partner],HS_DB[HS Code]=HS_DB[[#This Row],[HS Code]])))</f>
        <v>1</v>
      </c>
      <c r="AY477" s="8" t="str">
        <f>IF(HS_DB[[#This Row],[Competition Intensity]]&lt;=2,"Highly Concentrated",
 IF(HS_DB[[#This Row],[Competition Intensity]]&lt;=5,"Moderate",
 "Highly Competitive"))</f>
        <v>Highly Concentrated</v>
      </c>
      <c r="AZ477" s="8">
        <f>HS_DB[[#This Row],[Total Market Size - USD]]
*
(1+IFERROR(#REF!,0))
/
HS_DB[[#This Row],[Competition Intensity]]</f>
        <v>9688437</v>
      </c>
      <c r="BA477" s="8" t="str">
        <f>IF(HS_DB[[#This Row],[Commercial Opportunity Score]]&gt;=PERCENTILE(HS_DB[Commercial Opportunity Score],0.9),"High Opportunity",
 IF(HS_DB[[#This Row],[Commercial Opportunity Score]]&gt;=PERCENTILE(HS_DB[Commercial Opportunity Score],0.6),"Medium Opportunity",
 "Routine Market"))</f>
        <v>Routine Market</v>
      </c>
      <c r="BB477" s="3" t="str">
        <f>IF(AND(HS_DB[[#This Row],[Product Rank]]&gt;0,HS_DB[[#This Row],[Product Rank]]&lt;=10),"Yes","No")</f>
        <v>No</v>
      </c>
      <c r="BC477" s="3" t="str">
        <f>IF(AND(HS_DB[[#This Row],[Origin Rank]]&gt;0,HS_DB[[#This Row],[Origin Rank]]&lt;=10),"Yes","No")</f>
        <v>Yes</v>
      </c>
    </row>
    <row r="478" spans="2:55" x14ac:dyDescent="0.3">
      <c r="B478" s="2">
        <f>HS_DB[[#This Row],[Commodity Code]]</f>
        <v>170211</v>
      </c>
      <c r="C478" s="2">
        <f>IFERROR(INDEX(HS_MD!C:C,MATCH(B478,HS_MD!B:B,0),1),"")</f>
        <v>40</v>
      </c>
      <c r="D478" s="17" t="str">
        <f>IFERROR(INDEX(HS_MD!D:D,MATCH(B478,HS_MD!B:B,0),1),"")</f>
        <v>Lactose</v>
      </c>
      <c r="E478" s="17" t="str">
        <f>IFERROR(INDEX(HS_MD!E:E,MATCH(B478,HS_MD!B:B,0),1),"")</f>
        <v>Lactose</v>
      </c>
      <c r="F478" s="17" t="str">
        <f>IFERROR(INDEX(HS_MD!F:F,MATCH(B478,HS_MD!B:B,0),1),"")</f>
        <v>Dairy Ingredients</v>
      </c>
      <c r="G478" s="17" t="str">
        <f>IFERROR(INDEX(HS_MD!G:G,MATCH(B478,HS_MD!B:B,0),1),"")</f>
        <v>Milk Sugars</v>
      </c>
      <c r="H478" s="17" t="str">
        <f>IFERROR(INDEX(HS_MD!H:H,MATCH(B478,HS_MD!B:B,0),1),"")</f>
        <v>Lactose Powder</v>
      </c>
      <c r="I478" s="17" t="str">
        <f>IFERROR(INDEX(HS_MD!I:I,MATCH(B478,HS_MD!B:B,0),1),"")</f>
        <v>Confectionery / Pharma</v>
      </c>
      <c r="J478" s="17">
        <f>IFERROR(INDEX(Heat_Map[Index],MATCH(HS_DB[[#This Row],[Reporter]],Heat_Map[Global],0),1),"")</f>
        <v>182</v>
      </c>
      <c r="K478" s="17" t="str">
        <f>IF(AND(HS_DB[[#This Row],[Origin Rank]]&gt;1,HS_DB[[#This Row],[Origin Rank]]&lt;=10),"Yes","No")</f>
        <v>Yes</v>
      </c>
      <c r="L478" s="2">
        <v>2024</v>
      </c>
      <c r="M478" s="2" t="s">
        <v>57</v>
      </c>
      <c r="N478" s="2" t="s">
        <v>56</v>
      </c>
      <c r="O478" s="2" t="s">
        <v>22</v>
      </c>
      <c r="P478" s="2" t="s">
        <v>23</v>
      </c>
      <c r="Q478" s="2" t="s">
        <v>24</v>
      </c>
      <c r="R478" s="2" t="s">
        <v>25</v>
      </c>
      <c r="S478" s="2">
        <v>170211</v>
      </c>
      <c r="T478" s="3">
        <v>2320354</v>
      </c>
      <c r="U478" s="3">
        <v>1644098</v>
      </c>
      <c r="V478" s="3">
        <v>0</v>
      </c>
      <c r="W478" s="3">
        <v>1644098</v>
      </c>
      <c r="X478" s="3" t="s">
        <v>58</v>
      </c>
      <c r="Y478" s="3">
        <v>1644098</v>
      </c>
      <c r="Z478" s="3" t="s">
        <v>58</v>
      </c>
      <c r="AA478" s="6">
        <f>SUMIFS(HS_DB[Trade Value - USD],HS_DB[Reporter],HS_DB[[#This Row],[Reporter]])/SUM(HS_DB[Trade Value - USD])</f>
        <v>9.425427433633813E-3</v>
      </c>
      <c r="AB478" s="8" cm="1">
        <f t="array" ref="AB478">SUMPRODUCT(
(HS_DB[Reporter]=HS_DB[[#This Row],[Reporter]])*
(HS_DB[Trade Value - USD]&gt;HS_DB[[#This Row],[Trade Value - USD]])
)+1</f>
        <v>2</v>
      </c>
      <c r="AC478" s="8" t="str">
        <f>IFERROR(IF(INDEX(Heat_Map[Crisis Impact %],MATCH(HS_DB[[#This Row],[Reporter]],Heat_Map[Global],0),1)&gt;0,"Yes","No"),"No")</f>
        <v>Yes</v>
      </c>
      <c r="AD478" s="6">
        <f>IFERROR(INDEX(Heat_Map[Crisis Impact %],MATCH(HS_DB[[#This Row],[Reporter]],Heat_Map[Global],0),1),0)</f>
        <v>4.0000000000000008E-2</v>
      </c>
      <c r="AE478" s="8">
        <f>HS_DB[[#This Row],[Crisis Impact%]]*HS_DB[[#This Row],[Trade Value - USD]]</f>
        <v>92814.160000000018</v>
      </c>
      <c r="AF478" s="8">
        <f>HS_DB[[#This Row],[Crisis Impact%]]*HS_DB[[#This Row],[Net Weight -KG]]</f>
        <v>65763.920000000013</v>
      </c>
      <c r="AG478" s="6">
        <f>SUMIFS(HS_DB[Trade Value - USD],HS_DB[Products],HS_DB[[#This Row],[Products]])/SUM(HS_DB[Trade Value - USD])</f>
        <v>5.139731729118439E-3</v>
      </c>
      <c r="AH478" s="8">
        <f>_xlfn.RANK.EQ(HS_DB[[#This Row],[Trade Value - USD]], HS_DB[Trade Value - USD], 0)
 + COUNTIFS(HS_DB[Trade Value - USD],HS_DB[[#This Row],[Trade Value - USD]],
            HS_DB[HS Code],"&lt;"&amp;HS_DB[[#This Row],[HS Code]])</f>
        <v>58</v>
      </c>
      <c r="AI478" s="9">
        <f>IFERROR(HS_DB[[#This Row],[Trade Value - USD]]/HS_DB[[#This Row],[Net Weight -KG]],0)</f>
        <v>1.4113234125946263</v>
      </c>
      <c r="AJ478" s="17" cm="1">
        <f t="array" ref="AJ478">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78" s="17" t="str">
        <f>IF(HS_DB[[#This Row],[HS Code Risk Score]]&gt;=40,"High",
 IF(HS_DB[[#This Row],[HS Code Risk Score]]&gt;=25,"Medium","Low"))</f>
        <v>Medium</v>
      </c>
      <c r="AL478" s="17" t="str">
        <f>IF(RANK(HS_DB[[#This Row],[HS Code Risk Score]],HS_DB[HS Code Risk Score])&lt;=10,"Yes","No")</f>
        <v>No</v>
      </c>
      <c r="AM478" s="8">
        <f>SUMIFS(HS_DB[Net Weight -KG],HS_DB[HS Code],HS_DB[[#This Row],[HS Code]])</f>
        <v>5242717.7</v>
      </c>
      <c r="AN478" s="8">
        <f>SUMIFS(HS_DB[Trade Value - USD],HS_DB[HS Code],HS_DB[[#This Row],[HS Code]])</f>
        <v>9688437</v>
      </c>
      <c r="AO478" s="6">
        <f>_xlfn.MAXIFS(HS_DB[Origin Share%],HS_DB[HS Code],HS_DB[[#This Row],[HS Code]])</f>
        <v>6.321329281187793E-2</v>
      </c>
      <c r="AP478" s="8" cm="1">
        <f t="array" ref="AP478">_xlfn.LET(
_xlpm.hs,HS_DB[[#This Row],[HS Code]],
COUNTA(_xlfn.UNIQUE(_xlfn._xlws.FILTER(HS_DB[Reporter],HS_DB[HS Code]=_xlpm.hs)))
)</f>
        <v>11</v>
      </c>
      <c r="AQ478" s="17" t="str">
        <f>IF(HS_DB[[#This Row],[Origin Count]]=1,"Single Source","Multiple Sources")</f>
        <v>Multiple Sources</v>
      </c>
      <c r="AR478" s="8">
        <f>HS_DB[[#This Row],[Annual Spend - USD]]*(HS_DB[[#This Row],[HS Code Risk Score]]/100)</f>
        <v>3294068.58</v>
      </c>
      <c r="AS478" s="8">
        <f>RANK(HS_DB[[#This Row],[Risk Exposure - USD]],HS_DB[Risk Exposure - USD],0)</f>
        <v>304</v>
      </c>
      <c r="AT478" s="8" t="str">
        <f>IF(HS_DB[[#This Row],[Risk Exposure Rank]]&lt;=10,"High",
 IF(HS_DB[[#This Row],[Risk Exposure Rank]]&lt;=30,"Medium",
 "Low"))</f>
        <v>Low</v>
      </c>
      <c r="AU478" s="8" t="str">
        <f>IF(HS_DB[[#This Row],[Risk Exposure Rank]]&lt;=5,"Immediate Action",
 IF(HS_DB[[#This Row],[Risk Exposure Rank]]&lt;=15,"Monitor Closely",
 "Routine Control"))</f>
        <v>Routine Control</v>
      </c>
      <c r="AV478" s="8">
        <f>SUMIFS(HS_DB[Trade Value - USD],HS_DB[HS Code],HS_DB[[#This Row],[HS Code]])</f>
        <v>9688437</v>
      </c>
      <c r="AW478" s="6">
        <f>HS_DB[[#This Row],[Annual Spend - USD]]/HS_DB[[#This Row],[Total Market Size - USD]]</f>
        <v>1</v>
      </c>
      <c r="AX478" s="6" cm="1">
        <f t="array" ref="AX478">COUNTA(_xlfn.UNIQUE(_xlfn._xlws.FILTER(HS_DB[Partner],HS_DB[HS Code]=HS_DB[[#This Row],[HS Code]])))</f>
        <v>1</v>
      </c>
      <c r="AY478" s="8" t="str">
        <f>IF(HS_DB[[#This Row],[Competition Intensity]]&lt;=2,"Highly Concentrated",
 IF(HS_DB[[#This Row],[Competition Intensity]]&lt;=5,"Moderate",
 "Highly Competitive"))</f>
        <v>Highly Concentrated</v>
      </c>
      <c r="AZ478" s="8">
        <f>HS_DB[[#This Row],[Total Market Size - USD]]
*
(1+IFERROR(#REF!,0))
/
HS_DB[[#This Row],[Competition Intensity]]</f>
        <v>9688437</v>
      </c>
      <c r="BA478" s="8" t="str">
        <f>IF(HS_DB[[#This Row],[Commercial Opportunity Score]]&gt;=PERCENTILE(HS_DB[Commercial Opportunity Score],0.9),"High Opportunity",
 IF(HS_DB[[#This Row],[Commercial Opportunity Score]]&gt;=PERCENTILE(HS_DB[Commercial Opportunity Score],0.6),"Medium Opportunity",
 "Routine Market"))</f>
        <v>Routine Market</v>
      </c>
      <c r="BB478" s="3" t="str">
        <f>IF(AND(HS_DB[[#This Row],[Product Rank]]&gt;0,HS_DB[[#This Row],[Product Rank]]&lt;=10),"Yes","No")</f>
        <v>No</v>
      </c>
      <c r="BC478" s="3" t="str">
        <f>IF(AND(HS_DB[[#This Row],[Origin Rank]]&gt;0,HS_DB[[#This Row],[Origin Rank]]&lt;=10),"Yes","No")</f>
        <v>Yes</v>
      </c>
    </row>
    <row r="479" spans="2:55" x14ac:dyDescent="0.3">
      <c r="B479" s="2">
        <f>HS_DB[[#This Row],[Commodity Code]]</f>
        <v>250100</v>
      </c>
      <c r="C479" s="2">
        <f>IFERROR(INDEX(HS_MD!C:C,MATCH(B479,HS_MD!B:B,0),1),"")</f>
        <v>41</v>
      </c>
      <c r="D479" s="17" t="str">
        <f>IFERROR(INDEX(HS_MD!D:D,MATCH(B479,HS_MD!B:B,0),1),"")</f>
        <v>Salt (sodium chloride)</v>
      </c>
      <c r="E479" s="17" t="str">
        <f>IFERROR(INDEX(HS_MD!E:E,MATCH(B479,HS_MD!B:B,0),1),"")</f>
        <v>Salt</v>
      </c>
      <c r="F479" s="17" t="str">
        <f>IFERROR(INDEX(HS_MD!F:F,MATCH(B479,HS_MD!B:B,0),1),"")</f>
        <v>Food Ingredients</v>
      </c>
      <c r="G479" s="17" t="str">
        <f>IFERROR(INDEX(HS_MD!G:G,MATCH(B479,HS_MD!B:B,0),1),"")</f>
        <v>Mineral Salts</v>
      </c>
      <c r="H479" s="17" t="str">
        <f>IFERROR(INDEX(HS_MD!H:H,MATCH(B479,HS_MD!B:B,0),1),"")</f>
        <v>Food Grade Salt</v>
      </c>
      <c r="I479" s="17" t="str">
        <f>IFERROR(INDEX(HS_MD!I:I,MATCH(B479,HS_MD!B:B,0),1),"")</f>
        <v>All Food Processing</v>
      </c>
      <c r="J479" s="17">
        <f>IFERROR(INDEX(Heat_Map[Index],MATCH(HS_DB[[#This Row],[Reporter]],Heat_Map[Global],0),1),"")</f>
        <v>17</v>
      </c>
      <c r="K479" s="17" t="str">
        <f>IF(AND(HS_DB[[#This Row],[Origin Rank]]&gt;1,HS_DB[[#This Row],[Origin Rank]]&lt;=10),"Yes","No")</f>
        <v>No</v>
      </c>
      <c r="L479" s="2">
        <v>2024</v>
      </c>
      <c r="M479" s="2" t="s">
        <v>57</v>
      </c>
      <c r="N479" s="2" t="s">
        <v>5</v>
      </c>
      <c r="O479" s="2" t="s">
        <v>22</v>
      </c>
      <c r="P479" s="2" t="s">
        <v>23</v>
      </c>
      <c r="Q479" s="2" t="s">
        <v>24</v>
      </c>
      <c r="R479" s="2" t="s">
        <v>25</v>
      </c>
      <c r="S479" s="2">
        <v>250100</v>
      </c>
      <c r="T479" s="3">
        <v>281</v>
      </c>
      <c r="U479" s="3">
        <v>44.1</v>
      </c>
      <c r="V479" s="3">
        <v>0</v>
      </c>
      <c r="W479" s="3">
        <v>44</v>
      </c>
      <c r="X479" s="3" t="s">
        <v>58</v>
      </c>
      <c r="Y479" s="3">
        <v>44</v>
      </c>
      <c r="Z479" s="3" t="s">
        <v>58</v>
      </c>
      <c r="AA479" s="6">
        <f>SUMIFS(HS_DB[Trade Value - USD],HS_DB[Reporter],HS_DB[[#This Row],[Reporter]])/SUM(HS_DB[Trade Value - USD])</f>
        <v>5.3992075088500962E-3</v>
      </c>
      <c r="AB479" s="8" cm="1">
        <f t="array" ref="AB479">SUMPRODUCT(
(HS_DB[Reporter]=HS_DB[[#This Row],[Reporter]])*
(HS_DB[Trade Value - USD]&gt;HS_DB[[#This Row],[Trade Value - USD]])
)+1</f>
        <v>26</v>
      </c>
      <c r="AC479" s="8" t="str">
        <f>IFERROR(IF(INDEX(Heat_Map[Crisis Impact %],MATCH(HS_DB[[#This Row],[Reporter]],Heat_Map[Global],0),1)&gt;0,"Yes","No"),"No")</f>
        <v>No</v>
      </c>
      <c r="AD479" s="6">
        <f>IFERROR(INDEX(Heat_Map[Crisis Impact %],MATCH(HS_DB[[#This Row],[Reporter]],Heat_Map[Global],0),1),0)</f>
        <v>0</v>
      </c>
      <c r="AE479" s="8">
        <f>HS_DB[[#This Row],[Crisis Impact%]]*HS_DB[[#This Row],[Trade Value - USD]]</f>
        <v>0</v>
      </c>
      <c r="AF479" s="8">
        <f>HS_DB[[#This Row],[Crisis Impact%]]*HS_DB[[#This Row],[Net Weight -KG]]</f>
        <v>0</v>
      </c>
      <c r="AG479" s="6">
        <f>SUMIFS(HS_DB[Trade Value - USD],HS_DB[Products],HS_DB[[#This Row],[Products]])/SUM(HS_DB[Trade Value - USD])</f>
        <v>8.6467417401395793E-4</v>
      </c>
      <c r="AH479" s="8">
        <f>_xlfn.RANK.EQ(HS_DB[[#This Row],[Trade Value - USD]], HS_DB[Trade Value - USD], 0)
 + COUNTIFS(HS_DB[Trade Value - USD],HS_DB[[#This Row],[Trade Value - USD]],
            HS_DB[HS Code],"&lt;"&amp;HS_DB[[#This Row],[HS Code]])</f>
        <v>503</v>
      </c>
      <c r="AI479" s="9">
        <f>IFERROR(HS_DB[[#This Row],[Trade Value - USD]]/HS_DB[[#This Row],[Net Weight -KG]],0)</f>
        <v>6.3718820861678003</v>
      </c>
      <c r="AJ479" s="17" cm="1">
        <f t="array" ref="AJ479">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79" s="17" t="str">
        <f>IF(HS_DB[[#This Row],[HS Code Risk Score]]&gt;=40,"High",
 IF(HS_DB[[#This Row],[HS Code Risk Score]]&gt;=25,"Medium","Low"))</f>
        <v>Medium</v>
      </c>
      <c r="AL479" s="17" t="str">
        <f>IF(RANK(HS_DB[[#This Row],[HS Code Risk Score]],HS_DB[HS Code Risk Score])&lt;=10,"Yes","No")</f>
        <v>No</v>
      </c>
      <c r="AM479" s="8">
        <f>SUMIFS(HS_DB[Net Weight -KG],HS_DB[HS Code],HS_DB[[#This Row],[HS Code]])</f>
        <v>3061947</v>
      </c>
      <c r="AN479" s="8">
        <f>SUMIFS(HS_DB[Trade Value - USD],HS_DB[HS Code],HS_DB[[#This Row],[HS Code]])</f>
        <v>1629918</v>
      </c>
      <c r="AO479" s="6">
        <f>_xlfn.MAXIFS(HS_DB[Origin Share%],HS_DB[HS Code],HS_DB[[#This Row],[HS Code]])</f>
        <v>6.321329281187793E-2</v>
      </c>
      <c r="AP479" s="8" cm="1">
        <f t="array" ref="AP479">_xlfn.LET(
_xlpm.hs,HS_DB[[#This Row],[HS Code]],
COUNTA(_xlfn.UNIQUE(_xlfn._xlws.FILTER(HS_DB[Reporter],HS_DB[HS Code]=_xlpm.hs)))
)</f>
        <v>19</v>
      </c>
      <c r="AQ479" s="17" t="str">
        <f>IF(HS_DB[[#This Row],[Origin Count]]=1,"Single Source","Multiple Sources")</f>
        <v>Multiple Sources</v>
      </c>
      <c r="AR479" s="8">
        <f>HS_DB[[#This Row],[Annual Spend - USD]]*(HS_DB[[#This Row],[HS Code Risk Score]]/100)</f>
        <v>554172.12</v>
      </c>
      <c r="AS479" s="8">
        <f>RANK(HS_DB[[#This Row],[Risk Exposure - USD]],HS_DB[Risk Exposure - USD],0)</f>
        <v>488</v>
      </c>
      <c r="AT479" s="8" t="str">
        <f>IF(HS_DB[[#This Row],[Risk Exposure Rank]]&lt;=10,"High",
 IF(HS_DB[[#This Row],[Risk Exposure Rank]]&lt;=30,"Medium",
 "Low"))</f>
        <v>Low</v>
      </c>
      <c r="AU479" s="8" t="str">
        <f>IF(HS_DB[[#This Row],[Risk Exposure Rank]]&lt;=5,"Immediate Action",
 IF(HS_DB[[#This Row],[Risk Exposure Rank]]&lt;=15,"Monitor Closely",
 "Routine Control"))</f>
        <v>Routine Control</v>
      </c>
      <c r="AV479" s="8">
        <f>SUMIFS(HS_DB[Trade Value - USD],HS_DB[HS Code],HS_DB[[#This Row],[HS Code]])</f>
        <v>1629918</v>
      </c>
      <c r="AW479" s="6">
        <f>HS_DB[[#This Row],[Annual Spend - USD]]/HS_DB[[#This Row],[Total Market Size - USD]]</f>
        <v>1</v>
      </c>
      <c r="AX479" s="6" cm="1">
        <f t="array" ref="AX479">COUNTA(_xlfn.UNIQUE(_xlfn._xlws.FILTER(HS_DB[Partner],HS_DB[HS Code]=HS_DB[[#This Row],[HS Code]])))</f>
        <v>1</v>
      </c>
      <c r="AY479" s="8" t="str">
        <f>IF(HS_DB[[#This Row],[Competition Intensity]]&lt;=2,"Highly Concentrated",
 IF(HS_DB[[#This Row],[Competition Intensity]]&lt;=5,"Moderate",
 "Highly Competitive"))</f>
        <v>Highly Concentrated</v>
      </c>
      <c r="AZ479" s="8">
        <f>HS_DB[[#This Row],[Total Market Size - USD]]
*
(1+IFERROR(#REF!,0))
/
HS_DB[[#This Row],[Competition Intensity]]</f>
        <v>1629918</v>
      </c>
      <c r="BA479" s="8" t="str">
        <f>IF(HS_DB[[#This Row],[Commercial Opportunity Score]]&gt;=PERCENTILE(HS_DB[Commercial Opportunity Score],0.9),"High Opportunity",
 IF(HS_DB[[#This Row],[Commercial Opportunity Score]]&gt;=PERCENTILE(HS_DB[Commercial Opportunity Score],0.6),"Medium Opportunity",
 "Routine Market"))</f>
        <v>Routine Market</v>
      </c>
      <c r="BB479" s="3" t="str">
        <f>IF(AND(HS_DB[[#This Row],[Product Rank]]&gt;0,HS_DB[[#This Row],[Product Rank]]&lt;=10),"Yes","No")</f>
        <v>No</v>
      </c>
      <c r="BC479" s="3" t="str">
        <f>IF(AND(HS_DB[[#This Row],[Origin Rank]]&gt;0,HS_DB[[#This Row],[Origin Rank]]&lt;=10),"Yes","No")</f>
        <v>No</v>
      </c>
    </row>
    <row r="480" spans="2:55" x14ac:dyDescent="0.3">
      <c r="B480" s="2">
        <f>HS_DB[[#This Row],[Commodity Code]]</f>
        <v>250100</v>
      </c>
      <c r="C480" s="2">
        <f>IFERROR(INDEX(HS_MD!C:C,MATCH(B480,HS_MD!B:B,0),1),"")</f>
        <v>41</v>
      </c>
      <c r="D480" s="17" t="str">
        <f>IFERROR(INDEX(HS_MD!D:D,MATCH(B480,HS_MD!B:B,0),1),"")</f>
        <v>Salt (sodium chloride)</v>
      </c>
      <c r="E480" s="17" t="str">
        <f>IFERROR(INDEX(HS_MD!E:E,MATCH(B480,HS_MD!B:B,0),1),"")</f>
        <v>Salt</v>
      </c>
      <c r="F480" s="17" t="str">
        <f>IFERROR(INDEX(HS_MD!F:F,MATCH(B480,HS_MD!B:B,0),1),"")</f>
        <v>Food Ingredients</v>
      </c>
      <c r="G480" s="17" t="str">
        <f>IFERROR(INDEX(HS_MD!G:G,MATCH(B480,HS_MD!B:B,0),1),"")</f>
        <v>Mineral Salts</v>
      </c>
      <c r="H480" s="17" t="str">
        <f>IFERROR(INDEX(HS_MD!H:H,MATCH(B480,HS_MD!B:B,0),1),"")</f>
        <v>Food Grade Salt</v>
      </c>
      <c r="I480" s="17" t="str">
        <f>IFERROR(INDEX(HS_MD!I:I,MATCH(B480,HS_MD!B:B,0),1),"")</f>
        <v>All Food Processing</v>
      </c>
      <c r="J480" s="17">
        <f>IFERROR(INDEX(Heat_Map[Index],MATCH(HS_DB[[#This Row],[Reporter]],Heat_Map[Global],0),1),"")</f>
        <v>26</v>
      </c>
      <c r="K480" s="17" t="str">
        <f>IF(AND(HS_DB[[#This Row],[Origin Rank]]&gt;1,HS_DB[[#This Row],[Origin Rank]]&lt;=10),"Yes","No")</f>
        <v>Yes</v>
      </c>
      <c r="L480" s="2">
        <v>2024</v>
      </c>
      <c r="M480" s="2" t="s">
        <v>57</v>
      </c>
      <c r="N480" s="2" t="s">
        <v>141</v>
      </c>
      <c r="O480" s="2" t="s">
        <v>22</v>
      </c>
      <c r="P480" s="2" t="s">
        <v>23</v>
      </c>
      <c r="Q480" s="2" t="s">
        <v>24</v>
      </c>
      <c r="R480" s="2" t="s">
        <v>25</v>
      </c>
      <c r="S480" s="2">
        <v>250100</v>
      </c>
      <c r="T480" s="3">
        <v>10690</v>
      </c>
      <c r="U480" s="3">
        <v>19510</v>
      </c>
      <c r="V480" s="3">
        <v>0</v>
      </c>
      <c r="W480" s="3">
        <v>19510</v>
      </c>
      <c r="X480" s="3" t="s">
        <v>58</v>
      </c>
      <c r="Y480" s="3">
        <v>19510</v>
      </c>
      <c r="Z480" s="3" t="s">
        <v>58</v>
      </c>
      <c r="AA480" s="6">
        <f>SUMIFS(HS_DB[Trade Value - USD],HS_DB[Reporter],HS_DB[[#This Row],[Reporter]])/SUM(HS_DB[Trade Value - USD])</f>
        <v>5.4237925464080154E-3</v>
      </c>
      <c r="AB480" s="8" cm="1">
        <f t="array" ref="AB480">SUMPRODUCT(
(HS_DB[Reporter]=HS_DB[[#This Row],[Reporter]])*
(HS_DB[Trade Value - USD]&gt;HS_DB[[#This Row],[Trade Value - USD]])
)+1</f>
        <v>6</v>
      </c>
      <c r="AC480" s="8" t="str">
        <f>IFERROR(IF(INDEX(Heat_Map[Crisis Impact %],MATCH(HS_DB[[#This Row],[Reporter]],Heat_Map[Global],0),1)&gt;0,"Yes","No"),"No")</f>
        <v>No</v>
      </c>
      <c r="AD480" s="6">
        <f>IFERROR(INDEX(Heat_Map[Crisis Impact %],MATCH(HS_DB[[#This Row],[Reporter]],Heat_Map[Global],0),1),0)</f>
        <v>0</v>
      </c>
      <c r="AE480" s="8">
        <f>HS_DB[[#This Row],[Crisis Impact%]]*HS_DB[[#This Row],[Trade Value - USD]]</f>
        <v>0</v>
      </c>
      <c r="AF480" s="8">
        <f>HS_DB[[#This Row],[Crisis Impact%]]*HS_DB[[#This Row],[Net Weight -KG]]</f>
        <v>0</v>
      </c>
      <c r="AG480" s="6">
        <f>SUMIFS(HS_DB[Trade Value - USD],HS_DB[Products],HS_DB[[#This Row],[Products]])/SUM(HS_DB[Trade Value - USD])</f>
        <v>8.6467417401395793E-4</v>
      </c>
      <c r="AH480" s="8">
        <f>_xlfn.RANK.EQ(HS_DB[[#This Row],[Trade Value - USD]], HS_DB[Trade Value - USD], 0)
 + COUNTIFS(HS_DB[Trade Value - USD],HS_DB[[#This Row],[Trade Value - USD]],
            HS_DB[HS Code],"&lt;"&amp;HS_DB[[#This Row],[HS Code]])</f>
        <v>411</v>
      </c>
      <c r="AI480" s="9">
        <f>IFERROR(HS_DB[[#This Row],[Trade Value - USD]]/HS_DB[[#This Row],[Net Weight -KG]],0)</f>
        <v>0.54792414146591495</v>
      </c>
      <c r="AJ480" s="17" cm="1">
        <f t="array" ref="AJ480">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80" s="17" t="str">
        <f>IF(HS_DB[[#This Row],[HS Code Risk Score]]&gt;=40,"High",
 IF(HS_DB[[#This Row],[HS Code Risk Score]]&gt;=25,"Medium","Low"))</f>
        <v>Medium</v>
      </c>
      <c r="AL480" s="17" t="str">
        <f>IF(RANK(HS_DB[[#This Row],[HS Code Risk Score]],HS_DB[HS Code Risk Score])&lt;=10,"Yes","No")</f>
        <v>No</v>
      </c>
      <c r="AM480" s="8">
        <f>SUMIFS(HS_DB[Net Weight -KG],HS_DB[HS Code],HS_DB[[#This Row],[HS Code]])</f>
        <v>3061947</v>
      </c>
      <c r="AN480" s="8">
        <f>SUMIFS(HS_DB[Trade Value - USD],HS_DB[HS Code],HS_DB[[#This Row],[HS Code]])</f>
        <v>1629918</v>
      </c>
      <c r="AO480" s="6">
        <f>_xlfn.MAXIFS(HS_DB[Origin Share%],HS_DB[HS Code],HS_DB[[#This Row],[HS Code]])</f>
        <v>6.321329281187793E-2</v>
      </c>
      <c r="AP480" s="8" cm="1">
        <f t="array" ref="AP480">_xlfn.LET(
_xlpm.hs,HS_DB[[#This Row],[HS Code]],
COUNTA(_xlfn.UNIQUE(_xlfn._xlws.FILTER(HS_DB[Reporter],HS_DB[HS Code]=_xlpm.hs)))
)</f>
        <v>19</v>
      </c>
      <c r="AQ480" s="17" t="str">
        <f>IF(HS_DB[[#This Row],[Origin Count]]=1,"Single Source","Multiple Sources")</f>
        <v>Multiple Sources</v>
      </c>
      <c r="AR480" s="8">
        <f>HS_DB[[#This Row],[Annual Spend - USD]]*(HS_DB[[#This Row],[HS Code Risk Score]]/100)</f>
        <v>554172.12</v>
      </c>
      <c r="AS480" s="8">
        <f>RANK(HS_DB[[#This Row],[Risk Exposure - USD]],HS_DB[Risk Exposure - USD],0)</f>
        <v>488</v>
      </c>
      <c r="AT480" s="8" t="str">
        <f>IF(HS_DB[[#This Row],[Risk Exposure Rank]]&lt;=10,"High",
 IF(HS_DB[[#This Row],[Risk Exposure Rank]]&lt;=30,"Medium",
 "Low"))</f>
        <v>Low</v>
      </c>
      <c r="AU480" s="8" t="str">
        <f>IF(HS_DB[[#This Row],[Risk Exposure Rank]]&lt;=5,"Immediate Action",
 IF(HS_DB[[#This Row],[Risk Exposure Rank]]&lt;=15,"Monitor Closely",
 "Routine Control"))</f>
        <v>Routine Control</v>
      </c>
      <c r="AV480" s="8">
        <f>SUMIFS(HS_DB[Trade Value - USD],HS_DB[HS Code],HS_DB[[#This Row],[HS Code]])</f>
        <v>1629918</v>
      </c>
      <c r="AW480" s="6">
        <f>HS_DB[[#This Row],[Annual Spend - USD]]/HS_DB[[#This Row],[Total Market Size - USD]]</f>
        <v>1</v>
      </c>
      <c r="AX480" s="6" cm="1">
        <f t="array" ref="AX480">COUNTA(_xlfn.UNIQUE(_xlfn._xlws.FILTER(HS_DB[Partner],HS_DB[HS Code]=HS_DB[[#This Row],[HS Code]])))</f>
        <v>1</v>
      </c>
      <c r="AY480" s="8" t="str">
        <f>IF(HS_DB[[#This Row],[Competition Intensity]]&lt;=2,"Highly Concentrated",
 IF(HS_DB[[#This Row],[Competition Intensity]]&lt;=5,"Moderate",
 "Highly Competitive"))</f>
        <v>Highly Concentrated</v>
      </c>
      <c r="AZ480" s="8">
        <f>HS_DB[[#This Row],[Total Market Size - USD]]
*
(1+IFERROR(#REF!,0))
/
HS_DB[[#This Row],[Competition Intensity]]</f>
        <v>1629918</v>
      </c>
      <c r="BA480" s="8" t="str">
        <f>IF(HS_DB[[#This Row],[Commercial Opportunity Score]]&gt;=PERCENTILE(HS_DB[Commercial Opportunity Score],0.9),"High Opportunity",
 IF(HS_DB[[#This Row],[Commercial Opportunity Score]]&gt;=PERCENTILE(HS_DB[Commercial Opportunity Score],0.6),"Medium Opportunity",
 "Routine Market"))</f>
        <v>Routine Market</v>
      </c>
      <c r="BB480" s="3" t="str">
        <f>IF(AND(HS_DB[[#This Row],[Product Rank]]&gt;0,HS_DB[[#This Row],[Product Rank]]&lt;=10),"Yes","No")</f>
        <v>No</v>
      </c>
      <c r="BC480" s="3" t="str">
        <f>IF(AND(HS_DB[[#This Row],[Origin Rank]]&gt;0,HS_DB[[#This Row],[Origin Rank]]&lt;=10),"Yes","No")</f>
        <v>Yes</v>
      </c>
    </row>
    <row r="481" spans="2:55" x14ac:dyDescent="0.3">
      <c r="B481" s="2">
        <f>HS_DB[[#This Row],[Commodity Code]]</f>
        <v>250100</v>
      </c>
      <c r="C481" s="2">
        <f>IFERROR(INDEX(HS_MD!C:C,MATCH(B481,HS_MD!B:B,0),1),"")</f>
        <v>41</v>
      </c>
      <c r="D481" s="17" t="str">
        <f>IFERROR(INDEX(HS_MD!D:D,MATCH(B481,HS_MD!B:B,0),1),"")</f>
        <v>Salt (sodium chloride)</v>
      </c>
      <c r="E481" s="17" t="str">
        <f>IFERROR(INDEX(HS_MD!E:E,MATCH(B481,HS_MD!B:B,0),1),"")</f>
        <v>Salt</v>
      </c>
      <c r="F481" s="17" t="str">
        <f>IFERROR(INDEX(HS_MD!F:F,MATCH(B481,HS_MD!B:B,0),1),"")</f>
        <v>Food Ingredients</v>
      </c>
      <c r="G481" s="17" t="str">
        <f>IFERROR(INDEX(HS_MD!G:G,MATCH(B481,HS_MD!B:B,0),1),"")</f>
        <v>Mineral Salts</v>
      </c>
      <c r="H481" s="17" t="str">
        <f>IFERROR(INDEX(HS_MD!H:H,MATCH(B481,HS_MD!B:B,0),1),"")</f>
        <v>Food Grade Salt</v>
      </c>
      <c r="I481" s="17" t="str">
        <f>IFERROR(INDEX(HS_MD!I:I,MATCH(B481,HS_MD!B:B,0),1),"")</f>
        <v>All Food Processing</v>
      </c>
      <c r="J481" s="17">
        <f>IFERROR(INDEX(Heat_Map[Index],MATCH(HS_DB[[#This Row],[Reporter]],Heat_Map[Global],0),1),"")</f>
        <v>32</v>
      </c>
      <c r="K481" s="17" t="str">
        <f>IF(AND(HS_DB[[#This Row],[Origin Rank]]&gt;1,HS_DB[[#This Row],[Origin Rank]]&lt;=10),"Yes","No")</f>
        <v>Yes</v>
      </c>
      <c r="L481" s="2">
        <v>2024</v>
      </c>
      <c r="M481" s="2" t="s">
        <v>57</v>
      </c>
      <c r="N481" s="2" t="s">
        <v>39</v>
      </c>
      <c r="O481" s="2" t="s">
        <v>22</v>
      </c>
      <c r="P481" s="2" t="s">
        <v>23</v>
      </c>
      <c r="Q481" s="2" t="s">
        <v>24</v>
      </c>
      <c r="R481" s="2" t="s">
        <v>25</v>
      </c>
      <c r="S481" s="2">
        <v>250100</v>
      </c>
      <c r="T481" s="3">
        <v>17</v>
      </c>
      <c r="U481" s="3">
        <v>451.1</v>
      </c>
      <c r="V481" s="3">
        <v>0</v>
      </c>
      <c r="W481" s="3">
        <v>451</v>
      </c>
      <c r="X481" s="3" t="s">
        <v>58</v>
      </c>
      <c r="Y481" s="3">
        <v>0</v>
      </c>
      <c r="Z481" s="3" t="s">
        <v>58</v>
      </c>
      <c r="AA481" s="6">
        <f>SUMIFS(HS_DB[Trade Value - USD],HS_DB[Reporter],HS_DB[[#This Row],[Reporter]])/SUM(HS_DB[Trade Value - USD])</f>
        <v>1.2732039388690099E-7</v>
      </c>
      <c r="AB481" s="8" cm="1">
        <f t="array" ref="AB481">SUMPRODUCT(
(HS_DB[Reporter]=HS_DB[[#This Row],[Reporter]])*
(HS_DB[Trade Value - USD]&gt;HS_DB[[#This Row],[Trade Value - USD]])
)+1</f>
        <v>3</v>
      </c>
      <c r="AC481" s="8" t="str">
        <f>IFERROR(IF(INDEX(Heat_Map[Crisis Impact %],MATCH(HS_DB[[#This Row],[Reporter]],Heat_Map[Global],0),1)&gt;0,"Yes","No"),"No")</f>
        <v>No</v>
      </c>
      <c r="AD481" s="6">
        <f>IFERROR(INDEX(Heat_Map[Crisis Impact %],MATCH(HS_DB[[#This Row],[Reporter]],Heat_Map[Global],0),1),0)</f>
        <v>0</v>
      </c>
      <c r="AE481" s="8">
        <f>HS_DB[[#This Row],[Crisis Impact%]]*HS_DB[[#This Row],[Trade Value - USD]]</f>
        <v>0</v>
      </c>
      <c r="AF481" s="8">
        <f>HS_DB[[#This Row],[Crisis Impact%]]*HS_DB[[#This Row],[Net Weight -KG]]</f>
        <v>0</v>
      </c>
      <c r="AG481" s="6">
        <f>SUMIFS(HS_DB[Trade Value - USD],HS_DB[Products],HS_DB[[#This Row],[Products]])/SUM(HS_DB[Trade Value - USD])</f>
        <v>8.6467417401395793E-4</v>
      </c>
      <c r="AH481" s="8">
        <f>_xlfn.RANK.EQ(HS_DB[[#This Row],[Trade Value - USD]], HS_DB[Trade Value - USD], 0)
 + COUNTIFS(HS_DB[Trade Value - USD],HS_DB[[#This Row],[Trade Value - USD]],
            HS_DB[HS Code],"&lt;"&amp;HS_DB[[#This Row],[HS Code]])</f>
        <v>532</v>
      </c>
      <c r="AI481" s="9">
        <f>IFERROR(HS_DB[[#This Row],[Trade Value - USD]]/HS_DB[[#This Row],[Net Weight -KG]],0)</f>
        <v>3.7685657282199067E-2</v>
      </c>
      <c r="AJ481" s="17" cm="1">
        <f t="array" ref="AJ481">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81" s="17" t="str">
        <f>IF(HS_DB[[#This Row],[HS Code Risk Score]]&gt;=40,"High",
 IF(HS_DB[[#This Row],[HS Code Risk Score]]&gt;=25,"Medium","Low"))</f>
        <v>Medium</v>
      </c>
      <c r="AL481" s="17" t="str">
        <f>IF(RANK(HS_DB[[#This Row],[HS Code Risk Score]],HS_DB[HS Code Risk Score])&lt;=10,"Yes","No")</f>
        <v>No</v>
      </c>
      <c r="AM481" s="8">
        <f>SUMIFS(HS_DB[Net Weight -KG],HS_DB[HS Code],HS_DB[[#This Row],[HS Code]])</f>
        <v>3061947</v>
      </c>
      <c r="AN481" s="8">
        <f>SUMIFS(HS_DB[Trade Value - USD],HS_DB[HS Code],HS_DB[[#This Row],[HS Code]])</f>
        <v>1629918</v>
      </c>
      <c r="AO481" s="6">
        <f>_xlfn.MAXIFS(HS_DB[Origin Share%],HS_DB[HS Code],HS_DB[[#This Row],[HS Code]])</f>
        <v>6.321329281187793E-2</v>
      </c>
      <c r="AP481" s="8" cm="1">
        <f t="array" ref="AP481">_xlfn.LET(
_xlpm.hs,HS_DB[[#This Row],[HS Code]],
COUNTA(_xlfn.UNIQUE(_xlfn._xlws.FILTER(HS_DB[Reporter],HS_DB[HS Code]=_xlpm.hs)))
)</f>
        <v>19</v>
      </c>
      <c r="AQ481" s="17" t="str">
        <f>IF(HS_DB[[#This Row],[Origin Count]]=1,"Single Source","Multiple Sources")</f>
        <v>Multiple Sources</v>
      </c>
      <c r="AR481" s="8">
        <f>HS_DB[[#This Row],[Annual Spend - USD]]*(HS_DB[[#This Row],[HS Code Risk Score]]/100)</f>
        <v>554172.12</v>
      </c>
      <c r="AS481" s="8">
        <f>RANK(HS_DB[[#This Row],[Risk Exposure - USD]],HS_DB[Risk Exposure - USD],0)</f>
        <v>488</v>
      </c>
      <c r="AT481" s="8" t="str">
        <f>IF(HS_DB[[#This Row],[Risk Exposure Rank]]&lt;=10,"High",
 IF(HS_DB[[#This Row],[Risk Exposure Rank]]&lt;=30,"Medium",
 "Low"))</f>
        <v>Low</v>
      </c>
      <c r="AU481" s="8" t="str">
        <f>IF(HS_DB[[#This Row],[Risk Exposure Rank]]&lt;=5,"Immediate Action",
 IF(HS_DB[[#This Row],[Risk Exposure Rank]]&lt;=15,"Monitor Closely",
 "Routine Control"))</f>
        <v>Routine Control</v>
      </c>
      <c r="AV481" s="8">
        <f>SUMIFS(HS_DB[Trade Value - USD],HS_DB[HS Code],HS_DB[[#This Row],[HS Code]])</f>
        <v>1629918</v>
      </c>
      <c r="AW481" s="6">
        <f>HS_DB[[#This Row],[Annual Spend - USD]]/HS_DB[[#This Row],[Total Market Size - USD]]</f>
        <v>1</v>
      </c>
      <c r="AX481" s="6" cm="1">
        <f t="array" ref="AX481">COUNTA(_xlfn.UNIQUE(_xlfn._xlws.FILTER(HS_DB[Partner],HS_DB[HS Code]=HS_DB[[#This Row],[HS Code]])))</f>
        <v>1</v>
      </c>
      <c r="AY481" s="8" t="str">
        <f>IF(HS_DB[[#This Row],[Competition Intensity]]&lt;=2,"Highly Concentrated",
 IF(HS_DB[[#This Row],[Competition Intensity]]&lt;=5,"Moderate",
 "Highly Competitive"))</f>
        <v>Highly Concentrated</v>
      </c>
      <c r="AZ481" s="8">
        <f>HS_DB[[#This Row],[Total Market Size - USD]]
*
(1+IFERROR(#REF!,0))
/
HS_DB[[#This Row],[Competition Intensity]]</f>
        <v>1629918</v>
      </c>
      <c r="BA481" s="8" t="str">
        <f>IF(HS_DB[[#This Row],[Commercial Opportunity Score]]&gt;=PERCENTILE(HS_DB[Commercial Opportunity Score],0.9),"High Opportunity",
 IF(HS_DB[[#This Row],[Commercial Opportunity Score]]&gt;=PERCENTILE(HS_DB[Commercial Opportunity Score],0.6),"Medium Opportunity",
 "Routine Market"))</f>
        <v>Routine Market</v>
      </c>
      <c r="BB481" s="3" t="str">
        <f>IF(AND(HS_DB[[#This Row],[Product Rank]]&gt;0,HS_DB[[#This Row],[Product Rank]]&lt;=10),"Yes","No")</f>
        <v>No</v>
      </c>
      <c r="BC481" s="3" t="str">
        <f>IF(AND(HS_DB[[#This Row],[Origin Rank]]&gt;0,HS_DB[[#This Row],[Origin Rank]]&lt;=10),"Yes","No")</f>
        <v>Yes</v>
      </c>
    </row>
    <row r="482" spans="2:55" x14ac:dyDescent="0.3">
      <c r="B482" s="2">
        <f>HS_DB[[#This Row],[Commodity Code]]</f>
        <v>250100</v>
      </c>
      <c r="C482" s="2">
        <f>IFERROR(INDEX(HS_MD!C:C,MATCH(B482,HS_MD!B:B,0),1),"")</f>
        <v>41</v>
      </c>
      <c r="D482" s="17" t="str">
        <f>IFERROR(INDEX(HS_MD!D:D,MATCH(B482,HS_MD!B:B,0),1),"")</f>
        <v>Salt (sodium chloride)</v>
      </c>
      <c r="E482" s="17" t="str">
        <f>IFERROR(INDEX(HS_MD!E:E,MATCH(B482,HS_MD!B:B,0),1),"")</f>
        <v>Salt</v>
      </c>
      <c r="F482" s="17" t="str">
        <f>IFERROR(INDEX(HS_MD!F:F,MATCH(B482,HS_MD!B:B,0),1),"")</f>
        <v>Food Ingredients</v>
      </c>
      <c r="G482" s="17" t="str">
        <f>IFERROR(INDEX(HS_MD!G:G,MATCH(B482,HS_MD!B:B,0),1),"")</f>
        <v>Mineral Salts</v>
      </c>
      <c r="H482" s="17" t="str">
        <f>IFERROR(INDEX(HS_MD!H:H,MATCH(B482,HS_MD!B:B,0),1),"")</f>
        <v>Food Grade Salt</v>
      </c>
      <c r="I482" s="17" t="str">
        <f>IFERROR(INDEX(HS_MD!I:I,MATCH(B482,HS_MD!B:B,0),1),"")</f>
        <v>All Food Processing</v>
      </c>
      <c r="J482" s="17">
        <f>IFERROR(INDEX(Heat_Map[Index],MATCH(HS_DB[[#This Row],[Reporter]],Heat_Map[Global],0),1),"")</f>
        <v>36</v>
      </c>
      <c r="K482" s="17" t="str">
        <f>IF(AND(HS_DB[[#This Row],[Origin Rank]]&gt;1,HS_DB[[#This Row],[Origin Rank]]&lt;=10),"Yes","No")</f>
        <v>No</v>
      </c>
      <c r="L482" s="2">
        <v>2024</v>
      </c>
      <c r="M482" s="2" t="s">
        <v>57</v>
      </c>
      <c r="N482" s="2" t="s">
        <v>1</v>
      </c>
      <c r="O482" s="2" t="s">
        <v>22</v>
      </c>
      <c r="P482" s="2" t="s">
        <v>23</v>
      </c>
      <c r="Q482" s="2" t="s">
        <v>24</v>
      </c>
      <c r="R482" s="2" t="s">
        <v>25</v>
      </c>
      <c r="S482" s="2">
        <v>250100</v>
      </c>
      <c r="T482" s="3">
        <v>116879</v>
      </c>
      <c r="U482" s="3">
        <v>184547.9</v>
      </c>
      <c r="V482" s="3">
        <v>0</v>
      </c>
      <c r="W482" s="3">
        <v>184548</v>
      </c>
      <c r="X482" s="3" t="s">
        <v>58</v>
      </c>
      <c r="Y482" s="3">
        <v>175700</v>
      </c>
      <c r="Z482" s="3" t="s">
        <v>58</v>
      </c>
      <c r="AA482" s="6">
        <f>SUMIFS(HS_DB[Trade Value - USD],HS_DB[Reporter],HS_DB[[#This Row],[Reporter]])/SUM(HS_DB[Trade Value - USD])</f>
        <v>6.321329281187793E-2</v>
      </c>
      <c r="AB482" s="8" cm="1">
        <f t="array" ref="AB482">SUMPRODUCT(
(HS_DB[Reporter]=HS_DB[[#This Row],[Reporter]])*
(HS_DB[Trade Value - USD]&gt;HS_DB[[#This Row],[Trade Value - USD]])
)+1</f>
        <v>30</v>
      </c>
      <c r="AC482" s="8" t="str">
        <f>IFERROR(IF(INDEX(Heat_Map[Crisis Impact %],MATCH(HS_DB[[#This Row],[Reporter]],Heat_Map[Global],0),1)&gt;0,"Yes","No"),"No")</f>
        <v>Yes</v>
      </c>
      <c r="AD482" s="6">
        <f>IFERROR(INDEX(Heat_Map[Crisis Impact %],MATCH(HS_DB[[#This Row],[Reporter]],Heat_Map[Global],0),1),0)</f>
        <v>0.14000000000000001</v>
      </c>
      <c r="AE482" s="8">
        <f>HS_DB[[#This Row],[Crisis Impact%]]*HS_DB[[#This Row],[Trade Value - USD]]</f>
        <v>16363.060000000001</v>
      </c>
      <c r="AF482" s="8">
        <f>HS_DB[[#This Row],[Crisis Impact%]]*HS_DB[[#This Row],[Net Weight -KG]]</f>
        <v>25836.706000000002</v>
      </c>
      <c r="AG482" s="6">
        <f>SUMIFS(HS_DB[Trade Value - USD],HS_DB[Products],HS_DB[[#This Row],[Products]])/SUM(HS_DB[Trade Value - USD])</f>
        <v>8.6467417401395793E-4</v>
      </c>
      <c r="AH482" s="8">
        <f>_xlfn.RANK.EQ(HS_DB[[#This Row],[Trade Value - USD]], HS_DB[Trade Value - USD], 0)
 + COUNTIFS(HS_DB[Trade Value - USD],HS_DB[[#This Row],[Trade Value - USD]],
            HS_DB[HS Code],"&lt;"&amp;HS_DB[[#This Row],[HS Code]])</f>
        <v>265</v>
      </c>
      <c r="AI482" s="9">
        <f>IFERROR(HS_DB[[#This Row],[Trade Value - USD]]/HS_DB[[#This Row],[Net Weight -KG]],0)</f>
        <v>0.63332609040796461</v>
      </c>
      <c r="AJ482" s="17" cm="1">
        <f t="array" ref="AJ482">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82" s="17" t="str">
        <f>IF(HS_DB[[#This Row],[HS Code Risk Score]]&gt;=40,"High",
 IF(HS_DB[[#This Row],[HS Code Risk Score]]&gt;=25,"Medium","Low"))</f>
        <v>Medium</v>
      </c>
      <c r="AL482" s="17" t="str">
        <f>IF(RANK(HS_DB[[#This Row],[HS Code Risk Score]],HS_DB[HS Code Risk Score])&lt;=10,"Yes","No")</f>
        <v>No</v>
      </c>
      <c r="AM482" s="8">
        <f>SUMIFS(HS_DB[Net Weight -KG],HS_DB[HS Code],HS_DB[[#This Row],[HS Code]])</f>
        <v>3061947</v>
      </c>
      <c r="AN482" s="8">
        <f>SUMIFS(HS_DB[Trade Value - USD],HS_DB[HS Code],HS_DB[[#This Row],[HS Code]])</f>
        <v>1629918</v>
      </c>
      <c r="AO482" s="6">
        <f>_xlfn.MAXIFS(HS_DB[Origin Share%],HS_DB[HS Code],HS_DB[[#This Row],[HS Code]])</f>
        <v>6.321329281187793E-2</v>
      </c>
      <c r="AP482" s="8" cm="1">
        <f t="array" ref="AP482">_xlfn.LET(
_xlpm.hs,HS_DB[[#This Row],[HS Code]],
COUNTA(_xlfn.UNIQUE(_xlfn._xlws.FILTER(HS_DB[Reporter],HS_DB[HS Code]=_xlpm.hs)))
)</f>
        <v>19</v>
      </c>
      <c r="AQ482" s="17" t="str">
        <f>IF(HS_DB[[#This Row],[Origin Count]]=1,"Single Source","Multiple Sources")</f>
        <v>Multiple Sources</v>
      </c>
      <c r="AR482" s="8">
        <f>HS_DB[[#This Row],[Annual Spend - USD]]*(HS_DB[[#This Row],[HS Code Risk Score]]/100)</f>
        <v>554172.12</v>
      </c>
      <c r="AS482" s="8">
        <f>RANK(HS_DB[[#This Row],[Risk Exposure - USD]],HS_DB[Risk Exposure - USD],0)</f>
        <v>488</v>
      </c>
      <c r="AT482" s="8" t="str">
        <f>IF(HS_DB[[#This Row],[Risk Exposure Rank]]&lt;=10,"High",
 IF(HS_DB[[#This Row],[Risk Exposure Rank]]&lt;=30,"Medium",
 "Low"))</f>
        <v>Low</v>
      </c>
      <c r="AU482" s="8" t="str">
        <f>IF(HS_DB[[#This Row],[Risk Exposure Rank]]&lt;=5,"Immediate Action",
 IF(HS_DB[[#This Row],[Risk Exposure Rank]]&lt;=15,"Monitor Closely",
 "Routine Control"))</f>
        <v>Routine Control</v>
      </c>
      <c r="AV482" s="8">
        <f>SUMIFS(HS_DB[Trade Value - USD],HS_DB[HS Code],HS_DB[[#This Row],[HS Code]])</f>
        <v>1629918</v>
      </c>
      <c r="AW482" s="6">
        <f>HS_DB[[#This Row],[Annual Spend - USD]]/HS_DB[[#This Row],[Total Market Size - USD]]</f>
        <v>1</v>
      </c>
      <c r="AX482" s="6" cm="1">
        <f t="array" ref="AX482">COUNTA(_xlfn.UNIQUE(_xlfn._xlws.FILTER(HS_DB[Partner],HS_DB[HS Code]=HS_DB[[#This Row],[HS Code]])))</f>
        <v>1</v>
      </c>
      <c r="AY482" s="8" t="str">
        <f>IF(HS_DB[[#This Row],[Competition Intensity]]&lt;=2,"Highly Concentrated",
 IF(HS_DB[[#This Row],[Competition Intensity]]&lt;=5,"Moderate",
 "Highly Competitive"))</f>
        <v>Highly Concentrated</v>
      </c>
      <c r="AZ482" s="8">
        <f>HS_DB[[#This Row],[Total Market Size - USD]]
*
(1+IFERROR(#REF!,0))
/
HS_DB[[#This Row],[Competition Intensity]]</f>
        <v>1629918</v>
      </c>
      <c r="BA482" s="8" t="str">
        <f>IF(HS_DB[[#This Row],[Commercial Opportunity Score]]&gt;=PERCENTILE(HS_DB[Commercial Opportunity Score],0.9),"High Opportunity",
 IF(HS_DB[[#This Row],[Commercial Opportunity Score]]&gt;=PERCENTILE(HS_DB[Commercial Opportunity Score],0.6),"Medium Opportunity",
 "Routine Market"))</f>
        <v>Routine Market</v>
      </c>
      <c r="BB482" s="3" t="str">
        <f>IF(AND(HS_DB[[#This Row],[Product Rank]]&gt;0,HS_DB[[#This Row],[Product Rank]]&lt;=10),"Yes","No")</f>
        <v>No</v>
      </c>
      <c r="BC482" s="3" t="str">
        <f>IF(AND(HS_DB[[#This Row],[Origin Rank]]&gt;0,HS_DB[[#This Row],[Origin Rank]]&lt;=10),"Yes","No")</f>
        <v>No</v>
      </c>
    </row>
    <row r="483" spans="2:55" x14ac:dyDescent="0.3">
      <c r="B483" s="2">
        <f>HS_DB[[#This Row],[Commodity Code]]</f>
        <v>250100</v>
      </c>
      <c r="C483" s="2">
        <f>IFERROR(INDEX(HS_MD!C:C,MATCH(B483,HS_MD!B:B,0),1),"")</f>
        <v>41</v>
      </c>
      <c r="D483" s="17" t="str">
        <f>IFERROR(INDEX(HS_MD!D:D,MATCH(B483,HS_MD!B:B,0),1),"")</f>
        <v>Salt (sodium chloride)</v>
      </c>
      <c r="E483" s="17" t="str">
        <f>IFERROR(INDEX(HS_MD!E:E,MATCH(B483,HS_MD!B:B,0),1),"")</f>
        <v>Salt</v>
      </c>
      <c r="F483" s="17" t="str">
        <f>IFERROR(INDEX(HS_MD!F:F,MATCH(B483,HS_MD!B:B,0),1),"")</f>
        <v>Food Ingredients</v>
      </c>
      <c r="G483" s="17" t="str">
        <f>IFERROR(INDEX(HS_MD!G:G,MATCH(B483,HS_MD!B:B,0),1),"")</f>
        <v>Mineral Salts</v>
      </c>
      <c r="H483" s="17" t="str">
        <f>IFERROR(INDEX(HS_MD!H:H,MATCH(B483,HS_MD!B:B,0),1),"")</f>
        <v>Food Grade Salt</v>
      </c>
      <c r="I483" s="17" t="str">
        <f>IFERROR(INDEX(HS_MD!I:I,MATCH(B483,HS_MD!B:B,0),1),"")</f>
        <v>All Food Processing</v>
      </c>
      <c r="J483" s="17">
        <f>IFERROR(INDEX(Heat_Map[Index],MATCH(HS_DB[[#This Row],[Reporter]],Heat_Map[Global],0),1),"")</f>
        <v>44</v>
      </c>
      <c r="K483" s="17" t="str">
        <f>IF(AND(HS_DB[[#This Row],[Origin Rank]]&gt;1,HS_DB[[#This Row],[Origin Rank]]&lt;=10),"Yes","No")</f>
        <v>Yes</v>
      </c>
      <c r="L483" s="2">
        <v>2024</v>
      </c>
      <c r="M483" s="2" t="s">
        <v>57</v>
      </c>
      <c r="N483" s="2" t="s">
        <v>41</v>
      </c>
      <c r="O483" s="2" t="s">
        <v>22</v>
      </c>
      <c r="P483" s="2" t="s">
        <v>23</v>
      </c>
      <c r="Q483" s="2" t="s">
        <v>24</v>
      </c>
      <c r="R483" s="2" t="s">
        <v>25</v>
      </c>
      <c r="S483" s="2">
        <v>250100</v>
      </c>
      <c r="T483" s="3">
        <v>70811</v>
      </c>
      <c r="U483" s="3">
        <v>136300</v>
      </c>
      <c r="V483" s="3">
        <v>0</v>
      </c>
      <c r="W483" s="3">
        <v>136300</v>
      </c>
      <c r="X483" s="3" t="s">
        <v>58</v>
      </c>
      <c r="Y483" s="3">
        <v>136300</v>
      </c>
      <c r="Z483" s="3" t="s">
        <v>58</v>
      </c>
      <c r="AA483" s="6">
        <f>SUMIFS(HS_DB[Trade Value - USD],HS_DB[Reporter],HS_DB[[#This Row],[Reporter]])/SUM(HS_DB[Trade Value - USD])</f>
        <v>4.2641562768795568E-4</v>
      </c>
      <c r="AB483" s="8" cm="1">
        <f t="array" ref="AB483">SUMPRODUCT(
(HS_DB[Reporter]=HS_DB[[#This Row],[Reporter]])*
(HS_DB[Trade Value - USD]&gt;HS_DB[[#This Row],[Trade Value - USD]])
)+1</f>
        <v>3</v>
      </c>
      <c r="AC483" s="8" t="str">
        <f>IFERROR(IF(INDEX(Heat_Map[Crisis Impact %],MATCH(HS_DB[[#This Row],[Reporter]],Heat_Map[Global],0),1)&gt;0,"Yes","No"),"No")</f>
        <v>No</v>
      </c>
      <c r="AD483" s="6">
        <f>IFERROR(INDEX(Heat_Map[Crisis Impact %],MATCH(HS_DB[[#This Row],[Reporter]],Heat_Map[Global],0),1),0)</f>
        <v>0</v>
      </c>
      <c r="AE483" s="8">
        <f>HS_DB[[#This Row],[Crisis Impact%]]*HS_DB[[#This Row],[Trade Value - USD]]</f>
        <v>0</v>
      </c>
      <c r="AF483" s="8">
        <f>HS_DB[[#This Row],[Crisis Impact%]]*HS_DB[[#This Row],[Net Weight -KG]]</f>
        <v>0</v>
      </c>
      <c r="AG483" s="6">
        <f>SUMIFS(HS_DB[Trade Value - USD],HS_DB[Products],HS_DB[[#This Row],[Products]])/SUM(HS_DB[Trade Value - USD])</f>
        <v>8.6467417401395793E-4</v>
      </c>
      <c r="AH483" s="8">
        <f>_xlfn.RANK.EQ(HS_DB[[#This Row],[Trade Value - USD]], HS_DB[Trade Value - USD], 0)
 + COUNTIFS(HS_DB[Trade Value - USD],HS_DB[[#This Row],[Trade Value - USD]],
            HS_DB[HS Code],"&lt;"&amp;HS_DB[[#This Row],[HS Code]])</f>
        <v>303</v>
      </c>
      <c r="AI483" s="9">
        <f>IFERROR(HS_DB[[#This Row],[Trade Value - USD]]/HS_DB[[#This Row],[Net Weight -KG]],0)</f>
        <v>0.51952311078503299</v>
      </c>
      <c r="AJ483" s="17" cm="1">
        <f t="array" ref="AJ483">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83" s="17" t="str">
        <f>IF(HS_DB[[#This Row],[HS Code Risk Score]]&gt;=40,"High",
 IF(HS_DB[[#This Row],[HS Code Risk Score]]&gt;=25,"Medium","Low"))</f>
        <v>Medium</v>
      </c>
      <c r="AL483" s="17" t="str">
        <f>IF(RANK(HS_DB[[#This Row],[HS Code Risk Score]],HS_DB[HS Code Risk Score])&lt;=10,"Yes","No")</f>
        <v>No</v>
      </c>
      <c r="AM483" s="8">
        <f>SUMIFS(HS_DB[Net Weight -KG],HS_DB[HS Code],HS_DB[[#This Row],[HS Code]])</f>
        <v>3061947</v>
      </c>
      <c r="AN483" s="8">
        <f>SUMIFS(HS_DB[Trade Value - USD],HS_DB[HS Code],HS_DB[[#This Row],[HS Code]])</f>
        <v>1629918</v>
      </c>
      <c r="AO483" s="6">
        <f>_xlfn.MAXIFS(HS_DB[Origin Share%],HS_DB[HS Code],HS_DB[[#This Row],[HS Code]])</f>
        <v>6.321329281187793E-2</v>
      </c>
      <c r="AP483" s="8" cm="1">
        <f t="array" ref="AP483">_xlfn.LET(
_xlpm.hs,HS_DB[[#This Row],[HS Code]],
COUNTA(_xlfn.UNIQUE(_xlfn._xlws.FILTER(HS_DB[Reporter],HS_DB[HS Code]=_xlpm.hs)))
)</f>
        <v>19</v>
      </c>
      <c r="AQ483" s="17" t="str">
        <f>IF(HS_DB[[#This Row],[Origin Count]]=1,"Single Source","Multiple Sources")</f>
        <v>Multiple Sources</v>
      </c>
      <c r="AR483" s="8">
        <f>HS_DB[[#This Row],[Annual Spend - USD]]*(HS_DB[[#This Row],[HS Code Risk Score]]/100)</f>
        <v>554172.12</v>
      </c>
      <c r="AS483" s="8">
        <f>RANK(HS_DB[[#This Row],[Risk Exposure - USD]],HS_DB[Risk Exposure - USD],0)</f>
        <v>488</v>
      </c>
      <c r="AT483" s="8" t="str">
        <f>IF(HS_DB[[#This Row],[Risk Exposure Rank]]&lt;=10,"High",
 IF(HS_DB[[#This Row],[Risk Exposure Rank]]&lt;=30,"Medium",
 "Low"))</f>
        <v>Low</v>
      </c>
      <c r="AU483" s="8" t="str">
        <f>IF(HS_DB[[#This Row],[Risk Exposure Rank]]&lt;=5,"Immediate Action",
 IF(HS_DB[[#This Row],[Risk Exposure Rank]]&lt;=15,"Monitor Closely",
 "Routine Control"))</f>
        <v>Routine Control</v>
      </c>
      <c r="AV483" s="8">
        <f>SUMIFS(HS_DB[Trade Value - USD],HS_DB[HS Code],HS_DB[[#This Row],[HS Code]])</f>
        <v>1629918</v>
      </c>
      <c r="AW483" s="6">
        <f>HS_DB[[#This Row],[Annual Spend - USD]]/HS_DB[[#This Row],[Total Market Size - USD]]</f>
        <v>1</v>
      </c>
      <c r="AX483" s="6" cm="1">
        <f t="array" ref="AX483">COUNTA(_xlfn.UNIQUE(_xlfn._xlws.FILTER(HS_DB[Partner],HS_DB[HS Code]=HS_DB[[#This Row],[HS Code]])))</f>
        <v>1</v>
      </c>
      <c r="AY483" s="8" t="str">
        <f>IF(HS_DB[[#This Row],[Competition Intensity]]&lt;=2,"Highly Concentrated",
 IF(HS_DB[[#This Row],[Competition Intensity]]&lt;=5,"Moderate",
 "Highly Competitive"))</f>
        <v>Highly Concentrated</v>
      </c>
      <c r="AZ483" s="8">
        <f>HS_DB[[#This Row],[Total Market Size - USD]]
*
(1+IFERROR(#REF!,0))
/
HS_DB[[#This Row],[Competition Intensity]]</f>
        <v>1629918</v>
      </c>
      <c r="BA483" s="8" t="str">
        <f>IF(HS_DB[[#This Row],[Commercial Opportunity Score]]&gt;=PERCENTILE(HS_DB[Commercial Opportunity Score],0.9),"High Opportunity",
 IF(HS_DB[[#This Row],[Commercial Opportunity Score]]&gt;=PERCENTILE(HS_DB[Commercial Opportunity Score],0.6),"Medium Opportunity",
 "Routine Market"))</f>
        <v>Routine Market</v>
      </c>
      <c r="BB483" s="3" t="str">
        <f>IF(AND(HS_DB[[#This Row],[Product Rank]]&gt;0,HS_DB[[#This Row],[Product Rank]]&lt;=10),"Yes","No")</f>
        <v>No</v>
      </c>
      <c r="BC483" s="3" t="str">
        <f>IF(AND(HS_DB[[#This Row],[Origin Rank]]&gt;0,HS_DB[[#This Row],[Origin Rank]]&lt;=10),"Yes","No")</f>
        <v>Yes</v>
      </c>
    </row>
    <row r="484" spans="2:55" x14ac:dyDescent="0.3">
      <c r="B484" s="2">
        <f>HS_DB[[#This Row],[Commodity Code]]</f>
        <v>250100</v>
      </c>
      <c r="C484" s="2">
        <f>IFERROR(INDEX(HS_MD!C:C,MATCH(B484,HS_MD!B:B,0),1),"")</f>
        <v>41</v>
      </c>
      <c r="D484" s="17" t="str">
        <f>IFERROR(INDEX(HS_MD!D:D,MATCH(B484,HS_MD!B:B,0),1),"")</f>
        <v>Salt (sodium chloride)</v>
      </c>
      <c r="E484" s="17" t="str">
        <f>IFERROR(INDEX(HS_MD!E:E,MATCH(B484,HS_MD!B:B,0),1),"")</f>
        <v>Salt</v>
      </c>
      <c r="F484" s="17" t="str">
        <f>IFERROR(INDEX(HS_MD!F:F,MATCH(B484,HS_MD!B:B,0),1),"")</f>
        <v>Food Ingredients</v>
      </c>
      <c r="G484" s="17" t="str">
        <f>IFERROR(INDEX(HS_MD!G:G,MATCH(B484,HS_MD!B:B,0),1),"")</f>
        <v>Mineral Salts</v>
      </c>
      <c r="H484" s="17" t="str">
        <f>IFERROR(INDEX(HS_MD!H:H,MATCH(B484,HS_MD!B:B,0),1),"")</f>
        <v>Food Grade Salt</v>
      </c>
      <c r="I484" s="17" t="str">
        <f>IFERROR(INDEX(HS_MD!I:I,MATCH(B484,HS_MD!B:B,0),1),"")</f>
        <v>All Food Processing</v>
      </c>
      <c r="J484" s="17">
        <f>IFERROR(INDEX(Heat_Map[Index],MATCH(HS_DB[[#This Row],[Reporter]],Heat_Map[Global],0),1),"")</f>
        <v>59</v>
      </c>
      <c r="K484" s="17" t="str">
        <f>IF(AND(HS_DB[[#This Row],[Origin Rank]]&gt;1,HS_DB[[#This Row],[Origin Rank]]&lt;=10),"Yes","No")</f>
        <v>No</v>
      </c>
      <c r="L484" s="2">
        <v>2024</v>
      </c>
      <c r="M484" s="2" t="s">
        <v>57</v>
      </c>
      <c r="N484" s="2" t="s">
        <v>44</v>
      </c>
      <c r="O484" s="2" t="s">
        <v>22</v>
      </c>
      <c r="P484" s="2" t="s">
        <v>23</v>
      </c>
      <c r="Q484" s="2" t="s">
        <v>24</v>
      </c>
      <c r="R484" s="2" t="s">
        <v>25</v>
      </c>
      <c r="S484" s="2">
        <v>250100</v>
      </c>
      <c r="T484" s="3">
        <v>25191</v>
      </c>
      <c r="U484" s="3">
        <v>10066</v>
      </c>
      <c r="V484" s="3">
        <v>0</v>
      </c>
      <c r="W484" s="3">
        <v>10066</v>
      </c>
      <c r="X484" s="3" t="s">
        <v>58</v>
      </c>
      <c r="Y484" s="3">
        <v>10066</v>
      </c>
      <c r="Z484" s="3" t="s">
        <v>58</v>
      </c>
      <c r="AA484" s="6">
        <f>SUMIFS(HS_DB[Trade Value - USD],HS_DB[Reporter],HS_DB[[#This Row],[Reporter]])/SUM(HS_DB[Trade Value - USD])</f>
        <v>1.6951290293147386E-2</v>
      </c>
      <c r="AB484" s="8" cm="1">
        <f t="array" ref="AB484">SUMPRODUCT(
(HS_DB[Reporter]=HS_DB[[#This Row],[Reporter]])*
(HS_DB[Trade Value - USD]&gt;HS_DB[[#This Row],[Trade Value - USD]])
)+1</f>
        <v>25</v>
      </c>
      <c r="AC484" s="8" t="str">
        <f>IFERROR(IF(INDEX(Heat_Map[Crisis Impact %],MATCH(HS_DB[[#This Row],[Reporter]],Heat_Map[Global],0),1)&gt;0,"Yes","No"),"No")</f>
        <v>No</v>
      </c>
      <c r="AD484" s="6">
        <f>IFERROR(INDEX(Heat_Map[Crisis Impact %],MATCH(HS_DB[[#This Row],[Reporter]],Heat_Map[Global],0),1),0)</f>
        <v>0</v>
      </c>
      <c r="AE484" s="8">
        <f>HS_DB[[#This Row],[Crisis Impact%]]*HS_DB[[#This Row],[Trade Value - USD]]</f>
        <v>0</v>
      </c>
      <c r="AF484" s="8">
        <f>HS_DB[[#This Row],[Crisis Impact%]]*HS_DB[[#This Row],[Net Weight -KG]]</f>
        <v>0</v>
      </c>
      <c r="AG484" s="6">
        <f>SUMIFS(HS_DB[Trade Value - USD],HS_DB[Products],HS_DB[[#This Row],[Products]])/SUM(HS_DB[Trade Value - USD])</f>
        <v>8.6467417401395793E-4</v>
      </c>
      <c r="AH484" s="8">
        <f>_xlfn.RANK.EQ(HS_DB[[#This Row],[Trade Value - USD]], HS_DB[Trade Value - USD], 0)
 + COUNTIFS(HS_DB[Trade Value - USD],HS_DB[[#This Row],[Trade Value - USD]],
            HS_DB[HS Code],"&lt;"&amp;HS_DB[[#This Row],[HS Code]])</f>
        <v>369</v>
      </c>
      <c r="AI484" s="9">
        <f>IFERROR(HS_DB[[#This Row],[Trade Value - USD]]/HS_DB[[#This Row],[Net Weight -KG]],0)</f>
        <v>2.5025829525134116</v>
      </c>
      <c r="AJ484" s="17" cm="1">
        <f t="array" ref="AJ484">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84" s="17" t="str">
        <f>IF(HS_DB[[#This Row],[HS Code Risk Score]]&gt;=40,"High",
 IF(HS_DB[[#This Row],[HS Code Risk Score]]&gt;=25,"Medium","Low"))</f>
        <v>Medium</v>
      </c>
      <c r="AL484" s="17" t="str">
        <f>IF(RANK(HS_DB[[#This Row],[HS Code Risk Score]],HS_DB[HS Code Risk Score])&lt;=10,"Yes","No")</f>
        <v>No</v>
      </c>
      <c r="AM484" s="8">
        <f>SUMIFS(HS_DB[Net Weight -KG],HS_DB[HS Code],HS_DB[[#This Row],[HS Code]])</f>
        <v>3061947</v>
      </c>
      <c r="AN484" s="8">
        <f>SUMIFS(HS_DB[Trade Value - USD],HS_DB[HS Code],HS_DB[[#This Row],[HS Code]])</f>
        <v>1629918</v>
      </c>
      <c r="AO484" s="6">
        <f>_xlfn.MAXIFS(HS_DB[Origin Share%],HS_DB[HS Code],HS_DB[[#This Row],[HS Code]])</f>
        <v>6.321329281187793E-2</v>
      </c>
      <c r="AP484" s="8" cm="1">
        <f t="array" ref="AP484">_xlfn.LET(
_xlpm.hs,HS_DB[[#This Row],[HS Code]],
COUNTA(_xlfn.UNIQUE(_xlfn._xlws.FILTER(HS_DB[Reporter],HS_DB[HS Code]=_xlpm.hs)))
)</f>
        <v>19</v>
      </c>
      <c r="AQ484" s="17" t="str">
        <f>IF(HS_DB[[#This Row],[Origin Count]]=1,"Single Source","Multiple Sources")</f>
        <v>Multiple Sources</v>
      </c>
      <c r="AR484" s="8">
        <f>HS_DB[[#This Row],[Annual Spend - USD]]*(HS_DB[[#This Row],[HS Code Risk Score]]/100)</f>
        <v>554172.12</v>
      </c>
      <c r="AS484" s="8">
        <f>RANK(HS_DB[[#This Row],[Risk Exposure - USD]],HS_DB[Risk Exposure - USD],0)</f>
        <v>488</v>
      </c>
      <c r="AT484" s="8" t="str">
        <f>IF(HS_DB[[#This Row],[Risk Exposure Rank]]&lt;=10,"High",
 IF(HS_DB[[#This Row],[Risk Exposure Rank]]&lt;=30,"Medium",
 "Low"))</f>
        <v>Low</v>
      </c>
      <c r="AU484" s="8" t="str">
        <f>IF(HS_DB[[#This Row],[Risk Exposure Rank]]&lt;=5,"Immediate Action",
 IF(HS_DB[[#This Row],[Risk Exposure Rank]]&lt;=15,"Monitor Closely",
 "Routine Control"))</f>
        <v>Routine Control</v>
      </c>
      <c r="AV484" s="8">
        <f>SUMIFS(HS_DB[Trade Value - USD],HS_DB[HS Code],HS_DB[[#This Row],[HS Code]])</f>
        <v>1629918</v>
      </c>
      <c r="AW484" s="6">
        <f>HS_DB[[#This Row],[Annual Spend - USD]]/HS_DB[[#This Row],[Total Market Size - USD]]</f>
        <v>1</v>
      </c>
      <c r="AX484" s="6" cm="1">
        <f t="array" ref="AX484">COUNTA(_xlfn.UNIQUE(_xlfn._xlws.FILTER(HS_DB[Partner],HS_DB[HS Code]=HS_DB[[#This Row],[HS Code]])))</f>
        <v>1</v>
      </c>
      <c r="AY484" s="8" t="str">
        <f>IF(HS_DB[[#This Row],[Competition Intensity]]&lt;=2,"Highly Concentrated",
 IF(HS_DB[[#This Row],[Competition Intensity]]&lt;=5,"Moderate",
 "Highly Competitive"))</f>
        <v>Highly Concentrated</v>
      </c>
      <c r="AZ484" s="8">
        <f>HS_DB[[#This Row],[Total Market Size - USD]]
*
(1+IFERROR(#REF!,0))
/
HS_DB[[#This Row],[Competition Intensity]]</f>
        <v>1629918</v>
      </c>
      <c r="BA484" s="8" t="str">
        <f>IF(HS_DB[[#This Row],[Commercial Opportunity Score]]&gt;=PERCENTILE(HS_DB[Commercial Opportunity Score],0.9),"High Opportunity",
 IF(HS_DB[[#This Row],[Commercial Opportunity Score]]&gt;=PERCENTILE(HS_DB[Commercial Opportunity Score],0.6),"Medium Opportunity",
 "Routine Market"))</f>
        <v>Routine Market</v>
      </c>
      <c r="BB484" s="3" t="str">
        <f>IF(AND(HS_DB[[#This Row],[Product Rank]]&gt;0,HS_DB[[#This Row],[Product Rank]]&lt;=10),"Yes","No")</f>
        <v>No</v>
      </c>
      <c r="BC484" s="3" t="str">
        <f>IF(AND(HS_DB[[#This Row],[Origin Rank]]&gt;0,HS_DB[[#This Row],[Origin Rank]]&lt;=10),"Yes","No")</f>
        <v>No</v>
      </c>
    </row>
    <row r="485" spans="2:55" x14ac:dyDescent="0.3">
      <c r="B485" s="2">
        <f>HS_DB[[#This Row],[Commodity Code]]</f>
        <v>250100</v>
      </c>
      <c r="C485" s="2">
        <f>IFERROR(INDEX(HS_MD!C:C,MATCH(B485,HS_MD!B:B,0),1),"")</f>
        <v>41</v>
      </c>
      <c r="D485" s="17" t="str">
        <f>IFERROR(INDEX(HS_MD!D:D,MATCH(B485,HS_MD!B:B,0),1),"")</f>
        <v>Salt (sodium chloride)</v>
      </c>
      <c r="E485" s="17" t="str">
        <f>IFERROR(INDEX(HS_MD!E:E,MATCH(B485,HS_MD!B:B,0),1),"")</f>
        <v>Salt</v>
      </c>
      <c r="F485" s="17" t="str">
        <f>IFERROR(INDEX(HS_MD!F:F,MATCH(B485,HS_MD!B:B,0),1),"")</f>
        <v>Food Ingredients</v>
      </c>
      <c r="G485" s="17" t="str">
        <f>IFERROR(INDEX(HS_MD!G:G,MATCH(B485,HS_MD!B:B,0),1),"")</f>
        <v>Mineral Salts</v>
      </c>
      <c r="H485" s="17" t="str">
        <f>IFERROR(INDEX(HS_MD!H:H,MATCH(B485,HS_MD!B:B,0),1),"")</f>
        <v>Food Grade Salt</v>
      </c>
      <c r="I485" s="17" t="str">
        <f>IFERROR(INDEX(HS_MD!I:I,MATCH(B485,HS_MD!B:B,0),1),"")</f>
        <v>All Food Processing</v>
      </c>
      <c r="J485" s="17">
        <f>IFERROR(INDEX(Heat_Map[Index],MATCH(HS_DB[[#This Row],[Reporter]],Heat_Map[Global],0),1),"")</f>
        <v>63</v>
      </c>
      <c r="K485" s="17" t="str">
        <f>IF(AND(HS_DB[[#This Row],[Origin Rank]]&gt;1,HS_DB[[#This Row],[Origin Rank]]&lt;=10),"Yes","No")</f>
        <v>No</v>
      </c>
      <c r="L485" s="2">
        <v>2024</v>
      </c>
      <c r="M485" s="2" t="s">
        <v>57</v>
      </c>
      <c r="N485" s="2" t="s">
        <v>2</v>
      </c>
      <c r="O485" s="2" t="s">
        <v>22</v>
      </c>
      <c r="P485" s="2" t="s">
        <v>23</v>
      </c>
      <c r="Q485" s="2" t="s">
        <v>24</v>
      </c>
      <c r="R485" s="2" t="s">
        <v>25</v>
      </c>
      <c r="S485" s="2">
        <v>250100</v>
      </c>
      <c r="T485" s="3">
        <v>149200</v>
      </c>
      <c r="U485" s="3">
        <v>365509</v>
      </c>
      <c r="V485" s="3">
        <v>0</v>
      </c>
      <c r="W485" s="3">
        <v>365509</v>
      </c>
      <c r="X485" s="3" t="s">
        <v>58</v>
      </c>
      <c r="Y485" s="3">
        <v>365509</v>
      </c>
      <c r="Z485" s="3" t="s">
        <v>58</v>
      </c>
      <c r="AA485" s="6">
        <f>SUMIFS(HS_DB[Trade Value - USD],HS_DB[Reporter],HS_DB[[#This Row],[Reporter]])/SUM(HS_DB[Trade Value - USD])</f>
        <v>1.1674623358397021E-2</v>
      </c>
      <c r="AB485" s="8" cm="1">
        <f t="array" ref="AB485">SUMPRODUCT(
(HS_DB[Reporter]=HS_DB[[#This Row],[Reporter]])*
(HS_DB[Trade Value - USD]&gt;HS_DB[[#This Row],[Trade Value - USD]])
)+1</f>
        <v>19</v>
      </c>
      <c r="AC485" s="8" t="str">
        <f>IFERROR(IF(INDEX(Heat_Map[Crisis Impact %],MATCH(HS_DB[[#This Row],[Reporter]],Heat_Map[Global],0),1)&gt;0,"Yes","No"),"No")</f>
        <v>No</v>
      </c>
      <c r="AD485" s="6">
        <f>IFERROR(INDEX(Heat_Map[Crisis Impact %],MATCH(HS_DB[[#This Row],[Reporter]],Heat_Map[Global],0),1),0)</f>
        <v>0</v>
      </c>
      <c r="AE485" s="8">
        <f>HS_DB[[#This Row],[Crisis Impact%]]*HS_DB[[#This Row],[Trade Value - USD]]</f>
        <v>0</v>
      </c>
      <c r="AF485" s="8">
        <f>HS_DB[[#This Row],[Crisis Impact%]]*HS_DB[[#This Row],[Net Weight -KG]]</f>
        <v>0</v>
      </c>
      <c r="AG485" s="6">
        <f>SUMIFS(HS_DB[Trade Value - USD],HS_DB[Products],HS_DB[[#This Row],[Products]])/SUM(HS_DB[Trade Value - USD])</f>
        <v>8.6467417401395793E-4</v>
      </c>
      <c r="AH485" s="8">
        <f>_xlfn.RANK.EQ(HS_DB[[#This Row],[Trade Value - USD]], HS_DB[Trade Value - USD], 0)
 + COUNTIFS(HS_DB[Trade Value - USD],HS_DB[[#This Row],[Trade Value - USD]],
            HS_DB[HS Code],"&lt;"&amp;HS_DB[[#This Row],[HS Code]])</f>
        <v>248</v>
      </c>
      <c r="AI485" s="9">
        <f>IFERROR(HS_DB[[#This Row],[Trade Value - USD]]/HS_DB[[#This Row],[Net Weight -KG]],0)</f>
        <v>0.40819788295226656</v>
      </c>
      <c r="AJ485" s="17" cm="1">
        <f t="array" ref="AJ485">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85" s="17" t="str">
        <f>IF(HS_DB[[#This Row],[HS Code Risk Score]]&gt;=40,"High",
 IF(HS_DB[[#This Row],[HS Code Risk Score]]&gt;=25,"Medium","Low"))</f>
        <v>Medium</v>
      </c>
      <c r="AL485" s="17" t="str">
        <f>IF(RANK(HS_DB[[#This Row],[HS Code Risk Score]],HS_DB[HS Code Risk Score])&lt;=10,"Yes","No")</f>
        <v>No</v>
      </c>
      <c r="AM485" s="8">
        <f>SUMIFS(HS_DB[Net Weight -KG],HS_DB[HS Code],HS_DB[[#This Row],[HS Code]])</f>
        <v>3061947</v>
      </c>
      <c r="AN485" s="8">
        <f>SUMIFS(HS_DB[Trade Value - USD],HS_DB[HS Code],HS_DB[[#This Row],[HS Code]])</f>
        <v>1629918</v>
      </c>
      <c r="AO485" s="6">
        <f>_xlfn.MAXIFS(HS_DB[Origin Share%],HS_DB[HS Code],HS_DB[[#This Row],[HS Code]])</f>
        <v>6.321329281187793E-2</v>
      </c>
      <c r="AP485" s="8" cm="1">
        <f t="array" ref="AP485">_xlfn.LET(
_xlpm.hs,HS_DB[[#This Row],[HS Code]],
COUNTA(_xlfn.UNIQUE(_xlfn._xlws.FILTER(HS_DB[Reporter],HS_DB[HS Code]=_xlpm.hs)))
)</f>
        <v>19</v>
      </c>
      <c r="AQ485" s="17" t="str">
        <f>IF(HS_DB[[#This Row],[Origin Count]]=1,"Single Source","Multiple Sources")</f>
        <v>Multiple Sources</v>
      </c>
      <c r="AR485" s="8">
        <f>HS_DB[[#This Row],[Annual Spend - USD]]*(HS_DB[[#This Row],[HS Code Risk Score]]/100)</f>
        <v>554172.12</v>
      </c>
      <c r="AS485" s="8">
        <f>RANK(HS_DB[[#This Row],[Risk Exposure - USD]],HS_DB[Risk Exposure - USD],0)</f>
        <v>488</v>
      </c>
      <c r="AT485" s="8" t="str">
        <f>IF(HS_DB[[#This Row],[Risk Exposure Rank]]&lt;=10,"High",
 IF(HS_DB[[#This Row],[Risk Exposure Rank]]&lt;=30,"Medium",
 "Low"))</f>
        <v>Low</v>
      </c>
      <c r="AU485" s="8" t="str">
        <f>IF(HS_DB[[#This Row],[Risk Exposure Rank]]&lt;=5,"Immediate Action",
 IF(HS_DB[[#This Row],[Risk Exposure Rank]]&lt;=15,"Monitor Closely",
 "Routine Control"))</f>
        <v>Routine Control</v>
      </c>
      <c r="AV485" s="8">
        <f>SUMIFS(HS_DB[Trade Value - USD],HS_DB[HS Code],HS_DB[[#This Row],[HS Code]])</f>
        <v>1629918</v>
      </c>
      <c r="AW485" s="6">
        <f>HS_DB[[#This Row],[Annual Spend - USD]]/HS_DB[[#This Row],[Total Market Size - USD]]</f>
        <v>1</v>
      </c>
      <c r="AX485" s="6" cm="1">
        <f t="array" ref="AX485">COUNTA(_xlfn.UNIQUE(_xlfn._xlws.FILTER(HS_DB[Partner],HS_DB[HS Code]=HS_DB[[#This Row],[HS Code]])))</f>
        <v>1</v>
      </c>
      <c r="AY485" s="8" t="str">
        <f>IF(HS_DB[[#This Row],[Competition Intensity]]&lt;=2,"Highly Concentrated",
 IF(HS_DB[[#This Row],[Competition Intensity]]&lt;=5,"Moderate",
 "Highly Competitive"))</f>
        <v>Highly Concentrated</v>
      </c>
      <c r="AZ485" s="8">
        <f>HS_DB[[#This Row],[Total Market Size - USD]]
*
(1+IFERROR(#REF!,0))
/
HS_DB[[#This Row],[Competition Intensity]]</f>
        <v>1629918</v>
      </c>
      <c r="BA485" s="8" t="str">
        <f>IF(HS_DB[[#This Row],[Commercial Opportunity Score]]&gt;=PERCENTILE(HS_DB[Commercial Opportunity Score],0.9),"High Opportunity",
 IF(HS_DB[[#This Row],[Commercial Opportunity Score]]&gt;=PERCENTILE(HS_DB[Commercial Opportunity Score],0.6),"Medium Opportunity",
 "Routine Market"))</f>
        <v>Routine Market</v>
      </c>
      <c r="BB485" s="3" t="str">
        <f>IF(AND(HS_DB[[#This Row],[Product Rank]]&gt;0,HS_DB[[#This Row],[Product Rank]]&lt;=10),"Yes","No")</f>
        <v>No</v>
      </c>
      <c r="BC485" s="3" t="str">
        <f>IF(AND(HS_DB[[#This Row],[Origin Rank]]&gt;0,HS_DB[[#This Row],[Origin Rank]]&lt;=10),"Yes","No")</f>
        <v>No</v>
      </c>
    </row>
    <row r="486" spans="2:55" x14ac:dyDescent="0.3">
      <c r="B486" s="2">
        <f>HS_DB[[#This Row],[Commodity Code]]</f>
        <v>250100</v>
      </c>
      <c r="C486" s="2">
        <f>IFERROR(INDEX(HS_MD!C:C,MATCH(B486,HS_MD!B:B,0),1),"")</f>
        <v>41</v>
      </c>
      <c r="D486" s="17" t="str">
        <f>IFERROR(INDEX(HS_MD!D:D,MATCH(B486,HS_MD!B:B,0),1),"")</f>
        <v>Salt (sodium chloride)</v>
      </c>
      <c r="E486" s="17" t="str">
        <f>IFERROR(INDEX(HS_MD!E:E,MATCH(B486,HS_MD!B:B,0),1),"")</f>
        <v>Salt</v>
      </c>
      <c r="F486" s="17" t="str">
        <f>IFERROR(INDEX(HS_MD!F:F,MATCH(B486,HS_MD!B:B,0),1),"")</f>
        <v>Food Ingredients</v>
      </c>
      <c r="G486" s="17" t="str">
        <f>IFERROR(INDEX(HS_MD!G:G,MATCH(B486,HS_MD!B:B,0),1),"")</f>
        <v>Mineral Salts</v>
      </c>
      <c r="H486" s="17" t="str">
        <f>IFERROR(INDEX(HS_MD!H:H,MATCH(B486,HS_MD!B:B,0),1),"")</f>
        <v>Food Grade Salt</v>
      </c>
      <c r="I486" s="17" t="str">
        <f>IFERROR(INDEX(HS_MD!I:I,MATCH(B486,HS_MD!B:B,0),1),"")</f>
        <v>All Food Processing</v>
      </c>
      <c r="J486" s="17">
        <f>IFERROR(INDEX(Heat_Map[Index],MATCH(HS_DB[[#This Row],[Reporter]],Heat_Map[Global],0),1),"")</f>
        <v>79</v>
      </c>
      <c r="K486" s="17" t="str">
        <f>IF(AND(HS_DB[[#This Row],[Origin Rank]]&gt;1,HS_DB[[#This Row],[Origin Rank]]&lt;=10),"Yes","No")</f>
        <v>Yes</v>
      </c>
      <c r="L486" s="2">
        <v>2024</v>
      </c>
      <c r="M486" s="2" t="s">
        <v>57</v>
      </c>
      <c r="N486" s="2" t="s">
        <v>48</v>
      </c>
      <c r="O486" s="2" t="s">
        <v>22</v>
      </c>
      <c r="P486" s="2" t="s">
        <v>23</v>
      </c>
      <c r="Q486" s="2" t="s">
        <v>24</v>
      </c>
      <c r="R486" s="2" t="s">
        <v>25</v>
      </c>
      <c r="S486" s="2">
        <v>250100</v>
      </c>
      <c r="T486" s="3">
        <v>461074</v>
      </c>
      <c r="U486" s="3">
        <v>53907</v>
      </c>
      <c r="V486" s="3">
        <v>0</v>
      </c>
      <c r="W486" s="3">
        <v>53907</v>
      </c>
      <c r="X486" s="3" t="s">
        <v>58</v>
      </c>
      <c r="Y486" s="3">
        <v>53907</v>
      </c>
      <c r="Z486" s="3" t="s">
        <v>58</v>
      </c>
      <c r="AA486" s="6">
        <f>SUMIFS(HS_DB[Trade Value - USD],HS_DB[Reporter],HS_DB[[#This Row],[Reporter]])/SUM(HS_DB[Trade Value - USD])</f>
        <v>4.9588465845200368E-3</v>
      </c>
      <c r="AB486" s="8" cm="1">
        <f t="array" ref="AB486">SUMPRODUCT(
(HS_DB[Reporter]=HS_DB[[#This Row],[Reporter]])*
(HS_DB[Trade Value - USD]&gt;HS_DB[[#This Row],[Trade Value - USD]])
)+1</f>
        <v>8</v>
      </c>
      <c r="AC486" s="8" t="str">
        <f>IFERROR(IF(INDEX(Heat_Map[Crisis Impact %],MATCH(HS_DB[[#This Row],[Reporter]],Heat_Map[Global],0),1)&gt;0,"Yes","No"),"No")</f>
        <v>No</v>
      </c>
      <c r="AD486" s="6">
        <f>IFERROR(INDEX(Heat_Map[Crisis Impact %],MATCH(HS_DB[[#This Row],[Reporter]],Heat_Map[Global],0),1),0)</f>
        <v>0</v>
      </c>
      <c r="AE486" s="8">
        <f>HS_DB[[#This Row],[Crisis Impact%]]*HS_DB[[#This Row],[Trade Value - USD]]</f>
        <v>0</v>
      </c>
      <c r="AF486" s="8">
        <f>HS_DB[[#This Row],[Crisis Impact%]]*HS_DB[[#This Row],[Net Weight -KG]]</f>
        <v>0</v>
      </c>
      <c r="AG486" s="6">
        <f>SUMIFS(HS_DB[Trade Value - USD],HS_DB[Products],HS_DB[[#This Row],[Products]])/SUM(HS_DB[Trade Value - USD])</f>
        <v>8.6467417401395793E-4</v>
      </c>
      <c r="AH486" s="8">
        <f>_xlfn.RANK.EQ(HS_DB[[#This Row],[Trade Value - USD]], HS_DB[Trade Value - USD], 0)
 + COUNTIFS(HS_DB[Trade Value - USD],HS_DB[[#This Row],[Trade Value - USD]],
            HS_DB[HS Code],"&lt;"&amp;HS_DB[[#This Row],[HS Code]])</f>
        <v>152</v>
      </c>
      <c r="AI486" s="9">
        <f>IFERROR(HS_DB[[#This Row],[Trade Value - USD]]/HS_DB[[#This Row],[Net Weight -KG]],0)</f>
        <v>8.553137811415958</v>
      </c>
      <c r="AJ486" s="17" cm="1">
        <f t="array" ref="AJ486">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86" s="17" t="str">
        <f>IF(HS_DB[[#This Row],[HS Code Risk Score]]&gt;=40,"High",
 IF(HS_DB[[#This Row],[HS Code Risk Score]]&gt;=25,"Medium","Low"))</f>
        <v>Medium</v>
      </c>
      <c r="AL486" s="17" t="str">
        <f>IF(RANK(HS_DB[[#This Row],[HS Code Risk Score]],HS_DB[HS Code Risk Score])&lt;=10,"Yes","No")</f>
        <v>No</v>
      </c>
      <c r="AM486" s="8">
        <f>SUMIFS(HS_DB[Net Weight -KG],HS_DB[HS Code],HS_DB[[#This Row],[HS Code]])</f>
        <v>3061947</v>
      </c>
      <c r="AN486" s="8">
        <f>SUMIFS(HS_DB[Trade Value - USD],HS_DB[HS Code],HS_DB[[#This Row],[HS Code]])</f>
        <v>1629918</v>
      </c>
      <c r="AO486" s="6">
        <f>_xlfn.MAXIFS(HS_DB[Origin Share%],HS_DB[HS Code],HS_DB[[#This Row],[HS Code]])</f>
        <v>6.321329281187793E-2</v>
      </c>
      <c r="AP486" s="8" cm="1">
        <f t="array" ref="AP486">_xlfn.LET(
_xlpm.hs,HS_DB[[#This Row],[HS Code]],
COUNTA(_xlfn.UNIQUE(_xlfn._xlws.FILTER(HS_DB[Reporter],HS_DB[HS Code]=_xlpm.hs)))
)</f>
        <v>19</v>
      </c>
      <c r="AQ486" s="17" t="str">
        <f>IF(HS_DB[[#This Row],[Origin Count]]=1,"Single Source","Multiple Sources")</f>
        <v>Multiple Sources</v>
      </c>
      <c r="AR486" s="8">
        <f>HS_DB[[#This Row],[Annual Spend - USD]]*(HS_DB[[#This Row],[HS Code Risk Score]]/100)</f>
        <v>554172.12</v>
      </c>
      <c r="AS486" s="8">
        <f>RANK(HS_DB[[#This Row],[Risk Exposure - USD]],HS_DB[Risk Exposure - USD],0)</f>
        <v>488</v>
      </c>
      <c r="AT486" s="8" t="str">
        <f>IF(HS_DB[[#This Row],[Risk Exposure Rank]]&lt;=10,"High",
 IF(HS_DB[[#This Row],[Risk Exposure Rank]]&lt;=30,"Medium",
 "Low"))</f>
        <v>Low</v>
      </c>
      <c r="AU486" s="8" t="str">
        <f>IF(HS_DB[[#This Row],[Risk Exposure Rank]]&lt;=5,"Immediate Action",
 IF(HS_DB[[#This Row],[Risk Exposure Rank]]&lt;=15,"Monitor Closely",
 "Routine Control"))</f>
        <v>Routine Control</v>
      </c>
      <c r="AV486" s="8">
        <f>SUMIFS(HS_DB[Trade Value - USD],HS_DB[HS Code],HS_DB[[#This Row],[HS Code]])</f>
        <v>1629918</v>
      </c>
      <c r="AW486" s="6">
        <f>HS_DB[[#This Row],[Annual Spend - USD]]/HS_DB[[#This Row],[Total Market Size - USD]]</f>
        <v>1</v>
      </c>
      <c r="AX486" s="6" cm="1">
        <f t="array" ref="AX486">COUNTA(_xlfn.UNIQUE(_xlfn._xlws.FILTER(HS_DB[Partner],HS_DB[HS Code]=HS_DB[[#This Row],[HS Code]])))</f>
        <v>1</v>
      </c>
      <c r="AY486" s="8" t="str">
        <f>IF(HS_DB[[#This Row],[Competition Intensity]]&lt;=2,"Highly Concentrated",
 IF(HS_DB[[#This Row],[Competition Intensity]]&lt;=5,"Moderate",
 "Highly Competitive"))</f>
        <v>Highly Concentrated</v>
      </c>
      <c r="AZ486" s="8">
        <f>HS_DB[[#This Row],[Total Market Size - USD]]
*
(1+IFERROR(#REF!,0))
/
HS_DB[[#This Row],[Competition Intensity]]</f>
        <v>1629918</v>
      </c>
      <c r="BA486" s="8" t="str">
        <f>IF(HS_DB[[#This Row],[Commercial Opportunity Score]]&gt;=PERCENTILE(HS_DB[Commercial Opportunity Score],0.9),"High Opportunity",
 IF(HS_DB[[#This Row],[Commercial Opportunity Score]]&gt;=PERCENTILE(HS_DB[Commercial Opportunity Score],0.6),"Medium Opportunity",
 "Routine Market"))</f>
        <v>Routine Market</v>
      </c>
      <c r="BB486" s="3" t="str">
        <f>IF(AND(HS_DB[[#This Row],[Product Rank]]&gt;0,HS_DB[[#This Row],[Product Rank]]&lt;=10),"Yes","No")</f>
        <v>No</v>
      </c>
      <c r="BC486" s="3" t="str">
        <f>IF(AND(HS_DB[[#This Row],[Origin Rank]]&gt;0,HS_DB[[#This Row],[Origin Rank]]&lt;=10),"Yes","No")</f>
        <v>Yes</v>
      </c>
    </row>
    <row r="487" spans="2:55" x14ac:dyDescent="0.3">
      <c r="B487" s="2">
        <f>HS_DB[[#This Row],[Commodity Code]]</f>
        <v>250100</v>
      </c>
      <c r="C487" s="2">
        <f>IFERROR(INDEX(HS_MD!C:C,MATCH(B487,HS_MD!B:B,0),1),"")</f>
        <v>41</v>
      </c>
      <c r="D487" s="17" t="str">
        <f>IFERROR(INDEX(HS_MD!D:D,MATCH(B487,HS_MD!B:B,0),1),"")</f>
        <v>Salt (sodium chloride)</v>
      </c>
      <c r="E487" s="17" t="str">
        <f>IFERROR(INDEX(HS_MD!E:E,MATCH(B487,HS_MD!B:B,0),1),"")</f>
        <v>Salt</v>
      </c>
      <c r="F487" s="17" t="str">
        <f>IFERROR(INDEX(HS_MD!F:F,MATCH(B487,HS_MD!B:B,0),1),"")</f>
        <v>Food Ingredients</v>
      </c>
      <c r="G487" s="17" t="str">
        <f>IFERROR(INDEX(HS_MD!G:G,MATCH(B487,HS_MD!B:B,0),1),"")</f>
        <v>Mineral Salts</v>
      </c>
      <c r="H487" s="17" t="str">
        <f>IFERROR(INDEX(HS_MD!H:H,MATCH(B487,HS_MD!B:B,0),1),"")</f>
        <v>Food Grade Salt</v>
      </c>
      <c r="I487" s="17" t="str">
        <f>IFERROR(INDEX(HS_MD!I:I,MATCH(B487,HS_MD!B:B,0),1),"")</f>
        <v>All Food Processing</v>
      </c>
      <c r="J487" s="17">
        <f>IFERROR(INDEX(Heat_Map[Index],MATCH(HS_DB[[#This Row],[Reporter]],Heat_Map[Global],0),1),"")</f>
        <v>81</v>
      </c>
      <c r="K487" s="17" t="str">
        <f>IF(AND(HS_DB[[#This Row],[Origin Rank]]&gt;1,HS_DB[[#This Row],[Origin Rank]]&lt;=10),"Yes","No")</f>
        <v>No</v>
      </c>
      <c r="L487" s="2">
        <v>2024</v>
      </c>
      <c r="M487" s="2" t="s">
        <v>57</v>
      </c>
      <c r="N487" s="2" t="s">
        <v>49</v>
      </c>
      <c r="O487" s="2" t="s">
        <v>22</v>
      </c>
      <c r="P487" s="2" t="s">
        <v>23</v>
      </c>
      <c r="Q487" s="2" t="s">
        <v>24</v>
      </c>
      <c r="R487" s="2" t="s">
        <v>25</v>
      </c>
      <c r="S487" s="2">
        <v>250100</v>
      </c>
      <c r="T487" s="3">
        <v>2490</v>
      </c>
      <c r="U487" s="3">
        <v>5040</v>
      </c>
      <c r="V487" s="3">
        <v>0</v>
      </c>
      <c r="W487" s="3">
        <v>5040</v>
      </c>
      <c r="X487" s="3" t="s">
        <v>58</v>
      </c>
      <c r="Y487" s="3">
        <v>5040</v>
      </c>
      <c r="Z487" s="3" t="s">
        <v>58</v>
      </c>
      <c r="AA487" s="6">
        <f>SUMIFS(HS_DB[Trade Value - USD],HS_DB[Reporter],HS_DB[[#This Row],[Reporter]])/SUM(HS_DB[Trade Value - USD])</f>
        <v>1.1178535358665947E-2</v>
      </c>
      <c r="AB487" s="8" cm="1">
        <f t="array" ref="AB487">SUMPRODUCT(
(HS_DB[Reporter]=HS_DB[[#This Row],[Reporter]])*
(HS_DB[Trade Value - USD]&gt;HS_DB[[#This Row],[Trade Value - USD]])
)+1</f>
        <v>22</v>
      </c>
      <c r="AC487" s="8" t="str">
        <f>IFERROR(IF(INDEX(Heat_Map[Crisis Impact %],MATCH(HS_DB[[#This Row],[Reporter]],Heat_Map[Global],0),1)&gt;0,"Yes","No"),"No")</f>
        <v>No</v>
      </c>
      <c r="AD487" s="6">
        <f>IFERROR(INDEX(Heat_Map[Crisis Impact %],MATCH(HS_DB[[#This Row],[Reporter]],Heat_Map[Global],0),1),0)</f>
        <v>0</v>
      </c>
      <c r="AE487" s="8">
        <f>HS_DB[[#This Row],[Crisis Impact%]]*HS_DB[[#This Row],[Trade Value - USD]]</f>
        <v>0</v>
      </c>
      <c r="AF487" s="8">
        <f>HS_DB[[#This Row],[Crisis Impact%]]*HS_DB[[#This Row],[Net Weight -KG]]</f>
        <v>0</v>
      </c>
      <c r="AG487" s="6">
        <f>SUMIFS(HS_DB[Trade Value - USD],HS_DB[Products],HS_DB[[#This Row],[Products]])/SUM(HS_DB[Trade Value - USD])</f>
        <v>8.6467417401395793E-4</v>
      </c>
      <c r="AH487" s="8">
        <f>_xlfn.RANK.EQ(HS_DB[[#This Row],[Trade Value - USD]], HS_DB[Trade Value - USD], 0)
 + COUNTIFS(HS_DB[Trade Value - USD],HS_DB[[#This Row],[Trade Value - USD]],
            HS_DB[HS Code],"&lt;"&amp;HS_DB[[#This Row],[HS Code]])</f>
        <v>464</v>
      </c>
      <c r="AI487" s="9">
        <f>IFERROR(HS_DB[[#This Row],[Trade Value - USD]]/HS_DB[[#This Row],[Net Weight -KG]],0)</f>
        <v>0.49404761904761907</v>
      </c>
      <c r="AJ487" s="17" cm="1">
        <f t="array" ref="AJ487">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87" s="17" t="str">
        <f>IF(HS_DB[[#This Row],[HS Code Risk Score]]&gt;=40,"High",
 IF(HS_DB[[#This Row],[HS Code Risk Score]]&gt;=25,"Medium","Low"))</f>
        <v>Medium</v>
      </c>
      <c r="AL487" s="17" t="str">
        <f>IF(RANK(HS_DB[[#This Row],[HS Code Risk Score]],HS_DB[HS Code Risk Score])&lt;=10,"Yes","No")</f>
        <v>No</v>
      </c>
      <c r="AM487" s="8">
        <f>SUMIFS(HS_DB[Net Weight -KG],HS_DB[HS Code],HS_DB[[#This Row],[HS Code]])</f>
        <v>3061947</v>
      </c>
      <c r="AN487" s="8">
        <f>SUMIFS(HS_DB[Trade Value - USD],HS_DB[HS Code],HS_DB[[#This Row],[HS Code]])</f>
        <v>1629918</v>
      </c>
      <c r="AO487" s="6">
        <f>_xlfn.MAXIFS(HS_DB[Origin Share%],HS_DB[HS Code],HS_DB[[#This Row],[HS Code]])</f>
        <v>6.321329281187793E-2</v>
      </c>
      <c r="AP487" s="8" cm="1">
        <f t="array" ref="AP487">_xlfn.LET(
_xlpm.hs,HS_DB[[#This Row],[HS Code]],
COUNTA(_xlfn.UNIQUE(_xlfn._xlws.FILTER(HS_DB[Reporter],HS_DB[HS Code]=_xlpm.hs)))
)</f>
        <v>19</v>
      </c>
      <c r="AQ487" s="17" t="str">
        <f>IF(HS_DB[[#This Row],[Origin Count]]=1,"Single Source","Multiple Sources")</f>
        <v>Multiple Sources</v>
      </c>
      <c r="AR487" s="8">
        <f>HS_DB[[#This Row],[Annual Spend - USD]]*(HS_DB[[#This Row],[HS Code Risk Score]]/100)</f>
        <v>554172.12</v>
      </c>
      <c r="AS487" s="8">
        <f>RANK(HS_DB[[#This Row],[Risk Exposure - USD]],HS_DB[Risk Exposure - USD],0)</f>
        <v>488</v>
      </c>
      <c r="AT487" s="8" t="str">
        <f>IF(HS_DB[[#This Row],[Risk Exposure Rank]]&lt;=10,"High",
 IF(HS_DB[[#This Row],[Risk Exposure Rank]]&lt;=30,"Medium",
 "Low"))</f>
        <v>Low</v>
      </c>
      <c r="AU487" s="8" t="str">
        <f>IF(HS_DB[[#This Row],[Risk Exposure Rank]]&lt;=5,"Immediate Action",
 IF(HS_DB[[#This Row],[Risk Exposure Rank]]&lt;=15,"Monitor Closely",
 "Routine Control"))</f>
        <v>Routine Control</v>
      </c>
      <c r="AV487" s="8">
        <f>SUMIFS(HS_DB[Trade Value - USD],HS_DB[HS Code],HS_DB[[#This Row],[HS Code]])</f>
        <v>1629918</v>
      </c>
      <c r="AW487" s="6">
        <f>HS_DB[[#This Row],[Annual Spend - USD]]/HS_DB[[#This Row],[Total Market Size - USD]]</f>
        <v>1</v>
      </c>
      <c r="AX487" s="6" cm="1">
        <f t="array" ref="AX487">COUNTA(_xlfn.UNIQUE(_xlfn._xlws.FILTER(HS_DB[Partner],HS_DB[HS Code]=HS_DB[[#This Row],[HS Code]])))</f>
        <v>1</v>
      </c>
      <c r="AY487" s="8" t="str">
        <f>IF(HS_DB[[#This Row],[Competition Intensity]]&lt;=2,"Highly Concentrated",
 IF(HS_DB[[#This Row],[Competition Intensity]]&lt;=5,"Moderate",
 "Highly Competitive"))</f>
        <v>Highly Concentrated</v>
      </c>
      <c r="AZ487" s="8">
        <f>HS_DB[[#This Row],[Total Market Size - USD]]
*
(1+IFERROR(#REF!,0))
/
HS_DB[[#This Row],[Competition Intensity]]</f>
        <v>1629918</v>
      </c>
      <c r="BA487" s="8" t="str">
        <f>IF(HS_DB[[#This Row],[Commercial Opportunity Score]]&gt;=PERCENTILE(HS_DB[Commercial Opportunity Score],0.9),"High Opportunity",
 IF(HS_DB[[#This Row],[Commercial Opportunity Score]]&gt;=PERCENTILE(HS_DB[Commercial Opportunity Score],0.6),"Medium Opportunity",
 "Routine Market"))</f>
        <v>Routine Market</v>
      </c>
      <c r="BB487" s="3" t="str">
        <f>IF(AND(HS_DB[[#This Row],[Product Rank]]&gt;0,HS_DB[[#This Row],[Product Rank]]&lt;=10),"Yes","No")</f>
        <v>No</v>
      </c>
      <c r="BC487" s="3" t="str">
        <f>IF(AND(HS_DB[[#This Row],[Origin Rank]]&gt;0,HS_DB[[#This Row],[Origin Rank]]&lt;=10),"Yes","No")</f>
        <v>No</v>
      </c>
    </row>
    <row r="488" spans="2:55" x14ac:dyDescent="0.3">
      <c r="B488" s="2">
        <f>HS_DB[[#This Row],[Commodity Code]]</f>
        <v>250100</v>
      </c>
      <c r="C488" s="2">
        <f>IFERROR(INDEX(HS_MD!C:C,MATCH(B488,HS_MD!B:B,0),1),"")</f>
        <v>41</v>
      </c>
      <c r="D488" s="17" t="str">
        <f>IFERROR(INDEX(HS_MD!D:D,MATCH(B488,HS_MD!B:B,0),1),"")</f>
        <v>Salt (sodium chloride)</v>
      </c>
      <c r="E488" s="17" t="str">
        <f>IFERROR(INDEX(HS_MD!E:E,MATCH(B488,HS_MD!B:B,0),1),"")</f>
        <v>Salt</v>
      </c>
      <c r="F488" s="17" t="str">
        <f>IFERROR(INDEX(HS_MD!F:F,MATCH(B488,HS_MD!B:B,0),1),"")</f>
        <v>Food Ingredients</v>
      </c>
      <c r="G488" s="17" t="str">
        <f>IFERROR(INDEX(HS_MD!G:G,MATCH(B488,HS_MD!B:B,0),1),"")</f>
        <v>Mineral Salts</v>
      </c>
      <c r="H488" s="17" t="str">
        <f>IFERROR(INDEX(HS_MD!H:H,MATCH(B488,HS_MD!B:B,0),1),"")</f>
        <v>Food Grade Salt</v>
      </c>
      <c r="I488" s="17" t="str">
        <f>IFERROR(INDEX(HS_MD!I:I,MATCH(B488,HS_MD!B:B,0),1),"")</f>
        <v>All Food Processing</v>
      </c>
      <c r="J488" s="17">
        <f>IFERROR(INDEX(Heat_Map[Index],MATCH(HS_DB[[#This Row],[Reporter]],Heat_Map[Global],0),1),"")</f>
        <v>127</v>
      </c>
      <c r="K488" s="17" t="str">
        <f>IF(AND(HS_DB[[#This Row],[Origin Rank]]&gt;1,HS_DB[[#This Row],[Origin Rank]]&lt;=10),"Yes","No")</f>
        <v>Yes</v>
      </c>
      <c r="L488" s="2">
        <v>2024</v>
      </c>
      <c r="M488" s="2" t="s">
        <v>57</v>
      </c>
      <c r="N488" s="2" t="s">
        <v>54</v>
      </c>
      <c r="O488" s="2" t="s">
        <v>22</v>
      </c>
      <c r="P488" s="2" t="s">
        <v>23</v>
      </c>
      <c r="Q488" s="2" t="s">
        <v>24</v>
      </c>
      <c r="R488" s="2" t="s">
        <v>25</v>
      </c>
      <c r="S488" s="2">
        <v>250100</v>
      </c>
      <c r="T488" s="3">
        <v>155663</v>
      </c>
      <c r="U488" s="3">
        <v>713000</v>
      </c>
      <c r="V488" s="3">
        <v>0</v>
      </c>
      <c r="W488" s="3">
        <v>713000</v>
      </c>
      <c r="X488" s="3" t="s">
        <v>58</v>
      </c>
      <c r="Y488" s="3">
        <v>713</v>
      </c>
      <c r="Z488" s="3" t="s">
        <v>59</v>
      </c>
      <c r="AA488" s="6">
        <f>SUMIFS(HS_DB[Trade Value - USD],HS_DB[Reporter],HS_DB[[#This Row],[Reporter]])/SUM(HS_DB[Trade Value - USD])</f>
        <v>3.82286909668397E-4</v>
      </c>
      <c r="AB488" s="8" cm="1">
        <f t="array" ref="AB488">SUMPRODUCT(
(HS_DB[Reporter]=HS_DB[[#This Row],[Reporter]])*
(HS_DB[Trade Value - USD]&gt;HS_DB[[#This Row],[Trade Value - USD]])
)+1</f>
        <v>3</v>
      </c>
      <c r="AC488" s="8" t="str">
        <f>IFERROR(IF(INDEX(Heat_Map[Crisis Impact %],MATCH(HS_DB[[#This Row],[Reporter]],Heat_Map[Global],0),1)&gt;0,"Yes","No"),"No")</f>
        <v>No</v>
      </c>
      <c r="AD488" s="6">
        <f>IFERROR(INDEX(Heat_Map[Crisis Impact %],MATCH(HS_DB[[#This Row],[Reporter]],Heat_Map[Global],0),1),0)</f>
        <v>0</v>
      </c>
      <c r="AE488" s="8">
        <f>HS_DB[[#This Row],[Crisis Impact%]]*HS_DB[[#This Row],[Trade Value - USD]]</f>
        <v>0</v>
      </c>
      <c r="AF488" s="8">
        <f>HS_DB[[#This Row],[Crisis Impact%]]*HS_DB[[#This Row],[Net Weight -KG]]</f>
        <v>0</v>
      </c>
      <c r="AG488" s="6">
        <f>SUMIFS(HS_DB[Trade Value - USD],HS_DB[Products],HS_DB[[#This Row],[Products]])/SUM(HS_DB[Trade Value - USD])</f>
        <v>8.6467417401395793E-4</v>
      </c>
      <c r="AH488" s="8">
        <f>_xlfn.RANK.EQ(HS_DB[[#This Row],[Trade Value - USD]], HS_DB[Trade Value - USD], 0)
 + COUNTIFS(HS_DB[Trade Value - USD],HS_DB[[#This Row],[Trade Value - USD]],
            HS_DB[HS Code],"&lt;"&amp;HS_DB[[#This Row],[HS Code]])</f>
        <v>243</v>
      </c>
      <c r="AI488" s="9">
        <f>IFERROR(HS_DB[[#This Row],[Trade Value - USD]]/HS_DB[[#This Row],[Net Weight -KG]],0)</f>
        <v>0.2183211781206171</v>
      </c>
      <c r="AJ488" s="17" cm="1">
        <f t="array" ref="AJ488">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88" s="17" t="str">
        <f>IF(HS_DB[[#This Row],[HS Code Risk Score]]&gt;=40,"High",
 IF(HS_DB[[#This Row],[HS Code Risk Score]]&gt;=25,"Medium","Low"))</f>
        <v>Medium</v>
      </c>
      <c r="AL488" s="17" t="str">
        <f>IF(RANK(HS_DB[[#This Row],[HS Code Risk Score]],HS_DB[HS Code Risk Score])&lt;=10,"Yes","No")</f>
        <v>No</v>
      </c>
      <c r="AM488" s="8">
        <f>SUMIFS(HS_DB[Net Weight -KG],HS_DB[HS Code],HS_DB[[#This Row],[HS Code]])</f>
        <v>3061947</v>
      </c>
      <c r="AN488" s="8">
        <f>SUMIFS(HS_DB[Trade Value - USD],HS_DB[HS Code],HS_DB[[#This Row],[HS Code]])</f>
        <v>1629918</v>
      </c>
      <c r="AO488" s="6">
        <f>_xlfn.MAXIFS(HS_DB[Origin Share%],HS_DB[HS Code],HS_DB[[#This Row],[HS Code]])</f>
        <v>6.321329281187793E-2</v>
      </c>
      <c r="AP488" s="8" cm="1">
        <f t="array" ref="AP488">_xlfn.LET(
_xlpm.hs,HS_DB[[#This Row],[HS Code]],
COUNTA(_xlfn.UNIQUE(_xlfn._xlws.FILTER(HS_DB[Reporter],HS_DB[HS Code]=_xlpm.hs)))
)</f>
        <v>19</v>
      </c>
      <c r="AQ488" s="17" t="str">
        <f>IF(HS_DB[[#This Row],[Origin Count]]=1,"Single Source","Multiple Sources")</f>
        <v>Multiple Sources</v>
      </c>
      <c r="AR488" s="8">
        <f>HS_DB[[#This Row],[Annual Spend - USD]]*(HS_DB[[#This Row],[HS Code Risk Score]]/100)</f>
        <v>554172.12</v>
      </c>
      <c r="AS488" s="8">
        <f>RANK(HS_DB[[#This Row],[Risk Exposure - USD]],HS_DB[Risk Exposure - USD],0)</f>
        <v>488</v>
      </c>
      <c r="AT488" s="8" t="str">
        <f>IF(HS_DB[[#This Row],[Risk Exposure Rank]]&lt;=10,"High",
 IF(HS_DB[[#This Row],[Risk Exposure Rank]]&lt;=30,"Medium",
 "Low"))</f>
        <v>Low</v>
      </c>
      <c r="AU488" s="8" t="str">
        <f>IF(HS_DB[[#This Row],[Risk Exposure Rank]]&lt;=5,"Immediate Action",
 IF(HS_DB[[#This Row],[Risk Exposure Rank]]&lt;=15,"Monitor Closely",
 "Routine Control"))</f>
        <v>Routine Control</v>
      </c>
      <c r="AV488" s="8">
        <f>SUMIFS(HS_DB[Trade Value - USD],HS_DB[HS Code],HS_DB[[#This Row],[HS Code]])</f>
        <v>1629918</v>
      </c>
      <c r="AW488" s="6">
        <f>HS_DB[[#This Row],[Annual Spend - USD]]/HS_DB[[#This Row],[Total Market Size - USD]]</f>
        <v>1</v>
      </c>
      <c r="AX488" s="6" cm="1">
        <f t="array" ref="AX488">COUNTA(_xlfn.UNIQUE(_xlfn._xlws.FILTER(HS_DB[Partner],HS_DB[HS Code]=HS_DB[[#This Row],[HS Code]])))</f>
        <v>1</v>
      </c>
      <c r="AY488" s="8" t="str">
        <f>IF(HS_DB[[#This Row],[Competition Intensity]]&lt;=2,"Highly Concentrated",
 IF(HS_DB[[#This Row],[Competition Intensity]]&lt;=5,"Moderate",
 "Highly Competitive"))</f>
        <v>Highly Concentrated</v>
      </c>
      <c r="AZ488" s="8">
        <f>HS_DB[[#This Row],[Total Market Size - USD]]
*
(1+IFERROR(#REF!,0))
/
HS_DB[[#This Row],[Competition Intensity]]</f>
        <v>1629918</v>
      </c>
      <c r="BA488" s="8" t="str">
        <f>IF(HS_DB[[#This Row],[Commercial Opportunity Score]]&gt;=PERCENTILE(HS_DB[Commercial Opportunity Score],0.9),"High Opportunity",
 IF(HS_DB[[#This Row],[Commercial Opportunity Score]]&gt;=PERCENTILE(HS_DB[Commercial Opportunity Score],0.6),"Medium Opportunity",
 "Routine Market"))</f>
        <v>Routine Market</v>
      </c>
      <c r="BB488" s="3" t="str">
        <f>IF(AND(HS_DB[[#This Row],[Product Rank]]&gt;0,HS_DB[[#This Row],[Product Rank]]&lt;=10),"Yes","No")</f>
        <v>No</v>
      </c>
      <c r="BC488" s="3" t="str">
        <f>IF(AND(HS_DB[[#This Row],[Origin Rank]]&gt;0,HS_DB[[#This Row],[Origin Rank]]&lt;=10),"Yes","No")</f>
        <v>Yes</v>
      </c>
    </row>
    <row r="489" spans="2:55" x14ac:dyDescent="0.3">
      <c r="B489" s="2">
        <f>HS_DB[[#This Row],[Commodity Code]]</f>
        <v>250100</v>
      </c>
      <c r="C489" s="2">
        <f>IFERROR(INDEX(HS_MD!C:C,MATCH(B489,HS_MD!B:B,0),1),"")</f>
        <v>41</v>
      </c>
      <c r="D489" s="17" t="str">
        <f>IFERROR(INDEX(HS_MD!D:D,MATCH(B489,HS_MD!B:B,0),1),"")</f>
        <v>Salt (sodium chloride)</v>
      </c>
      <c r="E489" s="17" t="str">
        <f>IFERROR(INDEX(HS_MD!E:E,MATCH(B489,HS_MD!B:B,0),1),"")</f>
        <v>Salt</v>
      </c>
      <c r="F489" s="17" t="str">
        <f>IFERROR(INDEX(HS_MD!F:F,MATCH(B489,HS_MD!B:B,0),1),"")</f>
        <v>Food Ingredients</v>
      </c>
      <c r="G489" s="17" t="str">
        <f>IFERROR(INDEX(HS_MD!G:G,MATCH(B489,HS_MD!B:B,0),1),"")</f>
        <v>Mineral Salts</v>
      </c>
      <c r="H489" s="17" t="str">
        <f>IFERROR(INDEX(HS_MD!H:H,MATCH(B489,HS_MD!B:B,0),1),"")</f>
        <v>Food Grade Salt</v>
      </c>
      <c r="I489" s="17" t="str">
        <f>IFERROR(INDEX(HS_MD!I:I,MATCH(B489,HS_MD!B:B,0),1),"")</f>
        <v>All Food Processing</v>
      </c>
      <c r="J489" s="17">
        <f>IFERROR(INDEX(Heat_Map[Index],MATCH(HS_DB[[#This Row],[Reporter]],Heat_Map[Global],0),1),"")</f>
        <v>134</v>
      </c>
      <c r="K489" s="17" t="str">
        <f>IF(AND(HS_DB[[#This Row],[Origin Rank]]&gt;1,HS_DB[[#This Row],[Origin Rank]]&lt;=10),"Yes","No")</f>
        <v>Yes</v>
      </c>
      <c r="L489" s="2">
        <v>2024</v>
      </c>
      <c r="M489" s="2" t="s">
        <v>57</v>
      </c>
      <c r="N489" s="2" t="s">
        <v>55</v>
      </c>
      <c r="O489" s="2" t="s">
        <v>22</v>
      </c>
      <c r="P489" s="2" t="s">
        <v>23</v>
      </c>
      <c r="Q489" s="2" t="s">
        <v>24</v>
      </c>
      <c r="R489" s="2" t="s">
        <v>25</v>
      </c>
      <c r="S489" s="2">
        <v>250100</v>
      </c>
      <c r="T489" s="3">
        <v>108250</v>
      </c>
      <c r="U489" s="3">
        <v>136151</v>
      </c>
      <c r="V489" s="3">
        <v>0</v>
      </c>
      <c r="W489" s="3">
        <v>136151</v>
      </c>
      <c r="X489" s="3" t="s">
        <v>58</v>
      </c>
      <c r="Y489" s="3">
        <v>136151</v>
      </c>
      <c r="Z489" s="3" t="s">
        <v>58</v>
      </c>
      <c r="AA489" s="6">
        <f>SUMIFS(HS_DB[Trade Value - USD],HS_DB[Reporter],HS_DB[[#This Row],[Reporter]])/SUM(HS_DB[Trade Value - USD])</f>
        <v>6.3855771678493602E-3</v>
      </c>
      <c r="AB489" s="8" cm="1">
        <f t="array" ref="AB489">SUMPRODUCT(
(HS_DB[Reporter]=HS_DB[[#This Row],[Reporter]])*
(HS_DB[Trade Value - USD]&gt;HS_DB[[#This Row],[Trade Value - USD]])
)+1</f>
        <v>4</v>
      </c>
      <c r="AC489" s="8" t="str">
        <f>IFERROR(IF(INDEX(Heat_Map[Crisis Impact %],MATCH(HS_DB[[#This Row],[Reporter]],Heat_Map[Global],0),1)&gt;0,"Yes","No"),"No")</f>
        <v>Yes</v>
      </c>
      <c r="AD489" s="6">
        <f>IFERROR(INDEX(Heat_Map[Crisis Impact %],MATCH(HS_DB[[#This Row],[Reporter]],Heat_Map[Global],0),1),0)</f>
        <v>0.06</v>
      </c>
      <c r="AE489" s="8">
        <f>HS_DB[[#This Row],[Crisis Impact%]]*HS_DB[[#This Row],[Trade Value - USD]]</f>
        <v>6495</v>
      </c>
      <c r="AF489" s="8">
        <f>HS_DB[[#This Row],[Crisis Impact%]]*HS_DB[[#This Row],[Net Weight -KG]]</f>
        <v>8169.0599999999995</v>
      </c>
      <c r="AG489" s="6">
        <f>SUMIFS(HS_DB[Trade Value - USD],HS_DB[Products],HS_DB[[#This Row],[Products]])/SUM(HS_DB[Trade Value - USD])</f>
        <v>8.6467417401395793E-4</v>
      </c>
      <c r="AH489" s="8">
        <f>_xlfn.RANK.EQ(HS_DB[[#This Row],[Trade Value - USD]], HS_DB[Trade Value - USD], 0)
 + COUNTIFS(HS_DB[Trade Value - USD],HS_DB[[#This Row],[Trade Value - USD]],
            HS_DB[HS Code],"&lt;"&amp;HS_DB[[#This Row],[HS Code]])</f>
        <v>271</v>
      </c>
      <c r="AI489" s="9">
        <f>IFERROR(HS_DB[[#This Row],[Trade Value - USD]]/HS_DB[[#This Row],[Net Weight -KG]],0)</f>
        <v>0.79507311734765074</v>
      </c>
      <c r="AJ489" s="17" cm="1">
        <f t="array" ref="AJ489">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89" s="17" t="str">
        <f>IF(HS_DB[[#This Row],[HS Code Risk Score]]&gt;=40,"High",
 IF(HS_DB[[#This Row],[HS Code Risk Score]]&gt;=25,"Medium","Low"))</f>
        <v>Medium</v>
      </c>
      <c r="AL489" s="17" t="str">
        <f>IF(RANK(HS_DB[[#This Row],[HS Code Risk Score]],HS_DB[HS Code Risk Score])&lt;=10,"Yes","No")</f>
        <v>No</v>
      </c>
      <c r="AM489" s="8">
        <f>SUMIFS(HS_DB[Net Weight -KG],HS_DB[HS Code],HS_DB[[#This Row],[HS Code]])</f>
        <v>3061947</v>
      </c>
      <c r="AN489" s="8">
        <f>SUMIFS(HS_DB[Trade Value - USD],HS_DB[HS Code],HS_DB[[#This Row],[HS Code]])</f>
        <v>1629918</v>
      </c>
      <c r="AO489" s="6">
        <f>_xlfn.MAXIFS(HS_DB[Origin Share%],HS_DB[HS Code],HS_DB[[#This Row],[HS Code]])</f>
        <v>6.321329281187793E-2</v>
      </c>
      <c r="AP489" s="8" cm="1">
        <f t="array" ref="AP489">_xlfn.LET(
_xlpm.hs,HS_DB[[#This Row],[HS Code]],
COUNTA(_xlfn.UNIQUE(_xlfn._xlws.FILTER(HS_DB[Reporter],HS_DB[HS Code]=_xlpm.hs)))
)</f>
        <v>19</v>
      </c>
      <c r="AQ489" s="17" t="str">
        <f>IF(HS_DB[[#This Row],[Origin Count]]=1,"Single Source","Multiple Sources")</f>
        <v>Multiple Sources</v>
      </c>
      <c r="AR489" s="8">
        <f>HS_DB[[#This Row],[Annual Spend - USD]]*(HS_DB[[#This Row],[HS Code Risk Score]]/100)</f>
        <v>554172.12</v>
      </c>
      <c r="AS489" s="8">
        <f>RANK(HS_DB[[#This Row],[Risk Exposure - USD]],HS_DB[Risk Exposure - USD],0)</f>
        <v>488</v>
      </c>
      <c r="AT489" s="8" t="str">
        <f>IF(HS_DB[[#This Row],[Risk Exposure Rank]]&lt;=10,"High",
 IF(HS_DB[[#This Row],[Risk Exposure Rank]]&lt;=30,"Medium",
 "Low"))</f>
        <v>Low</v>
      </c>
      <c r="AU489" s="8" t="str">
        <f>IF(HS_DB[[#This Row],[Risk Exposure Rank]]&lt;=5,"Immediate Action",
 IF(HS_DB[[#This Row],[Risk Exposure Rank]]&lt;=15,"Monitor Closely",
 "Routine Control"))</f>
        <v>Routine Control</v>
      </c>
      <c r="AV489" s="8">
        <f>SUMIFS(HS_DB[Trade Value - USD],HS_DB[HS Code],HS_DB[[#This Row],[HS Code]])</f>
        <v>1629918</v>
      </c>
      <c r="AW489" s="6">
        <f>HS_DB[[#This Row],[Annual Spend - USD]]/HS_DB[[#This Row],[Total Market Size - USD]]</f>
        <v>1</v>
      </c>
      <c r="AX489" s="6" cm="1">
        <f t="array" ref="AX489">COUNTA(_xlfn.UNIQUE(_xlfn._xlws.FILTER(HS_DB[Partner],HS_DB[HS Code]=HS_DB[[#This Row],[HS Code]])))</f>
        <v>1</v>
      </c>
      <c r="AY489" s="8" t="str">
        <f>IF(HS_DB[[#This Row],[Competition Intensity]]&lt;=2,"Highly Concentrated",
 IF(HS_DB[[#This Row],[Competition Intensity]]&lt;=5,"Moderate",
 "Highly Competitive"))</f>
        <v>Highly Concentrated</v>
      </c>
      <c r="AZ489" s="8">
        <f>HS_DB[[#This Row],[Total Market Size - USD]]
*
(1+IFERROR(#REF!,0))
/
HS_DB[[#This Row],[Competition Intensity]]</f>
        <v>1629918</v>
      </c>
      <c r="BA489" s="8" t="str">
        <f>IF(HS_DB[[#This Row],[Commercial Opportunity Score]]&gt;=PERCENTILE(HS_DB[Commercial Opportunity Score],0.9),"High Opportunity",
 IF(HS_DB[[#This Row],[Commercial Opportunity Score]]&gt;=PERCENTILE(HS_DB[Commercial Opportunity Score],0.6),"Medium Opportunity",
 "Routine Market"))</f>
        <v>Routine Market</v>
      </c>
      <c r="BB489" s="3" t="str">
        <f>IF(AND(HS_DB[[#This Row],[Product Rank]]&gt;0,HS_DB[[#This Row],[Product Rank]]&lt;=10),"Yes","No")</f>
        <v>No</v>
      </c>
      <c r="BC489" s="3" t="str">
        <f>IF(AND(HS_DB[[#This Row],[Origin Rank]]&gt;0,HS_DB[[#This Row],[Origin Rank]]&lt;=10),"Yes","No")</f>
        <v>Yes</v>
      </c>
    </row>
    <row r="490" spans="2:55" x14ac:dyDescent="0.3">
      <c r="B490" s="2">
        <f>HS_DB[[#This Row],[Commodity Code]]</f>
        <v>250100</v>
      </c>
      <c r="C490" s="2">
        <f>IFERROR(INDEX(HS_MD!C:C,MATCH(B490,HS_MD!B:B,0),1),"")</f>
        <v>41</v>
      </c>
      <c r="D490" s="17" t="str">
        <f>IFERROR(INDEX(HS_MD!D:D,MATCH(B490,HS_MD!B:B,0),1),"")</f>
        <v>Salt (sodium chloride)</v>
      </c>
      <c r="E490" s="17" t="str">
        <f>IFERROR(INDEX(HS_MD!E:E,MATCH(B490,HS_MD!B:B,0),1),"")</f>
        <v>Salt</v>
      </c>
      <c r="F490" s="17" t="str">
        <f>IFERROR(INDEX(HS_MD!F:F,MATCH(B490,HS_MD!B:B,0),1),"")</f>
        <v>Food Ingredients</v>
      </c>
      <c r="G490" s="17" t="str">
        <f>IFERROR(INDEX(HS_MD!G:G,MATCH(B490,HS_MD!B:B,0),1),"")</f>
        <v>Mineral Salts</v>
      </c>
      <c r="H490" s="17" t="str">
        <f>IFERROR(INDEX(HS_MD!H:H,MATCH(B490,HS_MD!B:B,0),1),"")</f>
        <v>Food Grade Salt</v>
      </c>
      <c r="I490" s="17" t="str">
        <f>IFERROR(INDEX(HS_MD!I:I,MATCH(B490,HS_MD!B:B,0),1),"")</f>
        <v>All Food Processing</v>
      </c>
      <c r="J490" s="17">
        <f>IFERROR(INDEX(Heat_Map[Index],MATCH(HS_DB[[#This Row],[Reporter]],Heat_Map[Global],0),1),"")</f>
        <v>135</v>
      </c>
      <c r="K490" s="17" t="str">
        <f>IF(AND(HS_DB[[#This Row],[Origin Rank]]&gt;1,HS_DB[[#This Row],[Origin Rank]]&lt;=10),"Yes","No")</f>
        <v>No</v>
      </c>
      <c r="L490" s="2">
        <v>2024</v>
      </c>
      <c r="M490" s="2" t="s">
        <v>57</v>
      </c>
      <c r="N490" s="2" t="s">
        <v>338</v>
      </c>
      <c r="O490" s="2" t="s">
        <v>22</v>
      </c>
      <c r="P490" s="2" t="s">
        <v>23</v>
      </c>
      <c r="Q490" s="2" t="s">
        <v>24</v>
      </c>
      <c r="R490" s="2" t="s">
        <v>25</v>
      </c>
      <c r="S490" s="2">
        <v>250100</v>
      </c>
      <c r="T490" s="3">
        <v>8473</v>
      </c>
      <c r="U490" s="3">
        <v>1752</v>
      </c>
      <c r="V490" s="3">
        <v>0</v>
      </c>
      <c r="W490" s="3">
        <v>1752</v>
      </c>
      <c r="X490" s="3" t="s">
        <v>58</v>
      </c>
      <c r="Y490" s="3">
        <v>1752</v>
      </c>
      <c r="Z490" s="3" t="s">
        <v>58</v>
      </c>
      <c r="AA490" s="6">
        <f>SUMIFS(HS_DB[Trade Value - USD],HS_DB[Reporter],HS_DB[[#This Row],[Reporter]])/SUM(HS_DB[Trade Value - USD])</f>
        <v>4.4949404058488006E-6</v>
      </c>
      <c r="AB490" s="8" cm="1">
        <f t="array" ref="AB490">SUMPRODUCT(
(HS_DB[Reporter]=HS_DB[[#This Row],[Reporter]])*
(HS_DB[Trade Value - USD]&gt;HS_DB[[#This Row],[Trade Value - USD]])
)+1</f>
        <v>1</v>
      </c>
      <c r="AC490" s="8" t="str">
        <f>IFERROR(IF(INDEX(Heat_Map[Crisis Impact %],MATCH(HS_DB[[#This Row],[Reporter]],Heat_Map[Global],0),1)&gt;0,"Yes","No"),"No")</f>
        <v>No</v>
      </c>
      <c r="AD490" s="6">
        <f>IFERROR(INDEX(Heat_Map[Crisis Impact %],MATCH(HS_DB[[#This Row],[Reporter]],Heat_Map[Global],0),1),0)</f>
        <v>0</v>
      </c>
      <c r="AE490" s="8">
        <f>HS_DB[[#This Row],[Crisis Impact%]]*HS_DB[[#This Row],[Trade Value - USD]]</f>
        <v>0</v>
      </c>
      <c r="AF490" s="8">
        <f>HS_DB[[#This Row],[Crisis Impact%]]*HS_DB[[#This Row],[Net Weight -KG]]</f>
        <v>0</v>
      </c>
      <c r="AG490" s="6">
        <f>SUMIFS(HS_DB[Trade Value - USD],HS_DB[Products],HS_DB[[#This Row],[Products]])/SUM(HS_DB[Trade Value - USD])</f>
        <v>8.6467417401395793E-4</v>
      </c>
      <c r="AH490" s="8">
        <f>_xlfn.RANK.EQ(HS_DB[[#This Row],[Trade Value - USD]], HS_DB[Trade Value - USD], 0)
 + COUNTIFS(HS_DB[Trade Value - USD],HS_DB[[#This Row],[Trade Value - USD]],
            HS_DB[HS Code],"&lt;"&amp;HS_DB[[#This Row],[HS Code]])</f>
        <v>420</v>
      </c>
      <c r="AI490" s="9">
        <f>IFERROR(HS_DB[[#This Row],[Trade Value - USD]]/HS_DB[[#This Row],[Net Weight -KG]],0)</f>
        <v>4.8361872146118721</v>
      </c>
      <c r="AJ490" s="17" cm="1">
        <f t="array" ref="AJ490">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90" s="17" t="str">
        <f>IF(HS_DB[[#This Row],[HS Code Risk Score]]&gt;=40,"High",
 IF(HS_DB[[#This Row],[HS Code Risk Score]]&gt;=25,"Medium","Low"))</f>
        <v>Medium</v>
      </c>
      <c r="AL490" s="17" t="str">
        <f>IF(RANK(HS_DB[[#This Row],[HS Code Risk Score]],HS_DB[HS Code Risk Score])&lt;=10,"Yes","No")</f>
        <v>No</v>
      </c>
      <c r="AM490" s="8">
        <f>SUMIFS(HS_DB[Net Weight -KG],HS_DB[HS Code],HS_DB[[#This Row],[HS Code]])</f>
        <v>3061947</v>
      </c>
      <c r="AN490" s="8">
        <f>SUMIFS(HS_DB[Trade Value - USD],HS_DB[HS Code],HS_DB[[#This Row],[HS Code]])</f>
        <v>1629918</v>
      </c>
      <c r="AO490" s="6">
        <f>_xlfn.MAXIFS(HS_DB[Origin Share%],HS_DB[HS Code],HS_DB[[#This Row],[HS Code]])</f>
        <v>6.321329281187793E-2</v>
      </c>
      <c r="AP490" s="8" cm="1">
        <f t="array" ref="AP490">_xlfn.LET(
_xlpm.hs,HS_DB[[#This Row],[HS Code]],
COUNTA(_xlfn.UNIQUE(_xlfn._xlws.FILTER(HS_DB[Reporter],HS_DB[HS Code]=_xlpm.hs)))
)</f>
        <v>19</v>
      </c>
      <c r="AQ490" s="17" t="str">
        <f>IF(HS_DB[[#This Row],[Origin Count]]=1,"Single Source","Multiple Sources")</f>
        <v>Multiple Sources</v>
      </c>
      <c r="AR490" s="8">
        <f>HS_DB[[#This Row],[Annual Spend - USD]]*(HS_DB[[#This Row],[HS Code Risk Score]]/100)</f>
        <v>554172.12</v>
      </c>
      <c r="AS490" s="8">
        <f>RANK(HS_DB[[#This Row],[Risk Exposure - USD]],HS_DB[Risk Exposure - USD],0)</f>
        <v>488</v>
      </c>
      <c r="AT490" s="8" t="str">
        <f>IF(HS_DB[[#This Row],[Risk Exposure Rank]]&lt;=10,"High",
 IF(HS_DB[[#This Row],[Risk Exposure Rank]]&lt;=30,"Medium",
 "Low"))</f>
        <v>Low</v>
      </c>
      <c r="AU490" s="8" t="str">
        <f>IF(HS_DB[[#This Row],[Risk Exposure Rank]]&lt;=5,"Immediate Action",
 IF(HS_DB[[#This Row],[Risk Exposure Rank]]&lt;=15,"Monitor Closely",
 "Routine Control"))</f>
        <v>Routine Control</v>
      </c>
      <c r="AV490" s="8">
        <f>SUMIFS(HS_DB[Trade Value - USD],HS_DB[HS Code],HS_DB[[#This Row],[HS Code]])</f>
        <v>1629918</v>
      </c>
      <c r="AW490" s="6">
        <f>HS_DB[[#This Row],[Annual Spend - USD]]/HS_DB[[#This Row],[Total Market Size - USD]]</f>
        <v>1</v>
      </c>
      <c r="AX490" s="6" cm="1">
        <f t="array" ref="AX490">COUNTA(_xlfn.UNIQUE(_xlfn._xlws.FILTER(HS_DB[Partner],HS_DB[HS Code]=HS_DB[[#This Row],[HS Code]])))</f>
        <v>1</v>
      </c>
      <c r="AY490" s="8" t="str">
        <f>IF(HS_DB[[#This Row],[Competition Intensity]]&lt;=2,"Highly Concentrated",
 IF(HS_DB[[#This Row],[Competition Intensity]]&lt;=5,"Moderate",
 "Highly Competitive"))</f>
        <v>Highly Concentrated</v>
      </c>
      <c r="AZ490" s="8">
        <f>HS_DB[[#This Row],[Total Market Size - USD]]
*
(1+IFERROR(#REF!,0))
/
HS_DB[[#This Row],[Competition Intensity]]</f>
        <v>1629918</v>
      </c>
      <c r="BA490" s="8" t="str">
        <f>IF(HS_DB[[#This Row],[Commercial Opportunity Score]]&gt;=PERCENTILE(HS_DB[Commercial Opportunity Score],0.9),"High Opportunity",
 IF(HS_DB[[#This Row],[Commercial Opportunity Score]]&gt;=PERCENTILE(HS_DB[Commercial Opportunity Score],0.6),"Medium Opportunity",
 "Routine Market"))</f>
        <v>Routine Market</v>
      </c>
      <c r="BB490" s="3" t="str">
        <f>IF(AND(HS_DB[[#This Row],[Product Rank]]&gt;0,HS_DB[[#This Row],[Product Rank]]&lt;=10),"Yes","No")</f>
        <v>No</v>
      </c>
      <c r="BC490" s="3" t="str">
        <f>IF(AND(HS_DB[[#This Row],[Origin Rank]]&gt;0,HS_DB[[#This Row],[Origin Rank]]&lt;=10),"Yes","No")</f>
        <v>Yes</v>
      </c>
    </row>
    <row r="491" spans="2:55" x14ac:dyDescent="0.3">
      <c r="B491" s="2">
        <f>HS_DB[[#This Row],[Commodity Code]]</f>
        <v>250100</v>
      </c>
      <c r="C491" s="2">
        <f>IFERROR(INDEX(HS_MD!C:C,MATCH(B491,HS_MD!B:B,0),1),"")</f>
        <v>41</v>
      </c>
      <c r="D491" s="17" t="str">
        <f>IFERROR(INDEX(HS_MD!D:D,MATCH(B491,HS_MD!B:B,0),1),"")</f>
        <v>Salt (sodium chloride)</v>
      </c>
      <c r="E491" s="17" t="str">
        <f>IFERROR(INDEX(HS_MD!E:E,MATCH(B491,HS_MD!B:B,0),1),"")</f>
        <v>Salt</v>
      </c>
      <c r="F491" s="17" t="str">
        <f>IFERROR(INDEX(HS_MD!F:F,MATCH(B491,HS_MD!B:B,0),1),"")</f>
        <v>Food Ingredients</v>
      </c>
      <c r="G491" s="17" t="str">
        <f>IFERROR(INDEX(HS_MD!G:G,MATCH(B491,HS_MD!B:B,0),1),"")</f>
        <v>Mineral Salts</v>
      </c>
      <c r="H491" s="17" t="str">
        <f>IFERROR(INDEX(HS_MD!H:H,MATCH(B491,HS_MD!B:B,0),1),"")</f>
        <v>Food Grade Salt</v>
      </c>
      <c r="I491" s="17" t="str">
        <f>IFERROR(INDEX(HS_MD!I:I,MATCH(B491,HS_MD!B:B,0),1),"")</f>
        <v>All Food Processing</v>
      </c>
      <c r="J491" s="17">
        <f>IFERROR(INDEX(Heat_Map[Index],MATCH(HS_DB[[#This Row],[Reporter]],Heat_Map[Global],0),1),"")</f>
        <v>146</v>
      </c>
      <c r="K491" s="17" t="str">
        <f>IF(AND(HS_DB[[#This Row],[Origin Rank]]&gt;1,HS_DB[[#This Row],[Origin Rank]]&lt;=10),"Yes","No")</f>
        <v>No</v>
      </c>
      <c r="L491" s="2">
        <v>2024</v>
      </c>
      <c r="M491" s="2" t="s">
        <v>57</v>
      </c>
      <c r="N491" s="2" t="s">
        <v>27</v>
      </c>
      <c r="O491" s="2" t="s">
        <v>22</v>
      </c>
      <c r="P491" s="2" t="s">
        <v>23</v>
      </c>
      <c r="Q491" s="2" t="s">
        <v>24</v>
      </c>
      <c r="R491" s="2" t="s">
        <v>25</v>
      </c>
      <c r="S491" s="2">
        <v>250100</v>
      </c>
      <c r="T491" s="3">
        <v>960</v>
      </c>
      <c r="U491" s="3">
        <v>185</v>
      </c>
      <c r="V491" s="3">
        <v>0</v>
      </c>
      <c r="W491" s="3">
        <v>185</v>
      </c>
      <c r="X491" s="3" t="s">
        <v>58</v>
      </c>
      <c r="Y491" s="3">
        <v>185</v>
      </c>
      <c r="Z491" s="3" t="s">
        <v>58</v>
      </c>
      <c r="AA491" s="6">
        <f>SUMIFS(HS_DB[Trade Value - USD],HS_DB[Reporter],HS_DB[[#This Row],[Reporter]])/SUM(HS_DB[Trade Value - USD])</f>
        <v>9.709938116315122E-3</v>
      </c>
      <c r="AB491" s="8" cm="1">
        <f t="array" ref="AB491">SUMPRODUCT(
(HS_DB[Reporter]=HS_DB[[#This Row],[Reporter]])*
(HS_DB[Trade Value - USD]&gt;HS_DB[[#This Row],[Trade Value - USD]])
)+1</f>
        <v>14</v>
      </c>
      <c r="AC491" s="8" t="str">
        <f>IFERROR(IF(INDEX(Heat_Map[Crisis Impact %],MATCH(HS_DB[[#This Row],[Reporter]],Heat_Map[Global],0),1)&gt;0,"Yes","No"),"No")</f>
        <v>No</v>
      </c>
      <c r="AD491" s="6">
        <f>IFERROR(INDEX(Heat_Map[Crisis Impact %],MATCH(HS_DB[[#This Row],[Reporter]],Heat_Map[Global],0),1),0)</f>
        <v>0</v>
      </c>
      <c r="AE491" s="8">
        <f>HS_DB[[#This Row],[Crisis Impact%]]*HS_DB[[#This Row],[Trade Value - USD]]</f>
        <v>0</v>
      </c>
      <c r="AF491" s="8">
        <f>HS_DB[[#This Row],[Crisis Impact%]]*HS_DB[[#This Row],[Net Weight -KG]]</f>
        <v>0</v>
      </c>
      <c r="AG491" s="6">
        <f>SUMIFS(HS_DB[Trade Value - USD],HS_DB[Products],HS_DB[[#This Row],[Products]])/SUM(HS_DB[Trade Value - USD])</f>
        <v>8.6467417401395793E-4</v>
      </c>
      <c r="AH491" s="8">
        <f>_xlfn.RANK.EQ(HS_DB[[#This Row],[Trade Value - USD]], HS_DB[Trade Value - USD], 0)
 + COUNTIFS(HS_DB[Trade Value - USD],HS_DB[[#This Row],[Trade Value - USD]],
            HS_DB[HS Code],"&lt;"&amp;HS_DB[[#This Row],[HS Code]])</f>
        <v>486</v>
      </c>
      <c r="AI491" s="9">
        <f>IFERROR(HS_DB[[#This Row],[Trade Value - USD]]/HS_DB[[#This Row],[Net Weight -KG]],0)</f>
        <v>5.1891891891891895</v>
      </c>
      <c r="AJ491" s="17" cm="1">
        <f t="array" ref="AJ491">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91" s="17" t="str">
        <f>IF(HS_DB[[#This Row],[HS Code Risk Score]]&gt;=40,"High",
 IF(HS_DB[[#This Row],[HS Code Risk Score]]&gt;=25,"Medium","Low"))</f>
        <v>Medium</v>
      </c>
      <c r="AL491" s="17" t="str">
        <f>IF(RANK(HS_DB[[#This Row],[HS Code Risk Score]],HS_DB[HS Code Risk Score])&lt;=10,"Yes","No")</f>
        <v>No</v>
      </c>
      <c r="AM491" s="8">
        <f>SUMIFS(HS_DB[Net Weight -KG],HS_DB[HS Code],HS_DB[[#This Row],[HS Code]])</f>
        <v>3061947</v>
      </c>
      <c r="AN491" s="8">
        <f>SUMIFS(HS_DB[Trade Value - USD],HS_DB[HS Code],HS_DB[[#This Row],[HS Code]])</f>
        <v>1629918</v>
      </c>
      <c r="AO491" s="6">
        <f>_xlfn.MAXIFS(HS_DB[Origin Share%],HS_DB[HS Code],HS_DB[[#This Row],[HS Code]])</f>
        <v>6.321329281187793E-2</v>
      </c>
      <c r="AP491" s="8" cm="1">
        <f t="array" ref="AP491">_xlfn.LET(
_xlpm.hs,HS_DB[[#This Row],[HS Code]],
COUNTA(_xlfn.UNIQUE(_xlfn._xlws.FILTER(HS_DB[Reporter],HS_DB[HS Code]=_xlpm.hs)))
)</f>
        <v>19</v>
      </c>
      <c r="AQ491" s="17" t="str">
        <f>IF(HS_DB[[#This Row],[Origin Count]]=1,"Single Source","Multiple Sources")</f>
        <v>Multiple Sources</v>
      </c>
      <c r="AR491" s="8">
        <f>HS_DB[[#This Row],[Annual Spend - USD]]*(HS_DB[[#This Row],[HS Code Risk Score]]/100)</f>
        <v>554172.12</v>
      </c>
      <c r="AS491" s="8">
        <f>RANK(HS_DB[[#This Row],[Risk Exposure - USD]],HS_DB[Risk Exposure - USD],0)</f>
        <v>488</v>
      </c>
      <c r="AT491" s="8" t="str">
        <f>IF(HS_DB[[#This Row],[Risk Exposure Rank]]&lt;=10,"High",
 IF(HS_DB[[#This Row],[Risk Exposure Rank]]&lt;=30,"Medium",
 "Low"))</f>
        <v>Low</v>
      </c>
      <c r="AU491" s="8" t="str">
        <f>IF(HS_DB[[#This Row],[Risk Exposure Rank]]&lt;=5,"Immediate Action",
 IF(HS_DB[[#This Row],[Risk Exposure Rank]]&lt;=15,"Monitor Closely",
 "Routine Control"))</f>
        <v>Routine Control</v>
      </c>
      <c r="AV491" s="8">
        <f>SUMIFS(HS_DB[Trade Value - USD],HS_DB[HS Code],HS_DB[[#This Row],[HS Code]])</f>
        <v>1629918</v>
      </c>
      <c r="AW491" s="6">
        <f>HS_DB[[#This Row],[Annual Spend - USD]]/HS_DB[[#This Row],[Total Market Size - USD]]</f>
        <v>1</v>
      </c>
      <c r="AX491" s="6" cm="1">
        <f t="array" ref="AX491">COUNTA(_xlfn.UNIQUE(_xlfn._xlws.FILTER(HS_DB[Partner],HS_DB[HS Code]=HS_DB[[#This Row],[HS Code]])))</f>
        <v>1</v>
      </c>
      <c r="AY491" s="8" t="str">
        <f>IF(HS_DB[[#This Row],[Competition Intensity]]&lt;=2,"Highly Concentrated",
 IF(HS_DB[[#This Row],[Competition Intensity]]&lt;=5,"Moderate",
 "Highly Competitive"))</f>
        <v>Highly Concentrated</v>
      </c>
      <c r="AZ491" s="8">
        <f>HS_DB[[#This Row],[Total Market Size - USD]]
*
(1+IFERROR(#REF!,0))
/
HS_DB[[#This Row],[Competition Intensity]]</f>
        <v>1629918</v>
      </c>
      <c r="BA491" s="8" t="str">
        <f>IF(HS_DB[[#This Row],[Commercial Opportunity Score]]&gt;=PERCENTILE(HS_DB[Commercial Opportunity Score],0.9),"High Opportunity",
 IF(HS_DB[[#This Row],[Commercial Opportunity Score]]&gt;=PERCENTILE(HS_DB[Commercial Opportunity Score],0.6),"Medium Opportunity",
 "Routine Market"))</f>
        <v>Routine Market</v>
      </c>
      <c r="BB491" s="3" t="str">
        <f>IF(AND(HS_DB[[#This Row],[Product Rank]]&gt;0,HS_DB[[#This Row],[Product Rank]]&lt;=10),"Yes","No")</f>
        <v>No</v>
      </c>
      <c r="BC491" s="3" t="str">
        <f>IF(AND(HS_DB[[#This Row],[Origin Rank]]&gt;0,HS_DB[[#This Row],[Origin Rank]]&lt;=10),"Yes","No")</f>
        <v>No</v>
      </c>
    </row>
    <row r="492" spans="2:55" x14ac:dyDescent="0.3">
      <c r="B492" s="2">
        <f>HS_DB[[#This Row],[Commodity Code]]</f>
        <v>250100</v>
      </c>
      <c r="C492" s="2">
        <f>IFERROR(INDEX(HS_MD!C:C,MATCH(B492,HS_MD!B:B,0),1),"")</f>
        <v>41</v>
      </c>
      <c r="D492" s="17" t="str">
        <f>IFERROR(INDEX(HS_MD!D:D,MATCH(B492,HS_MD!B:B,0),1),"")</f>
        <v>Salt (sodium chloride)</v>
      </c>
      <c r="E492" s="17" t="str">
        <f>IFERROR(INDEX(HS_MD!E:E,MATCH(B492,HS_MD!B:B,0),1),"")</f>
        <v>Salt</v>
      </c>
      <c r="F492" s="17" t="str">
        <f>IFERROR(INDEX(HS_MD!F:F,MATCH(B492,HS_MD!B:B,0),1),"")</f>
        <v>Food Ingredients</v>
      </c>
      <c r="G492" s="17" t="str">
        <f>IFERROR(INDEX(HS_MD!G:G,MATCH(B492,HS_MD!B:B,0),1),"")</f>
        <v>Mineral Salts</v>
      </c>
      <c r="H492" s="17" t="str">
        <f>IFERROR(INDEX(HS_MD!H:H,MATCH(B492,HS_MD!B:B,0),1),"")</f>
        <v>Food Grade Salt</v>
      </c>
      <c r="I492" s="17" t="str">
        <f>IFERROR(INDEX(HS_MD!I:I,MATCH(B492,HS_MD!B:B,0),1),"")</f>
        <v>All Food Processing</v>
      </c>
      <c r="J492" s="17">
        <f>IFERROR(INDEX(Heat_Map[Index],MATCH(HS_DB[[#This Row],[Reporter]],Heat_Map[Global],0),1),"")</f>
        <v>75</v>
      </c>
      <c r="K492" s="17" t="str">
        <f>IF(AND(HS_DB[[#This Row],[Origin Rank]]&gt;1,HS_DB[[#This Row],[Origin Rank]]&lt;=10),"Yes","No")</f>
        <v>No</v>
      </c>
      <c r="L492" s="2">
        <v>2024</v>
      </c>
      <c r="M492" s="2" t="s">
        <v>57</v>
      </c>
      <c r="N492" s="2" t="s">
        <v>8</v>
      </c>
      <c r="O492" s="2" t="s">
        <v>22</v>
      </c>
      <c r="P492" s="2" t="s">
        <v>23</v>
      </c>
      <c r="Q492" s="2" t="s">
        <v>24</v>
      </c>
      <c r="R492" s="2" t="s">
        <v>25</v>
      </c>
      <c r="S492" s="2">
        <v>250100</v>
      </c>
      <c r="T492" s="3">
        <v>13318</v>
      </c>
      <c r="U492" s="3">
        <v>20135</v>
      </c>
      <c r="V492" s="3">
        <v>0</v>
      </c>
      <c r="W492" s="3">
        <v>20135</v>
      </c>
      <c r="X492" s="3" t="s">
        <v>58</v>
      </c>
      <c r="Y492" s="3">
        <v>20135</v>
      </c>
      <c r="Z492" s="3" t="s">
        <v>58</v>
      </c>
      <c r="AA492" s="6">
        <f>SUMIFS(HS_DB[Trade Value - USD],HS_DB[Reporter],HS_DB[[#This Row],[Reporter]])/SUM(HS_DB[Trade Value - USD])</f>
        <v>2.2441761060335613E-2</v>
      </c>
      <c r="AB492" s="8" cm="1">
        <f t="array" ref="AB492">SUMPRODUCT(
(HS_DB[Reporter]=HS_DB[[#This Row],[Reporter]])*
(HS_DB[Trade Value - USD]&gt;HS_DB[[#This Row],[Trade Value - USD]])
)+1</f>
        <v>34</v>
      </c>
      <c r="AC492" s="8" t="str">
        <f>IFERROR(IF(INDEX(Heat_Map[Crisis Impact %],MATCH(HS_DB[[#This Row],[Reporter]],Heat_Map[Global],0),1)&gt;0,"Yes","No"),"No")</f>
        <v>No</v>
      </c>
      <c r="AD492" s="6">
        <f>IFERROR(INDEX(Heat_Map[Crisis Impact %],MATCH(HS_DB[[#This Row],[Reporter]],Heat_Map[Global],0),1),0)</f>
        <v>0</v>
      </c>
      <c r="AE492" s="8">
        <f>HS_DB[[#This Row],[Crisis Impact%]]*HS_DB[[#This Row],[Trade Value - USD]]</f>
        <v>0</v>
      </c>
      <c r="AF492" s="8">
        <f>HS_DB[[#This Row],[Crisis Impact%]]*HS_DB[[#This Row],[Net Weight -KG]]</f>
        <v>0</v>
      </c>
      <c r="AG492" s="6">
        <f>SUMIFS(HS_DB[Trade Value - USD],HS_DB[Products],HS_DB[[#This Row],[Products]])/SUM(HS_DB[Trade Value - USD])</f>
        <v>8.6467417401395793E-4</v>
      </c>
      <c r="AH492" s="8">
        <f>_xlfn.RANK.EQ(HS_DB[[#This Row],[Trade Value - USD]], HS_DB[Trade Value - USD], 0)
 + COUNTIFS(HS_DB[Trade Value - USD],HS_DB[[#This Row],[Trade Value - USD]],
            HS_DB[HS Code],"&lt;"&amp;HS_DB[[#This Row],[HS Code]])</f>
        <v>399</v>
      </c>
      <c r="AI492" s="9">
        <f>IFERROR(HS_DB[[#This Row],[Trade Value - USD]]/HS_DB[[#This Row],[Net Weight -KG]],0)</f>
        <v>0.66143531164638691</v>
      </c>
      <c r="AJ492" s="17" cm="1">
        <f t="array" ref="AJ492">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92" s="17" t="str">
        <f>IF(HS_DB[[#This Row],[HS Code Risk Score]]&gt;=40,"High",
 IF(HS_DB[[#This Row],[HS Code Risk Score]]&gt;=25,"Medium","Low"))</f>
        <v>Medium</v>
      </c>
      <c r="AL492" s="17" t="str">
        <f>IF(RANK(HS_DB[[#This Row],[HS Code Risk Score]],HS_DB[HS Code Risk Score])&lt;=10,"Yes","No")</f>
        <v>No</v>
      </c>
      <c r="AM492" s="8">
        <f>SUMIFS(HS_DB[Net Weight -KG],HS_DB[HS Code],HS_DB[[#This Row],[HS Code]])</f>
        <v>3061947</v>
      </c>
      <c r="AN492" s="8">
        <f>SUMIFS(HS_DB[Trade Value - USD],HS_DB[HS Code],HS_DB[[#This Row],[HS Code]])</f>
        <v>1629918</v>
      </c>
      <c r="AO492" s="6">
        <f>_xlfn.MAXIFS(HS_DB[Origin Share%],HS_DB[HS Code],HS_DB[[#This Row],[HS Code]])</f>
        <v>6.321329281187793E-2</v>
      </c>
      <c r="AP492" s="8" cm="1">
        <f t="array" ref="AP492">_xlfn.LET(
_xlpm.hs,HS_DB[[#This Row],[HS Code]],
COUNTA(_xlfn.UNIQUE(_xlfn._xlws.FILTER(HS_DB[Reporter],HS_DB[HS Code]=_xlpm.hs)))
)</f>
        <v>19</v>
      </c>
      <c r="AQ492" s="17" t="str">
        <f>IF(HS_DB[[#This Row],[Origin Count]]=1,"Single Source","Multiple Sources")</f>
        <v>Multiple Sources</v>
      </c>
      <c r="AR492" s="8">
        <f>HS_DB[[#This Row],[Annual Spend - USD]]*(HS_DB[[#This Row],[HS Code Risk Score]]/100)</f>
        <v>554172.12</v>
      </c>
      <c r="AS492" s="8">
        <f>RANK(HS_DB[[#This Row],[Risk Exposure - USD]],HS_DB[Risk Exposure - USD],0)</f>
        <v>488</v>
      </c>
      <c r="AT492" s="8" t="str">
        <f>IF(HS_DB[[#This Row],[Risk Exposure Rank]]&lt;=10,"High",
 IF(HS_DB[[#This Row],[Risk Exposure Rank]]&lt;=30,"Medium",
 "Low"))</f>
        <v>Low</v>
      </c>
      <c r="AU492" s="8" t="str">
        <f>IF(HS_DB[[#This Row],[Risk Exposure Rank]]&lt;=5,"Immediate Action",
 IF(HS_DB[[#This Row],[Risk Exposure Rank]]&lt;=15,"Monitor Closely",
 "Routine Control"))</f>
        <v>Routine Control</v>
      </c>
      <c r="AV492" s="8">
        <f>SUMIFS(HS_DB[Trade Value - USD],HS_DB[HS Code],HS_DB[[#This Row],[HS Code]])</f>
        <v>1629918</v>
      </c>
      <c r="AW492" s="6">
        <f>HS_DB[[#This Row],[Annual Spend - USD]]/HS_DB[[#This Row],[Total Market Size - USD]]</f>
        <v>1</v>
      </c>
      <c r="AX492" s="6" cm="1">
        <f t="array" ref="AX492">COUNTA(_xlfn.UNIQUE(_xlfn._xlws.FILTER(HS_DB[Partner],HS_DB[HS Code]=HS_DB[[#This Row],[HS Code]])))</f>
        <v>1</v>
      </c>
      <c r="AY492" s="8" t="str">
        <f>IF(HS_DB[[#This Row],[Competition Intensity]]&lt;=2,"Highly Concentrated",
 IF(HS_DB[[#This Row],[Competition Intensity]]&lt;=5,"Moderate",
 "Highly Competitive"))</f>
        <v>Highly Concentrated</v>
      </c>
      <c r="AZ492" s="8">
        <f>HS_DB[[#This Row],[Total Market Size - USD]]
*
(1+IFERROR(#REF!,0))
/
HS_DB[[#This Row],[Competition Intensity]]</f>
        <v>1629918</v>
      </c>
      <c r="BA492" s="8" t="str">
        <f>IF(HS_DB[[#This Row],[Commercial Opportunity Score]]&gt;=PERCENTILE(HS_DB[Commercial Opportunity Score],0.9),"High Opportunity",
 IF(HS_DB[[#This Row],[Commercial Opportunity Score]]&gt;=PERCENTILE(HS_DB[Commercial Opportunity Score],0.6),"Medium Opportunity",
 "Routine Market"))</f>
        <v>Routine Market</v>
      </c>
      <c r="BB492" s="3" t="str">
        <f>IF(AND(HS_DB[[#This Row],[Product Rank]]&gt;0,HS_DB[[#This Row],[Product Rank]]&lt;=10),"Yes","No")</f>
        <v>No</v>
      </c>
      <c r="BC492" s="3" t="str">
        <f>IF(AND(HS_DB[[#This Row],[Origin Rank]]&gt;0,HS_DB[[#This Row],[Origin Rank]]&lt;=10),"Yes","No")</f>
        <v>No</v>
      </c>
    </row>
    <row r="493" spans="2:55" x14ac:dyDescent="0.3">
      <c r="B493" s="2">
        <f>HS_DB[[#This Row],[Commodity Code]]</f>
        <v>250100</v>
      </c>
      <c r="C493" s="2">
        <f>IFERROR(INDEX(HS_MD!C:C,MATCH(B493,HS_MD!B:B,0),1),"")</f>
        <v>41</v>
      </c>
      <c r="D493" s="17" t="str">
        <f>IFERROR(INDEX(HS_MD!D:D,MATCH(B493,HS_MD!B:B,0),1),"")</f>
        <v>Salt (sodium chloride)</v>
      </c>
      <c r="E493" s="17" t="str">
        <f>IFERROR(INDEX(HS_MD!E:E,MATCH(B493,HS_MD!B:B,0),1),"")</f>
        <v>Salt</v>
      </c>
      <c r="F493" s="17" t="str">
        <f>IFERROR(INDEX(HS_MD!F:F,MATCH(B493,HS_MD!B:B,0),1),"")</f>
        <v>Food Ingredients</v>
      </c>
      <c r="G493" s="17" t="str">
        <f>IFERROR(INDEX(HS_MD!G:G,MATCH(B493,HS_MD!B:B,0),1),"")</f>
        <v>Mineral Salts</v>
      </c>
      <c r="H493" s="17" t="str">
        <f>IFERROR(INDEX(HS_MD!H:H,MATCH(B493,HS_MD!B:B,0),1),"")</f>
        <v>Food Grade Salt</v>
      </c>
      <c r="I493" s="17" t="str">
        <f>IFERROR(INDEX(HS_MD!I:I,MATCH(B493,HS_MD!B:B,0),1),"")</f>
        <v>All Food Processing</v>
      </c>
      <c r="J493" s="17">
        <f>IFERROR(INDEX(Heat_Map[Index],MATCH(HS_DB[[#This Row],[Reporter]],Heat_Map[Global],0),1),"")</f>
        <v>156</v>
      </c>
      <c r="K493" s="17" t="str">
        <f>IF(AND(HS_DB[[#This Row],[Origin Rank]]&gt;1,HS_DB[[#This Row],[Origin Rank]]&lt;=10),"Yes","No")</f>
        <v>Yes</v>
      </c>
      <c r="L493" s="2">
        <v>2024</v>
      </c>
      <c r="M493" s="2" t="s">
        <v>57</v>
      </c>
      <c r="N493" s="2" t="s">
        <v>29</v>
      </c>
      <c r="O493" s="2" t="s">
        <v>22</v>
      </c>
      <c r="P493" s="2" t="s">
        <v>23</v>
      </c>
      <c r="Q493" s="2" t="s">
        <v>24</v>
      </c>
      <c r="R493" s="2" t="s">
        <v>25</v>
      </c>
      <c r="S493" s="2">
        <v>250100</v>
      </c>
      <c r="T493" s="3">
        <v>155</v>
      </c>
      <c r="U493" s="3">
        <v>71.900000000000006</v>
      </c>
      <c r="V493" s="3">
        <v>0</v>
      </c>
      <c r="W493" s="3">
        <v>72</v>
      </c>
      <c r="X493" s="3" t="s">
        <v>58</v>
      </c>
      <c r="Y493" s="3">
        <v>72</v>
      </c>
      <c r="Z493" s="3" t="s">
        <v>58</v>
      </c>
      <c r="AA493" s="6">
        <f>SUMIFS(HS_DB[Trade Value - USD],HS_DB[Reporter],HS_DB[[#This Row],[Reporter]])/SUM(HS_DB[Trade Value - USD])</f>
        <v>1.3832724193842358E-4</v>
      </c>
      <c r="AB493" s="8" cm="1">
        <f t="array" ref="AB493">SUMPRODUCT(
(HS_DB[Reporter]=HS_DB[[#This Row],[Reporter]])*
(HS_DB[Trade Value - USD]&gt;HS_DB[[#This Row],[Trade Value - USD]])
)+1</f>
        <v>7</v>
      </c>
      <c r="AC493" s="8" t="str">
        <f>IFERROR(IF(INDEX(Heat_Map[Crisis Impact %],MATCH(HS_DB[[#This Row],[Reporter]],Heat_Map[Global],0),1)&gt;0,"Yes","No"),"No")</f>
        <v>No</v>
      </c>
      <c r="AD493" s="6">
        <f>IFERROR(INDEX(Heat_Map[Crisis Impact %],MATCH(HS_DB[[#This Row],[Reporter]],Heat_Map[Global],0),1),0)</f>
        <v>0</v>
      </c>
      <c r="AE493" s="8">
        <f>HS_DB[[#This Row],[Crisis Impact%]]*HS_DB[[#This Row],[Trade Value - USD]]</f>
        <v>0</v>
      </c>
      <c r="AF493" s="8">
        <f>HS_DB[[#This Row],[Crisis Impact%]]*HS_DB[[#This Row],[Net Weight -KG]]</f>
        <v>0</v>
      </c>
      <c r="AG493" s="6">
        <f>SUMIFS(HS_DB[Trade Value - USD],HS_DB[Products],HS_DB[[#This Row],[Products]])/SUM(HS_DB[Trade Value - USD])</f>
        <v>8.6467417401395793E-4</v>
      </c>
      <c r="AH493" s="8">
        <f>_xlfn.RANK.EQ(HS_DB[[#This Row],[Trade Value - USD]], HS_DB[Trade Value - USD], 0)
 + COUNTIFS(HS_DB[Trade Value - USD],HS_DB[[#This Row],[Trade Value - USD]],
            HS_DB[HS Code],"&lt;"&amp;HS_DB[[#This Row],[HS Code]])</f>
        <v>513</v>
      </c>
      <c r="AI493" s="9">
        <f>IFERROR(HS_DB[[#This Row],[Trade Value - USD]]/HS_DB[[#This Row],[Net Weight -KG]],0)</f>
        <v>2.1557719054242002</v>
      </c>
      <c r="AJ493" s="17" cm="1">
        <f t="array" ref="AJ493">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93" s="17" t="str">
        <f>IF(HS_DB[[#This Row],[HS Code Risk Score]]&gt;=40,"High",
 IF(HS_DB[[#This Row],[HS Code Risk Score]]&gt;=25,"Medium","Low"))</f>
        <v>Medium</v>
      </c>
      <c r="AL493" s="17" t="str">
        <f>IF(RANK(HS_DB[[#This Row],[HS Code Risk Score]],HS_DB[HS Code Risk Score])&lt;=10,"Yes","No")</f>
        <v>No</v>
      </c>
      <c r="AM493" s="8">
        <f>SUMIFS(HS_DB[Net Weight -KG],HS_DB[HS Code],HS_DB[[#This Row],[HS Code]])</f>
        <v>3061947</v>
      </c>
      <c r="AN493" s="8">
        <f>SUMIFS(HS_DB[Trade Value - USD],HS_DB[HS Code],HS_DB[[#This Row],[HS Code]])</f>
        <v>1629918</v>
      </c>
      <c r="AO493" s="6">
        <f>_xlfn.MAXIFS(HS_DB[Origin Share%],HS_DB[HS Code],HS_DB[[#This Row],[HS Code]])</f>
        <v>6.321329281187793E-2</v>
      </c>
      <c r="AP493" s="8" cm="1">
        <f t="array" ref="AP493">_xlfn.LET(
_xlpm.hs,HS_DB[[#This Row],[HS Code]],
COUNTA(_xlfn.UNIQUE(_xlfn._xlws.FILTER(HS_DB[Reporter],HS_DB[HS Code]=_xlpm.hs)))
)</f>
        <v>19</v>
      </c>
      <c r="AQ493" s="17" t="str">
        <f>IF(HS_DB[[#This Row],[Origin Count]]=1,"Single Source","Multiple Sources")</f>
        <v>Multiple Sources</v>
      </c>
      <c r="AR493" s="8">
        <f>HS_DB[[#This Row],[Annual Spend - USD]]*(HS_DB[[#This Row],[HS Code Risk Score]]/100)</f>
        <v>554172.12</v>
      </c>
      <c r="AS493" s="8">
        <f>RANK(HS_DB[[#This Row],[Risk Exposure - USD]],HS_DB[Risk Exposure - USD],0)</f>
        <v>488</v>
      </c>
      <c r="AT493" s="8" t="str">
        <f>IF(HS_DB[[#This Row],[Risk Exposure Rank]]&lt;=10,"High",
 IF(HS_DB[[#This Row],[Risk Exposure Rank]]&lt;=30,"Medium",
 "Low"))</f>
        <v>Low</v>
      </c>
      <c r="AU493" s="8" t="str">
        <f>IF(HS_DB[[#This Row],[Risk Exposure Rank]]&lt;=5,"Immediate Action",
 IF(HS_DB[[#This Row],[Risk Exposure Rank]]&lt;=15,"Monitor Closely",
 "Routine Control"))</f>
        <v>Routine Control</v>
      </c>
      <c r="AV493" s="8">
        <f>SUMIFS(HS_DB[Trade Value - USD],HS_DB[HS Code],HS_DB[[#This Row],[HS Code]])</f>
        <v>1629918</v>
      </c>
      <c r="AW493" s="6">
        <f>HS_DB[[#This Row],[Annual Spend - USD]]/HS_DB[[#This Row],[Total Market Size - USD]]</f>
        <v>1</v>
      </c>
      <c r="AX493" s="6" cm="1">
        <f t="array" ref="AX493">COUNTA(_xlfn.UNIQUE(_xlfn._xlws.FILTER(HS_DB[Partner],HS_DB[HS Code]=HS_DB[[#This Row],[HS Code]])))</f>
        <v>1</v>
      </c>
      <c r="AY493" s="8" t="str">
        <f>IF(HS_DB[[#This Row],[Competition Intensity]]&lt;=2,"Highly Concentrated",
 IF(HS_DB[[#This Row],[Competition Intensity]]&lt;=5,"Moderate",
 "Highly Competitive"))</f>
        <v>Highly Concentrated</v>
      </c>
      <c r="AZ493" s="8">
        <f>HS_DB[[#This Row],[Total Market Size - USD]]
*
(1+IFERROR(#REF!,0))
/
HS_DB[[#This Row],[Competition Intensity]]</f>
        <v>1629918</v>
      </c>
      <c r="BA493" s="8" t="str">
        <f>IF(HS_DB[[#This Row],[Commercial Opportunity Score]]&gt;=PERCENTILE(HS_DB[Commercial Opportunity Score],0.9),"High Opportunity",
 IF(HS_DB[[#This Row],[Commercial Opportunity Score]]&gt;=PERCENTILE(HS_DB[Commercial Opportunity Score],0.6),"Medium Opportunity",
 "Routine Market"))</f>
        <v>Routine Market</v>
      </c>
      <c r="BB493" s="3" t="str">
        <f>IF(AND(HS_DB[[#This Row],[Product Rank]]&gt;0,HS_DB[[#This Row],[Product Rank]]&lt;=10),"Yes","No")</f>
        <v>No</v>
      </c>
      <c r="BC493" s="3" t="str">
        <f>IF(AND(HS_DB[[#This Row],[Origin Rank]]&gt;0,HS_DB[[#This Row],[Origin Rank]]&lt;=10),"Yes","No")</f>
        <v>Yes</v>
      </c>
    </row>
    <row r="494" spans="2:55" x14ac:dyDescent="0.3">
      <c r="B494" s="2">
        <f>HS_DB[[#This Row],[Commodity Code]]</f>
        <v>250100</v>
      </c>
      <c r="C494" s="2">
        <f>IFERROR(INDEX(HS_MD!C:C,MATCH(B494,HS_MD!B:B,0),1),"")</f>
        <v>41</v>
      </c>
      <c r="D494" s="17" t="str">
        <f>IFERROR(INDEX(HS_MD!D:D,MATCH(B494,HS_MD!B:B,0),1),"")</f>
        <v>Salt (sodium chloride)</v>
      </c>
      <c r="E494" s="17" t="str">
        <f>IFERROR(INDEX(HS_MD!E:E,MATCH(B494,HS_MD!B:B,0),1),"")</f>
        <v>Salt</v>
      </c>
      <c r="F494" s="17" t="str">
        <f>IFERROR(INDEX(HS_MD!F:F,MATCH(B494,HS_MD!B:B,0),1),"")</f>
        <v>Food Ingredients</v>
      </c>
      <c r="G494" s="17" t="str">
        <f>IFERROR(INDEX(HS_MD!G:G,MATCH(B494,HS_MD!B:B,0),1),"")</f>
        <v>Mineral Salts</v>
      </c>
      <c r="H494" s="17" t="str">
        <f>IFERROR(INDEX(HS_MD!H:H,MATCH(B494,HS_MD!B:B,0),1),"")</f>
        <v>Food Grade Salt</v>
      </c>
      <c r="I494" s="17" t="str">
        <f>IFERROR(INDEX(HS_MD!I:I,MATCH(B494,HS_MD!B:B,0),1),"")</f>
        <v>All Food Processing</v>
      </c>
      <c r="J494" s="17">
        <f>IFERROR(INDEX(Heat_Map[Index],MATCH(HS_DB[[#This Row],[Reporter]],Heat_Map[Global],0),1),"")</f>
        <v>159</v>
      </c>
      <c r="K494" s="17" t="str">
        <f>IF(AND(HS_DB[[#This Row],[Origin Rank]]&gt;1,HS_DB[[#This Row],[Origin Rank]]&lt;=10),"Yes","No")</f>
        <v>No</v>
      </c>
      <c r="L494" s="2">
        <v>2024</v>
      </c>
      <c r="M494" s="2" t="s">
        <v>57</v>
      </c>
      <c r="N494" s="2" t="s">
        <v>30</v>
      </c>
      <c r="O494" s="2" t="s">
        <v>22</v>
      </c>
      <c r="P494" s="2" t="s">
        <v>23</v>
      </c>
      <c r="Q494" s="2" t="s">
        <v>24</v>
      </c>
      <c r="R494" s="2" t="s">
        <v>25</v>
      </c>
      <c r="S494" s="2">
        <v>250100</v>
      </c>
      <c r="T494" s="3">
        <v>412</v>
      </c>
      <c r="U494" s="3">
        <v>48</v>
      </c>
      <c r="V494" s="3">
        <v>0</v>
      </c>
      <c r="W494" s="3">
        <v>48</v>
      </c>
      <c r="X494" s="3" t="s">
        <v>58</v>
      </c>
      <c r="Y494" s="3">
        <v>48</v>
      </c>
      <c r="Z494" s="3" t="s">
        <v>58</v>
      </c>
      <c r="AA494" s="6">
        <f>SUMIFS(HS_DB[Trade Value - USD],HS_DB[Reporter],HS_DB[[#This Row],[Reporter]])/SUM(HS_DB[Trade Value - USD])</f>
        <v>6.110186869383482E-3</v>
      </c>
      <c r="AB494" s="8" cm="1">
        <f t="array" ref="AB494">SUMPRODUCT(
(HS_DB[Reporter]=HS_DB[[#This Row],[Reporter]])*
(HS_DB[Trade Value - USD]&gt;HS_DB[[#This Row],[Trade Value - USD]])
)+1</f>
        <v>26</v>
      </c>
      <c r="AC494" s="8" t="str">
        <f>IFERROR(IF(INDEX(Heat_Map[Crisis Impact %],MATCH(HS_DB[[#This Row],[Reporter]],Heat_Map[Global],0),1)&gt;0,"Yes","No"),"No")</f>
        <v>No</v>
      </c>
      <c r="AD494" s="6">
        <f>IFERROR(INDEX(Heat_Map[Crisis Impact %],MATCH(HS_DB[[#This Row],[Reporter]],Heat_Map[Global],0),1),0)</f>
        <v>0</v>
      </c>
      <c r="AE494" s="8">
        <f>HS_DB[[#This Row],[Crisis Impact%]]*HS_DB[[#This Row],[Trade Value - USD]]</f>
        <v>0</v>
      </c>
      <c r="AF494" s="8">
        <f>HS_DB[[#This Row],[Crisis Impact%]]*HS_DB[[#This Row],[Net Weight -KG]]</f>
        <v>0</v>
      </c>
      <c r="AG494" s="6">
        <f>SUMIFS(HS_DB[Trade Value - USD],HS_DB[Products],HS_DB[[#This Row],[Products]])/SUM(HS_DB[Trade Value - USD])</f>
        <v>8.6467417401395793E-4</v>
      </c>
      <c r="AH494" s="8">
        <f>_xlfn.RANK.EQ(HS_DB[[#This Row],[Trade Value - USD]], HS_DB[Trade Value - USD], 0)
 + COUNTIFS(HS_DB[Trade Value - USD],HS_DB[[#This Row],[Trade Value - USD]],
            HS_DB[HS Code],"&lt;"&amp;HS_DB[[#This Row],[HS Code]])</f>
        <v>499</v>
      </c>
      <c r="AI494" s="9">
        <f>IFERROR(HS_DB[[#This Row],[Trade Value - USD]]/HS_DB[[#This Row],[Net Weight -KG]],0)</f>
        <v>8.5833333333333339</v>
      </c>
      <c r="AJ494" s="17" cm="1">
        <f t="array" ref="AJ494">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94" s="17" t="str">
        <f>IF(HS_DB[[#This Row],[HS Code Risk Score]]&gt;=40,"High",
 IF(HS_DB[[#This Row],[HS Code Risk Score]]&gt;=25,"Medium","Low"))</f>
        <v>Medium</v>
      </c>
      <c r="AL494" s="17" t="str">
        <f>IF(RANK(HS_DB[[#This Row],[HS Code Risk Score]],HS_DB[HS Code Risk Score])&lt;=10,"Yes","No")</f>
        <v>No</v>
      </c>
      <c r="AM494" s="8">
        <f>SUMIFS(HS_DB[Net Weight -KG],HS_DB[HS Code],HS_DB[[#This Row],[HS Code]])</f>
        <v>3061947</v>
      </c>
      <c r="AN494" s="8">
        <f>SUMIFS(HS_DB[Trade Value - USD],HS_DB[HS Code],HS_DB[[#This Row],[HS Code]])</f>
        <v>1629918</v>
      </c>
      <c r="AO494" s="6">
        <f>_xlfn.MAXIFS(HS_DB[Origin Share%],HS_DB[HS Code],HS_DB[[#This Row],[HS Code]])</f>
        <v>6.321329281187793E-2</v>
      </c>
      <c r="AP494" s="8" cm="1">
        <f t="array" ref="AP494">_xlfn.LET(
_xlpm.hs,HS_DB[[#This Row],[HS Code]],
COUNTA(_xlfn.UNIQUE(_xlfn._xlws.FILTER(HS_DB[Reporter],HS_DB[HS Code]=_xlpm.hs)))
)</f>
        <v>19</v>
      </c>
      <c r="AQ494" s="17" t="str">
        <f>IF(HS_DB[[#This Row],[Origin Count]]=1,"Single Source","Multiple Sources")</f>
        <v>Multiple Sources</v>
      </c>
      <c r="AR494" s="8">
        <f>HS_DB[[#This Row],[Annual Spend - USD]]*(HS_DB[[#This Row],[HS Code Risk Score]]/100)</f>
        <v>554172.12</v>
      </c>
      <c r="AS494" s="8">
        <f>RANK(HS_DB[[#This Row],[Risk Exposure - USD]],HS_DB[Risk Exposure - USD],0)</f>
        <v>488</v>
      </c>
      <c r="AT494" s="8" t="str">
        <f>IF(HS_DB[[#This Row],[Risk Exposure Rank]]&lt;=10,"High",
 IF(HS_DB[[#This Row],[Risk Exposure Rank]]&lt;=30,"Medium",
 "Low"))</f>
        <v>Low</v>
      </c>
      <c r="AU494" s="8" t="str">
        <f>IF(HS_DB[[#This Row],[Risk Exposure Rank]]&lt;=5,"Immediate Action",
 IF(HS_DB[[#This Row],[Risk Exposure Rank]]&lt;=15,"Monitor Closely",
 "Routine Control"))</f>
        <v>Routine Control</v>
      </c>
      <c r="AV494" s="8">
        <f>SUMIFS(HS_DB[Trade Value - USD],HS_DB[HS Code],HS_DB[[#This Row],[HS Code]])</f>
        <v>1629918</v>
      </c>
      <c r="AW494" s="6">
        <f>HS_DB[[#This Row],[Annual Spend - USD]]/HS_DB[[#This Row],[Total Market Size - USD]]</f>
        <v>1</v>
      </c>
      <c r="AX494" s="6" cm="1">
        <f t="array" ref="AX494">COUNTA(_xlfn.UNIQUE(_xlfn._xlws.FILTER(HS_DB[Partner],HS_DB[HS Code]=HS_DB[[#This Row],[HS Code]])))</f>
        <v>1</v>
      </c>
      <c r="AY494" s="8" t="str">
        <f>IF(HS_DB[[#This Row],[Competition Intensity]]&lt;=2,"Highly Concentrated",
 IF(HS_DB[[#This Row],[Competition Intensity]]&lt;=5,"Moderate",
 "Highly Competitive"))</f>
        <v>Highly Concentrated</v>
      </c>
      <c r="AZ494" s="8">
        <f>HS_DB[[#This Row],[Total Market Size - USD]]
*
(1+IFERROR(#REF!,0))
/
HS_DB[[#This Row],[Competition Intensity]]</f>
        <v>1629918</v>
      </c>
      <c r="BA494" s="8" t="str">
        <f>IF(HS_DB[[#This Row],[Commercial Opportunity Score]]&gt;=PERCENTILE(HS_DB[Commercial Opportunity Score],0.9),"High Opportunity",
 IF(HS_DB[[#This Row],[Commercial Opportunity Score]]&gt;=PERCENTILE(HS_DB[Commercial Opportunity Score],0.6),"Medium Opportunity",
 "Routine Market"))</f>
        <v>Routine Market</v>
      </c>
      <c r="BB494" s="3" t="str">
        <f>IF(AND(HS_DB[[#This Row],[Product Rank]]&gt;0,HS_DB[[#This Row],[Product Rank]]&lt;=10),"Yes","No")</f>
        <v>No</v>
      </c>
      <c r="BC494" s="3" t="str">
        <f>IF(AND(HS_DB[[#This Row],[Origin Rank]]&gt;0,HS_DB[[#This Row],[Origin Rank]]&lt;=10),"Yes","No")</f>
        <v>No</v>
      </c>
    </row>
    <row r="495" spans="2:55" x14ac:dyDescent="0.3">
      <c r="B495" s="2">
        <f>HS_DB[[#This Row],[Commodity Code]]</f>
        <v>250100</v>
      </c>
      <c r="C495" s="2">
        <f>IFERROR(INDEX(HS_MD!C:C,MATCH(B495,HS_MD!B:B,0),1),"")</f>
        <v>41</v>
      </c>
      <c r="D495" s="17" t="str">
        <f>IFERROR(INDEX(HS_MD!D:D,MATCH(B495,HS_MD!B:B,0),1),"")</f>
        <v>Salt (sodium chloride)</v>
      </c>
      <c r="E495" s="17" t="str">
        <f>IFERROR(INDEX(HS_MD!E:E,MATCH(B495,HS_MD!B:B,0),1),"")</f>
        <v>Salt</v>
      </c>
      <c r="F495" s="17" t="str">
        <f>IFERROR(INDEX(HS_MD!F:F,MATCH(B495,HS_MD!B:B,0),1),"")</f>
        <v>Food Ingredients</v>
      </c>
      <c r="G495" s="17" t="str">
        <f>IFERROR(INDEX(HS_MD!G:G,MATCH(B495,HS_MD!B:B,0),1),"")</f>
        <v>Mineral Salts</v>
      </c>
      <c r="H495" s="17" t="str">
        <f>IFERROR(INDEX(HS_MD!H:H,MATCH(B495,HS_MD!B:B,0),1),"")</f>
        <v>Food Grade Salt</v>
      </c>
      <c r="I495" s="17" t="str">
        <f>IFERROR(INDEX(HS_MD!I:I,MATCH(B495,HS_MD!B:B,0),1),"")</f>
        <v>All Food Processing</v>
      </c>
      <c r="J495" s="17">
        <f>IFERROR(INDEX(Heat_Map[Index],MATCH(HS_DB[[#This Row],[Reporter]],Heat_Map[Global],0),1),"")</f>
        <v>175</v>
      </c>
      <c r="K495" s="17" t="str">
        <f>IF(AND(HS_DB[[#This Row],[Origin Rank]]&gt;1,HS_DB[[#This Row],[Origin Rank]]&lt;=10),"Yes","No")</f>
        <v>No</v>
      </c>
      <c r="L495" s="2">
        <v>2024</v>
      </c>
      <c r="M495" s="2" t="s">
        <v>57</v>
      </c>
      <c r="N495" s="2" t="s">
        <v>34</v>
      </c>
      <c r="O495" s="2" t="s">
        <v>22</v>
      </c>
      <c r="P495" s="2" t="s">
        <v>23</v>
      </c>
      <c r="Q495" s="2" t="s">
        <v>24</v>
      </c>
      <c r="R495" s="2" t="s">
        <v>25</v>
      </c>
      <c r="S495" s="2">
        <v>250100</v>
      </c>
      <c r="T495" s="3">
        <v>470691</v>
      </c>
      <c r="U495" s="3">
        <v>1393819</v>
      </c>
      <c r="V495" s="3">
        <v>0</v>
      </c>
      <c r="W495" s="3">
        <v>1393819</v>
      </c>
      <c r="X495" s="3" t="s">
        <v>58</v>
      </c>
      <c r="Y495" s="3">
        <v>1393819</v>
      </c>
      <c r="Z495" s="3" t="s">
        <v>58</v>
      </c>
      <c r="AA495" s="6">
        <f>SUMIFS(HS_DB[Trade Value - USD],HS_DB[Reporter],HS_DB[[#This Row],[Reporter]])/SUM(HS_DB[Trade Value - USD])</f>
        <v>4.7522902002533667E-2</v>
      </c>
      <c r="AB495" s="8" cm="1">
        <f t="array" ref="AB495">SUMPRODUCT(
(HS_DB[Reporter]=HS_DB[[#This Row],[Reporter]])*
(HS_DB[Trade Value - USD]&gt;HS_DB[[#This Row],[Trade Value - USD]])
)+1</f>
        <v>16</v>
      </c>
      <c r="AC495" s="8" t="str">
        <f>IFERROR(IF(INDEX(Heat_Map[Crisis Impact %],MATCH(HS_DB[[#This Row],[Reporter]],Heat_Map[Global],0),1)&gt;0,"Yes","No"),"No")</f>
        <v>Yes</v>
      </c>
      <c r="AD495" s="6">
        <f>IFERROR(INDEX(Heat_Map[Crisis Impact %],MATCH(HS_DB[[#This Row],[Reporter]],Heat_Map[Global],0),1),0)</f>
        <v>0.1</v>
      </c>
      <c r="AE495" s="8">
        <f>HS_DB[[#This Row],[Crisis Impact%]]*HS_DB[[#This Row],[Trade Value - USD]]</f>
        <v>47069.100000000006</v>
      </c>
      <c r="AF495" s="8">
        <f>HS_DB[[#This Row],[Crisis Impact%]]*HS_DB[[#This Row],[Net Weight -KG]]</f>
        <v>139381.9</v>
      </c>
      <c r="AG495" s="6">
        <f>SUMIFS(HS_DB[Trade Value - USD],HS_DB[Products],HS_DB[[#This Row],[Products]])/SUM(HS_DB[Trade Value - USD])</f>
        <v>8.6467417401395793E-4</v>
      </c>
      <c r="AH495" s="8">
        <f>_xlfn.RANK.EQ(HS_DB[[#This Row],[Trade Value - USD]], HS_DB[Trade Value - USD], 0)
 + COUNTIFS(HS_DB[Trade Value - USD],HS_DB[[#This Row],[Trade Value - USD]],
            HS_DB[HS Code],"&lt;"&amp;HS_DB[[#This Row],[HS Code]])</f>
        <v>150</v>
      </c>
      <c r="AI495" s="9">
        <f>IFERROR(HS_DB[[#This Row],[Trade Value - USD]]/HS_DB[[#This Row],[Net Weight -KG]],0)</f>
        <v>0.33769879733308272</v>
      </c>
      <c r="AJ495" s="17" cm="1">
        <f t="array" ref="AJ495">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95" s="17" t="str">
        <f>IF(HS_DB[[#This Row],[HS Code Risk Score]]&gt;=40,"High",
 IF(HS_DB[[#This Row],[HS Code Risk Score]]&gt;=25,"Medium","Low"))</f>
        <v>Medium</v>
      </c>
      <c r="AL495" s="17" t="str">
        <f>IF(RANK(HS_DB[[#This Row],[HS Code Risk Score]],HS_DB[HS Code Risk Score])&lt;=10,"Yes","No")</f>
        <v>No</v>
      </c>
      <c r="AM495" s="8">
        <f>SUMIFS(HS_DB[Net Weight -KG],HS_DB[HS Code],HS_DB[[#This Row],[HS Code]])</f>
        <v>3061947</v>
      </c>
      <c r="AN495" s="8">
        <f>SUMIFS(HS_DB[Trade Value - USD],HS_DB[HS Code],HS_DB[[#This Row],[HS Code]])</f>
        <v>1629918</v>
      </c>
      <c r="AO495" s="6">
        <f>_xlfn.MAXIFS(HS_DB[Origin Share%],HS_DB[HS Code],HS_DB[[#This Row],[HS Code]])</f>
        <v>6.321329281187793E-2</v>
      </c>
      <c r="AP495" s="8" cm="1">
        <f t="array" ref="AP495">_xlfn.LET(
_xlpm.hs,HS_DB[[#This Row],[HS Code]],
COUNTA(_xlfn.UNIQUE(_xlfn._xlws.FILTER(HS_DB[Reporter],HS_DB[HS Code]=_xlpm.hs)))
)</f>
        <v>19</v>
      </c>
      <c r="AQ495" s="17" t="str">
        <f>IF(HS_DB[[#This Row],[Origin Count]]=1,"Single Source","Multiple Sources")</f>
        <v>Multiple Sources</v>
      </c>
      <c r="AR495" s="8">
        <f>HS_DB[[#This Row],[Annual Spend - USD]]*(HS_DB[[#This Row],[HS Code Risk Score]]/100)</f>
        <v>554172.12</v>
      </c>
      <c r="AS495" s="8">
        <f>RANK(HS_DB[[#This Row],[Risk Exposure - USD]],HS_DB[Risk Exposure - USD],0)</f>
        <v>488</v>
      </c>
      <c r="AT495" s="8" t="str">
        <f>IF(HS_DB[[#This Row],[Risk Exposure Rank]]&lt;=10,"High",
 IF(HS_DB[[#This Row],[Risk Exposure Rank]]&lt;=30,"Medium",
 "Low"))</f>
        <v>Low</v>
      </c>
      <c r="AU495" s="8" t="str">
        <f>IF(HS_DB[[#This Row],[Risk Exposure Rank]]&lt;=5,"Immediate Action",
 IF(HS_DB[[#This Row],[Risk Exposure Rank]]&lt;=15,"Monitor Closely",
 "Routine Control"))</f>
        <v>Routine Control</v>
      </c>
      <c r="AV495" s="8">
        <f>SUMIFS(HS_DB[Trade Value - USD],HS_DB[HS Code],HS_DB[[#This Row],[HS Code]])</f>
        <v>1629918</v>
      </c>
      <c r="AW495" s="6">
        <f>HS_DB[[#This Row],[Annual Spend - USD]]/HS_DB[[#This Row],[Total Market Size - USD]]</f>
        <v>1</v>
      </c>
      <c r="AX495" s="6" cm="1">
        <f t="array" ref="AX495">COUNTA(_xlfn.UNIQUE(_xlfn._xlws.FILTER(HS_DB[Partner],HS_DB[HS Code]=HS_DB[[#This Row],[HS Code]])))</f>
        <v>1</v>
      </c>
      <c r="AY495" s="8" t="str">
        <f>IF(HS_DB[[#This Row],[Competition Intensity]]&lt;=2,"Highly Concentrated",
 IF(HS_DB[[#This Row],[Competition Intensity]]&lt;=5,"Moderate",
 "Highly Competitive"))</f>
        <v>Highly Concentrated</v>
      </c>
      <c r="AZ495" s="8">
        <f>HS_DB[[#This Row],[Total Market Size - USD]]
*
(1+IFERROR(#REF!,0))
/
HS_DB[[#This Row],[Competition Intensity]]</f>
        <v>1629918</v>
      </c>
      <c r="BA495" s="8" t="str">
        <f>IF(HS_DB[[#This Row],[Commercial Opportunity Score]]&gt;=PERCENTILE(HS_DB[Commercial Opportunity Score],0.9),"High Opportunity",
 IF(HS_DB[[#This Row],[Commercial Opportunity Score]]&gt;=PERCENTILE(HS_DB[Commercial Opportunity Score],0.6),"Medium Opportunity",
 "Routine Market"))</f>
        <v>Routine Market</v>
      </c>
      <c r="BB495" s="3" t="str">
        <f>IF(AND(HS_DB[[#This Row],[Product Rank]]&gt;0,HS_DB[[#This Row],[Product Rank]]&lt;=10),"Yes","No")</f>
        <v>No</v>
      </c>
      <c r="BC495" s="3" t="str">
        <f>IF(AND(HS_DB[[#This Row],[Origin Rank]]&gt;0,HS_DB[[#This Row],[Origin Rank]]&lt;=10),"Yes","No")</f>
        <v>No</v>
      </c>
    </row>
    <row r="496" spans="2:55" x14ac:dyDescent="0.3">
      <c r="B496" s="2">
        <f>HS_DB[[#This Row],[Commodity Code]]</f>
        <v>250100</v>
      </c>
      <c r="C496" s="2">
        <f>IFERROR(INDEX(HS_MD!C:C,MATCH(B496,HS_MD!B:B,0),1),"")</f>
        <v>41</v>
      </c>
      <c r="D496" s="17" t="str">
        <f>IFERROR(INDEX(HS_MD!D:D,MATCH(B496,HS_MD!B:B,0),1),"")</f>
        <v>Salt (sodium chloride)</v>
      </c>
      <c r="E496" s="17" t="str">
        <f>IFERROR(INDEX(HS_MD!E:E,MATCH(B496,HS_MD!B:B,0),1),"")</f>
        <v>Salt</v>
      </c>
      <c r="F496" s="17" t="str">
        <f>IFERROR(INDEX(HS_MD!F:F,MATCH(B496,HS_MD!B:B,0),1),"")</f>
        <v>Food Ingredients</v>
      </c>
      <c r="G496" s="17" t="str">
        <f>IFERROR(INDEX(HS_MD!G:G,MATCH(B496,HS_MD!B:B,0),1),"")</f>
        <v>Mineral Salts</v>
      </c>
      <c r="H496" s="17" t="str">
        <f>IFERROR(INDEX(HS_MD!H:H,MATCH(B496,HS_MD!B:B,0),1),"")</f>
        <v>Food Grade Salt</v>
      </c>
      <c r="I496" s="17" t="str">
        <f>IFERROR(INDEX(HS_MD!I:I,MATCH(B496,HS_MD!B:B,0),1),"")</f>
        <v>All Food Processing</v>
      </c>
      <c r="J496" s="17">
        <f>IFERROR(INDEX(Heat_Map[Index],MATCH(HS_DB[[#This Row],[Reporter]],Heat_Map[Global],0),1),"")</f>
        <v>181</v>
      </c>
      <c r="K496" s="17" t="str">
        <f>IF(AND(HS_DB[[#This Row],[Origin Rank]]&gt;1,HS_DB[[#This Row],[Origin Rank]]&lt;=10),"Yes","No")</f>
        <v>No</v>
      </c>
      <c r="L496" s="2">
        <v>2024</v>
      </c>
      <c r="M496" s="2" t="s">
        <v>57</v>
      </c>
      <c r="N496" s="2" t="s">
        <v>36</v>
      </c>
      <c r="O496" s="2" t="s">
        <v>22</v>
      </c>
      <c r="P496" s="2" t="s">
        <v>23</v>
      </c>
      <c r="Q496" s="2" t="s">
        <v>24</v>
      </c>
      <c r="R496" s="2" t="s">
        <v>25</v>
      </c>
      <c r="S496" s="2">
        <v>250100</v>
      </c>
      <c r="T496" s="3">
        <v>14341</v>
      </c>
      <c r="U496" s="3">
        <v>2410</v>
      </c>
      <c r="V496" s="3">
        <v>0</v>
      </c>
      <c r="W496" s="3">
        <v>2410</v>
      </c>
      <c r="X496" s="3" t="s">
        <v>58</v>
      </c>
      <c r="Y496" s="3">
        <v>2410</v>
      </c>
      <c r="Z496" s="3" t="s">
        <v>58</v>
      </c>
      <c r="AA496" s="6">
        <f>SUMIFS(HS_DB[Trade Value - USD],HS_DB[Reporter],HS_DB[[#This Row],[Reporter]])/SUM(HS_DB[Trade Value - USD])</f>
        <v>1.3104801671892474E-3</v>
      </c>
      <c r="AB496" s="8" cm="1">
        <f t="array" ref="AB496">SUMPRODUCT(
(HS_DB[Reporter]=HS_DB[[#This Row],[Reporter]])*
(HS_DB[Trade Value - USD]&gt;HS_DB[[#This Row],[Trade Value - USD]])
)+1</f>
        <v>12</v>
      </c>
      <c r="AC496" s="8" t="str">
        <f>IFERROR(IF(INDEX(Heat_Map[Crisis Impact %],MATCH(HS_DB[[#This Row],[Reporter]],Heat_Map[Global],0),1)&gt;0,"Yes","No"),"No")</f>
        <v>No</v>
      </c>
      <c r="AD496" s="6">
        <f>IFERROR(INDEX(Heat_Map[Crisis Impact %],MATCH(HS_DB[[#This Row],[Reporter]],Heat_Map[Global],0),1),0)</f>
        <v>0</v>
      </c>
      <c r="AE496" s="8">
        <f>HS_DB[[#This Row],[Crisis Impact%]]*HS_DB[[#This Row],[Trade Value - USD]]</f>
        <v>0</v>
      </c>
      <c r="AF496" s="8">
        <f>HS_DB[[#This Row],[Crisis Impact%]]*HS_DB[[#This Row],[Net Weight -KG]]</f>
        <v>0</v>
      </c>
      <c r="AG496" s="6">
        <f>SUMIFS(HS_DB[Trade Value - USD],HS_DB[Products],HS_DB[[#This Row],[Products]])/SUM(HS_DB[Trade Value - USD])</f>
        <v>8.6467417401395793E-4</v>
      </c>
      <c r="AH496" s="8">
        <f>_xlfn.RANK.EQ(HS_DB[[#This Row],[Trade Value - USD]], HS_DB[Trade Value - USD], 0)
 + COUNTIFS(HS_DB[Trade Value - USD],HS_DB[[#This Row],[Trade Value - USD]],
            HS_DB[HS Code],"&lt;"&amp;HS_DB[[#This Row],[HS Code]])</f>
        <v>396</v>
      </c>
      <c r="AI496" s="9">
        <f>IFERROR(HS_DB[[#This Row],[Trade Value - USD]]/HS_DB[[#This Row],[Net Weight -KG]],0)</f>
        <v>5.9506224066390043</v>
      </c>
      <c r="AJ496" s="17" cm="1">
        <f t="array" ref="AJ496">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96" s="17" t="str">
        <f>IF(HS_DB[[#This Row],[HS Code Risk Score]]&gt;=40,"High",
 IF(HS_DB[[#This Row],[HS Code Risk Score]]&gt;=25,"Medium","Low"))</f>
        <v>Medium</v>
      </c>
      <c r="AL496" s="17" t="str">
        <f>IF(RANK(HS_DB[[#This Row],[HS Code Risk Score]],HS_DB[HS Code Risk Score])&lt;=10,"Yes","No")</f>
        <v>No</v>
      </c>
      <c r="AM496" s="8">
        <f>SUMIFS(HS_DB[Net Weight -KG],HS_DB[HS Code],HS_DB[[#This Row],[HS Code]])</f>
        <v>3061947</v>
      </c>
      <c r="AN496" s="8">
        <f>SUMIFS(HS_DB[Trade Value - USD],HS_DB[HS Code],HS_DB[[#This Row],[HS Code]])</f>
        <v>1629918</v>
      </c>
      <c r="AO496" s="6">
        <f>_xlfn.MAXIFS(HS_DB[Origin Share%],HS_DB[HS Code],HS_DB[[#This Row],[HS Code]])</f>
        <v>6.321329281187793E-2</v>
      </c>
      <c r="AP496" s="8" cm="1">
        <f t="array" ref="AP496">_xlfn.LET(
_xlpm.hs,HS_DB[[#This Row],[HS Code]],
COUNTA(_xlfn.UNIQUE(_xlfn._xlws.FILTER(HS_DB[Reporter],HS_DB[HS Code]=_xlpm.hs)))
)</f>
        <v>19</v>
      </c>
      <c r="AQ496" s="17" t="str">
        <f>IF(HS_DB[[#This Row],[Origin Count]]=1,"Single Source","Multiple Sources")</f>
        <v>Multiple Sources</v>
      </c>
      <c r="AR496" s="8">
        <f>HS_DB[[#This Row],[Annual Spend - USD]]*(HS_DB[[#This Row],[HS Code Risk Score]]/100)</f>
        <v>554172.12</v>
      </c>
      <c r="AS496" s="8">
        <f>RANK(HS_DB[[#This Row],[Risk Exposure - USD]],HS_DB[Risk Exposure - USD],0)</f>
        <v>488</v>
      </c>
      <c r="AT496" s="8" t="str">
        <f>IF(HS_DB[[#This Row],[Risk Exposure Rank]]&lt;=10,"High",
 IF(HS_DB[[#This Row],[Risk Exposure Rank]]&lt;=30,"Medium",
 "Low"))</f>
        <v>Low</v>
      </c>
      <c r="AU496" s="8" t="str">
        <f>IF(HS_DB[[#This Row],[Risk Exposure Rank]]&lt;=5,"Immediate Action",
 IF(HS_DB[[#This Row],[Risk Exposure Rank]]&lt;=15,"Monitor Closely",
 "Routine Control"))</f>
        <v>Routine Control</v>
      </c>
      <c r="AV496" s="8">
        <f>SUMIFS(HS_DB[Trade Value - USD],HS_DB[HS Code],HS_DB[[#This Row],[HS Code]])</f>
        <v>1629918</v>
      </c>
      <c r="AW496" s="6">
        <f>HS_DB[[#This Row],[Annual Spend - USD]]/HS_DB[[#This Row],[Total Market Size - USD]]</f>
        <v>1</v>
      </c>
      <c r="AX496" s="6" cm="1">
        <f t="array" ref="AX496">COUNTA(_xlfn.UNIQUE(_xlfn._xlws.FILTER(HS_DB[Partner],HS_DB[HS Code]=HS_DB[[#This Row],[HS Code]])))</f>
        <v>1</v>
      </c>
      <c r="AY496" s="8" t="str">
        <f>IF(HS_DB[[#This Row],[Competition Intensity]]&lt;=2,"Highly Concentrated",
 IF(HS_DB[[#This Row],[Competition Intensity]]&lt;=5,"Moderate",
 "Highly Competitive"))</f>
        <v>Highly Concentrated</v>
      </c>
      <c r="AZ496" s="8">
        <f>HS_DB[[#This Row],[Total Market Size - USD]]
*
(1+IFERROR(#REF!,0))
/
HS_DB[[#This Row],[Competition Intensity]]</f>
        <v>1629918</v>
      </c>
      <c r="BA496" s="8" t="str">
        <f>IF(HS_DB[[#This Row],[Commercial Opportunity Score]]&gt;=PERCENTILE(HS_DB[Commercial Opportunity Score],0.9),"High Opportunity",
 IF(HS_DB[[#This Row],[Commercial Opportunity Score]]&gt;=PERCENTILE(HS_DB[Commercial Opportunity Score],0.6),"Medium Opportunity",
 "Routine Market"))</f>
        <v>Routine Market</v>
      </c>
      <c r="BB496" s="3" t="str">
        <f>IF(AND(HS_DB[[#This Row],[Product Rank]]&gt;0,HS_DB[[#This Row],[Product Rank]]&lt;=10),"Yes","No")</f>
        <v>No</v>
      </c>
      <c r="BC496" s="3" t="str">
        <f>IF(AND(HS_DB[[#This Row],[Origin Rank]]&gt;0,HS_DB[[#This Row],[Origin Rank]]&lt;=10),"Yes","No")</f>
        <v>No</v>
      </c>
    </row>
    <row r="497" spans="2:55" x14ac:dyDescent="0.3">
      <c r="B497" s="2">
        <f>HS_DB[[#This Row],[Commodity Code]]</f>
        <v>250100</v>
      </c>
      <c r="C497" s="2">
        <f>IFERROR(INDEX(HS_MD!C:C,MATCH(B497,HS_MD!B:B,0),1),"")</f>
        <v>41</v>
      </c>
      <c r="D497" s="17" t="str">
        <f>IFERROR(INDEX(HS_MD!D:D,MATCH(B497,HS_MD!B:B,0),1),"")</f>
        <v>Salt (sodium chloride)</v>
      </c>
      <c r="E497" s="17" t="str">
        <f>IFERROR(INDEX(HS_MD!E:E,MATCH(B497,HS_MD!B:B,0),1),"")</f>
        <v>Salt</v>
      </c>
      <c r="F497" s="17" t="str">
        <f>IFERROR(INDEX(HS_MD!F:F,MATCH(B497,HS_MD!B:B,0),1),"")</f>
        <v>Food Ingredients</v>
      </c>
      <c r="G497" s="17" t="str">
        <f>IFERROR(INDEX(HS_MD!G:G,MATCH(B497,HS_MD!B:B,0),1),"")</f>
        <v>Mineral Salts</v>
      </c>
      <c r="H497" s="17" t="str">
        <f>IFERROR(INDEX(HS_MD!H:H,MATCH(B497,HS_MD!B:B,0),1),"")</f>
        <v>Food Grade Salt</v>
      </c>
      <c r="I497" s="17" t="str">
        <f>IFERROR(INDEX(HS_MD!I:I,MATCH(B497,HS_MD!B:B,0),1),"")</f>
        <v>All Food Processing</v>
      </c>
      <c r="J497" s="17">
        <f>IFERROR(INDEX(Heat_Map[Index],MATCH(HS_DB[[#This Row],[Reporter]],Heat_Map[Global],0),1),"")</f>
        <v>182</v>
      </c>
      <c r="K497" s="17" t="str">
        <f>IF(AND(HS_DB[[#This Row],[Origin Rank]]&gt;1,HS_DB[[#This Row],[Origin Rank]]&lt;=10),"Yes","No")</f>
        <v>No</v>
      </c>
      <c r="L497" s="2">
        <v>2024</v>
      </c>
      <c r="M497" s="2" t="s">
        <v>57</v>
      </c>
      <c r="N497" s="2" t="s">
        <v>56</v>
      </c>
      <c r="O497" s="2" t="s">
        <v>22</v>
      </c>
      <c r="P497" s="2" t="s">
        <v>23</v>
      </c>
      <c r="Q497" s="2" t="s">
        <v>24</v>
      </c>
      <c r="R497" s="2" t="s">
        <v>25</v>
      </c>
      <c r="S497" s="2">
        <v>250100</v>
      </c>
      <c r="T497" s="3">
        <v>21022</v>
      </c>
      <c r="U497" s="3">
        <v>19000</v>
      </c>
      <c r="V497" s="3">
        <v>0</v>
      </c>
      <c r="W497" s="3">
        <v>19000</v>
      </c>
      <c r="X497" s="3" t="s">
        <v>58</v>
      </c>
      <c r="Y497" s="3">
        <v>19</v>
      </c>
      <c r="Z497" s="3" t="s">
        <v>59</v>
      </c>
      <c r="AA497" s="6">
        <f>SUMIFS(HS_DB[Trade Value - USD],HS_DB[Reporter],HS_DB[[#This Row],[Reporter]])/SUM(HS_DB[Trade Value - USD])</f>
        <v>9.425427433633813E-3</v>
      </c>
      <c r="AB497" s="8" cm="1">
        <f t="array" ref="AB497">SUMPRODUCT(
(HS_DB[Reporter]=HS_DB[[#This Row],[Reporter]])*
(HS_DB[Trade Value - USD]&gt;HS_DB[[#This Row],[Trade Value - USD]])
)+1</f>
        <v>20</v>
      </c>
      <c r="AC497" s="8" t="str">
        <f>IFERROR(IF(INDEX(Heat_Map[Crisis Impact %],MATCH(HS_DB[[#This Row],[Reporter]],Heat_Map[Global],0),1)&gt;0,"Yes","No"),"No")</f>
        <v>Yes</v>
      </c>
      <c r="AD497" s="6">
        <f>IFERROR(INDEX(Heat_Map[Crisis Impact %],MATCH(HS_DB[[#This Row],[Reporter]],Heat_Map[Global],0),1),0)</f>
        <v>4.0000000000000008E-2</v>
      </c>
      <c r="AE497" s="8">
        <f>HS_DB[[#This Row],[Crisis Impact%]]*HS_DB[[#This Row],[Trade Value - USD]]</f>
        <v>840.88000000000011</v>
      </c>
      <c r="AF497" s="8">
        <f>HS_DB[[#This Row],[Crisis Impact%]]*HS_DB[[#This Row],[Net Weight -KG]]</f>
        <v>760.00000000000011</v>
      </c>
      <c r="AG497" s="6">
        <f>SUMIFS(HS_DB[Trade Value - USD],HS_DB[Products],HS_DB[[#This Row],[Products]])/SUM(HS_DB[Trade Value - USD])</f>
        <v>8.6467417401395793E-4</v>
      </c>
      <c r="AH497" s="8">
        <f>_xlfn.RANK.EQ(HS_DB[[#This Row],[Trade Value - USD]], HS_DB[Trade Value - USD], 0)
 + COUNTIFS(HS_DB[Trade Value - USD],HS_DB[[#This Row],[Trade Value - USD]],
            HS_DB[HS Code],"&lt;"&amp;HS_DB[[#This Row],[HS Code]])</f>
        <v>375</v>
      </c>
      <c r="AI497" s="9">
        <f>IFERROR(HS_DB[[#This Row],[Trade Value - USD]]/HS_DB[[#This Row],[Net Weight -KG]],0)</f>
        <v>1.106421052631579</v>
      </c>
      <c r="AJ497" s="17" cm="1">
        <f t="array" ref="AJ497">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97" s="17" t="str">
        <f>IF(HS_DB[[#This Row],[HS Code Risk Score]]&gt;=40,"High",
 IF(HS_DB[[#This Row],[HS Code Risk Score]]&gt;=25,"Medium","Low"))</f>
        <v>Medium</v>
      </c>
      <c r="AL497" s="17" t="str">
        <f>IF(RANK(HS_DB[[#This Row],[HS Code Risk Score]],HS_DB[HS Code Risk Score])&lt;=10,"Yes","No")</f>
        <v>No</v>
      </c>
      <c r="AM497" s="8">
        <f>SUMIFS(HS_DB[Net Weight -KG],HS_DB[HS Code],HS_DB[[#This Row],[HS Code]])</f>
        <v>3061947</v>
      </c>
      <c r="AN497" s="8">
        <f>SUMIFS(HS_DB[Trade Value - USD],HS_DB[HS Code],HS_DB[[#This Row],[HS Code]])</f>
        <v>1629918</v>
      </c>
      <c r="AO497" s="6">
        <f>_xlfn.MAXIFS(HS_DB[Origin Share%],HS_DB[HS Code],HS_DB[[#This Row],[HS Code]])</f>
        <v>6.321329281187793E-2</v>
      </c>
      <c r="AP497" s="8" cm="1">
        <f t="array" ref="AP497">_xlfn.LET(
_xlpm.hs,HS_DB[[#This Row],[HS Code]],
COUNTA(_xlfn.UNIQUE(_xlfn._xlws.FILTER(HS_DB[Reporter],HS_DB[HS Code]=_xlpm.hs)))
)</f>
        <v>19</v>
      </c>
      <c r="AQ497" s="17" t="str">
        <f>IF(HS_DB[[#This Row],[Origin Count]]=1,"Single Source","Multiple Sources")</f>
        <v>Multiple Sources</v>
      </c>
      <c r="AR497" s="8">
        <f>HS_DB[[#This Row],[Annual Spend - USD]]*(HS_DB[[#This Row],[HS Code Risk Score]]/100)</f>
        <v>554172.12</v>
      </c>
      <c r="AS497" s="8">
        <f>RANK(HS_DB[[#This Row],[Risk Exposure - USD]],HS_DB[Risk Exposure - USD],0)</f>
        <v>488</v>
      </c>
      <c r="AT497" s="8" t="str">
        <f>IF(HS_DB[[#This Row],[Risk Exposure Rank]]&lt;=10,"High",
 IF(HS_DB[[#This Row],[Risk Exposure Rank]]&lt;=30,"Medium",
 "Low"))</f>
        <v>Low</v>
      </c>
      <c r="AU497" s="8" t="str">
        <f>IF(HS_DB[[#This Row],[Risk Exposure Rank]]&lt;=5,"Immediate Action",
 IF(HS_DB[[#This Row],[Risk Exposure Rank]]&lt;=15,"Monitor Closely",
 "Routine Control"))</f>
        <v>Routine Control</v>
      </c>
      <c r="AV497" s="8">
        <f>SUMIFS(HS_DB[Trade Value - USD],HS_DB[HS Code],HS_DB[[#This Row],[HS Code]])</f>
        <v>1629918</v>
      </c>
      <c r="AW497" s="6">
        <f>HS_DB[[#This Row],[Annual Spend - USD]]/HS_DB[[#This Row],[Total Market Size - USD]]</f>
        <v>1</v>
      </c>
      <c r="AX497" s="6" cm="1">
        <f t="array" ref="AX497">COUNTA(_xlfn.UNIQUE(_xlfn._xlws.FILTER(HS_DB[Partner],HS_DB[HS Code]=HS_DB[[#This Row],[HS Code]])))</f>
        <v>1</v>
      </c>
      <c r="AY497" s="8" t="str">
        <f>IF(HS_DB[[#This Row],[Competition Intensity]]&lt;=2,"Highly Concentrated",
 IF(HS_DB[[#This Row],[Competition Intensity]]&lt;=5,"Moderate",
 "Highly Competitive"))</f>
        <v>Highly Concentrated</v>
      </c>
      <c r="AZ497" s="8">
        <f>HS_DB[[#This Row],[Total Market Size - USD]]
*
(1+IFERROR(#REF!,0))
/
HS_DB[[#This Row],[Competition Intensity]]</f>
        <v>1629918</v>
      </c>
      <c r="BA497" s="8" t="str">
        <f>IF(HS_DB[[#This Row],[Commercial Opportunity Score]]&gt;=PERCENTILE(HS_DB[Commercial Opportunity Score],0.9),"High Opportunity",
 IF(HS_DB[[#This Row],[Commercial Opportunity Score]]&gt;=PERCENTILE(HS_DB[Commercial Opportunity Score],0.6),"Medium Opportunity",
 "Routine Market"))</f>
        <v>Routine Market</v>
      </c>
      <c r="BB497" s="3" t="str">
        <f>IF(AND(HS_DB[[#This Row],[Product Rank]]&gt;0,HS_DB[[#This Row],[Product Rank]]&lt;=10),"Yes","No")</f>
        <v>No</v>
      </c>
      <c r="BC497" s="3" t="str">
        <f>IF(AND(HS_DB[[#This Row],[Origin Rank]]&gt;0,HS_DB[[#This Row],[Origin Rank]]&lt;=10),"Yes","No")</f>
        <v>No</v>
      </c>
    </row>
    <row r="498" spans="2:55" x14ac:dyDescent="0.3">
      <c r="B498" s="2">
        <f>HS_DB[[#This Row],[Commodity Code]]</f>
        <v>283630</v>
      </c>
      <c r="C498" s="2">
        <f>IFERROR(INDEX(HS_MD!C:C,MATCH(B498,HS_MD!B:B,0),1),"")</f>
        <v>42</v>
      </c>
      <c r="D498" s="17" t="str">
        <f>IFERROR(INDEX(HS_MD!D:D,MATCH(B498,HS_MD!B:B,0),1),"")</f>
        <v>Sodium bicarbonate</v>
      </c>
      <c r="E498" s="17" t="str">
        <f>IFERROR(INDEX(HS_MD!E:E,MATCH(B498,HS_MD!B:B,0),1),"")</f>
        <v>Sodium Bicarbonate</v>
      </c>
      <c r="F498" s="17" t="str">
        <f>IFERROR(INDEX(HS_MD!F:F,MATCH(B498,HS_MD!B:B,0),1),"")</f>
        <v>Food Ingredients</v>
      </c>
      <c r="G498" s="17" t="str">
        <f>IFERROR(INDEX(HS_MD!G:G,MATCH(B498,HS_MD!B:B,0),1),"")</f>
        <v>Leavening Agents</v>
      </c>
      <c r="H498" s="17" t="str">
        <f>IFERROR(INDEX(HS_MD!H:H,MATCH(B498,HS_MD!B:B,0),1),"")</f>
        <v>Baking Soda</v>
      </c>
      <c r="I498" s="17" t="str">
        <f>IFERROR(INDEX(HS_MD!I:I,MATCH(B498,HS_MD!B:B,0),1),"")</f>
        <v>Bakery / Snacks</v>
      </c>
      <c r="J498" s="17">
        <f>IFERROR(INDEX(Heat_Map[Index],MATCH(HS_DB[[#This Row],[Reporter]],Heat_Map[Global],0),1),"")</f>
        <v>17</v>
      </c>
      <c r="K498" s="17" t="str">
        <f>IF(AND(HS_DB[[#This Row],[Origin Rank]]&gt;1,HS_DB[[#This Row],[Origin Rank]]&lt;=10),"Yes","No")</f>
        <v>No</v>
      </c>
      <c r="L498" s="2">
        <v>2024</v>
      </c>
      <c r="M498" s="2" t="s">
        <v>57</v>
      </c>
      <c r="N498" s="2" t="s">
        <v>5</v>
      </c>
      <c r="O498" s="2" t="s">
        <v>22</v>
      </c>
      <c r="P498" s="2" t="s">
        <v>23</v>
      </c>
      <c r="Q498" s="2" t="s">
        <v>24</v>
      </c>
      <c r="R498" s="2" t="s">
        <v>25</v>
      </c>
      <c r="S498" s="2">
        <v>283630</v>
      </c>
      <c r="T498" s="3">
        <v>65470</v>
      </c>
      <c r="U498" s="3">
        <v>79363.399999999994</v>
      </c>
      <c r="V498" s="3">
        <v>0</v>
      </c>
      <c r="W498" s="3">
        <v>79363</v>
      </c>
      <c r="X498" s="3" t="s">
        <v>58</v>
      </c>
      <c r="Y498" s="3">
        <v>79363</v>
      </c>
      <c r="Z498" s="3" t="s">
        <v>58</v>
      </c>
      <c r="AA498" s="6">
        <f>SUMIFS(HS_DB[Trade Value - USD],HS_DB[Reporter],HS_DB[[#This Row],[Reporter]])/SUM(HS_DB[Trade Value - USD])</f>
        <v>5.3992075088500962E-3</v>
      </c>
      <c r="AB498" s="8" cm="1">
        <f t="array" ref="AB498">SUMPRODUCT(
(HS_DB[Reporter]=HS_DB[[#This Row],[Reporter]])*
(HS_DB[Trade Value - USD]&gt;HS_DB[[#This Row],[Trade Value - USD]])
)+1</f>
        <v>11</v>
      </c>
      <c r="AC498" s="8" t="str">
        <f>IFERROR(IF(INDEX(Heat_Map[Crisis Impact %],MATCH(HS_DB[[#This Row],[Reporter]],Heat_Map[Global],0),1)&gt;0,"Yes","No"),"No")</f>
        <v>No</v>
      </c>
      <c r="AD498" s="6">
        <f>IFERROR(INDEX(Heat_Map[Crisis Impact %],MATCH(HS_DB[[#This Row],[Reporter]],Heat_Map[Global],0),1),0)</f>
        <v>0</v>
      </c>
      <c r="AE498" s="8">
        <f>HS_DB[[#This Row],[Crisis Impact%]]*HS_DB[[#This Row],[Trade Value - USD]]</f>
        <v>0</v>
      </c>
      <c r="AF498" s="8">
        <f>HS_DB[[#This Row],[Crisis Impact%]]*HS_DB[[#This Row],[Net Weight -KG]]</f>
        <v>0</v>
      </c>
      <c r="AG498" s="6">
        <f>SUMIFS(HS_DB[Trade Value - USD],HS_DB[Products],HS_DB[[#This Row],[Products]])/SUM(HS_DB[Trade Value - USD])</f>
        <v>5.8344475008376964E-3</v>
      </c>
      <c r="AH498" s="8">
        <f>_xlfn.RANK.EQ(HS_DB[[#This Row],[Trade Value - USD]], HS_DB[Trade Value - USD], 0)
 + COUNTIFS(HS_DB[Trade Value - USD],HS_DB[[#This Row],[Trade Value - USD]],
            HS_DB[HS Code],"&lt;"&amp;HS_DB[[#This Row],[HS Code]])</f>
        <v>309</v>
      </c>
      <c r="AI498" s="9">
        <f>IFERROR(HS_DB[[#This Row],[Trade Value - USD]]/HS_DB[[#This Row],[Net Weight -KG]],0)</f>
        <v>0.82493945571888305</v>
      </c>
      <c r="AJ498" s="17" cm="1">
        <f t="array" ref="AJ498">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98" s="17" t="str">
        <f>IF(HS_DB[[#This Row],[HS Code Risk Score]]&gt;=40,"High",
 IF(HS_DB[[#This Row],[HS Code Risk Score]]&gt;=25,"Medium","Low"))</f>
        <v>Medium</v>
      </c>
      <c r="AL498" s="17" t="str">
        <f>IF(RANK(HS_DB[[#This Row],[HS Code Risk Score]],HS_DB[HS Code Risk Score])&lt;=10,"Yes","No")</f>
        <v>No</v>
      </c>
      <c r="AM498" s="8">
        <f>SUMIFS(HS_DB[Net Weight -KG],HS_DB[HS Code],HS_DB[[#This Row],[HS Code]])</f>
        <v>34391318.399999999</v>
      </c>
      <c r="AN498" s="8">
        <f>SUMIFS(HS_DB[Trade Value - USD],HS_DB[HS Code],HS_DB[[#This Row],[HS Code]])</f>
        <v>10997982</v>
      </c>
      <c r="AO498" s="6">
        <f>_xlfn.MAXIFS(HS_DB[Origin Share%],HS_DB[HS Code],HS_DB[[#This Row],[HS Code]])</f>
        <v>6.321329281187793E-2</v>
      </c>
      <c r="AP498" s="8" cm="1">
        <f t="array" ref="AP498">_xlfn.LET(
_xlpm.hs,HS_DB[[#This Row],[HS Code]],
COUNTA(_xlfn.UNIQUE(_xlfn._xlws.FILTER(HS_DB[Reporter],HS_DB[HS Code]=_xlpm.hs)))
)</f>
        <v>13</v>
      </c>
      <c r="AQ498" s="17" t="str">
        <f>IF(HS_DB[[#This Row],[Origin Count]]=1,"Single Source","Multiple Sources")</f>
        <v>Multiple Sources</v>
      </c>
      <c r="AR498" s="8">
        <f>HS_DB[[#This Row],[Annual Spend - USD]]*(HS_DB[[#This Row],[HS Code Risk Score]]/100)</f>
        <v>3739313.8800000004</v>
      </c>
      <c r="AS498" s="8">
        <f>RANK(HS_DB[[#This Row],[Risk Exposure - USD]],HS_DB[Risk Exposure - USD],0)</f>
        <v>291</v>
      </c>
      <c r="AT498" s="8" t="str">
        <f>IF(HS_DB[[#This Row],[Risk Exposure Rank]]&lt;=10,"High",
 IF(HS_DB[[#This Row],[Risk Exposure Rank]]&lt;=30,"Medium",
 "Low"))</f>
        <v>Low</v>
      </c>
      <c r="AU498" s="8" t="str">
        <f>IF(HS_DB[[#This Row],[Risk Exposure Rank]]&lt;=5,"Immediate Action",
 IF(HS_DB[[#This Row],[Risk Exposure Rank]]&lt;=15,"Monitor Closely",
 "Routine Control"))</f>
        <v>Routine Control</v>
      </c>
      <c r="AV498" s="8">
        <f>SUMIFS(HS_DB[Trade Value - USD],HS_DB[HS Code],HS_DB[[#This Row],[HS Code]])</f>
        <v>10997982</v>
      </c>
      <c r="AW498" s="6">
        <f>HS_DB[[#This Row],[Annual Spend - USD]]/HS_DB[[#This Row],[Total Market Size - USD]]</f>
        <v>1</v>
      </c>
      <c r="AX498" s="6" cm="1">
        <f t="array" ref="AX498">COUNTA(_xlfn.UNIQUE(_xlfn._xlws.FILTER(HS_DB[Partner],HS_DB[HS Code]=HS_DB[[#This Row],[HS Code]])))</f>
        <v>1</v>
      </c>
      <c r="AY498" s="8" t="str">
        <f>IF(HS_DB[[#This Row],[Competition Intensity]]&lt;=2,"Highly Concentrated",
 IF(HS_DB[[#This Row],[Competition Intensity]]&lt;=5,"Moderate",
 "Highly Competitive"))</f>
        <v>Highly Concentrated</v>
      </c>
      <c r="AZ498" s="8">
        <f>HS_DB[[#This Row],[Total Market Size - USD]]
*
(1+IFERROR(#REF!,0))
/
HS_DB[[#This Row],[Competition Intensity]]</f>
        <v>10997982</v>
      </c>
      <c r="BA498" s="8" t="str">
        <f>IF(HS_DB[[#This Row],[Commercial Opportunity Score]]&gt;=PERCENTILE(HS_DB[Commercial Opportunity Score],0.9),"High Opportunity",
 IF(HS_DB[[#This Row],[Commercial Opportunity Score]]&gt;=PERCENTILE(HS_DB[Commercial Opportunity Score],0.6),"Medium Opportunity",
 "Routine Market"))</f>
        <v>Routine Market</v>
      </c>
      <c r="BB498" s="3" t="str">
        <f>IF(AND(HS_DB[[#This Row],[Product Rank]]&gt;0,HS_DB[[#This Row],[Product Rank]]&lt;=10),"Yes","No")</f>
        <v>No</v>
      </c>
      <c r="BC498" s="3" t="str">
        <f>IF(AND(HS_DB[[#This Row],[Origin Rank]]&gt;0,HS_DB[[#This Row],[Origin Rank]]&lt;=10),"Yes","No")</f>
        <v>No</v>
      </c>
    </row>
    <row r="499" spans="2:55" x14ac:dyDescent="0.3">
      <c r="B499" s="2">
        <f>HS_DB[[#This Row],[Commodity Code]]</f>
        <v>283630</v>
      </c>
      <c r="C499" s="2">
        <f>IFERROR(INDEX(HS_MD!C:C,MATCH(B499,HS_MD!B:B,0),1),"")</f>
        <v>42</v>
      </c>
      <c r="D499" s="17" t="str">
        <f>IFERROR(INDEX(HS_MD!D:D,MATCH(B499,HS_MD!B:B,0),1),"")</f>
        <v>Sodium bicarbonate</v>
      </c>
      <c r="E499" s="17" t="str">
        <f>IFERROR(INDEX(HS_MD!E:E,MATCH(B499,HS_MD!B:B,0),1),"")</f>
        <v>Sodium Bicarbonate</v>
      </c>
      <c r="F499" s="17" t="str">
        <f>IFERROR(INDEX(HS_MD!F:F,MATCH(B499,HS_MD!B:B,0),1),"")</f>
        <v>Food Ingredients</v>
      </c>
      <c r="G499" s="17" t="str">
        <f>IFERROR(INDEX(HS_MD!G:G,MATCH(B499,HS_MD!B:B,0),1),"")</f>
        <v>Leavening Agents</v>
      </c>
      <c r="H499" s="17" t="str">
        <f>IFERROR(INDEX(HS_MD!H:H,MATCH(B499,HS_MD!B:B,0),1),"")</f>
        <v>Baking Soda</v>
      </c>
      <c r="I499" s="17" t="str">
        <f>IFERROR(INDEX(HS_MD!I:I,MATCH(B499,HS_MD!B:B,0),1),"")</f>
        <v>Bakery / Snacks</v>
      </c>
      <c r="J499" s="17">
        <f>IFERROR(INDEX(Heat_Map[Index],MATCH(HS_DB[[#This Row],[Reporter]],Heat_Map[Global],0),1),"")</f>
        <v>24</v>
      </c>
      <c r="K499" s="17" t="str">
        <f>IF(AND(HS_DB[[#This Row],[Origin Rank]]&gt;1,HS_DB[[#This Row],[Origin Rank]]&lt;=10),"Yes","No")</f>
        <v>Yes</v>
      </c>
      <c r="L499" s="2">
        <v>2024</v>
      </c>
      <c r="M499" s="2" t="s">
        <v>57</v>
      </c>
      <c r="N499" s="2" t="s">
        <v>38</v>
      </c>
      <c r="O499" s="2" t="s">
        <v>22</v>
      </c>
      <c r="P499" s="2" t="s">
        <v>23</v>
      </c>
      <c r="Q499" s="2" t="s">
        <v>24</v>
      </c>
      <c r="R499" s="2" t="s">
        <v>25</v>
      </c>
      <c r="S499" s="2">
        <v>283630</v>
      </c>
      <c r="T499" s="3">
        <v>15</v>
      </c>
      <c r="U499" s="3">
        <v>5</v>
      </c>
      <c r="V499" s="3">
        <v>0</v>
      </c>
      <c r="W499" s="3">
        <v>5</v>
      </c>
      <c r="X499" s="3" t="s">
        <v>58</v>
      </c>
      <c r="Y499" s="3">
        <v>5</v>
      </c>
      <c r="Z499" s="3" t="s">
        <v>58</v>
      </c>
      <c r="AA499" s="6">
        <f>SUMIFS(HS_DB[Trade Value - USD],HS_DB[Reporter],HS_DB[[#This Row],[Reporter]])/SUM(HS_DB[Trade Value - USD])</f>
        <v>1.3771095818184687E-3</v>
      </c>
      <c r="AB499" s="8" cm="1">
        <f t="array" ref="AB499">SUMPRODUCT(
(HS_DB[Reporter]=HS_DB[[#This Row],[Reporter]])*
(HS_DB[Trade Value - USD]&gt;HS_DB[[#This Row],[Trade Value - USD]])
)+1</f>
        <v>4</v>
      </c>
      <c r="AC499" s="8" t="str">
        <f>IFERROR(IF(INDEX(Heat_Map[Crisis Impact %],MATCH(HS_DB[[#This Row],[Reporter]],Heat_Map[Global],0),1)&gt;0,"Yes","No"),"No")</f>
        <v>No</v>
      </c>
      <c r="AD499" s="6">
        <f>IFERROR(INDEX(Heat_Map[Crisis Impact %],MATCH(HS_DB[[#This Row],[Reporter]],Heat_Map[Global],0),1),0)</f>
        <v>0</v>
      </c>
      <c r="AE499" s="8">
        <f>HS_DB[[#This Row],[Crisis Impact%]]*HS_DB[[#This Row],[Trade Value - USD]]</f>
        <v>0</v>
      </c>
      <c r="AF499" s="8">
        <f>HS_DB[[#This Row],[Crisis Impact%]]*HS_DB[[#This Row],[Net Weight -KG]]</f>
        <v>0</v>
      </c>
      <c r="AG499" s="6">
        <f>SUMIFS(HS_DB[Trade Value - USD],HS_DB[Products],HS_DB[[#This Row],[Products]])/SUM(HS_DB[Trade Value - USD])</f>
        <v>5.8344475008376964E-3</v>
      </c>
      <c r="AH499" s="8">
        <f>_xlfn.RANK.EQ(HS_DB[[#This Row],[Trade Value - USD]], HS_DB[Trade Value - USD], 0)
 + COUNTIFS(HS_DB[Trade Value - USD],HS_DB[[#This Row],[Trade Value - USD]],
            HS_DB[HS Code],"&lt;"&amp;HS_DB[[#This Row],[HS Code]])</f>
        <v>534</v>
      </c>
      <c r="AI499" s="9">
        <f>IFERROR(HS_DB[[#This Row],[Trade Value - USD]]/HS_DB[[#This Row],[Net Weight -KG]],0)</f>
        <v>3</v>
      </c>
      <c r="AJ499" s="17" cm="1">
        <f t="array" ref="AJ499">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499" s="17" t="str">
        <f>IF(HS_DB[[#This Row],[HS Code Risk Score]]&gt;=40,"High",
 IF(HS_DB[[#This Row],[HS Code Risk Score]]&gt;=25,"Medium","Low"))</f>
        <v>Medium</v>
      </c>
      <c r="AL499" s="17" t="str">
        <f>IF(RANK(HS_DB[[#This Row],[HS Code Risk Score]],HS_DB[HS Code Risk Score])&lt;=10,"Yes","No")</f>
        <v>No</v>
      </c>
      <c r="AM499" s="8">
        <f>SUMIFS(HS_DB[Net Weight -KG],HS_DB[HS Code],HS_DB[[#This Row],[HS Code]])</f>
        <v>34391318.399999999</v>
      </c>
      <c r="AN499" s="8">
        <f>SUMIFS(HS_DB[Trade Value - USD],HS_DB[HS Code],HS_DB[[#This Row],[HS Code]])</f>
        <v>10997982</v>
      </c>
      <c r="AO499" s="6">
        <f>_xlfn.MAXIFS(HS_DB[Origin Share%],HS_DB[HS Code],HS_DB[[#This Row],[HS Code]])</f>
        <v>6.321329281187793E-2</v>
      </c>
      <c r="AP499" s="8" cm="1">
        <f t="array" ref="AP499">_xlfn.LET(
_xlpm.hs,HS_DB[[#This Row],[HS Code]],
COUNTA(_xlfn.UNIQUE(_xlfn._xlws.FILTER(HS_DB[Reporter],HS_DB[HS Code]=_xlpm.hs)))
)</f>
        <v>13</v>
      </c>
      <c r="AQ499" s="17" t="str">
        <f>IF(HS_DB[[#This Row],[Origin Count]]=1,"Single Source","Multiple Sources")</f>
        <v>Multiple Sources</v>
      </c>
      <c r="AR499" s="8">
        <f>HS_DB[[#This Row],[Annual Spend - USD]]*(HS_DB[[#This Row],[HS Code Risk Score]]/100)</f>
        <v>3739313.8800000004</v>
      </c>
      <c r="AS499" s="8">
        <f>RANK(HS_DB[[#This Row],[Risk Exposure - USD]],HS_DB[Risk Exposure - USD],0)</f>
        <v>291</v>
      </c>
      <c r="AT499" s="8" t="str">
        <f>IF(HS_DB[[#This Row],[Risk Exposure Rank]]&lt;=10,"High",
 IF(HS_DB[[#This Row],[Risk Exposure Rank]]&lt;=30,"Medium",
 "Low"))</f>
        <v>Low</v>
      </c>
      <c r="AU499" s="8" t="str">
        <f>IF(HS_DB[[#This Row],[Risk Exposure Rank]]&lt;=5,"Immediate Action",
 IF(HS_DB[[#This Row],[Risk Exposure Rank]]&lt;=15,"Monitor Closely",
 "Routine Control"))</f>
        <v>Routine Control</v>
      </c>
      <c r="AV499" s="8">
        <f>SUMIFS(HS_DB[Trade Value - USD],HS_DB[HS Code],HS_DB[[#This Row],[HS Code]])</f>
        <v>10997982</v>
      </c>
      <c r="AW499" s="6">
        <f>HS_DB[[#This Row],[Annual Spend - USD]]/HS_DB[[#This Row],[Total Market Size - USD]]</f>
        <v>1</v>
      </c>
      <c r="AX499" s="6" cm="1">
        <f t="array" ref="AX499">COUNTA(_xlfn.UNIQUE(_xlfn._xlws.FILTER(HS_DB[Partner],HS_DB[HS Code]=HS_DB[[#This Row],[HS Code]])))</f>
        <v>1</v>
      </c>
      <c r="AY499" s="8" t="str">
        <f>IF(HS_DB[[#This Row],[Competition Intensity]]&lt;=2,"Highly Concentrated",
 IF(HS_DB[[#This Row],[Competition Intensity]]&lt;=5,"Moderate",
 "Highly Competitive"))</f>
        <v>Highly Concentrated</v>
      </c>
      <c r="AZ499" s="8">
        <f>HS_DB[[#This Row],[Total Market Size - USD]]
*
(1+IFERROR(#REF!,0))
/
HS_DB[[#This Row],[Competition Intensity]]</f>
        <v>10997982</v>
      </c>
      <c r="BA499" s="8" t="str">
        <f>IF(HS_DB[[#This Row],[Commercial Opportunity Score]]&gt;=PERCENTILE(HS_DB[Commercial Opportunity Score],0.9),"High Opportunity",
 IF(HS_DB[[#This Row],[Commercial Opportunity Score]]&gt;=PERCENTILE(HS_DB[Commercial Opportunity Score],0.6),"Medium Opportunity",
 "Routine Market"))</f>
        <v>Routine Market</v>
      </c>
      <c r="BB499" s="3" t="str">
        <f>IF(AND(HS_DB[[#This Row],[Product Rank]]&gt;0,HS_DB[[#This Row],[Product Rank]]&lt;=10),"Yes","No")</f>
        <v>No</v>
      </c>
      <c r="BC499" s="3" t="str">
        <f>IF(AND(HS_DB[[#This Row],[Origin Rank]]&gt;0,HS_DB[[#This Row],[Origin Rank]]&lt;=10),"Yes","No")</f>
        <v>Yes</v>
      </c>
    </row>
    <row r="500" spans="2:55" x14ac:dyDescent="0.3">
      <c r="B500" s="2">
        <f>HS_DB[[#This Row],[Commodity Code]]</f>
        <v>283630</v>
      </c>
      <c r="C500" s="2">
        <f>IFERROR(INDEX(HS_MD!C:C,MATCH(B500,HS_MD!B:B,0),1),"")</f>
        <v>42</v>
      </c>
      <c r="D500" s="17" t="str">
        <f>IFERROR(INDEX(HS_MD!D:D,MATCH(B500,HS_MD!B:B,0),1),"")</f>
        <v>Sodium bicarbonate</v>
      </c>
      <c r="E500" s="17" t="str">
        <f>IFERROR(INDEX(HS_MD!E:E,MATCH(B500,HS_MD!B:B,0),1),"")</f>
        <v>Sodium Bicarbonate</v>
      </c>
      <c r="F500" s="17" t="str">
        <f>IFERROR(INDEX(HS_MD!F:F,MATCH(B500,HS_MD!B:B,0),1),"")</f>
        <v>Food Ingredients</v>
      </c>
      <c r="G500" s="17" t="str">
        <f>IFERROR(INDEX(HS_MD!G:G,MATCH(B500,HS_MD!B:B,0),1),"")</f>
        <v>Leavening Agents</v>
      </c>
      <c r="H500" s="17" t="str">
        <f>IFERROR(INDEX(HS_MD!H:H,MATCH(B500,HS_MD!B:B,0),1),"")</f>
        <v>Baking Soda</v>
      </c>
      <c r="I500" s="17" t="str">
        <f>IFERROR(INDEX(HS_MD!I:I,MATCH(B500,HS_MD!B:B,0),1),"")</f>
        <v>Bakery / Snacks</v>
      </c>
      <c r="J500" s="17">
        <f>IFERROR(INDEX(Heat_Map[Index],MATCH(HS_DB[[#This Row],[Reporter]],Heat_Map[Global],0),1),"")</f>
        <v>26</v>
      </c>
      <c r="K500" s="17" t="str">
        <f>IF(AND(HS_DB[[#This Row],[Origin Rank]]&gt;1,HS_DB[[#This Row],[Origin Rank]]&lt;=10),"Yes","No")</f>
        <v>Yes</v>
      </c>
      <c r="L500" s="2">
        <v>2024</v>
      </c>
      <c r="M500" s="2" t="s">
        <v>57</v>
      </c>
      <c r="N500" s="2" t="s">
        <v>141</v>
      </c>
      <c r="O500" s="2" t="s">
        <v>22</v>
      </c>
      <c r="P500" s="2" t="s">
        <v>23</v>
      </c>
      <c r="Q500" s="2" t="s">
        <v>24</v>
      </c>
      <c r="R500" s="2" t="s">
        <v>25</v>
      </c>
      <c r="S500" s="2">
        <v>283630</v>
      </c>
      <c r="T500" s="3">
        <v>204636</v>
      </c>
      <c r="U500" s="3">
        <v>691600</v>
      </c>
      <c r="V500" s="3">
        <v>0</v>
      </c>
      <c r="W500" s="3">
        <v>691600</v>
      </c>
      <c r="X500" s="3" t="s">
        <v>58</v>
      </c>
      <c r="Y500" s="3">
        <v>691600</v>
      </c>
      <c r="Z500" s="3" t="s">
        <v>58</v>
      </c>
      <c r="AA500" s="6">
        <f>SUMIFS(HS_DB[Trade Value - USD],HS_DB[Reporter],HS_DB[[#This Row],[Reporter]])/SUM(HS_DB[Trade Value - USD])</f>
        <v>5.4237925464080154E-3</v>
      </c>
      <c r="AB500" s="8" cm="1">
        <f t="array" ref="AB500">SUMPRODUCT(
(HS_DB[Reporter]=HS_DB[[#This Row],[Reporter]])*
(HS_DB[Trade Value - USD]&gt;HS_DB[[#This Row],[Trade Value - USD]])
)+1</f>
        <v>4</v>
      </c>
      <c r="AC500" s="8" t="str">
        <f>IFERROR(IF(INDEX(Heat_Map[Crisis Impact %],MATCH(HS_DB[[#This Row],[Reporter]],Heat_Map[Global],0),1)&gt;0,"Yes","No"),"No")</f>
        <v>No</v>
      </c>
      <c r="AD500" s="6">
        <f>IFERROR(INDEX(Heat_Map[Crisis Impact %],MATCH(HS_DB[[#This Row],[Reporter]],Heat_Map[Global],0),1),0)</f>
        <v>0</v>
      </c>
      <c r="AE500" s="8">
        <f>HS_DB[[#This Row],[Crisis Impact%]]*HS_DB[[#This Row],[Trade Value - USD]]</f>
        <v>0</v>
      </c>
      <c r="AF500" s="8">
        <f>HS_DB[[#This Row],[Crisis Impact%]]*HS_DB[[#This Row],[Net Weight -KG]]</f>
        <v>0</v>
      </c>
      <c r="AG500" s="6">
        <f>SUMIFS(HS_DB[Trade Value - USD],HS_DB[Products],HS_DB[[#This Row],[Products]])/SUM(HS_DB[Trade Value - USD])</f>
        <v>5.8344475008376964E-3</v>
      </c>
      <c r="AH500" s="8">
        <f>_xlfn.RANK.EQ(HS_DB[[#This Row],[Trade Value - USD]], HS_DB[Trade Value - USD], 0)
 + COUNTIFS(HS_DB[Trade Value - USD],HS_DB[[#This Row],[Trade Value - USD]],
            HS_DB[HS Code],"&lt;"&amp;HS_DB[[#This Row],[HS Code]])</f>
        <v>218</v>
      </c>
      <c r="AI500" s="9">
        <f>IFERROR(HS_DB[[#This Row],[Trade Value - USD]]/HS_DB[[#This Row],[Net Weight -KG]],0)</f>
        <v>0.29588779641411223</v>
      </c>
      <c r="AJ500" s="17" cm="1">
        <f t="array" ref="AJ500">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500" s="17" t="str">
        <f>IF(HS_DB[[#This Row],[HS Code Risk Score]]&gt;=40,"High",
 IF(HS_DB[[#This Row],[HS Code Risk Score]]&gt;=25,"Medium","Low"))</f>
        <v>Medium</v>
      </c>
      <c r="AL500" s="17" t="str">
        <f>IF(RANK(HS_DB[[#This Row],[HS Code Risk Score]],HS_DB[HS Code Risk Score])&lt;=10,"Yes","No")</f>
        <v>No</v>
      </c>
      <c r="AM500" s="8">
        <f>SUMIFS(HS_DB[Net Weight -KG],HS_DB[HS Code],HS_DB[[#This Row],[HS Code]])</f>
        <v>34391318.399999999</v>
      </c>
      <c r="AN500" s="8">
        <f>SUMIFS(HS_DB[Trade Value - USD],HS_DB[HS Code],HS_DB[[#This Row],[HS Code]])</f>
        <v>10997982</v>
      </c>
      <c r="AO500" s="6">
        <f>_xlfn.MAXIFS(HS_DB[Origin Share%],HS_DB[HS Code],HS_DB[[#This Row],[HS Code]])</f>
        <v>6.321329281187793E-2</v>
      </c>
      <c r="AP500" s="8" cm="1">
        <f t="array" ref="AP500">_xlfn.LET(
_xlpm.hs,HS_DB[[#This Row],[HS Code]],
COUNTA(_xlfn.UNIQUE(_xlfn._xlws.FILTER(HS_DB[Reporter],HS_DB[HS Code]=_xlpm.hs)))
)</f>
        <v>13</v>
      </c>
      <c r="AQ500" s="17" t="str">
        <f>IF(HS_DB[[#This Row],[Origin Count]]=1,"Single Source","Multiple Sources")</f>
        <v>Multiple Sources</v>
      </c>
      <c r="AR500" s="8">
        <f>HS_DB[[#This Row],[Annual Spend - USD]]*(HS_DB[[#This Row],[HS Code Risk Score]]/100)</f>
        <v>3739313.8800000004</v>
      </c>
      <c r="AS500" s="8">
        <f>RANK(HS_DB[[#This Row],[Risk Exposure - USD]],HS_DB[Risk Exposure - USD],0)</f>
        <v>291</v>
      </c>
      <c r="AT500" s="8" t="str">
        <f>IF(HS_DB[[#This Row],[Risk Exposure Rank]]&lt;=10,"High",
 IF(HS_DB[[#This Row],[Risk Exposure Rank]]&lt;=30,"Medium",
 "Low"))</f>
        <v>Low</v>
      </c>
      <c r="AU500" s="8" t="str">
        <f>IF(HS_DB[[#This Row],[Risk Exposure Rank]]&lt;=5,"Immediate Action",
 IF(HS_DB[[#This Row],[Risk Exposure Rank]]&lt;=15,"Monitor Closely",
 "Routine Control"))</f>
        <v>Routine Control</v>
      </c>
      <c r="AV500" s="8">
        <f>SUMIFS(HS_DB[Trade Value - USD],HS_DB[HS Code],HS_DB[[#This Row],[HS Code]])</f>
        <v>10997982</v>
      </c>
      <c r="AW500" s="6">
        <f>HS_DB[[#This Row],[Annual Spend - USD]]/HS_DB[[#This Row],[Total Market Size - USD]]</f>
        <v>1</v>
      </c>
      <c r="AX500" s="6" cm="1">
        <f t="array" ref="AX500">COUNTA(_xlfn.UNIQUE(_xlfn._xlws.FILTER(HS_DB[Partner],HS_DB[HS Code]=HS_DB[[#This Row],[HS Code]])))</f>
        <v>1</v>
      </c>
      <c r="AY500" s="8" t="str">
        <f>IF(HS_DB[[#This Row],[Competition Intensity]]&lt;=2,"Highly Concentrated",
 IF(HS_DB[[#This Row],[Competition Intensity]]&lt;=5,"Moderate",
 "Highly Competitive"))</f>
        <v>Highly Concentrated</v>
      </c>
      <c r="AZ500" s="8">
        <f>HS_DB[[#This Row],[Total Market Size - USD]]
*
(1+IFERROR(#REF!,0))
/
HS_DB[[#This Row],[Competition Intensity]]</f>
        <v>10997982</v>
      </c>
      <c r="BA500" s="8" t="str">
        <f>IF(HS_DB[[#This Row],[Commercial Opportunity Score]]&gt;=PERCENTILE(HS_DB[Commercial Opportunity Score],0.9),"High Opportunity",
 IF(HS_DB[[#This Row],[Commercial Opportunity Score]]&gt;=PERCENTILE(HS_DB[Commercial Opportunity Score],0.6),"Medium Opportunity",
 "Routine Market"))</f>
        <v>Routine Market</v>
      </c>
      <c r="BB500" s="3" t="str">
        <f>IF(AND(HS_DB[[#This Row],[Product Rank]]&gt;0,HS_DB[[#This Row],[Product Rank]]&lt;=10),"Yes","No")</f>
        <v>No</v>
      </c>
      <c r="BC500" s="3" t="str">
        <f>IF(AND(HS_DB[[#This Row],[Origin Rank]]&gt;0,HS_DB[[#This Row],[Origin Rank]]&lt;=10),"Yes","No")</f>
        <v>Yes</v>
      </c>
    </row>
    <row r="501" spans="2:55" x14ac:dyDescent="0.3">
      <c r="B501" s="2">
        <f>HS_DB[[#This Row],[Commodity Code]]</f>
        <v>283630</v>
      </c>
      <c r="C501" s="2">
        <f>IFERROR(INDEX(HS_MD!C:C,MATCH(B501,HS_MD!B:B,0),1),"")</f>
        <v>42</v>
      </c>
      <c r="D501" s="17" t="str">
        <f>IFERROR(INDEX(HS_MD!D:D,MATCH(B501,HS_MD!B:B,0),1),"")</f>
        <v>Sodium bicarbonate</v>
      </c>
      <c r="E501" s="17" t="str">
        <f>IFERROR(INDEX(HS_MD!E:E,MATCH(B501,HS_MD!B:B,0),1),"")</f>
        <v>Sodium Bicarbonate</v>
      </c>
      <c r="F501" s="17" t="str">
        <f>IFERROR(INDEX(HS_MD!F:F,MATCH(B501,HS_MD!B:B,0),1),"")</f>
        <v>Food Ingredients</v>
      </c>
      <c r="G501" s="17" t="str">
        <f>IFERROR(INDEX(HS_MD!G:G,MATCH(B501,HS_MD!B:B,0),1),"")</f>
        <v>Leavening Agents</v>
      </c>
      <c r="H501" s="17" t="str">
        <f>IFERROR(INDEX(HS_MD!H:H,MATCH(B501,HS_MD!B:B,0),1),"")</f>
        <v>Baking Soda</v>
      </c>
      <c r="I501" s="17" t="str">
        <f>IFERROR(INDEX(HS_MD!I:I,MATCH(B501,HS_MD!B:B,0),1),"")</f>
        <v>Bakery / Snacks</v>
      </c>
      <c r="J501" s="17">
        <f>IFERROR(INDEX(Heat_Map[Index],MATCH(HS_DB[[#This Row],[Reporter]],Heat_Map[Global],0),1),"")</f>
        <v>36</v>
      </c>
      <c r="K501" s="17" t="str">
        <f>IF(AND(HS_DB[[#This Row],[Origin Rank]]&gt;1,HS_DB[[#This Row],[Origin Rank]]&lt;=10),"Yes","No")</f>
        <v>No</v>
      </c>
      <c r="L501" s="2">
        <v>2024</v>
      </c>
      <c r="M501" s="2" t="s">
        <v>57</v>
      </c>
      <c r="N501" s="2" t="s">
        <v>1</v>
      </c>
      <c r="O501" s="2" t="s">
        <v>22</v>
      </c>
      <c r="P501" s="2" t="s">
        <v>23</v>
      </c>
      <c r="Q501" s="2" t="s">
        <v>24</v>
      </c>
      <c r="R501" s="2" t="s">
        <v>25</v>
      </c>
      <c r="S501" s="2">
        <v>283630</v>
      </c>
      <c r="T501" s="3">
        <v>277230</v>
      </c>
      <c r="U501" s="3">
        <v>1020927</v>
      </c>
      <c r="V501" s="3">
        <v>0</v>
      </c>
      <c r="W501" s="3">
        <v>1020927</v>
      </c>
      <c r="X501" s="3" t="s">
        <v>58</v>
      </c>
      <c r="Y501" s="3">
        <v>1020927</v>
      </c>
      <c r="Z501" s="3" t="s">
        <v>58</v>
      </c>
      <c r="AA501" s="6">
        <f>SUMIFS(HS_DB[Trade Value - USD],HS_DB[Reporter],HS_DB[[#This Row],[Reporter]])/SUM(HS_DB[Trade Value - USD])</f>
        <v>6.321329281187793E-2</v>
      </c>
      <c r="AB501" s="8" cm="1">
        <f t="array" ref="AB501">SUMPRODUCT(
(HS_DB[Reporter]=HS_DB[[#This Row],[Reporter]])*
(HS_DB[Trade Value - USD]&gt;HS_DB[[#This Row],[Trade Value - USD]])
)+1</f>
        <v>26</v>
      </c>
      <c r="AC501" s="8" t="str">
        <f>IFERROR(IF(INDEX(Heat_Map[Crisis Impact %],MATCH(HS_DB[[#This Row],[Reporter]],Heat_Map[Global],0),1)&gt;0,"Yes","No"),"No")</f>
        <v>Yes</v>
      </c>
      <c r="AD501" s="6">
        <f>IFERROR(INDEX(Heat_Map[Crisis Impact %],MATCH(HS_DB[[#This Row],[Reporter]],Heat_Map[Global],0),1),0)</f>
        <v>0.14000000000000001</v>
      </c>
      <c r="AE501" s="8">
        <f>HS_DB[[#This Row],[Crisis Impact%]]*HS_DB[[#This Row],[Trade Value - USD]]</f>
        <v>38812.200000000004</v>
      </c>
      <c r="AF501" s="8">
        <f>HS_DB[[#This Row],[Crisis Impact%]]*HS_DB[[#This Row],[Net Weight -KG]]</f>
        <v>142929.78000000003</v>
      </c>
      <c r="AG501" s="6">
        <f>SUMIFS(HS_DB[Trade Value - USD],HS_DB[Products],HS_DB[[#This Row],[Products]])/SUM(HS_DB[Trade Value - USD])</f>
        <v>5.8344475008376964E-3</v>
      </c>
      <c r="AH501" s="8">
        <f>_xlfn.RANK.EQ(HS_DB[[#This Row],[Trade Value - USD]], HS_DB[Trade Value - USD], 0)
 + COUNTIFS(HS_DB[Trade Value - USD],HS_DB[[#This Row],[Trade Value - USD]],
            HS_DB[HS Code],"&lt;"&amp;HS_DB[[#This Row],[HS Code]])</f>
        <v>196</v>
      </c>
      <c r="AI501" s="9">
        <f>IFERROR(HS_DB[[#This Row],[Trade Value - USD]]/HS_DB[[#This Row],[Net Weight -KG]],0)</f>
        <v>0.27154732904507373</v>
      </c>
      <c r="AJ501" s="17" cm="1">
        <f t="array" ref="AJ501">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501" s="17" t="str">
        <f>IF(HS_DB[[#This Row],[HS Code Risk Score]]&gt;=40,"High",
 IF(HS_DB[[#This Row],[HS Code Risk Score]]&gt;=25,"Medium","Low"))</f>
        <v>Medium</v>
      </c>
      <c r="AL501" s="17" t="str">
        <f>IF(RANK(HS_DB[[#This Row],[HS Code Risk Score]],HS_DB[HS Code Risk Score])&lt;=10,"Yes","No")</f>
        <v>No</v>
      </c>
      <c r="AM501" s="8">
        <f>SUMIFS(HS_DB[Net Weight -KG],HS_DB[HS Code],HS_DB[[#This Row],[HS Code]])</f>
        <v>34391318.399999999</v>
      </c>
      <c r="AN501" s="8">
        <f>SUMIFS(HS_DB[Trade Value - USD],HS_DB[HS Code],HS_DB[[#This Row],[HS Code]])</f>
        <v>10997982</v>
      </c>
      <c r="AO501" s="6">
        <f>_xlfn.MAXIFS(HS_DB[Origin Share%],HS_DB[HS Code],HS_DB[[#This Row],[HS Code]])</f>
        <v>6.321329281187793E-2</v>
      </c>
      <c r="AP501" s="8" cm="1">
        <f t="array" ref="AP501">_xlfn.LET(
_xlpm.hs,HS_DB[[#This Row],[HS Code]],
COUNTA(_xlfn.UNIQUE(_xlfn._xlws.FILTER(HS_DB[Reporter],HS_DB[HS Code]=_xlpm.hs)))
)</f>
        <v>13</v>
      </c>
      <c r="AQ501" s="17" t="str">
        <f>IF(HS_DB[[#This Row],[Origin Count]]=1,"Single Source","Multiple Sources")</f>
        <v>Multiple Sources</v>
      </c>
      <c r="AR501" s="8">
        <f>HS_DB[[#This Row],[Annual Spend - USD]]*(HS_DB[[#This Row],[HS Code Risk Score]]/100)</f>
        <v>3739313.8800000004</v>
      </c>
      <c r="AS501" s="8">
        <f>RANK(HS_DB[[#This Row],[Risk Exposure - USD]],HS_DB[Risk Exposure - USD],0)</f>
        <v>291</v>
      </c>
      <c r="AT501" s="8" t="str">
        <f>IF(HS_DB[[#This Row],[Risk Exposure Rank]]&lt;=10,"High",
 IF(HS_DB[[#This Row],[Risk Exposure Rank]]&lt;=30,"Medium",
 "Low"))</f>
        <v>Low</v>
      </c>
      <c r="AU501" s="8" t="str">
        <f>IF(HS_DB[[#This Row],[Risk Exposure Rank]]&lt;=5,"Immediate Action",
 IF(HS_DB[[#This Row],[Risk Exposure Rank]]&lt;=15,"Monitor Closely",
 "Routine Control"))</f>
        <v>Routine Control</v>
      </c>
      <c r="AV501" s="8">
        <f>SUMIFS(HS_DB[Trade Value - USD],HS_DB[HS Code],HS_DB[[#This Row],[HS Code]])</f>
        <v>10997982</v>
      </c>
      <c r="AW501" s="6">
        <f>HS_DB[[#This Row],[Annual Spend - USD]]/HS_DB[[#This Row],[Total Market Size - USD]]</f>
        <v>1</v>
      </c>
      <c r="AX501" s="6" cm="1">
        <f t="array" ref="AX501">COUNTA(_xlfn.UNIQUE(_xlfn._xlws.FILTER(HS_DB[Partner],HS_DB[HS Code]=HS_DB[[#This Row],[HS Code]])))</f>
        <v>1</v>
      </c>
      <c r="AY501" s="8" t="str">
        <f>IF(HS_DB[[#This Row],[Competition Intensity]]&lt;=2,"Highly Concentrated",
 IF(HS_DB[[#This Row],[Competition Intensity]]&lt;=5,"Moderate",
 "Highly Competitive"))</f>
        <v>Highly Concentrated</v>
      </c>
      <c r="AZ501" s="8">
        <f>HS_DB[[#This Row],[Total Market Size - USD]]
*
(1+IFERROR(#REF!,0))
/
HS_DB[[#This Row],[Competition Intensity]]</f>
        <v>10997982</v>
      </c>
      <c r="BA501" s="8" t="str">
        <f>IF(HS_DB[[#This Row],[Commercial Opportunity Score]]&gt;=PERCENTILE(HS_DB[Commercial Opportunity Score],0.9),"High Opportunity",
 IF(HS_DB[[#This Row],[Commercial Opportunity Score]]&gt;=PERCENTILE(HS_DB[Commercial Opportunity Score],0.6),"Medium Opportunity",
 "Routine Market"))</f>
        <v>Routine Market</v>
      </c>
      <c r="BB501" s="3" t="str">
        <f>IF(AND(HS_DB[[#This Row],[Product Rank]]&gt;0,HS_DB[[#This Row],[Product Rank]]&lt;=10),"Yes","No")</f>
        <v>No</v>
      </c>
      <c r="BC501" s="3" t="str">
        <f>IF(AND(HS_DB[[#This Row],[Origin Rank]]&gt;0,HS_DB[[#This Row],[Origin Rank]]&lt;=10),"Yes","No")</f>
        <v>No</v>
      </c>
    </row>
    <row r="502" spans="2:55" x14ac:dyDescent="0.3">
      <c r="B502" s="2">
        <f>HS_DB[[#This Row],[Commodity Code]]</f>
        <v>283630</v>
      </c>
      <c r="C502" s="2">
        <f>IFERROR(INDEX(HS_MD!C:C,MATCH(B502,HS_MD!B:B,0),1),"")</f>
        <v>42</v>
      </c>
      <c r="D502" s="17" t="str">
        <f>IFERROR(INDEX(HS_MD!D:D,MATCH(B502,HS_MD!B:B,0),1),"")</f>
        <v>Sodium bicarbonate</v>
      </c>
      <c r="E502" s="17" t="str">
        <f>IFERROR(INDEX(HS_MD!E:E,MATCH(B502,HS_MD!B:B,0),1),"")</f>
        <v>Sodium Bicarbonate</v>
      </c>
      <c r="F502" s="17" t="str">
        <f>IFERROR(INDEX(HS_MD!F:F,MATCH(B502,HS_MD!B:B,0),1),"")</f>
        <v>Food Ingredients</v>
      </c>
      <c r="G502" s="17" t="str">
        <f>IFERROR(INDEX(HS_MD!G:G,MATCH(B502,HS_MD!B:B,0),1),"")</f>
        <v>Leavening Agents</v>
      </c>
      <c r="H502" s="17" t="str">
        <f>IFERROR(INDEX(HS_MD!H:H,MATCH(B502,HS_MD!B:B,0),1),"")</f>
        <v>Baking Soda</v>
      </c>
      <c r="I502" s="17" t="str">
        <f>IFERROR(INDEX(HS_MD!I:I,MATCH(B502,HS_MD!B:B,0),1),"")</f>
        <v>Bakery / Snacks</v>
      </c>
      <c r="J502" s="17">
        <f>IFERROR(INDEX(Heat_Map[Index],MATCH(HS_DB[[#This Row],[Reporter]],Heat_Map[Global],0),1),"")</f>
        <v>44</v>
      </c>
      <c r="K502" s="17" t="str">
        <f>IF(AND(HS_DB[[#This Row],[Origin Rank]]&gt;1,HS_DB[[#This Row],[Origin Rank]]&lt;=10),"Yes","No")</f>
        <v>Yes</v>
      </c>
      <c r="L502" s="2">
        <v>2024</v>
      </c>
      <c r="M502" s="2" t="s">
        <v>57</v>
      </c>
      <c r="N502" s="2" t="s">
        <v>41</v>
      </c>
      <c r="O502" s="2" t="s">
        <v>22</v>
      </c>
      <c r="P502" s="2" t="s">
        <v>23</v>
      </c>
      <c r="Q502" s="2" t="s">
        <v>24</v>
      </c>
      <c r="R502" s="2" t="s">
        <v>25</v>
      </c>
      <c r="S502" s="2">
        <v>283630</v>
      </c>
      <c r="T502" s="3">
        <v>22560</v>
      </c>
      <c r="U502" s="3">
        <v>17625</v>
      </c>
      <c r="V502" s="3">
        <v>0</v>
      </c>
      <c r="W502" s="3">
        <v>17625</v>
      </c>
      <c r="X502" s="3" t="s">
        <v>58</v>
      </c>
      <c r="Y502" s="3">
        <v>17625</v>
      </c>
      <c r="Z502" s="3" t="s">
        <v>58</v>
      </c>
      <c r="AA502" s="6">
        <f>SUMIFS(HS_DB[Trade Value - USD],HS_DB[Reporter],HS_DB[[#This Row],[Reporter]])/SUM(HS_DB[Trade Value - USD])</f>
        <v>4.2641562768795568E-4</v>
      </c>
      <c r="AB502" s="8" cm="1">
        <f t="array" ref="AB502">SUMPRODUCT(
(HS_DB[Reporter]=HS_DB[[#This Row],[Reporter]])*
(HS_DB[Trade Value - USD]&gt;HS_DB[[#This Row],[Trade Value - USD]])
)+1</f>
        <v>4</v>
      </c>
      <c r="AC502" s="8" t="str">
        <f>IFERROR(IF(INDEX(Heat_Map[Crisis Impact %],MATCH(HS_DB[[#This Row],[Reporter]],Heat_Map[Global],0),1)&gt;0,"Yes","No"),"No")</f>
        <v>No</v>
      </c>
      <c r="AD502" s="6">
        <f>IFERROR(INDEX(Heat_Map[Crisis Impact %],MATCH(HS_DB[[#This Row],[Reporter]],Heat_Map[Global],0),1),0)</f>
        <v>0</v>
      </c>
      <c r="AE502" s="8">
        <f>HS_DB[[#This Row],[Crisis Impact%]]*HS_DB[[#This Row],[Trade Value - USD]]</f>
        <v>0</v>
      </c>
      <c r="AF502" s="8">
        <f>HS_DB[[#This Row],[Crisis Impact%]]*HS_DB[[#This Row],[Net Weight -KG]]</f>
        <v>0</v>
      </c>
      <c r="AG502" s="6">
        <f>SUMIFS(HS_DB[Trade Value - USD],HS_DB[Products],HS_DB[[#This Row],[Products]])/SUM(HS_DB[Trade Value - USD])</f>
        <v>5.8344475008376964E-3</v>
      </c>
      <c r="AH502" s="8">
        <f>_xlfn.RANK.EQ(HS_DB[[#This Row],[Trade Value - USD]], HS_DB[Trade Value - USD], 0)
 + COUNTIFS(HS_DB[Trade Value - USD],HS_DB[[#This Row],[Trade Value - USD]],
            HS_DB[HS Code],"&lt;"&amp;HS_DB[[#This Row],[HS Code]])</f>
        <v>372</v>
      </c>
      <c r="AI502" s="9">
        <f>IFERROR(HS_DB[[#This Row],[Trade Value - USD]]/HS_DB[[#This Row],[Net Weight -KG]],0)</f>
        <v>1.28</v>
      </c>
      <c r="AJ502" s="17" cm="1">
        <f t="array" ref="AJ502">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502" s="17" t="str">
        <f>IF(HS_DB[[#This Row],[HS Code Risk Score]]&gt;=40,"High",
 IF(HS_DB[[#This Row],[HS Code Risk Score]]&gt;=25,"Medium","Low"))</f>
        <v>Medium</v>
      </c>
      <c r="AL502" s="17" t="str">
        <f>IF(RANK(HS_DB[[#This Row],[HS Code Risk Score]],HS_DB[HS Code Risk Score])&lt;=10,"Yes","No")</f>
        <v>No</v>
      </c>
      <c r="AM502" s="8">
        <f>SUMIFS(HS_DB[Net Weight -KG],HS_DB[HS Code],HS_DB[[#This Row],[HS Code]])</f>
        <v>34391318.399999999</v>
      </c>
      <c r="AN502" s="8">
        <f>SUMIFS(HS_DB[Trade Value - USD],HS_DB[HS Code],HS_DB[[#This Row],[HS Code]])</f>
        <v>10997982</v>
      </c>
      <c r="AO502" s="6">
        <f>_xlfn.MAXIFS(HS_DB[Origin Share%],HS_DB[HS Code],HS_DB[[#This Row],[HS Code]])</f>
        <v>6.321329281187793E-2</v>
      </c>
      <c r="AP502" s="8" cm="1">
        <f t="array" ref="AP502">_xlfn.LET(
_xlpm.hs,HS_DB[[#This Row],[HS Code]],
COUNTA(_xlfn.UNIQUE(_xlfn._xlws.FILTER(HS_DB[Reporter],HS_DB[HS Code]=_xlpm.hs)))
)</f>
        <v>13</v>
      </c>
      <c r="AQ502" s="17" t="str">
        <f>IF(HS_DB[[#This Row],[Origin Count]]=1,"Single Source","Multiple Sources")</f>
        <v>Multiple Sources</v>
      </c>
      <c r="AR502" s="8">
        <f>HS_DB[[#This Row],[Annual Spend - USD]]*(HS_DB[[#This Row],[HS Code Risk Score]]/100)</f>
        <v>3739313.8800000004</v>
      </c>
      <c r="AS502" s="8">
        <f>RANK(HS_DB[[#This Row],[Risk Exposure - USD]],HS_DB[Risk Exposure - USD],0)</f>
        <v>291</v>
      </c>
      <c r="AT502" s="8" t="str">
        <f>IF(HS_DB[[#This Row],[Risk Exposure Rank]]&lt;=10,"High",
 IF(HS_DB[[#This Row],[Risk Exposure Rank]]&lt;=30,"Medium",
 "Low"))</f>
        <v>Low</v>
      </c>
      <c r="AU502" s="8" t="str">
        <f>IF(HS_DB[[#This Row],[Risk Exposure Rank]]&lt;=5,"Immediate Action",
 IF(HS_DB[[#This Row],[Risk Exposure Rank]]&lt;=15,"Monitor Closely",
 "Routine Control"))</f>
        <v>Routine Control</v>
      </c>
      <c r="AV502" s="8">
        <f>SUMIFS(HS_DB[Trade Value - USD],HS_DB[HS Code],HS_DB[[#This Row],[HS Code]])</f>
        <v>10997982</v>
      </c>
      <c r="AW502" s="6">
        <f>HS_DB[[#This Row],[Annual Spend - USD]]/HS_DB[[#This Row],[Total Market Size - USD]]</f>
        <v>1</v>
      </c>
      <c r="AX502" s="6" cm="1">
        <f t="array" ref="AX502">COUNTA(_xlfn.UNIQUE(_xlfn._xlws.FILTER(HS_DB[Partner],HS_DB[HS Code]=HS_DB[[#This Row],[HS Code]])))</f>
        <v>1</v>
      </c>
      <c r="AY502" s="8" t="str">
        <f>IF(HS_DB[[#This Row],[Competition Intensity]]&lt;=2,"Highly Concentrated",
 IF(HS_DB[[#This Row],[Competition Intensity]]&lt;=5,"Moderate",
 "Highly Competitive"))</f>
        <v>Highly Concentrated</v>
      </c>
      <c r="AZ502" s="8">
        <f>HS_DB[[#This Row],[Total Market Size - USD]]
*
(1+IFERROR(#REF!,0))
/
HS_DB[[#This Row],[Competition Intensity]]</f>
        <v>10997982</v>
      </c>
      <c r="BA502" s="8" t="str">
        <f>IF(HS_DB[[#This Row],[Commercial Opportunity Score]]&gt;=PERCENTILE(HS_DB[Commercial Opportunity Score],0.9),"High Opportunity",
 IF(HS_DB[[#This Row],[Commercial Opportunity Score]]&gt;=PERCENTILE(HS_DB[Commercial Opportunity Score],0.6),"Medium Opportunity",
 "Routine Market"))</f>
        <v>Routine Market</v>
      </c>
      <c r="BB502" s="3" t="str">
        <f>IF(AND(HS_DB[[#This Row],[Product Rank]]&gt;0,HS_DB[[#This Row],[Product Rank]]&lt;=10),"Yes","No")</f>
        <v>No</v>
      </c>
      <c r="BC502" s="3" t="str">
        <f>IF(AND(HS_DB[[#This Row],[Origin Rank]]&gt;0,HS_DB[[#This Row],[Origin Rank]]&lt;=10),"Yes","No")</f>
        <v>Yes</v>
      </c>
    </row>
    <row r="503" spans="2:55" x14ac:dyDescent="0.3">
      <c r="B503" s="2">
        <f>HS_DB[[#This Row],[Commodity Code]]</f>
        <v>283630</v>
      </c>
      <c r="C503" s="2">
        <f>IFERROR(INDEX(HS_MD!C:C,MATCH(B503,HS_MD!B:B,0),1),"")</f>
        <v>42</v>
      </c>
      <c r="D503" s="17" t="str">
        <f>IFERROR(INDEX(HS_MD!D:D,MATCH(B503,HS_MD!B:B,0),1),"")</f>
        <v>Sodium bicarbonate</v>
      </c>
      <c r="E503" s="17" t="str">
        <f>IFERROR(INDEX(HS_MD!E:E,MATCH(B503,HS_MD!B:B,0),1),"")</f>
        <v>Sodium Bicarbonate</v>
      </c>
      <c r="F503" s="17" t="str">
        <f>IFERROR(INDEX(HS_MD!F:F,MATCH(B503,HS_MD!B:B,0),1),"")</f>
        <v>Food Ingredients</v>
      </c>
      <c r="G503" s="17" t="str">
        <f>IFERROR(INDEX(HS_MD!G:G,MATCH(B503,HS_MD!B:B,0),1),"")</f>
        <v>Leavening Agents</v>
      </c>
      <c r="H503" s="17" t="str">
        <f>IFERROR(INDEX(HS_MD!H:H,MATCH(B503,HS_MD!B:B,0),1),"")</f>
        <v>Baking Soda</v>
      </c>
      <c r="I503" s="17" t="str">
        <f>IFERROR(INDEX(HS_MD!I:I,MATCH(B503,HS_MD!B:B,0),1),"")</f>
        <v>Bakery / Snacks</v>
      </c>
      <c r="J503" s="17">
        <f>IFERROR(INDEX(Heat_Map[Index],MATCH(HS_DB[[#This Row],[Reporter]],Heat_Map[Global],0),1),"")</f>
        <v>59</v>
      </c>
      <c r="K503" s="17" t="str">
        <f>IF(AND(HS_DB[[#This Row],[Origin Rank]]&gt;1,HS_DB[[#This Row],[Origin Rank]]&lt;=10),"Yes","No")</f>
        <v>No</v>
      </c>
      <c r="L503" s="2">
        <v>2024</v>
      </c>
      <c r="M503" s="2" t="s">
        <v>57</v>
      </c>
      <c r="N503" s="2" t="s">
        <v>44</v>
      </c>
      <c r="O503" s="2" t="s">
        <v>22</v>
      </c>
      <c r="P503" s="2" t="s">
        <v>23</v>
      </c>
      <c r="Q503" s="2" t="s">
        <v>24</v>
      </c>
      <c r="R503" s="2" t="s">
        <v>25</v>
      </c>
      <c r="S503" s="2">
        <v>283630</v>
      </c>
      <c r="T503" s="3">
        <v>20578</v>
      </c>
      <c r="U503" s="3">
        <v>17798</v>
      </c>
      <c r="V503" s="3">
        <v>0</v>
      </c>
      <c r="W503" s="3">
        <v>17798</v>
      </c>
      <c r="X503" s="3" t="s">
        <v>58</v>
      </c>
      <c r="Y503" s="3">
        <v>17798</v>
      </c>
      <c r="Z503" s="3" t="s">
        <v>58</v>
      </c>
      <c r="AA503" s="6">
        <f>SUMIFS(HS_DB[Trade Value - USD],HS_DB[Reporter],HS_DB[[#This Row],[Reporter]])/SUM(HS_DB[Trade Value - USD])</f>
        <v>1.6951290293147386E-2</v>
      </c>
      <c r="AB503" s="8" cm="1">
        <f t="array" ref="AB503">SUMPRODUCT(
(HS_DB[Reporter]=HS_DB[[#This Row],[Reporter]])*
(HS_DB[Trade Value - USD]&gt;HS_DB[[#This Row],[Trade Value - USD]])
)+1</f>
        <v>26</v>
      </c>
      <c r="AC503" s="8" t="str">
        <f>IFERROR(IF(INDEX(Heat_Map[Crisis Impact %],MATCH(HS_DB[[#This Row],[Reporter]],Heat_Map[Global],0),1)&gt;0,"Yes","No"),"No")</f>
        <v>No</v>
      </c>
      <c r="AD503" s="6">
        <f>IFERROR(INDEX(Heat_Map[Crisis Impact %],MATCH(HS_DB[[#This Row],[Reporter]],Heat_Map[Global],0),1),0)</f>
        <v>0</v>
      </c>
      <c r="AE503" s="8">
        <f>HS_DB[[#This Row],[Crisis Impact%]]*HS_DB[[#This Row],[Trade Value - USD]]</f>
        <v>0</v>
      </c>
      <c r="AF503" s="8">
        <f>HS_DB[[#This Row],[Crisis Impact%]]*HS_DB[[#This Row],[Net Weight -KG]]</f>
        <v>0</v>
      </c>
      <c r="AG503" s="6">
        <f>SUMIFS(HS_DB[Trade Value - USD],HS_DB[Products],HS_DB[[#This Row],[Products]])/SUM(HS_DB[Trade Value - USD])</f>
        <v>5.8344475008376964E-3</v>
      </c>
      <c r="AH503" s="8">
        <f>_xlfn.RANK.EQ(HS_DB[[#This Row],[Trade Value - USD]], HS_DB[Trade Value - USD], 0)
 + COUNTIFS(HS_DB[Trade Value - USD],HS_DB[[#This Row],[Trade Value - USD]],
            HS_DB[HS Code],"&lt;"&amp;HS_DB[[#This Row],[HS Code]])</f>
        <v>379</v>
      </c>
      <c r="AI503" s="9">
        <f>IFERROR(HS_DB[[#This Row],[Trade Value - USD]]/HS_DB[[#This Row],[Net Weight -KG]],0)</f>
        <v>1.1561973255421958</v>
      </c>
      <c r="AJ503" s="17" cm="1">
        <f t="array" ref="AJ503">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503" s="17" t="str">
        <f>IF(HS_DB[[#This Row],[HS Code Risk Score]]&gt;=40,"High",
 IF(HS_DB[[#This Row],[HS Code Risk Score]]&gt;=25,"Medium","Low"))</f>
        <v>Medium</v>
      </c>
      <c r="AL503" s="17" t="str">
        <f>IF(RANK(HS_DB[[#This Row],[HS Code Risk Score]],HS_DB[HS Code Risk Score])&lt;=10,"Yes","No")</f>
        <v>No</v>
      </c>
      <c r="AM503" s="8">
        <f>SUMIFS(HS_DB[Net Weight -KG],HS_DB[HS Code],HS_DB[[#This Row],[HS Code]])</f>
        <v>34391318.399999999</v>
      </c>
      <c r="AN503" s="8">
        <f>SUMIFS(HS_DB[Trade Value - USD],HS_DB[HS Code],HS_DB[[#This Row],[HS Code]])</f>
        <v>10997982</v>
      </c>
      <c r="AO503" s="6">
        <f>_xlfn.MAXIFS(HS_DB[Origin Share%],HS_DB[HS Code],HS_DB[[#This Row],[HS Code]])</f>
        <v>6.321329281187793E-2</v>
      </c>
      <c r="AP503" s="8" cm="1">
        <f t="array" ref="AP503">_xlfn.LET(
_xlpm.hs,HS_DB[[#This Row],[HS Code]],
COUNTA(_xlfn.UNIQUE(_xlfn._xlws.FILTER(HS_DB[Reporter],HS_DB[HS Code]=_xlpm.hs)))
)</f>
        <v>13</v>
      </c>
      <c r="AQ503" s="17" t="str">
        <f>IF(HS_DB[[#This Row],[Origin Count]]=1,"Single Source","Multiple Sources")</f>
        <v>Multiple Sources</v>
      </c>
      <c r="AR503" s="8">
        <f>HS_DB[[#This Row],[Annual Spend - USD]]*(HS_DB[[#This Row],[HS Code Risk Score]]/100)</f>
        <v>3739313.8800000004</v>
      </c>
      <c r="AS503" s="8">
        <f>RANK(HS_DB[[#This Row],[Risk Exposure - USD]],HS_DB[Risk Exposure - USD],0)</f>
        <v>291</v>
      </c>
      <c r="AT503" s="8" t="str">
        <f>IF(HS_DB[[#This Row],[Risk Exposure Rank]]&lt;=10,"High",
 IF(HS_DB[[#This Row],[Risk Exposure Rank]]&lt;=30,"Medium",
 "Low"))</f>
        <v>Low</v>
      </c>
      <c r="AU503" s="8" t="str">
        <f>IF(HS_DB[[#This Row],[Risk Exposure Rank]]&lt;=5,"Immediate Action",
 IF(HS_DB[[#This Row],[Risk Exposure Rank]]&lt;=15,"Monitor Closely",
 "Routine Control"))</f>
        <v>Routine Control</v>
      </c>
      <c r="AV503" s="8">
        <f>SUMIFS(HS_DB[Trade Value - USD],HS_DB[HS Code],HS_DB[[#This Row],[HS Code]])</f>
        <v>10997982</v>
      </c>
      <c r="AW503" s="6">
        <f>HS_DB[[#This Row],[Annual Spend - USD]]/HS_DB[[#This Row],[Total Market Size - USD]]</f>
        <v>1</v>
      </c>
      <c r="AX503" s="6" cm="1">
        <f t="array" ref="AX503">COUNTA(_xlfn.UNIQUE(_xlfn._xlws.FILTER(HS_DB[Partner],HS_DB[HS Code]=HS_DB[[#This Row],[HS Code]])))</f>
        <v>1</v>
      </c>
      <c r="AY503" s="8" t="str">
        <f>IF(HS_DB[[#This Row],[Competition Intensity]]&lt;=2,"Highly Concentrated",
 IF(HS_DB[[#This Row],[Competition Intensity]]&lt;=5,"Moderate",
 "Highly Competitive"))</f>
        <v>Highly Concentrated</v>
      </c>
      <c r="AZ503" s="8">
        <f>HS_DB[[#This Row],[Total Market Size - USD]]
*
(1+IFERROR(#REF!,0))
/
HS_DB[[#This Row],[Competition Intensity]]</f>
        <v>10997982</v>
      </c>
      <c r="BA503" s="8" t="str">
        <f>IF(HS_DB[[#This Row],[Commercial Opportunity Score]]&gt;=PERCENTILE(HS_DB[Commercial Opportunity Score],0.9),"High Opportunity",
 IF(HS_DB[[#This Row],[Commercial Opportunity Score]]&gt;=PERCENTILE(HS_DB[Commercial Opportunity Score],0.6),"Medium Opportunity",
 "Routine Market"))</f>
        <v>Routine Market</v>
      </c>
      <c r="BB503" s="3" t="str">
        <f>IF(AND(HS_DB[[#This Row],[Product Rank]]&gt;0,HS_DB[[#This Row],[Product Rank]]&lt;=10),"Yes","No")</f>
        <v>No</v>
      </c>
      <c r="BC503" s="3" t="str">
        <f>IF(AND(HS_DB[[#This Row],[Origin Rank]]&gt;0,HS_DB[[#This Row],[Origin Rank]]&lt;=10),"Yes","No")</f>
        <v>No</v>
      </c>
    </row>
    <row r="504" spans="2:55" x14ac:dyDescent="0.3">
      <c r="B504" s="2">
        <f>HS_DB[[#This Row],[Commodity Code]]</f>
        <v>283630</v>
      </c>
      <c r="C504" s="2">
        <f>IFERROR(INDEX(HS_MD!C:C,MATCH(B504,HS_MD!B:B,0),1),"")</f>
        <v>42</v>
      </c>
      <c r="D504" s="17" t="str">
        <f>IFERROR(INDEX(HS_MD!D:D,MATCH(B504,HS_MD!B:B,0),1),"")</f>
        <v>Sodium bicarbonate</v>
      </c>
      <c r="E504" s="17" t="str">
        <f>IFERROR(INDEX(HS_MD!E:E,MATCH(B504,HS_MD!B:B,0),1),"")</f>
        <v>Sodium Bicarbonate</v>
      </c>
      <c r="F504" s="17" t="str">
        <f>IFERROR(INDEX(HS_MD!F:F,MATCH(B504,HS_MD!B:B,0),1),"")</f>
        <v>Food Ingredients</v>
      </c>
      <c r="G504" s="17" t="str">
        <f>IFERROR(INDEX(HS_MD!G:G,MATCH(B504,HS_MD!B:B,0),1),"")</f>
        <v>Leavening Agents</v>
      </c>
      <c r="H504" s="17" t="str">
        <f>IFERROR(INDEX(HS_MD!H:H,MATCH(B504,HS_MD!B:B,0),1),"")</f>
        <v>Baking Soda</v>
      </c>
      <c r="I504" s="17" t="str">
        <f>IFERROR(INDEX(HS_MD!I:I,MATCH(B504,HS_MD!B:B,0),1),"")</f>
        <v>Bakery / Snacks</v>
      </c>
      <c r="J504" s="17">
        <f>IFERROR(INDEX(Heat_Map[Index],MATCH(HS_DB[[#This Row],[Reporter]],Heat_Map[Global],0),1),"")</f>
        <v>63</v>
      </c>
      <c r="K504" s="17" t="str">
        <f>IF(AND(HS_DB[[#This Row],[Origin Rank]]&gt;1,HS_DB[[#This Row],[Origin Rank]]&lt;=10),"Yes","No")</f>
        <v>Yes</v>
      </c>
      <c r="L504" s="2">
        <v>2024</v>
      </c>
      <c r="M504" s="2" t="s">
        <v>57</v>
      </c>
      <c r="N504" s="2" t="s">
        <v>2</v>
      </c>
      <c r="O504" s="2" t="s">
        <v>22</v>
      </c>
      <c r="P504" s="2" t="s">
        <v>23</v>
      </c>
      <c r="Q504" s="2" t="s">
        <v>24</v>
      </c>
      <c r="R504" s="2" t="s">
        <v>25</v>
      </c>
      <c r="S504" s="2">
        <v>283630</v>
      </c>
      <c r="T504" s="3">
        <v>1036663</v>
      </c>
      <c r="U504" s="3">
        <v>1490907</v>
      </c>
      <c r="V504" s="3">
        <v>0</v>
      </c>
      <c r="W504" s="3">
        <v>1490907</v>
      </c>
      <c r="X504" s="3" t="s">
        <v>58</v>
      </c>
      <c r="Y504" s="3">
        <v>1490907</v>
      </c>
      <c r="Z504" s="3" t="s">
        <v>58</v>
      </c>
      <c r="AA504" s="6">
        <f>SUMIFS(HS_DB[Trade Value - USD],HS_DB[Reporter],HS_DB[[#This Row],[Reporter]])/SUM(HS_DB[Trade Value - USD])</f>
        <v>1.1674623358397021E-2</v>
      </c>
      <c r="AB504" s="8" cm="1">
        <f t="array" ref="AB504">SUMPRODUCT(
(HS_DB[Reporter]=HS_DB[[#This Row],[Reporter]])*
(HS_DB[Trade Value - USD]&gt;HS_DB[[#This Row],[Trade Value - USD]])
)+1</f>
        <v>8</v>
      </c>
      <c r="AC504" s="8" t="str">
        <f>IFERROR(IF(INDEX(Heat_Map[Crisis Impact %],MATCH(HS_DB[[#This Row],[Reporter]],Heat_Map[Global],0),1)&gt;0,"Yes","No"),"No")</f>
        <v>No</v>
      </c>
      <c r="AD504" s="6">
        <f>IFERROR(INDEX(Heat_Map[Crisis Impact %],MATCH(HS_DB[[#This Row],[Reporter]],Heat_Map[Global],0),1),0)</f>
        <v>0</v>
      </c>
      <c r="AE504" s="8">
        <f>HS_DB[[#This Row],[Crisis Impact%]]*HS_DB[[#This Row],[Trade Value - USD]]</f>
        <v>0</v>
      </c>
      <c r="AF504" s="8">
        <f>HS_DB[[#This Row],[Crisis Impact%]]*HS_DB[[#This Row],[Net Weight -KG]]</f>
        <v>0</v>
      </c>
      <c r="AG504" s="6">
        <f>SUMIFS(HS_DB[Trade Value - USD],HS_DB[Products],HS_DB[[#This Row],[Products]])/SUM(HS_DB[Trade Value - USD])</f>
        <v>5.8344475008376964E-3</v>
      </c>
      <c r="AH504" s="8">
        <f>_xlfn.RANK.EQ(HS_DB[[#This Row],[Trade Value - USD]], HS_DB[Trade Value - USD], 0)
 + COUNTIFS(HS_DB[Trade Value - USD],HS_DB[[#This Row],[Trade Value - USD]],
            HS_DB[HS Code],"&lt;"&amp;HS_DB[[#This Row],[HS Code]])</f>
        <v>104</v>
      </c>
      <c r="AI504" s="9">
        <f>IFERROR(HS_DB[[#This Row],[Trade Value - USD]]/HS_DB[[#This Row],[Net Weight -KG]],0)</f>
        <v>0.69532371905155721</v>
      </c>
      <c r="AJ504" s="17" cm="1">
        <f t="array" ref="AJ504">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504" s="17" t="str">
        <f>IF(HS_DB[[#This Row],[HS Code Risk Score]]&gt;=40,"High",
 IF(HS_DB[[#This Row],[HS Code Risk Score]]&gt;=25,"Medium","Low"))</f>
        <v>Medium</v>
      </c>
      <c r="AL504" s="17" t="str">
        <f>IF(RANK(HS_DB[[#This Row],[HS Code Risk Score]],HS_DB[HS Code Risk Score])&lt;=10,"Yes","No")</f>
        <v>No</v>
      </c>
      <c r="AM504" s="8">
        <f>SUMIFS(HS_DB[Net Weight -KG],HS_DB[HS Code],HS_DB[[#This Row],[HS Code]])</f>
        <v>34391318.399999999</v>
      </c>
      <c r="AN504" s="8">
        <f>SUMIFS(HS_DB[Trade Value - USD],HS_DB[HS Code],HS_DB[[#This Row],[HS Code]])</f>
        <v>10997982</v>
      </c>
      <c r="AO504" s="6">
        <f>_xlfn.MAXIFS(HS_DB[Origin Share%],HS_DB[HS Code],HS_DB[[#This Row],[HS Code]])</f>
        <v>6.321329281187793E-2</v>
      </c>
      <c r="AP504" s="8" cm="1">
        <f t="array" ref="AP504">_xlfn.LET(
_xlpm.hs,HS_DB[[#This Row],[HS Code]],
COUNTA(_xlfn.UNIQUE(_xlfn._xlws.FILTER(HS_DB[Reporter],HS_DB[HS Code]=_xlpm.hs)))
)</f>
        <v>13</v>
      </c>
      <c r="AQ504" s="17" t="str">
        <f>IF(HS_DB[[#This Row],[Origin Count]]=1,"Single Source","Multiple Sources")</f>
        <v>Multiple Sources</v>
      </c>
      <c r="AR504" s="8">
        <f>HS_DB[[#This Row],[Annual Spend - USD]]*(HS_DB[[#This Row],[HS Code Risk Score]]/100)</f>
        <v>3739313.8800000004</v>
      </c>
      <c r="AS504" s="8">
        <f>RANK(HS_DB[[#This Row],[Risk Exposure - USD]],HS_DB[Risk Exposure - USD],0)</f>
        <v>291</v>
      </c>
      <c r="AT504" s="8" t="str">
        <f>IF(HS_DB[[#This Row],[Risk Exposure Rank]]&lt;=10,"High",
 IF(HS_DB[[#This Row],[Risk Exposure Rank]]&lt;=30,"Medium",
 "Low"))</f>
        <v>Low</v>
      </c>
      <c r="AU504" s="8" t="str">
        <f>IF(HS_DB[[#This Row],[Risk Exposure Rank]]&lt;=5,"Immediate Action",
 IF(HS_DB[[#This Row],[Risk Exposure Rank]]&lt;=15,"Monitor Closely",
 "Routine Control"))</f>
        <v>Routine Control</v>
      </c>
      <c r="AV504" s="8">
        <f>SUMIFS(HS_DB[Trade Value - USD],HS_DB[HS Code],HS_DB[[#This Row],[HS Code]])</f>
        <v>10997982</v>
      </c>
      <c r="AW504" s="6">
        <f>HS_DB[[#This Row],[Annual Spend - USD]]/HS_DB[[#This Row],[Total Market Size - USD]]</f>
        <v>1</v>
      </c>
      <c r="AX504" s="6" cm="1">
        <f t="array" ref="AX504">COUNTA(_xlfn.UNIQUE(_xlfn._xlws.FILTER(HS_DB[Partner],HS_DB[HS Code]=HS_DB[[#This Row],[HS Code]])))</f>
        <v>1</v>
      </c>
      <c r="AY504" s="8" t="str">
        <f>IF(HS_DB[[#This Row],[Competition Intensity]]&lt;=2,"Highly Concentrated",
 IF(HS_DB[[#This Row],[Competition Intensity]]&lt;=5,"Moderate",
 "Highly Competitive"))</f>
        <v>Highly Concentrated</v>
      </c>
      <c r="AZ504" s="8">
        <f>HS_DB[[#This Row],[Total Market Size - USD]]
*
(1+IFERROR(#REF!,0))
/
HS_DB[[#This Row],[Competition Intensity]]</f>
        <v>10997982</v>
      </c>
      <c r="BA504" s="8" t="str">
        <f>IF(HS_DB[[#This Row],[Commercial Opportunity Score]]&gt;=PERCENTILE(HS_DB[Commercial Opportunity Score],0.9),"High Opportunity",
 IF(HS_DB[[#This Row],[Commercial Opportunity Score]]&gt;=PERCENTILE(HS_DB[Commercial Opportunity Score],0.6),"Medium Opportunity",
 "Routine Market"))</f>
        <v>Routine Market</v>
      </c>
      <c r="BB504" s="3" t="str">
        <f>IF(AND(HS_DB[[#This Row],[Product Rank]]&gt;0,HS_DB[[#This Row],[Product Rank]]&lt;=10),"Yes","No")</f>
        <v>No</v>
      </c>
      <c r="BC504" s="3" t="str">
        <f>IF(AND(HS_DB[[#This Row],[Origin Rank]]&gt;0,HS_DB[[#This Row],[Origin Rank]]&lt;=10),"Yes","No")</f>
        <v>Yes</v>
      </c>
    </row>
    <row r="505" spans="2:55" x14ac:dyDescent="0.3">
      <c r="B505" s="2">
        <f>HS_DB[[#This Row],[Commodity Code]]</f>
        <v>283630</v>
      </c>
      <c r="C505" s="2">
        <f>IFERROR(INDEX(HS_MD!C:C,MATCH(B505,HS_MD!B:B,0),1),"")</f>
        <v>42</v>
      </c>
      <c r="D505" s="17" t="str">
        <f>IFERROR(INDEX(HS_MD!D:D,MATCH(B505,HS_MD!B:B,0),1),"")</f>
        <v>Sodium bicarbonate</v>
      </c>
      <c r="E505" s="17" t="str">
        <f>IFERROR(INDEX(HS_MD!E:E,MATCH(B505,HS_MD!B:B,0),1),"")</f>
        <v>Sodium Bicarbonate</v>
      </c>
      <c r="F505" s="17" t="str">
        <f>IFERROR(INDEX(HS_MD!F:F,MATCH(B505,HS_MD!B:B,0),1),"")</f>
        <v>Food Ingredients</v>
      </c>
      <c r="G505" s="17" t="str">
        <f>IFERROR(INDEX(HS_MD!G:G,MATCH(B505,HS_MD!B:B,0),1),"")</f>
        <v>Leavening Agents</v>
      </c>
      <c r="H505" s="17" t="str">
        <f>IFERROR(INDEX(HS_MD!H:H,MATCH(B505,HS_MD!B:B,0),1),"")</f>
        <v>Baking Soda</v>
      </c>
      <c r="I505" s="17" t="str">
        <f>IFERROR(INDEX(HS_MD!I:I,MATCH(B505,HS_MD!B:B,0),1),"")</f>
        <v>Bakery / Snacks</v>
      </c>
      <c r="J505" s="17">
        <f>IFERROR(INDEX(Heat_Map[Index],MATCH(HS_DB[[#This Row],[Reporter]],Heat_Map[Global],0),1),"")</f>
        <v>79</v>
      </c>
      <c r="K505" s="17" t="str">
        <f>IF(AND(HS_DB[[#This Row],[Origin Rank]]&gt;1,HS_DB[[#This Row],[Origin Rank]]&lt;=10),"Yes","No")</f>
        <v>No</v>
      </c>
      <c r="L505" s="2">
        <v>2024</v>
      </c>
      <c r="M505" s="2" t="s">
        <v>57</v>
      </c>
      <c r="N505" s="2" t="s">
        <v>48</v>
      </c>
      <c r="O505" s="2" t="s">
        <v>22</v>
      </c>
      <c r="P505" s="2" t="s">
        <v>23</v>
      </c>
      <c r="Q505" s="2" t="s">
        <v>24</v>
      </c>
      <c r="R505" s="2" t="s">
        <v>25</v>
      </c>
      <c r="S505" s="2">
        <v>283630</v>
      </c>
      <c r="T505" s="3">
        <v>100288</v>
      </c>
      <c r="U505" s="3">
        <v>0</v>
      </c>
      <c r="V505" s="3">
        <v>0</v>
      </c>
      <c r="W505" s="3">
        <v>0</v>
      </c>
      <c r="X505" s="3" t="s">
        <v>26</v>
      </c>
      <c r="Y505" s="3">
        <v>267</v>
      </c>
      <c r="Z505" s="3" t="s">
        <v>58</v>
      </c>
      <c r="AA505" s="6">
        <f>SUMIFS(HS_DB[Trade Value - USD],HS_DB[Reporter],HS_DB[[#This Row],[Reporter]])/SUM(HS_DB[Trade Value - USD])</f>
        <v>4.9588465845200368E-3</v>
      </c>
      <c r="AB505" s="8" cm="1">
        <f t="array" ref="AB505">SUMPRODUCT(
(HS_DB[Reporter]=HS_DB[[#This Row],[Reporter]])*
(HS_DB[Trade Value - USD]&gt;HS_DB[[#This Row],[Trade Value - USD]])
)+1</f>
        <v>13</v>
      </c>
      <c r="AC505" s="8" t="str">
        <f>IFERROR(IF(INDEX(Heat_Map[Crisis Impact %],MATCH(HS_DB[[#This Row],[Reporter]],Heat_Map[Global],0),1)&gt;0,"Yes","No"),"No")</f>
        <v>No</v>
      </c>
      <c r="AD505" s="6">
        <f>IFERROR(INDEX(Heat_Map[Crisis Impact %],MATCH(HS_DB[[#This Row],[Reporter]],Heat_Map[Global],0),1),0)</f>
        <v>0</v>
      </c>
      <c r="AE505" s="8">
        <f>HS_DB[[#This Row],[Crisis Impact%]]*HS_DB[[#This Row],[Trade Value - USD]]</f>
        <v>0</v>
      </c>
      <c r="AF505" s="8">
        <f>HS_DB[[#This Row],[Crisis Impact%]]*HS_DB[[#This Row],[Net Weight -KG]]</f>
        <v>0</v>
      </c>
      <c r="AG505" s="6">
        <f>SUMIFS(HS_DB[Trade Value - USD],HS_DB[Products],HS_DB[[#This Row],[Products]])/SUM(HS_DB[Trade Value - USD])</f>
        <v>5.8344475008376964E-3</v>
      </c>
      <c r="AH505" s="8">
        <f>_xlfn.RANK.EQ(HS_DB[[#This Row],[Trade Value - USD]], HS_DB[Trade Value - USD], 0)
 + COUNTIFS(HS_DB[Trade Value - USD],HS_DB[[#This Row],[Trade Value - USD]],
            HS_DB[HS Code],"&lt;"&amp;HS_DB[[#This Row],[HS Code]])</f>
        <v>276</v>
      </c>
      <c r="AI505" s="9">
        <f>IFERROR(HS_DB[[#This Row],[Trade Value - USD]]/HS_DB[[#This Row],[Net Weight -KG]],0)</f>
        <v>0</v>
      </c>
      <c r="AJ505" s="17" cm="1">
        <f t="array" ref="AJ505">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505" s="17" t="str">
        <f>IF(HS_DB[[#This Row],[HS Code Risk Score]]&gt;=40,"High",
 IF(HS_DB[[#This Row],[HS Code Risk Score]]&gt;=25,"Medium","Low"))</f>
        <v>Medium</v>
      </c>
      <c r="AL505" s="17" t="str">
        <f>IF(RANK(HS_DB[[#This Row],[HS Code Risk Score]],HS_DB[HS Code Risk Score])&lt;=10,"Yes","No")</f>
        <v>No</v>
      </c>
      <c r="AM505" s="8">
        <f>SUMIFS(HS_DB[Net Weight -KG],HS_DB[HS Code],HS_DB[[#This Row],[HS Code]])</f>
        <v>34391318.399999999</v>
      </c>
      <c r="AN505" s="8">
        <f>SUMIFS(HS_DB[Trade Value - USD],HS_DB[HS Code],HS_DB[[#This Row],[HS Code]])</f>
        <v>10997982</v>
      </c>
      <c r="AO505" s="6">
        <f>_xlfn.MAXIFS(HS_DB[Origin Share%],HS_DB[HS Code],HS_DB[[#This Row],[HS Code]])</f>
        <v>6.321329281187793E-2</v>
      </c>
      <c r="AP505" s="8" cm="1">
        <f t="array" ref="AP505">_xlfn.LET(
_xlpm.hs,HS_DB[[#This Row],[HS Code]],
COUNTA(_xlfn.UNIQUE(_xlfn._xlws.FILTER(HS_DB[Reporter],HS_DB[HS Code]=_xlpm.hs)))
)</f>
        <v>13</v>
      </c>
      <c r="AQ505" s="17" t="str">
        <f>IF(HS_DB[[#This Row],[Origin Count]]=1,"Single Source","Multiple Sources")</f>
        <v>Multiple Sources</v>
      </c>
      <c r="AR505" s="8">
        <f>HS_DB[[#This Row],[Annual Spend - USD]]*(HS_DB[[#This Row],[HS Code Risk Score]]/100)</f>
        <v>3739313.8800000004</v>
      </c>
      <c r="AS505" s="8">
        <f>RANK(HS_DB[[#This Row],[Risk Exposure - USD]],HS_DB[Risk Exposure - USD],0)</f>
        <v>291</v>
      </c>
      <c r="AT505" s="8" t="str">
        <f>IF(HS_DB[[#This Row],[Risk Exposure Rank]]&lt;=10,"High",
 IF(HS_DB[[#This Row],[Risk Exposure Rank]]&lt;=30,"Medium",
 "Low"))</f>
        <v>Low</v>
      </c>
      <c r="AU505" s="8" t="str">
        <f>IF(HS_DB[[#This Row],[Risk Exposure Rank]]&lt;=5,"Immediate Action",
 IF(HS_DB[[#This Row],[Risk Exposure Rank]]&lt;=15,"Monitor Closely",
 "Routine Control"))</f>
        <v>Routine Control</v>
      </c>
      <c r="AV505" s="8">
        <f>SUMIFS(HS_DB[Trade Value - USD],HS_DB[HS Code],HS_DB[[#This Row],[HS Code]])</f>
        <v>10997982</v>
      </c>
      <c r="AW505" s="6">
        <f>HS_DB[[#This Row],[Annual Spend - USD]]/HS_DB[[#This Row],[Total Market Size - USD]]</f>
        <v>1</v>
      </c>
      <c r="AX505" s="6" cm="1">
        <f t="array" ref="AX505">COUNTA(_xlfn.UNIQUE(_xlfn._xlws.FILTER(HS_DB[Partner],HS_DB[HS Code]=HS_DB[[#This Row],[HS Code]])))</f>
        <v>1</v>
      </c>
      <c r="AY505" s="8" t="str">
        <f>IF(HS_DB[[#This Row],[Competition Intensity]]&lt;=2,"Highly Concentrated",
 IF(HS_DB[[#This Row],[Competition Intensity]]&lt;=5,"Moderate",
 "Highly Competitive"))</f>
        <v>Highly Concentrated</v>
      </c>
      <c r="AZ505" s="8">
        <f>HS_DB[[#This Row],[Total Market Size - USD]]
*
(1+IFERROR(#REF!,0))
/
HS_DB[[#This Row],[Competition Intensity]]</f>
        <v>10997982</v>
      </c>
      <c r="BA505" s="8" t="str">
        <f>IF(HS_DB[[#This Row],[Commercial Opportunity Score]]&gt;=PERCENTILE(HS_DB[Commercial Opportunity Score],0.9),"High Opportunity",
 IF(HS_DB[[#This Row],[Commercial Opportunity Score]]&gt;=PERCENTILE(HS_DB[Commercial Opportunity Score],0.6),"Medium Opportunity",
 "Routine Market"))</f>
        <v>Routine Market</v>
      </c>
      <c r="BB505" s="3" t="str">
        <f>IF(AND(HS_DB[[#This Row],[Product Rank]]&gt;0,HS_DB[[#This Row],[Product Rank]]&lt;=10),"Yes","No")</f>
        <v>No</v>
      </c>
      <c r="BC505" s="3" t="str">
        <f>IF(AND(HS_DB[[#This Row],[Origin Rank]]&gt;0,HS_DB[[#This Row],[Origin Rank]]&lt;=10),"Yes","No")</f>
        <v>No</v>
      </c>
    </row>
    <row r="506" spans="2:55" x14ac:dyDescent="0.3">
      <c r="B506" s="2">
        <f>HS_DB[[#This Row],[Commodity Code]]</f>
        <v>283630</v>
      </c>
      <c r="C506" s="2">
        <f>IFERROR(INDEX(HS_MD!C:C,MATCH(B506,HS_MD!B:B,0),1),"")</f>
        <v>42</v>
      </c>
      <c r="D506" s="17" t="str">
        <f>IFERROR(INDEX(HS_MD!D:D,MATCH(B506,HS_MD!B:B,0),1),"")</f>
        <v>Sodium bicarbonate</v>
      </c>
      <c r="E506" s="17" t="str">
        <f>IFERROR(INDEX(HS_MD!E:E,MATCH(B506,HS_MD!B:B,0),1),"")</f>
        <v>Sodium Bicarbonate</v>
      </c>
      <c r="F506" s="17" t="str">
        <f>IFERROR(INDEX(HS_MD!F:F,MATCH(B506,HS_MD!B:B,0),1),"")</f>
        <v>Food Ingredients</v>
      </c>
      <c r="G506" s="17" t="str">
        <f>IFERROR(INDEX(HS_MD!G:G,MATCH(B506,HS_MD!B:B,0),1),"")</f>
        <v>Leavening Agents</v>
      </c>
      <c r="H506" s="17" t="str">
        <f>IFERROR(INDEX(HS_MD!H:H,MATCH(B506,HS_MD!B:B,0),1),"")</f>
        <v>Baking Soda</v>
      </c>
      <c r="I506" s="17" t="str">
        <f>IFERROR(INDEX(HS_MD!I:I,MATCH(B506,HS_MD!B:B,0),1),"")</f>
        <v>Bakery / Snacks</v>
      </c>
      <c r="J506" s="17">
        <f>IFERROR(INDEX(Heat_Map[Index],MATCH(HS_DB[[#This Row],[Reporter]],Heat_Map[Global],0),1),"")</f>
        <v>118</v>
      </c>
      <c r="K506" s="17" t="str">
        <f>IF(AND(HS_DB[[#This Row],[Origin Rank]]&gt;1,HS_DB[[#This Row],[Origin Rank]]&lt;=10),"Yes","No")</f>
        <v>No</v>
      </c>
      <c r="L506" s="2">
        <v>2024</v>
      </c>
      <c r="M506" s="2" t="s">
        <v>57</v>
      </c>
      <c r="N506" s="2" t="s">
        <v>53</v>
      </c>
      <c r="O506" s="2" t="s">
        <v>22</v>
      </c>
      <c r="P506" s="2" t="s">
        <v>23</v>
      </c>
      <c r="Q506" s="2" t="s">
        <v>24</v>
      </c>
      <c r="R506" s="2" t="s">
        <v>25</v>
      </c>
      <c r="S506" s="2">
        <v>283630</v>
      </c>
      <c r="T506" s="3">
        <v>246</v>
      </c>
      <c r="U506" s="3">
        <v>126</v>
      </c>
      <c r="V506" s="3">
        <v>0</v>
      </c>
      <c r="W506" s="3">
        <v>126</v>
      </c>
      <c r="X506" s="3" t="s">
        <v>58</v>
      </c>
      <c r="Y506" s="3">
        <v>126</v>
      </c>
      <c r="Z506" s="3" t="s">
        <v>58</v>
      </c>
      <c r="AA506" s="6">
        <f>SUMIFS(HS_DB[Trade Value - USD],HS_DB[Reporter],HS_DB[[#This Row],[Reporter]])/SUM(HS_DB[Trade Value - USD])</f>
        <v>1.4561232389604124E-2</v>
      </c>
      <c r="AB506" s="8" cm="1">
        <f t="array" ref="AB506">SUMPRODUCT(
(HS_DB[Reporter]=HS_DB[[#This Row],[Reporter]])*
(HS_DB[Trade Value - USD]&gt;HS_DB[[#This Row],[Trade Value - USD]])
)+1</f>
        <v>31</v>
      </c>
      <c r="AC506" s="8" t="str">
        <f>IFERROR(IF(INDEX(Heat_Map[Crisis Impact %],MATCH(HS_DB[[#This Row],[Reporter]],Heat_Map[Global],0),1)&gt;0,"Yes","No"),"No")</f>
        <v>No</v>
      </c>
      <c r="AD506" s="6">
        <f>IFERROR(INDEX(Heat_Map[Crisis Impact %],MATCH(HS_DB[[#This Row],[Reporter]],Heat_Map[Global],0),1),0)</f>
        <v>0</v>
      </c>
      <c r="AE506" s="8">
        <f>HS_DB[[#This Row],[Crisis Impact%]]*HS_DB[[#This Row],[Trade Value - USD]]</f>
        <v>0</v>
      </c>
      <c r="AF506" s="8">
        <f>HS_DB[[#This Row],[Crisis Impact%]]*HS_DB[[#This Row],[Net Weight -KG]]</f>
        <v>0</v>
      </c>
      <c r="AG506" s="6">
        <f>SUMIFS(HS_DB[Trade Value - USD],HS_DB[Products],HS_DB[[#This Row],[Products]])/SUM(HS_DB[Trade Value - USD])</f>
        <v>5.8344475008376964E-3</v>
      </c>
      <c r="AH506" s="8">
        <f>_xlfn.RANK.EQ(HS_DB[[#This Row],[Trade Value - USD]], HS_DB[Trade Value - USD], 0)
 + COUNTIFS(HS_DB[Trade Value - USD],HS_DB[[#This Row],[Trade Value - USD]],
            HS_DB[HS Code],"&lt;"&amp;HS_DB[[#This Row],[HS Code]])</f>
        <v>506</v>
      </c>
      <c r="AI506" s="9">
        <f>IFERROR(HS_DB[[#This Row],[Trade Value - USD]]/HS_DB[[#This Row],[Net Weight -KG]],0)</f>
        <v>1.9523809523809523</v>
      </c>
      <c r="AJ506" s="17" cm="1">
        <f t="array" ref="AJ506">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506" s="17" t="str">
        <f>IF(HS_DB[[#This Row],[HS Code Risk Score]]&gt;=40,"High",
 IF(HS_DB[[#This Row],[HS Code Risk Score]]&gt;=25,"Medium","Low"))</f>
        <v>Medium</v>
      </c>
      <c r="AL506" s="17" t="str">
        <f>IF(RANK(HS_DB[[#This Row],[HS Code Risk Score]],HS_DB[HS Code Risk Score])&lt;=10,"Yes","No")</f>
        <v>No</v>
      </c>
      <c r="AM506" s="8">
        <f>SUMIFS(HS_DB[Net Weight -KG],HS_DB[HS Code],HS_DB[[#This Row],[HS Code]])</f>
        <v>34391318.399999999</v>
      </c>
      <c r="AN506" s="8">
        <f>SUMIFS(HS_DB[Trade Value - USD],HS_DB[HS Code],HS_DB[[#This Row],[HS Code]])</f>
        <v>10997982</v>
      </c>
      <c r="AO506" s="6">
        <f>_xlfn.MAXIFS(HS_DB[Origin Share%],HS_DB[HS Code],HS_DB[[#This Row],[HS Code]])</f>
        <v>6.321329281187793E-2</v>
      </c>
      <c r="AP506" s="8" cm="1">
        <f t="array" ref="AP506">_xlfn.LET(
_xlpm.hs,HS_DB[[#This Row],[HS Code]],
COUNTA(_xlfn.UNIQUE(_xlfn._xlws.FILTER(HS_DB[Reporter],HS_DB[HS Code]=_xlpm.hs)))
)</f>
        <v>13</v>
      </c>
      <c r="AQ506" s="17" t="str">
        <f>IF(HS_DB[[#This Row],[Origin Count]]=1,"Single Source","Multiple Sources")</f>
        <v>Multiple Sources</v>
      </c>
      <c r="AR506" s="8">
        <f>HS_DB[[#This Row],[Annual Spend - USD]]*(HS_DB[[#This Row],[HS Code Risk Score]]/100)</f>
        <v>3739313.8800000004</v>
      </c>
      <c r="AS506" s="8">
        <f>RANK(HS_DB[[#This Row],[Risk Exposure - USD]],HS_DB[Risk Exposure - USD],0)</f>
        <v>291</v>
      </c>
      <c r="AT506" s="8" t="str">
        <f>IF(HS_DB[[#This Row],[Risk Exposure Rank]]&lt;=10,"High",
 IF(HS_DB[[#This Row],[Risk Exposure Rank]]&lt;=30,"Medium",
 "Low"))</f>
        <v>Low</v>
      </c>
      <c r="AU506" s="8" t="str">
        <f>IF(HS_DB[[#This Row],[Risk Exposure Rank]]&lt;=5,"Immediate Action",
 IF(HS_DB[[#This Row],[Risk Exposure Rank]]&lt;=15,"Monitor Closely",
 "Routine Control"))</f>
        <v>Routine Control</v>
      </c>
      <c r="AV506" s="8">
        <f>SUMIFS(HS_DB[Trade Value - USD],HS_DB[HS Code],HS_DB[[#This Row],[HS Code]])</f>
        <v>10997982</v>
      </c>
      <c r="AW506" s="6">
        <f>HS_DB[[#This Row],[Annual Spend - USD]]/HS_DB[[#This Row],[Total Market Size - USD]]</f>
        <v>1</v>
      </c>
      <c r="AX506" s="6" cm="1">
        <f t="array" ref="AX506">COUNTA(_xlfn.UNIQUE(_xlfn._xlws.FILTER(HS_DB[Partner],HS_DB[HS Code]=HS_DB[[#This Row],[HS Code]])))</f>
        <v>1</v>
      </c>
      <c r="AY506" s="8" t="str">
        <f>IF(HS_DB[[#This Row],[Competition Intensity]]&lt;=2,"Highly Concentrated",
 IF(HS_DB[[#This Row],[Competition Intensity]]&lt;=5,"Moderate",
 "Highly Competitive"))</f>
        <v>Highly Concentrated</v>
      </c>
      <c r="AZ506" s="8">
        <f>HS_DB[[#This Row],[Total Market Size - USD]]
*
(1+IFERROR(#REF!,0))
/
HS_DB[[#This Row],[Competition Intensity]]</f>
        <v>10997982</v>
      </c>
      <c r="BA506" s="8" t="str">
        <f>IF(HS_DB[[#This Row],[Commercial Opportunity Score]]&gt;=PERCENTILE(HS_DB[Commercial Opportunity Score],0.9),"High Opportunity",
 IF(HS_DB[[#This Row],[Commercial Opportunity Score]]&gt;=PERCENTILE(HS_DB[Commercial Opportunity Score],0.6),"Medium Opportunity",
 "Routine Market"))</f>
        <v>Routine Market</v>
      </c>
      <c r="BB506" s="3" t="str">
        <f>IF(AND(HS_DB[[#This Row],[Product Rank]]&gt;0,HS_DB[[#This Row],[Product Rank]]&lt;=10),"Yes","No")</f>
        <v>No</v>
      </c>
      <c r="BC506" s="3" t="str">
        <f>IF(AND(HS_DB[[#This Row],[Origin Rank]]&gt;0,HS_DB[[#This Row],[Origin Rank]]&lt;=10),"Yes","No")</f>
        <v>No</v>
      </c>
    </row>
    <row r="507" spans="2:55" x14ac:dyDescent="0.3">
      <c r="B507" s="2">
        <f>HS_DB[[#This Row],[Commodity Code]]</f>
        <v>283630</v>
      </c>
      <c r="C507" s="2">
        <f>IFERROR(INDEX(HS_MD!C:C,MATCH(B507,HS_MD!B:B,0),1),"")</f>
        <v>42</v>
      </c>
      <c r="D507" s="17" t="str">
        <f>IFERROR(INDEX(HS_MD!D:D,MATCH(B507,HS_MD!B:B,0),1),"")</f>
        <v>Sodium bicarbonate</v>
      </c>
      <c r="E507" s="17" t="str">
        <f>IFERROR(INDEX(HS_MD!E:E,MATCH(B507,HS_MD!B:B,0),1),"")</f>
        <v>Sodium Bicarbonate</v>
      </c>
      <c r="F507" s="17" t="str">
        <f>IFERROR(INDEX(HS_MD!F:F,MATCH(B507,HS_MD!B:B,0),1),"")</f>
        <v>Food Ingredients</v>
      </c>
      <c r="G507" s="17" t="str">
        <f>IFERROR(INDEX(HS_MD!G:G,MATCH(B507,HS_MD!B:B,0),1),"")</f>
        <v>Leavening Agents</v>
      </c>
      <c r="H507" s="17" t="str">
        <f>IFERROR(INDEX(HS_MD!H:H,MATCH(B507,HS_MD!B:B,0),1),"")</f>
        <v>Baking Soda</v>
      </c>
      <c r="I507" s="17" t="str">
        <f>IFERROR(INDEX(HS_MD!I:I,MATCH(B507,HS_MD!B:B,0),1),"")</f>
        <v>Bakery / Snacks</v>
      </c>
      <c r="J507" s="17">
        <f>IFERROR(INDEX(Heat_Map[Index],MATCH(HS_DB[[#This Row],[Reporter]],Heat_Map[Global],0),1),"")</f>
        <v>75</v>
      </c>
      <c r="K507" s="17" t="str">
        <f>IF(AND(HS_DB[[#This Row],[Origin Rank]]&gt;1,HS_DB[[#This Row],[Origin Rank]]&lt;=10),"Yes","No")</f>
        <v>No</v>
      </c>
      <c r="L507" s="2">
        <v>2024</v>
      </c>
      <c r="M507" s="2" t="s">
        <v>57</v>
      </c>
      <c r="N507" s="2" t="s">
        <v>8</v>
      </c>
      <c r="O507" s="2" t="s">
        <v>22</v>
      </c>
      <c r="P507" s="2" t="s">
        <v>23</v>
      </c>
      <c r="Q507" s="2" t="s">
        <v>24</v>
      </c>
      <c r="R507" s="2" t="s">
        <v>25</v>
      </c>
      <c r="S507" s="2">
        <v>283630</v>
      </c>
      <c r="T507" s="3">
        <v>143376</v>
      </c>
      <c r="U507" s="3">
        <v>203350</v>
      </c>
      <c r="V507" s="3">
        <v>0</v>
      </c>
      <c r="W507" s="3">
        <v>203350</v>
      </c>
      <c r="X507" s="3" t="s">
        <v>58</v>
      </c>
      <c r="Y507" s="3">
        <v>203350</v>
      </c>
      <c r="Z507" s="3" t="s">
        <v>58</v>
      </c>
      <c r="AA507" s="6">
        <f>SUMIFS(HS_DB[Trade Value - USD],HS_DB[Reporter],HS_DB[[#This Row],[Reporter]])/SUM(HS_DB[Trade Value - USD])</f>
        <v>2.2441761060335613E-2</v>
      </c>
      <c r="AB507" s="8" cm="1">
        <f t="array" ref="AB507">SUMPRODUCT(
(HS_DB[Reporter]=HS_DB[[#This Row],[Reporter]])*
(HS_DB[Trade Value - USD]&gt;HS_DB[[#This Row],[Trade Value - USD]])
)+1</f>
        <v>21</v>
      </c>
      <c r="AC507" s="8" t="str">
        <f>IFERROR(IF(INDEX(Heat_Map[Crisis Impact %],MATCH(HS_DB[[#This Row],[Reporter]],Heat_Map[Global],0),1)&gt;0,"Yes","No"),"No")</f>
        <v>No</v>
      </c>
      <c r="AD507" s="6">
        <f>IFERROR(INDEX(Heat_Map[Crisis Impact %],MATCH(HS_DB[[#This Row],[Reporter]],Heat_Map[Global],0),1),0)</f>
        <v>0</v>
      </c>
      <c r="AE507" s="8">
        <f>HS_DB[[#This Row],[Crisis Impact%]]*HS_DB[[#This Row],[Trade Value - USD]]</f>
        <v>0</v>
      </c>
      <c r="AF507" s="8">
        <f>HS_DB[[#This Row],[Crisis Impact%]]*HS_DB[[#This Row],[Net Weight -KG]]</f>
        <v>0</v>
      </c>
      <c r="AG507" s="6">
        <f>SUMIFS(HS_DB[Trade Value - USD],HS_DB[Products],HS_DB[[#This Row],[Products]])/SUM(HS_DB[Trade Value - USD])</f>
        <v>5.8344475008376964E-3</v>
      </c>
      <c r="AH507" s="8">
        <f>_xlfn.RANK.EQ(HS_DB[[#This Row],[Trade Value - USD]], HS_DB[Trade Value - USD], 0)
 + COUNTIFS(HS_DB[Trade Value - USD],HS_DB[[#This Row],[Trade Value - USD]],
            HS_DB[HS Code],"&lt;"&amp;HS_DB[[#This Row],[HS Code]])</f>
        <v>251</v>
      </c>
      <c r="AI507" s="9">
        <f>IFERROR(HS_DB[[#This Row],[Trade Value - USD]]/HS_DB[[#This Row],[Net Weight -KG]],0)</f>
        <v>0.70507007622326034</v>
      </c>
      <c r="AJ507" s="17" cm="1">
        <f t="array" ref="AJ507">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507" s="17" t="str">
        <f>IF(HS_DB[[#This Row],[HS Code Risk Score]]&gt;=40,"High",
 IF(HS_DB[[#This Row],[HS Code Risk Score]]&gt;=25,"Medium","Low"))</f>
        <v>Medium</v>
      </c>
      <c r="AL507" s="17" t="str">
        <f>IF(RANK(HS_DB[[#This Row],[HS Code Risk Score]],HS_DB[HS Code Risk Score])&lt;=10,"Yes","No")</f>
        <v>No</v>
      </c>
      <c r="AM507" s="8">
        <f>SUMIFS(HS_DB[Net Weight -KG],HS_DB[HS Code],HS_DB[[#This Row],[HS Code]])</f>
        <v>34391318.399999999</v>
      </c>
      <c r="AN507" s="8">
        <f>SUMIFS(HS_DB[Trade Value - USD],HS_DB[HS Code],HS_DB[[#This Row],[HS Code]])</f>
        <v>10997982</v>
      </c>
      <c r="AO507" s="6">
        <f>_xlfn.MAXIFS(HS_DB[Origin Share%],HS_DB[HS Code],HS_DB[[#This Row],[HS Code]])</f>
        <v>6.321329281187793E-2</v>
      </c>
      <c r="AP507" s="8" cm="1">
        <f t="array" ref="AP507">_xlfn.LET(
_xlpm.hs,HS_DB[[#This Row],[HS Code]],
COUNTA(_xlfn.UNIQUE(_xlfn._xlws.FILTER(HS_DB[Reporter],HS_DB[HS Code]=_xlpm.hs)))
)</f>
        <v>13</v>
      </c>
      <c r="AQ507" s="17" t="str">
        <f>IF(HS_DB[[#This Row],[Origin Count]]=1,"Single Source","Multiple Sources")</f>
        <v>Multiple Sources</v>
      </c>
      <c r="AR507" s="8">
        <f>HS_DB[[#This Row],[Annual Spend - USD]]*(HS_DB[[#This Row],[HS Code Risk Score]]/100)</f>
        <v>3739313.8800000004</v>
      </c>
      <c r="AS507" s="8">
        <f>RANK(HS_DB[[#This Row],[Risk Exposure - USD]],HS_DB[Risk Exposure - USD],0)</f>
        <v>291</v>
      </c>
      <c r="AT507" s="8" t="str">
        <f>IF(HS_DB[[#This Row],[Risk Exposure Rank]]&lt;=10,"High",
 IF(HS_DB[[#This Row],[Risk Exposure Rank]]&lt;=30,"Medium",
 "Low"))</f>
        <v>Low</v>
      </c>
      <c r="AU507" s="8" t="str">
        <f>IF(HS_DB[[#This Row],[Risk Exposure Rank]]&lt;=5,"Immediate Action",
 IF(HS_DB[[#This Row],[Risk Exposure Rank]]&lt;=15,"Monitor Closely",
 "Routine Control"))</f>
        <v>Routine Control</v>
      </c>
      <c r="AV507" s="8">
        <f>SUMIFS(HS_DB[Trade Value - USD],HS_DB[HS Code],HS_DB[[#This Row],[HS Code]])</f>
        <v>10997982</v>
      </c>
      <c r="AW507" s="6">
        <f>HS_DB[[#This Row],[Annual Spend - USD]]/HS_DB[[#This Row],[Total Market Size - USD]]</f>
        <v>1</v>
      </c>
      <c r="AX507" s="6" cm="1">
        <f t="array" ref="AX507">COUNTA(_xlfn.UNIQUE(_xlfn._xlws.FILTER(HS_DB[Partner],HS_DB[HS Code]=HS_DB[[#This Row],[HS Code]])))</f>
        <v>1</v>
      </c>
      <c r="AY507" s="8" t="str">
        <f>IF(HS_DB[[#This Row],[Competition Intensity]]&lt;=2,"Highly Concentrated",
 IF(HS_DB[[#This Row],[Competition Intensity]]&lt;=5,"Moderate",
 "Highly Competitive"))</f>
        <v>Highly Concentrated</v>
      </c>
      <c r="AZ507" s="8">
        <f>HS_DB[[#This Row],[Total Market Size - USD]]
*
(1+IFERROR(#REF!,0))
/
HS_DB[[#This Row],[Competition Intensity]]</f>
        <v>10997982</v>
      </c>
      <c r="BA507" s="8" t="str">
        <f>IF(HS_DB[[#This Row],[Commercial Opportunity Score]]&gt;=PERCENTILE(HS_DB[Commercial Opportunity Score],0.9),"High Opportunity",
 IF(HS_DB[[#This Row],[Commercial Opportunity Score]]&gt;=PERCENTILE(HS_DB[Commercial Opportunity Score],0.6),"Medium Opportunity",
 "Routine Market"))</f>
        <v>Routine Market</v>
      </c>
      <c r="BB507" s="3" t="str">
        <f>IF(AND(HS_DB[[#This Row],[Product Rank]]&gt;0,HS_DB[[#This Row],[Product Rank]]&lt;=10),"Yes","No")</f>
        <v>No</v>
      </c>
      <c r="BC507" s="3" t="str">
        <f>IF(AND(HS_DB[[#This Row],[Origin Rank]]&gt;0,HS_DB[[#This Row],[Origin Rank]]&lt;=10),"Yes","No")</f>
        <v>No</v>
      </c>
    </row>
    <row r="508" spans="2:55" x14ac:dyDescent="0.3">
      <c r="B508" s="2">
        <f>HS_DB[[#This Row],[Commodity Code]]</f>
        <v>283630</v>
      </c>
      <c r="C508" s="2">
        <f>IFERROR(INDEX(HS_MD!C:C,MATCH(B508,HS_MD!B:B,0),1),"")</f>
        <v>42</v>
      </c>
      <c r="D508" s="17" t="str">
        <f>IFERROR(INDEX(HS_MD!D:D,MATCH(B508,HS_MD!B:B,0),1),"")</f>
        <v>Sodium bicarbonate</v>
      </c>
      <c r="E508" s="17" t="str">
        <f>IFERROR(INDEX(HS_MD!E:E,MATCH(B508,HS_MD!B:B,0),1),"")</f>
        <v>Sodium Bicarbonate</v>
      </c>
      <c r="F508" s="17" t="str">
        <f>IFERROR(INDEX(HS_MD!F:F,MATCH(B508,HS_MD!B:B,0),1),"")</f>
        <v>Food Ingredients</v>
      </c>
      <c r="G508" s="17" t="str">
        <f>IFERROR(INDEX(HS_MD!G:G,MATCH(B508,HS_MD!B:B,0),1),"")</f>
        <v>Leavening Agents</v>
      </c>
      <c r="H508" s="17" t="str">
        <f>IFERROR(INDEX(HS_MD!H:H,MATCH(B508,HS_MD!B:B,0),1),"")</f>
        <v>Baking Soda</v>
      </c>
      <c r="I508" s="17" t="str">
        <f>IFERROR(INDEX(HS_MD!I:I,MATCH(B508,HS_MD!B:B,0),1),"")</f>
        <v>Bakery / Snacks</v>
      </c>
      <c r="J508" s="17">
        <f>IFERROR(INDEX(Heat_Map[Index],MATCH(HS_DB[[#This Row],[Reporter]],Heat_Map[Global],0),1),"")</f>
        <v>151</v>
      </c>
      <c r="K508" s="17" t="str">
        <f>IF(AND(HS_DB[[#This Row],[Origin Rank]]&gt;1,HS_DB[[#This Row],[Origin Rank]]&lt;=10),"Yes","No")</f>
        <v>No</v>
      </c>
      <c r="L508" s="2">
        <v>2024</v>
      </c>
      <c r="M508" s="2" t="s">
        <v>57</v>
      </c>
      <c r="N508" s="2" t="s">
        <v>28</v>
      </c>
      <c r="O508" s="2" t="s">
        <v>22</v>
      </c>
      <c r="P508" s="2" t="s">
        <v>23</v>
      </c>
      <c r="Q508" s="2" t="s">
        <v>24</v>
      </c>
      <c r="R508" s="2" t="s">
        <v>25</v>
      </c>
      <c r="S508" s="2">
        <v>283630</v>
      </c>
      <c r="T508" s="3">
        <v>1243565</v>
      </c>
      <c r="U508" s="3">
        <v>1801830</v>
      </c>
      <c r="V508" s="3">
        <v>0</v>
      </c>
      <c r="W508" s="3">
        <v>1801830</v>
      </c>
      <c r="X508" s="3" t="s">
        <v>58</v>
      </c>
      <c r="Y508" s="3">
        <v>1801830</v>
      </c>
      <c r="Z508" s="3" t="s">
        <v>58</v>
      </c>
      <c r="AA508" s="6">
        <f>SUMIFS(HS_DB[Trade Value - USD],HS_DB[Reporter],HS_DB[[#This Row],[Reporter]])/SUM(HS_DB[Trade Value - USD])</f>
        <v>8.2796770445636432E-4</v>
      </c>
      <c r="AB508" s="8" cm="1">
        <f t="array" ref="AB508">SUMPRODUCT(
(HS_DB[Reporter]=HS_DB[[#This Row],[Reporter]])*
(HS_DB[Trade Value - USD]&gt;HS_DB[[#This Row],[Trade Value - USD]])
)+1</f>
        <v>1</v>
      </c>
      <c r="AC508" s="8" t="str">
        <f>IFERROR(IF(INDEX(Heat_Map[Crisis Impact %],MATCH(HS_DB[[#This Row],[Reporter]],Heat_Map[Global],0),1)&gt;0,"Yes","No"),"No")</f>
        <v>Yes</v>
      </c>
      <c r="AD508" s="6">
        <f>IFERROR(INDEX(Heat_Map[Crisis Impact %],MATCH(HS_DB[[#This Row],[Reporter]],Heat_Map[Global],0),1),0)</f>
        <v>0.06</v>
      </c>
      <c r="AE508" s="8">
        <f>HS_DB[[#This Row],[Crisis Impact%]]*HS_DB[[#This Row],[Trade Value - USD]]</f>
        <v>74613.899999999994</v>
      </c>
      <c r="AF508" s="8">
        <f>HS_DB[[#This Row],[Crisis Impact%]]*HS_DB[[#This Row],[Net Weight -KG]]</f>
        <v>108109.8</v>
      </c>
      <c r="AG508" s="6">
        <f>SUMIFS(HS_DB[Trade Value - USD],HS_DB[Products],HS_DB[[#This Row],[Products]])/SUM(HS_DB[Trade Value - USD])</f>
        <v>5.8344475008376964E-3</v>
      </c>
      <c r="AH508" s="8">
        <f>_xlfn.RANK.EQ(HS_DB[[#This Row],[Trade Value - USD]], HS_DB[Trade Value - USD], 0)
 + COUNTIFS(HS_DB[Trade Value - USD],HS_DB[[#This Row],[Trade Value - USD]],
            HS_DB[HS Code],"&lt;"&amp;HS_DB[[#This Row],[HS Code]])</f>
        <v>89</v>
      </c>
      <c r="AI508" s="9">
        <f>IFERROR(HS_DB[[#This Row],[Trade Value - USD]]/HS_DB[[#This Row],[Net Weight -KG]],0)</f>
        <v>0.69016777387433892</v>
      </c>
      <c r="AJ508" s="17" cm="1">
        <f t="array" ref="AJ508">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508" s="17" t="str">
        <f>IF(HS_DB[[#This Row],[HS Code Risk Score]]&gt;=40,"High",
 IF(HS_DB[[#This Row],[HS Code Risk Score]]&gt;=25,"Medium","Low"))</f>
        <v>Medium</v>
      </c>
      <c r="AL508" s="17" t="str">
        <f>IF(RANK(HS_DB[[#This Row],[HS Code Risk Score]],HS_DB[HS Code Risk Score])&lt;=10,"Yes","No")</f>
        <v>No</v>
      </c>
      <c r="AM508" s="8">
        <f>SUMIFS(HS_DB[Net Weight -KG],HS_DB[HS Code],HS_DB[[#This Row],[HS Code]])</f>
        <v>34391318.399999999</v>
      </c>
      <c r="AN508" s="8">
        <f>SUMIFS(HS_DB[Trade Value - USD],HS_DB[HS Code],HS_DB[[#This Row],[HS Code]])</f>
        <v>10997982</v>
      </c>
      <c r="AO508" s="6">
        <f>_xlfn.MAXIFS(HS_DB[Origin Share%],HS_DB[HS Code],HS_DB[[#This Row],[HS Code]])</f>
        <v>6.321329281187793E-2</v>
      </c>
      <c r="AP508" s="8" cm="1">
        <f t="array" ref="AP508">_xlfn.LET(
_xlpm.hs,HS_DB[[#This Row],[HS Code]],
COUNTA(_xlfn.UNIQUE(_xlfn._xlws.FILTER(HS_DB[Reporter],HS_DB[HS Code]=_xlpm.hs)))
)</f>
        <v>13</v>
      </c>
      <c r="AQ508" s="17" t="str">
        <f>IF(HS_DB[[#This Row],[Origin Count]]=1,"Single Source","Multiple Sources")</f>
        <v>Multiple Sources</v>
      </c>
      <c r="AR508" s="8">
        <f>HS_DB[[#This Row],[Annual Spend - USD]]*(HS_DB[[#This Row],[HS Code Risk Score]]/100)</f>
        <v>3739313.8800000004</v>
      </c>
      <c r="AS508" s="8">
        <f>RANK(HS_DB[[#This Row],[Risk Exposure - USD]],HS_DB[Risk Exposure - USD],0)</f>
        <v>291</v>
      </c>
      <c r="AT508" s="8" t="str">
        <f>IF(HS_DB[[#This Row],[Risk Exposure Rank]]&lt;=10,"High",
 IF(HS_DB[[#This Row],[Risk Exposure Rank]]&lt;=30,"Medium",
 "Low"))</f>
        <v>Low</v>
      </c>
      <c r="AU508" s="8" t="str">
        <f>IF(HS_DB[[#This Row],[Risk Exposure Rank]]&lt;=5,"Immediate Action",
 IF(HS_DB[[#This Row],[Risk Exposure Rank]]&lt;=15,"Monitor Closely",
 "Routine Control"))</f>
        <v>Routine Control</v>
      </c>
      <c r="AV508" s="8">
        <f>SUMIFS(HS_DB[Trade Value - USD],HS_DB[HS Code],HS_DB[[#This Row],[HS Code]])</f>
        <v>10997982</v>
      </c>
      <c r="AW508" s="6">
        <f>HS_DB[[#This Row],[Annual Spend - USD]]/HS_DB[[#This Row],[Total Market Size - USD]]</f>
        <v>1</v>
      </c>
      <c r="AX508" s="6" cm="1">
        <f t="array" ref="AX508">COUNTA(_xlfn.UNIQUE(_xlfn._xlws.FILTER(HS_DB[Partner],HS_DB[HS Code]=HS_DB[[#This Row],[HS Code]])))</f>
        <v>1</v>
      </c>
      <c r="AY508" s="8" t="str">
        <f>IF(HS_DB[[#This Row],[Competition Intensity]]&lt;=2,"Highly Concentrated",
 IF(HS_DB[[#This Row],[Competition Intensity]]&lt;=5,"Moderate",
 "Highly Competitive"))</f>
        <v>Highly Concentrated</v>
      </c>
      <c r="AZ508" s="8">
        <f>HS_DB[[#This Row],[Total Market Size - USD]]
*
(1+IFERROR(#REF!,0))
/
HS_DB[[#This Row],[Competition Intensity]]</f>
        <v>10997982</v>
      </c>
      <c r="BA508" s="8" t="str">
        <f>IF(HS_DB[[#This Row],[Commercial Opportunity Score]]&gt;=PERCENTILE(HS_DB[Commercial Opportunity Score],0.9),"High Opportunity",
 IF(HS_DB[[#This Row],[Commercial Opportunity Score]]&gt;=PERCENTILE(HS_DB[Commercial Opportunity Score],0.6),"Medium Opportunity",
 "Routine Market"))</f>
        <v>Routine Market</v>
      </c>
      <c r="BB508" s="3" t="str">
        <f>IF(AND(HS_DB[[#This Row],[Product Rank]]&gt;0,HS_DB[[#This Row],[Product Rank]]&lt;=10),"Yes","No")</f>
        <v>No</v>
      </c>
      <c r="BC508" s="3" t="str">
        <f>IF(AND(HS_DB[[#This Row],[Origin Rank]]&gt;0,HS_DB[[#This Row],[Origin Rank]]&lt;=10),"Yes","No")</f>
        <v>Yes</v>
      </c>
    </row>
    <row r="509" spans="2:55" x14ac:dyDescent="0.3">
      <c r="B509" s="2">
        <f>HS_DB[[#This Row],[Commodity Code]]</f>
        <v>283630</v>
      </c>
      <c r="C509" s="2">
        <f>IFERROR(INDEX(HS_MD!C:C,MATCH(B509,HS_MD!B:B,0),1),"")</f>
        <v>42</v>
      </c>
      <c r="D509" s="17" t="str">
        <f>IFERROR(INDEX(HS_MD!D:D,MATCH(B509,HS_MD!B:B,0),1),"")</f>
        <v>Sodium bicarbonate</v>
      </c>
      <c r="E509" s="17" t="str">
        <f>IFERROR(INDEX(HS_MD!E:E,MATCH(B509,HS_MD!B:B,0),1),"")</f>
        <v>Sodium Bicarbonate</v>
      </c>
      <c r="F509" s="17" t="str">
        <f>IFERROR(INDEX(HS_MD!F:F,MATCH(B509,HS_MD!B:B,0),1),"")</f>
        <v>Food Ingredients</v>
      </c>
      <c r="G509" s="17" t="str">
        <f>IFERROR(INDEX(HS_MD!G:G,MATCH(B509,HS_MD!B:B,0),1),"")</f>
        <v>Leavening Agents</v>
      </c>
      <c r="H509" s="17" t="str">
        <f>IFERROR(INDEX(HS_MD!H:H,MATCH(B509,HS_MD!B:B,0),1),"")</f>
        <v>Baking Soda</v>
      </c>
      <c r="I509" s="17" t="str">
        <f>IFERROR(INDEX(HS_MD!I:I,MATCH(B509,HS_MD!B:B,0),1),"")</f>
        <v>Bakery / Snacks</v>
      </c>
      <c r="J509" s="17">
        <f>IFERROR(INDEX(Heat_Map[Index],MATCH(HS_DB[[#This Row],[Reporter]],Heat_Map[Global],0),1),"")</f>
        <v>169</v>
      </c>
      <c r="K509" s="17" t="str">
        <f>IF(AND(HS_DB[[#This Row],[Origin Rank]]&gt;1,HS_DB[[#This Row],[Origin Rank]]&lt;=10),"Yes","No")</f>
        <v>Yes</v>
      </c>
      <c r="L509" s="2">
        <v>2024</v>
      </c>
      <c r="M509" s="2" t="s">
        <v>57</v>
      </c>
      <c r="N509" s="2" t="s">
        <v>33</v>
      </c>
      <c r="O509" s="2" t="s">
        <v>22</v>
      </c>
      <c r="P509" s="2" t="s">
        <v>23</v>
      </c>
      <c r="Q509" s="2" t="s">
        <v>24</v>
      </c>
      <c r="R509" s="2" t="s">
        <v>25</v>
      </c>
      <c r="S509" s="2">
        <v>283630</v>
      </c>
      <c r="T509" s="3">
        <v>28839</v>
      </c>
      <c r="U509" s="3">
        <v>49000</v>
      </c>
      <c r="V509" s="3">
        <v>0</v>
      </c>
      <c r="W509" s="3">
        <v>49000</v>
      </c>
      <c r="X509" s="3" t="s">
        <v>58</v>
      </c>
      <c r="Y509" s="3">
        <v>49000</v>
      </c>
      <c r="Z509" s="3" t="s">
        <v>58</v>
      </c>
      <c r="AA509" s="6">
        <f>SUMIFS(HS_DB[Trade Value - USD],HS_DB[Reporter],HS_DB[[#This Row],[Reporter]])/SUM(HS_DB[Trade Value - USD])</f>
        <v>8.0337630087875059E-4</v>
      </c>
      <c r="AB509" s="8" cm="1">
        <f t="array" ref="AB509">SUMPRODUCT(
(HS_DB[Reporter]=HS_DB[[#This Row],[Reporter]])*
(HS_DB[Trade Value - USD]&gt;HS_DB[[#This Row],[Trade Value - USD]])
)+1</f>
        <v>4</v>
      </c>
      <c r="AC509" s="8" t="str">
        <f>IFERROR(IF(INDEX(Heat_Map[Crisis Impact %],MATCH(HS_DB[[#This Row],[Reporter]],Heat_Map[Global],0),1)&gt;0,"Yes","No"),"No")</f>
        <v>No</v>
      </c>
      <c r="AD509" s="6">
        <f>IFERROR(INDEX(Heat_Map[Crisis Impact %],MATCH(HS_DB[[#This Row],[Reporter]],Heat_Map[Global],0),1),0)</f>
        <v>0</v>
      </c>
      <c r="AE509" s="8">
        <f>HS_DB[[#This Row],[Crisis Impact%]]*HS_DB[[#This Row],[Trade Value - USD]]</f>
        <v>0</v>
      </c>
      <c r="AF509" s="8">
        <f>HS_DB[[#This Row],[Crisis Impact%]]*HS_DB[[#This Row],[Net Weight -KG]]</f>
        <v>0</v>
      </c>
      <c r="AG509" s="6">
        <f>SUMIFS(HS_DB[Trade Value - USD],HS_DB[Products],HS_DB[[#This Row],[Products]])/SUM(HS_DB[Trade Value - USD])</f>
        <v>5.8344475008376964E-3</v>
      </c>
      <c r="AH509" s="8">
        <f>_xlfn.RANK.EQ(HS_DB[[#This Row],[Trade Value - USD]], HS_DB[Trade Value - USD], 0)
 + COUNTIFS(HS_DB[Trade Value - USD],HS_DB[[#This Row],[Trade Value - USD]],
            HS_DB[HS Code],"&lt;"&amp;HS_DB[[#This Row],[HS Code]])</f>
        <v>359</v>
      </c>
      <c r="AI509" s="9">
        <f>IFERROR(HS_DB[[#This Row],[Trade Value - USD]]/HS_DB[[#This Row],[Net Weight -KG]],0)</f>
        <v>0.58855102040816332</v>
      </c>
      <c r="AJ509" s="17" cm="1">
        <f t="array" ref="AJ509">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509" s="17" t="str">
        <f>IF(HS_DB[[#This Row],[HS Code Risk Score]]&gt;=40,"High",
 IF(HS_DB[[#This Row],[HS Code Risk Score]]&gt;=25,"Medium","Low"))</f>
        <v>Medium</v>
      </c>
      <c r="AL509" s="17" t="str">
        <f>IF(RANK(HS_DB[[#This Row],[HS Code Risk Score]],HS_DB[HS Code Risk Score])&lt;=10,"Yes","No")</f>
        <v>No</v>
      </c>
      <c r="AM509" s="8">
        <f>SUMIFS(HS_DB[Net Weight -KG],HS_DB[HS Code],HS_DB[[#This Row],[HS Code]])</f>
        <v>34391318.399999999</v>
      </c>
      <c r="AN509" s="8">
        <f>SUMIFS(HS_DB[Trade Value - USD],HS_DB[HS Code],HS_DB[[#This Row],[HS Code]])</f>
        <v>10997982</v>
      </c>
      <c r="AO509" s="6">
        <f>_xlfn.MAXIFS(HS_DB[Origin Share%],HS_DB[HS Code],HS_DB[[#This Row],[HS Code]])</f>
        <v>6.321329281187793E-2</v>
      </c>
      <c r="AP509" s="8" cm="1">
        <f t="array" ref="AP509">_xlfn.LET(
_xlpm.hs,HS_DB[[#This Row],[HS Code]],
COUNTA(_xlfn.UNIQUE(_xlfn._xlws.FILTER(HS_DB[Reporter],HS_DB[HS Code]=_xlpm.hs)))
)</f>
        <v>13</v>
      </c>
      <c r="AQ509" s="17" t="str">
        <f>IF(HS_DB[[#This Row],[Origin Count]]=1,"Single Source","Multiple Sources")</f>
        <v>Multiple Sources</v>
      </c>
      <c r="AR509" s="8">
        <f>HS_DB[[#This Row],[Annual Spend - USD]]*(HS_DB[[#This Row],[HS Code Risk Score]]/100)</f>
        <v>3739313.8800000004</v>
      </c>
      <c r="AS509" s="8">
        <f>RANK(HS_DB[[#This Row],[Risk Exposure - USD]],HS_DB[Risk Exposure - USD],0)</f>
        <v>291</v>
      </c>
      <c r="AT509" s="8" t="str">
        <f>IF(HS_DB[[#This Row],[Risk Exposure Rank]]&lt;=10,"High",
 IF(HS_DB[[#This Row],[Risk Exposure Rank]]&lt;=30,"Medium",
 "Low"))</f>
        <v>Low</v>
      </c>
      <c r="AU509" s="8" t="str">
        <f>IF(HS_DB[[#This Row],[Risk Exposure Rank]]&lt;=5,"Immediate Action",
 IF(HS_DB[[#This Row],[Risk Exposure Rank]]&lt;=15,"Monitor Closely",
 "Routine Control"))</f>
        <v>Routine Control</v>
      </c>
      <c r="AV509" s="8">
        <f>SUMIFS(HS_DB[Trade Value - USD],HS_DB[HS Code],HS_DB[[#This Row],[HS Code]])</f>
        <v>10997982</v>
      </c>
      <c r="AW509" s="6">
        <f>HS_DB[[#This Row],[Annual Spend - USD]]/HS_DB[[#This Row],[Total Market Size - USD]]</f>
        <v>1</v>
      </c>
      <c r="AX509" s="6" cm="1">
        <f t="array" ref="AX509">COUNTA(_xlfn.UNIQUE(_xlfn._xlws.FILTER(HS_DB[Partner],HS_DB[HS Code]=HS_DB[[#This Row],[HS Code]])))</f>
        <v>1</v>
      </c>
      <c r="AY509" s="8" t="str">
        <f>IF(HS_DB[[#This Row],[Competition Intensity]]&lt;=2,"Highly Concentrated",
 IF(HS_DB[[#This Row],[Competition Intensity]]&lt;=5,"Moderate",
 "Highly Competitive"))</f>
        <v>Highly Concentrated</v>
      </c>
      <c r="AZ509" s="8">
        <f>HS_DB[[#This Row],[Total Market Size - USD]]
*
(1+IFERROR(#REF!,0))
/
HS_DB[[#This Row],[Competition Intensity]]</f>
        <v>10997982</v>
      </c>
      <c r="BA509" s="8" t="str">
        <f>IF(HS_DB[[#This Row],[Commercial Opportunity Score]]&gt;=PERCENTILE(HS_DB[Commercial Opportunity Score],0.9),"High Opportunity",
 IF(HS_DB[[#This Row],[Commercial Opportunity Score]]&gt;=PERCENTILE(HS_DB[Commercial Opportunity Score],0.6),"Medium Opportunity",
 "Routine Market"))</f>
        <v>Routine Market</v>
      </c>
      <c r="BB509" s="3" t="str">
        <f>IF(AND(HS_DB[[#This Row],[Product Rank]]&gt;0,HS_DB[[#This Row],[Product Rank]]&lt;=10),"Yes","No")</f>
        <v>No</v>
      </c>
      <c r="BC509" s="3" t="str">
        <f>IF(AND(HS_DB[[#This Row],[Origin Rank]]&gt;0,HS_DB[[#This Row],[Origin Rank]]&lt;=10),"Yes","No")</f>
        <v>Yes</v>
      </c>
    </row>
    <row r="510" spans="2:55" x14ac:dyDescent="0.3">
      <c r="B510" s="2">
        <f>HS_DB[[#This Row],[Commodity Code]]</f>
        <v>283630</v>
      </c>
      <c r="C510" s="2">
        <f>IFERROR(INDEX(HS_MD!C:C,MATCH(B510,HS_MD!B:B,0),1),"")</f>
        <v>42</v>
      </c>
      <c r="D510" s="17" t="str">
        <f>IFERROR(INDEX(HS_MD!D:D,MATCH(B510,HS_MD!B:B,0),1),"")</f>
        <v>Sodium bicarbonate</v>
      </c>
      <c r="E510" s="17" t="str">
        <f>IFERROR(INDEX(HS_MD!E:E,MATCH(B510,HS_MD!B:B,0),1),"")</f>
        <v>Sodium Bicarbonate</v>
      </c>
      <c r="F510" s="17" t="str">
        <f>IFERROR(INDEX(HS_MD!F:F,MATCH(B510,HS_MD!B:B,0),1),"")</f>
        <v>Food Ingredients</v>
      </c>
      <c r="G510" s="17" t="str">
        <f>IFERROR(INDEX(HS_MD!G:G,MATCH(B510,HS_MD!B:B,0),1),"")</f>
        <v>Leavening Agents</v>
      </c>
      <c r="H510" s="17" t="str">
        <f>IFERROR(INDEX(HS_MD!H:H,MATCH(B510,HS_MD!B:B,0),1),"")</f>
        <v>Baking Soda</v>
      </c>
      <c r="I510" s="17" t="str">
        <f>IFERROR(INDEX(HS_MD!I:I,MATCH(B510,HS_MD!B:B,0),1),"")</f>
        <v>Bakery / Snacks</v>
      </c>
      <c r="J510" s="17">
        <f>IFERROR(INDEX(Heat_Map[Index],MATCH(HS_DB[[#This Row],[Reporter]],Heat_Map[Global],0),1),"")</f>
        <v>175</v>
      </c>
      <c r="K510" s="17" t="str">
        <f>IF(AND(HS_DB[[#This Row],[Origin Rank]]&gt;1,HS_DB[[#This Row],[Origin Rank]]&lt;=10),"Yes","No")</f>
        <v>Yes</v>
      </c>
      <c r="L510" s="2">
        <v>2024</v>
      </c>
      <c r="M510" s="2" t="s">
        <v>57</v>
      </c>
      <c r="N510" s="2" t="s">
        <v>34</v>
      </c>
      <c r="O510" s="2" t="s">
        <v>22</v>
      </c>
      <c r="P510" s="2" t="s">
        <v>23</v>
      </c>
      <c r="Q510" s="2" t="s">
        <v>24</v>
      </c>
      <c r="R510" s="2" t="s">
        <v>25</v>
      </c>
      <c r="S510" s="2">
        <v>283630</v>
      </c>
      <c r="T510" s="3">
        <v>7854516</v>
      </c>
      <c r="U510" s="3">
        <v>29018787</v>
      </c>
      <c r="V510" s="3">
        <v>0</v>
      </c>
      <c r="W510" s="3">
        <v>29018787</v>
      </c>
      <c r="X510" s="3" t="s">
        <v>58</v>
      </c>
      <c r="Y510" s="3">
        <v>29018787</v>
      </c>
      <c r="Z510" s="3" t="s">
        <v>58</v>
      </c>
      <c r="AA510" s="6">
        <f>SUMIFS(HS_DB[Trade Value - USD],HS_DB[Reporter],HS_DB[[#This Row],[Reporter]])/SUM(HS_DB[Trade Value - USD])</f>
        <v>4.7522902002533667E-2</v>
      </c>
      <c r="AB510" s="8" cm="1">
        <f t="array" ref="AB510">SUMPRODUCT(
(HS_DB[Reporter]=HS_DB[[#This Row],[Reporter]])*
(HS_DB[Trade Value - USD]&gt;HS_DB[[#This Row],[Trade Value - USD]])
)+1</f>
        <v>4</v>
      </c>
      <c r="AC510" s="8" t="str">
        <f>IFERROR(IF(INDEX(Heat_Map[Crisis Impact %],MATCH(HS_DB[[#This Row],[Reporter]],Heat_Map[Global],0),1)&gt;0,"Yes","No"),"No")</f>
        <v>Yes</v>
      </c>
      <c r="AD510" s="6">
        <f>IFERROR(INDEX(Heat_Map[Crisis Impact %],MATCH(HS_DB[[#This Row],[Reporter]],Heat_Map[Global],0),1),0)</f>
        <v>0.1</v>
      </c>
      <c r="AE510" s="8">
        <f>HS_DB[[#This Row],[Crisis Impact%]]*HS_DB[[#This Row],[Trade Value - USD]]</f>
        <v>785451.60000000009</v>
      </c>
      <c r="AF510" s="8">
        <f>HS_DB[[#This Row],[Crisis Impact%]]*HS_DB[[#This Row],[Net Weight -KG]]</f>
        <v>2901878.7</v>
      </c>
      <c r="AG510" s="6">
        <f>SUMIFS(HS_DB[Trade Value - USD],HS_DB[Products],HS_DB[[#This Row],[Products]])/SUM(HS_DB[Trade Value - USD])</f>
        <v>5.8344475008376964E-3</v>
      </c>
      <c r="AH510" s="8">
        <f>_xlfn.RANK.EQ(HS_DB[[#This Row],[Trade Value - USD]], HS_DB[Trade Value - USD], 0)
 + COUNTIFS(HS_DB[Trade Value - USD],HS_DB[[#This Row],[Trade Value - USD]],
            HS_DB[HS Code],"&lt;"&amp;HS_DB[[#This Row],[HS Code]])</f>
        <v>22</v>
      </c>
      <c r="AI510" s="9">
        <f>IFERROR(HS_DB[[#This Row],[Trade Value - USD]]/HS_DB[[#This Row],[Net Weight -KG]],0)</f>
        <v>0.27067003179698723</v>
      </c>
      <c r="AJ510" s="17" cm="1">
        <f t="array" ref="AJ510">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510" s="17" t="str">
        <f>IF(HS_DB[[#This Row],[HS Code Risk Score]]&gt;=40,"High",
 IF(HS_DB[[#This Row],[HS Code Risk Score]]&gt;=25,"Medium","Low"))</f>
        <v>Medium</v>
      </c>
      <c r="AL510" s="17" t="str">
        <f>IF(RANK(HS_DB[[#This Row],[HS Code Risk Score]],HS_DB[HS Code Risk Score])&lt;=10,"Yes","No")</f>
        <v>No</v>
      </c>
      <c r="AM510" s="8">
        <f>SUMIFS(HS_DB[Net Weight -KG],HS_DB[HS Code],HS_DB[[#This Row],[HS Code]])</f>
        <v>34391318.399999999</v>
      </c>
      <c r="AN510" s="8">
        <f>SUMIFS(HS_DB[Trade Value - USD],HS_DB[HS Code],HS_DB[[#This Row],[HS Code]])</f>
        <v>10997982</v>
      </c>
      <c r="AO510" s="6">
        <f>_xlfn.MAXIFS(HS_DB[Origin Share%],HS_DB[HS Code],HS_DB[[#This Row],[HS Code]])</f>
        <v>6.321329281187793E-2</v>
      </c>
      <c r="AP510" s="8" cm="1">
        <f t="array" ref="AP510">_xlfn.LET(
_xlpm.hs,HS_DB[[#This Row],[HS Code]],
COUNTA(_xlfn.UNIQUE(_xlfn._xlws.FILTER(HS_DB[Reporter],HS_DB[HS Code]=_xlpm.hs)))
)</f>
        <v>13</v>
      </c>
      <c r="AQ510" s="17" t="str">
        <f>IF(HS_DB[[#This Row],[Origin Count]]=1,"Single Source","Multiple Sources")</f>
        <v>Multiple Sources</v>
      </c>
      <c r="AR510" s="8">
        <f>HS_DB[[#This Row],[Annual Spend - USD]]*(HS_DB[[#This Row],[HS Code Risk Score]]/100)</f>
        <v>3739313.8800000004</v>
      </c>
      <c r="AS510" s="8">
        <f>RANK(HS_DB[[#This Row],[Risk Exposure - USD]],HS_DB[Risk Exposure - USD],0)</f>
        <v>291</v>
      </c>
      <c r="AT510" s="8" t="str">
        <f>IF(HS_DB[[#This Row],[Risk Exposure Rank]]&lt;=10,"High",
 IF(HS_DB[[#This Row],[Risk Exposure Rank]]&lt;=30,"Medium",
 "Low"))</f>
        <v>Low</v>
      </c>
      <c r="AU510" s="8" t="str">
        <f>IF(HS_DB[[#This Row],[Risk Exposure Rank]]&lt;=5,"Immediate Action",
 IF(HS_DB[[#This Row],[Risk Exposure Rank]]&lt;=15,"Monitor Closely",
 "Routine Control"))</f>
        <v>Routine Control</v>
      </c>
      <c r="AV510" s="8">
        <f>SUMIFS(HS_DB[Trade Value - USD],HS_DB[HS Code],HS_DB[[#This Row],[HS Code]])</f>
        <v>10997982</v>
      </c>
      <c r="AW510" s="6">
        <f>HS_DB[[#This Row],[Annual Spend - USD]]/HS_DB[[#This Row],[Total Market Size - USD]]</f>
        <v>1</v>
      </c>
      <c r="AX510" s="6" cm="1">
        <f t="array" ref="AX510">COUNTA(_xlfn.UNIQUE(_xlfn._xlws.FILTER(HS_DB[Partner],HS_DB[HS Code]=HS_DB[[#This Row],[HS Code]])))</f>
        <v>1</v>
      </c>
      <c r="AY510" s="8" t="str">
        <f>IF(HS_DB[[#This Row],[Competition Intensity]]&lt;=2,"Highly Concentrated",
 IF(HS_DB[[#This Row],[Competition Intensity]]&lt;=5,"Moderate",
 "Highly Competitive"))</f>
        <v>Highly Concentrated</v>
      </c>
      <c r="AZ510" s="8">
        <f>HS_DB[[#This Row],[Total Market Size - USD]]
*
(1+IFERROR(#REF!,0))
/
HS_DB[[#This Row],[Competition Intensity]]</f>
        <v>10997982</v>
      </c>
      <c r="BA510" s="8" t="str">
        <f>IF(HS_DB[[#This Row],[Commercial Opportunity Score]]&gt;=PERCENTILE(HS_DB[Commercial Opportunity Score],0.9),"High Opportunity",
 IF(HS_DB[[#This Row],[Commercial Opportunity Score]]&gt;=PERCENTILE(HS_DB[Commercial Opportunity Score],0.6),"Medium Opportunity",
 "Routine Market"))</f>
        <v>Routine Market</v>
      </c>
      <c r="BB510" s="3" t="str">
        <f>IF(AND(HS_DB[[#This Row],[Product Rank]]&gt;0,HS_DB[[#This Row],[Product Rank]]&lt;=10),"Yes","No")</f>
        <v>No</v>
      </c>
      <c r="BC510" s="3" t="str">
        <f>IF(AND(HS_DB[[#This Row],[Origin Rank]]&gt;0,HS_DB[[#This Row],[Origin Rank]]&lt;=10),"Yes","No")</f>
        <v>Yes</v>
      </c>
    </row>
    <row r="511" spans="2:55" x14ac:dyDescent="0.3">
      <c r="B511" s="2">
        <f>HS_DB[[#This Row],[Commodity Code]]</f>
        <v>283526</v>
      </c>
      <c r="C511" s="2">
        <f>IFERROR(INDEX(HS_MD!C:C,MATCH(B511,HS_MD!B:B,0),1),"")</f>
        <v>43</v>
      </c>
      <c r="D511" s="17" t="str">
        <f>IFERROR(INDEX(HS_MD!D:D,MATCH(B511,HS_MD!B:B,0),1),"")</f>
        <v>Phosphates</v>
      </c>
      <c r="E511" s="17" t="str">
        <f>IFERROR(INDEX(HS_MD!E:E,MATCH(B511,HS_MD!B:B,0),1),"")</f>
        <v>Phosphates</v>
      </c>
      <c r="F511" s="17" t="str">
        <f>IFERROR(INDEX(HS_MD!F:F,MATCH(B511,HS_MD!B:B,0),1),"")</f>
        <v>Food Ingredients</v>
      </c>
      <c r="G511" s="17" t="str">
        <f>IFERROR(INDEX(HS_MD!G:G,MATCH(B511,HS_MD!B:B,0),1),"")</f>
        <v>Salts &amp; Stabilizers</v>
      </c>
      <c r="H511" s="17" t="str">
        <f>IFERROR(INDEX(HS_MD!H:H,MATCH(B511,HS_MD!B:B,0),1),"")</f>
        <v>Industrial Phosphates</v>
      </c>
      <c r="I511" s="17" t="str">
        <f>IFERROR(INDEX(HS_MD!I:I,MATCH(B511,HS_MD!B:B,0),1),"")</f>
        <v>Meat / Processed Food</v>
      </c>
      <c r="J511" s="17">
        <f>IFERROR(INDEX(Heat_Map[Index],MATCH(HS_DB[[#This Row],[Reporter]],Heat_Map[Global],0),1),"")</f>
        <v>17</v>
      </c>
      <c r="K511" s="17" t="str">
        <f>IF(AND(HS_DB[[#This Row],[Origin Rank]]&gt;1,HS_DB[[#This Row],[Origin Rank]]&lt;=10),"Yes","No")</f>
        <v>No</v>
      </c>
      <c r="L511" s="2">
        <v>2024</v>
      </c>
      <c r="M511" s="2" t="s">
        <v>57</v>
      </c>
      <c r="N511" s="2" t="s">
        <v>5</v>
      </c>
      <c r="O511" s="2" t="s">
        <v>22</v>
      </c>
      <c r="P511" s="2" t="s">
        <v>23</v>
      </c>
      <c r="Q511" s="2" t="s">
        <v>24</v>
      </c>
      <c r="R511" s="2" t="s">
        <v>25</v>
      </c>
      <c r="S511" s="2">
        <v>283526</v>
      </c>
      <c r="T511" s="3">
        <v>3506</v>
      </c>
      <c r="U511" s="3">
        <v>450</v>
      </c>
      <c r="V511" s="3">
        <v>0</v>
      </c>
      <c r="W511" s="3">
        <v>450</v>
      </c>
      <c r="X511" s="3" t="s">
        <v>58</v>
      </c>
      <c r="Y511" s="3">
        <v>450</v>
      </c>
      <c r="Z511" s="3" t="s">
        <v>58</v>
      </c>
      <c r="AA511" s="6">
        <f>SUMIFS(HS_DB[Trade Value - USD],HS_DB[Reporter],HS_DB[[#This Row],[Reporter]])/SUM(HS_DB[Trade Value - USD])</f>
        <v>5.3992075088500962E-3</v>
      </c>
      <c r="AB511" s="8" cm="1">
        <f t="array" ref="AB511">SUMPRODUCT(
(HS_DB[Reporter]=HS_DB[[#This Row],[Reporter]])*
(HS_DB[Trade Value - USD]&gt;HS_DB[[#This Row],[Trade Value - USD]])
)+1</f>
        <v>22</v>
      </c>
      <c r="AC511" s="8" t="str">
        <f>IFERROR(IF(INDEX(Heat_Map[Crisis Impact %],MATCH(HS_DB[[#This Row],[Reporter]],Heat_Map[Global],0),1)&gt;0,"Yes","No"),"No")</f>
        <v>No</v>
      </c>
      <c r="AD511" s="6">
        <f>IFERROR(INDEX(Heat_Map[Crisis Impact %],MATCH(HS_DB[[#This Row],[Reporter]],Heat_Map[Global],0),1),0)</f>
        <v>0</v>
      </c>
      <c r="AE511" s="8">
        <f>HS_DB[[#This Row],[Crisis Impact%]]*HS_DB[[#This Row],[Trade Value - USD]]</f>
        <v>0</v>
      </c>
      <c r="AF511" s="8">
        <f>HS_DB[[#This Row],[Crisis Impact%]]*HS_DB[[#This Row],[Net Weight -KG]]</f>
        <v>0</v>
      </c>
      <c r="AG511" s="6">
        <f>SUMIFS(HS_DB[Trade Value - USD],HS_DB[Products],HS_DB[[#This Row],[Products]])/SUM(HS_DB[Trade Value - USD])</f>
        <v>1.2919776492486183E-2</v>
      </c>
      <c r="AH511" s="8">
        <f>_xlfn.RANK.EQ(HS_DB[[#This Row],[Trade Value - USD]], HS_DB[Trade Value - USD], 0)
 + COUNTIFS(HS_DB[Trade Value - USD],HS_DB[[#This Row],[Trade Value - USD]],
            HS_DB[HS Code],"&lt;"&amp;HS_DB[[#This Row],[HS Code]])</f>
        <v>454</v>
      </c>
      <c r="AI511" s="9">
        <f>IFERROR(HS_DB[[#This Row],[Trade Value - USD]]/HS_DB[[#This Row],[Net Weight -KG]],0)</f>
        <v>7.7911111111111113</v>
      </c>
      <c r="AJ511" s="17" cm="1">
        <f t="array" ref="AJ511">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511" s="17" t="str">
        <f>IF(HS_DB[[#This Row],[HS Code Risk Score]]&gt;=40,"High",
 IF(HS_DB[[#This Row],[HS Code Risk Score]]&gt;=25,"Medium","Low"))</f>
        <v>Medium</v>
      </c>
      <c r="AL511" s="17" t="str">
        <f>IF(RANK(HS_DB[[#This Row],[HS Code Risk Score]],HS_DB[HS Code Risk Score])&lt;=10,"Yes","No")</f>
        <v>No</v>
      </c>
      <c r="AM511" s="8">
        <f>SUMIFS(HS_DB[Net Weight -KG],HS_DB[HS Code],HS_DB[[#This Row],[HS Code]])</f>
        <v>35465011</v>
      </c>
      <c r="AN511" s="8">
        <f>SUMIFS(HS_DB[Trade Value - USD],HS_DB[HS Code],HS_DB[[#This Row],[HS Code]])</f>
        <v>24353886</v>
      </c>
      <c r="AO511" s="6">
        <f>_xlfn.MAXIFS(HS_DB[Origin Share%],HS_DB[HS Code],HS_DB[[#This Row],[HS Code]])</f>
        <v>6.321329281187793E-2</v>
      </c>
      <c r="AP511" s="8" cm="1">
        <f t="array" ref="AP511">_xlfn.LET(
_xlpm.hs,HS_DB[[#This Row],[HS Code]],
COUNTA(_xlfn.UNIQUE(_xlfn._xlws.FILTER(HS_DB[Reporter],HS_DB[HS Code]=_xlpm.hs)))
)</f>
        <v>13</v>
      </c>
      <c r="AQ511" s="17" t="str">
        <f>IF(HS_DB[[#This Row],[Origin Count]]=1,"Single Source","Multiple Sources")</f>
        <v>Multiple Sources</v>
      </c>
      <c r="AR511" s="8">
        <f>HS_DB[[#This Row],[Annual Spend - USD]]*(HS_DB[[#This Row],[HS Code Risk Score]]/100)</f>
        <v>8280321.2400000002</v>
      </c>
      <c r="AS511" s="8">
        <f>RANK(HS_DB[[#This Row],[Risk Exposure - USD]],HS_DB[Risk Exposure - USD],0)</f>
        <v>96</v>
      </c>
      <c r="AT511" s="8" t="str">
        <f>IF(HS_DB[[#This Row],[Risk Exposure Rank]]&lt;=10,"High",
 IF(HS_DB[[#This Row],[Risk Exposure Rank]]&lt;=30,"Medium",
 "Low"))</f>
        <v>Low</v>
      </c>
      <c r="AU511" s="8" t="str">
        <f>IF(HS_DB[[#This Row],[Risk Exposure Rank]]&lt;=5,"Immediate Action",
 IF(HS_DB[[#This Row],[Risk Exposure Rank]]&lt;=15,"Monitor Closely",
 "Routine Control"))</f>
        <v>Routine Control</v>
      </c>
      <c r="AV511" s="8">
        <f>SUMIFS(HS_DB[Trade Value - USD],HS_DB[HS Code],HS_DB[[#This Row],[HS Code]])</f>
        <v>24353886</v>
      </c>
      <c r="AW511" s="6">
        <f>HS_DB[[#This Row],[Annual Spend - USD]]/HS_DB[[#This Row],[Total Market Size - USD]]</f>
        <v>1</v>
      </c>
      <c r="AX511" s="6" cm="1">
        <f t="array" ref="AX511">COUNTA(_xlfn.UNIQUE(_xlfn._xlws.FILTER(HS_DB[Partner],HS_DB[HS Code]=HS_DB[[#This Row],[HS Code]])))</f>
        <v>1</v>
      </c>
      <c r="AY511" s="8" t="str">
        <f>IF(HS_DB[[#This Row],[Competition Intensity]]&lt;=2,"Highly Concentrated",
 IF(HS_DB[[#This Row],[Competition Intensity]]&lt;=5,"Moderate",
 "Highly Competitive"))</f>
        <v>Highly Concentrated</v>
      </c>
      <c r="AZ511" s="8">
        <f>HS_DB[[#This Row],[Total Market Size - USD]]
*
(1+IFERROR(#REF!,0))
/
HS_DB[[#This Row],[Competition Intensity]]</f>
        <v>24353886</v>
      </c>
      <c r="BA511" s="8" t="str">
        <f>IF(HS_DB[[#This Row],[Commercial Opportunity Score]]&gt;=PERCENTILE(HS_DB[Commercial Opportunity Score],0.9),"High Opportunity",
 IF(HS_DB[[#This Row],[Commercial Opportunity Score]]&gt;=PERCENTILE(HS_DB[Commercial Opportunity Score],0.6),"Medium Opportunity",
 "Routine Market"))</f>
        <v>Medium Opportunity</v>
      </c>
      <c r="BB511" s="3" t="str">
        <f>IF(AND(HS_DB[[#This Row],[Product Rank]]&gt;0,HS_DB[[#This Row],[Product Rank]]&lt;=10),"Yes","No")</f>
        <v>No</v>
      </c>
      <c r="BC511" s="3" t="str">
        <f>IF(AND(HS_DB[[#This Row],[Origin Rank]]&gt;0,HS_DB[[#This Row],[Origin Rank]]&lt;=10),"Yes","No")</f>
        <v>No</v>
      </c>
    </row>
    <row r="512" spans="2:55" x14ac:dyDescent="0.3">
      <c r="B512" s="2">
        <f>HS_DB[[#This Row],[Commodity Code]]</f>
        <v>283526</v>
      </c>
      <c r="C512" s="2">
        <f>IFERROR(INDEX(HS_MD!C:C,MATCH(B512,HS_MD!B:B,0),1),"")</f>
        <v>43</v>
      </c>
      <c r="D512" s="17" t="str">
        <f>IFERROR(INDEX(HS_MD!D:D,MATCH(B512,HS_MD!B:B,0),1),"")</f>
        <v>Phosphates</v>
      </c>
      <c r="E512" s="17" t="str">
        <f>IFERROR(INDEX(HS_MD!E:E,MATCH(B512,HS_MD!B:B,0),1),"")</f>
        <v>Phosphates</v>
      </c>
      <c r="F512" s="17" t="str">
        <f>IFERROR(INDEX(HS_MD!F:F,MATCH(B512,HS_MD!B:B,0),1),"")</f>
        <v>Food Ingredients</v>
      </c>
      <c r="G512" s="17" t="str">
        <f>IFERROR(INDEX(HS_MD!G:G,MATCH(B512,HS_MD!B:B,0),1),"")</f>
        <v>Salts &amp; Stabilizers</v>
      </c>
      <c r="H512" s="17" t="str">
        <f>IFERROR(INDEX(HS_MD!H:H,MATCH(B512,HS_MD!B:B,0),1),"")</f>
        <v>Industrial Phosphates</v>
      </c>
      <c r="I512" s="17" t="str">
        <f>IFERROR(INDEX(HS_MD!I:I,MATCH(B512,HS_MD!B:B,0),1),"")</f>
        <v>Meat / Processed Food</v>
      </c>
      <c r="J512" s="17">
        <f>IFERROR(INDEX(Heat_Map[Index],MATCH(HS_DB[[#This Row],[Reporter]],Heat_Map[Global],0),1),"")</f>
        <v>26</v>
      </c>
      <c r="K512" s="17" t="str">
        <f>IF(AND(HS_DB[[#This Row],[Origin Rank]]&gt;1,HS_DB[[#This Row],[Origin Rank]]&lt;=10),"Yes","No")</f>
        <v>Yes</v>
      </c>
      <c r="L512" s="2">
        <v>2024</v>
      </c>
      <c r="M512" s="2" t="s">
        <v>57</v>
      </c>
      <c r="N512" s="2" t="s">
        <v>141</v>
      </c>
      <c r="O512" s="2" t="s">
        <v>22</v>
      </c>
      <c r="P512" s="2" t="s">
        <v>23</v>
      </c>
      <c r="Q512" s="2" t="s">
        <v>24</v>
      </c>
      <c r="R512" s="2" t="s">
        <v>25</v>
      </c>
      <c r="S512" s="2">
        <v>283526</v>
      </c>
      <c r="T512" s="3">
        <v>721434</v>
      </c>
      <c r="U512" s="3">
        <v>936000</v>
      </c>
      <c r="V512" s="3">
        <v>0</v>
      </c>
      <c r="W512" s="3">
        <v>936000</v>
      </c>
      <c r="X512" s="3" t="s">
        <v>58</v>
      </c>
      <c r="Y512" s="3">
        <v>936000</v>
      </c>
      <c r="Z512" s="3" t="s">
        <v>58</v>
      </c>
      <c r="AA512" s="6">
        <f>SUMIFS(HS_DB[Trade Value - USD],HS_DB[Reporter],HS_DB[[#This Row],[Reporter]])/SUM(HS_DB[Trade Value - USD])</f>
        <v>5.4237925464080154E-3</v>
      </c>
      <c r="AB512" s="8" cm="1">
        <f t="array" ref="AB512">SUMPRODUCT(
(HS_DB[Reporter]=HS_DB[[#This Row],[Reporter]])*
(HS_DB[Trade Value - USD]&gt;HS_DB[[#This Row],[Trade Value - USD]])
)+1</f>
        <v>2</v>
      </c>
      <c r="AC512" s="8" t="str">
        <f>IFERROR(IF(INDEX(Heat_Map[Crisis Impact %],MATCH(HS_DB[[#This Row],[Reporter]],Heat_Map[Global],0),1)&gt;0,"Yes","No"),"No")</f>
        <v>No</v>
      </c>
      <c r="AD512" s="6">
        <f>IFERROR(INDEX(Heat_Map[Crisis Impact %],MATCH(HS_DB[[#This Row],[Reporter]],Heat_Map[Global],0),1),0)</f>
        <v>0</v>
      </c>
      <c r="AE512" s="8">
        <f>HS_DB[[#This Row],[Crisis Impact%]]*HS_DB[[#This Row],[Trade Value - USD]]</f>
        <v>0</v>
      </c>
      <c r="AF512" s="8">
        <f>HS_DB[[#This Row],[Crisis Impact%]]*HS_DB[[#This Row],[Net Weight -KG]]</f>
        <v>0</v>
      </c>
      <c r="AG512" s="6">
        <f>SUMIFS(HS_DB[Trade Value - USD],HS_DB[Products],HS_DB[[#This Row],[Products]])/SUM(HS_DB[Trade Value - USD])</f>
        <v>1.2919776492486183E-2</v>
      </c>
      <c r="AH512" s="8">
        <f>_xlfn.RANK.EQ(HS_DB[[#This Row],[Trade Value - USD]], HS_DB[Trade Value - USD], 0)
 + COUNTIFS(HS_DB[Trade Value - USD],HS_DB[[#This Row],[Trade Value - USD]],
            HS_DB[HS Code],"&lt;"&amp;HS_DB[[#This Row],[HS Code]])</f>
        <v>123</v>
      </c>
      <c r="AI512" s="9">
        <f>IFERROR(HS_DB[[#This Row],[Trade Value - USD]]/HS_DB[[#This Row],[Net Weight -KG]],0)</f>
        <v>0.77076282051282052</v>
      </c>
      <c r="AJ512" s="17" cm="1">
        <f t="array" ref="AJ512">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512" s="17" t="str">
        <f>IF(HS_DB[[#This Row],[HS Code Risk Score]]&gt;=40,"High",
 IF(HS_DB[[#This Row],[HS Code Risk Score]]&gt;=25,"Medium","Low"))</f>
        <v>Medium</v>
      </c>
      <c r="AL512" s="17" t="str">
        <f>IF(RANK(HS_DB[[#This Row],[HS Code Risk Score]],HS_DB[HS Code Risk Score])&lt;=10,"Yes","No")</f>
        <v>No</v>
      </c>
      <c r="AM512" s="8">
        <f>SUMIFS(HS_DB[Net Weight -KG],HS_DB[HS Code],HS_DB[[#This Row],[HS Code]])</f>
        <v>35465011</v>
      </c>
      <c r="AN512" s="8">
        <f>SUMIFS(HS_DB[Trade Value - USD],HS_DB[HS Code],HS_DB[[#This Row],[HS Code]])</f>
        <v>24353886</v>
      </c>
      <c r="AO512" s="6">
        <f>_xlfn.MAXIFS(HS_DB[Origin Share%],HS_DB[HS Code],HS_DB[[#This Row],[HS Code]])</f>
        <v>6.321329281187793E-2</v>
      </c>
      <c r="AP512" s="8" cm="1">
        <f t="array" ref="AP512">_xlfn.LET(
_xlpm.hs,HS_DB[[#This Row],[HS Code]],
COUNTA(_xlfn.UNIQUE(_xlfn._xlws.FILTER(HS_DB[Reporter],HS_DB[HS Code]=_xlpm.hs)))
)</f>
        <v>13</v>
      </c>
      <c r="AQ512" s="17" t="str">
        <f>IF(HS_DB[[#This Row],[Origin Count]]=1,"Single Source","Multiple Sources")</f>
        <v>Multiple Sources</v>
      </c>
      <c r="AR512" s="8">
        <f>HS_DB[[#This Row],[Annual Spend - USD]]*(HS_DB[[#This Row],[HS Code Risk Score]]/100)</f>
        <v>8280321.2400000002</v>
      </c>
      <c r="AS512" s="8">
        <f>RANK(HS_DB[[#This Row],[Risk Exposure - USD]],HS_DB[Risk Exposure - USD],0)</f>
        <v>96</v>
      </c>
      <c r="AT512" s="8" t="str">
        <f>IF(HS_DB[[#This Row],[Risk Exposure Rank]]&lt;=10,"High",
 IF(HS_DB[[#This Row],[Risk Exposure Rank]]&lt;=30,"Medium",
 "Low"))</f>
        <v>Low</v>
      </c>
      <c r="AU512" s="8" t="str">
        <f>IF(HS_DB[[#This Row],[Risk Exposure Rank]]&lt;=5,"Immediate Action",
 IF(HS_DB[[#This Row],[Risk Exposure Rank]]&lt;=15,"Monitor Closely",
 "Routine Control"))</f>
        <v>Routine Control</v>
      </c>
      <c r="AV512" s="8">
        <f>SUMIFS(HS_DB[Trade Value - USD],HS_DB[HS Code],HS_DB[[#This Row],[HS Code]])</f>
        <v>24353886</v>
      </c>
      <c r="AW512" s="6">
        <f>HS_DB[[#This Row],[Annual Spend - USD]]/HS_DB[[#This Row],[Total Market Size - USD]]</f>
        <v>1</v>
      </c>
      <c r="AX512" s="6" cm="1">
        <f t="array" ref="AX512">COUNTA(_xlfn.UNIQUE(_xlfn._xlws.FILTER(HS_DB[Partner],HS_DB[HS Code]=HS_DB[[#This Row],[HS Code]])))</f>
        <v>1</v>
      </c>
      <c r="AY512" s="8" t="str">
        <f>IF(HS_DB[[#This Row],[Competition Intensity]]&lt;=2,"Highly Concentrated",
 IF(HS_DB[[#This Row],[Competition Intensity]]&lt;=5,"Moderate",
 "Highly Competitive"))</f>
        <v>Highly Concentrated</v>
      </c>
      <c r="AZ512" s="8">
        <f>HS_DB[[#This Row],[Total Market Size - USD]]
*
(1+IFERROR(#REF!,0))
/
HS_DB[[#This Row],[Competition Intensity]]</f>
        <v>24353886</v>
      </c>
      <c r="BA512" s="8" t="str">
        <f>IF(HS_DB[[#This Row],[Commercial Opportunity Score]]&gt;=PERCENTILE(HS_DB[Commercial Opportunity Score],0.9),"High Opportunity",
 IF(HS_DB[[#This Row],[Commercial Opportunity Score]]&gt;=PERCENTILE(HS_DB[Commercial Opportunity Score],0.6),"Medium Opportunity",
 "Routine Market"))</f>
        <v>Medium Opportunity</v>
      </c>
      <c r="BB512" s="3" t="str">
        <f>IF(AND(HS_DB[[#This Row],[Product Rank]]&gt;0,HS_DB[[#This Row],[Product Rank]]&lt;=10),"Yes","No")</f>
        <v>No</v>
      </c>
      <c r="BC512" s="3" t="str">
        <f>IF(AND(HS_DB[[#This Row],[Origin Rank]]&gt;0,HS_DB[[#This Row],[Origin Rank]]&lt;=10),"Yes","No")</f>
        <v>Yes</v>
      </c>
    </row>
    <row r="513" spans="2:55" x14ac:dyDescent="0.3">
      <c r="B513" s="2">
        <f>HS_DB[[#This Row],[Commodity Code]]</f>
        <v>283526</v>
      </c>
      <c r="C513" s="2">
        <f>IFERROR(INDEX(HS_MD!C:C,MATCH(B513,HS_MD!B:B,0),1),"")</f>
        <v>43</v>
      </c>
      <c r="D513" s="17" t="str">
        <f>IFERROR(INDEX(HS_MD!D:D,MATCH(B513,HS_MD!B:B,0),1),"")</f>
        <v>Phosphates</v>
      </c>
      <c r="E513" s="17" t="str">
        <f>IFERROR(INDEX(HS_MD!E:E,MATCH(B513,HS_MD!B:B,0),1),"")</f>
        <v>Phosphates</v>
      </c>
      <c r="F513" s="17" t="str">
        <f>IFERROR(INDEX(HS_MD!F:F,MATCH(B513,HS_MD!B:B,0),1),"")</f>
        <v>Food Ingredients</v>
      </c>
      <c r="G513" s="17" t="str">
        <f>IFERROR(INDEX(HS_MD!G:G,MATCH(B513,HS_MD!B:B,0),1),"")</f>
        <v>Salts &amp; Stabilizers</v>
      </c>
      <c r="H513" s="17" t="str">
        <f>IFERROR(INDEX(HS_MD!H:H,MATCH(B513,HS_MD!B:B,0),1),"")</f>
        <v>Industrial Phosphates</v>
      </c>
      <c r="I513" s="17" t="str">
        <f>IFERROR(INDEX(HS_MD!I:I,MATCH(B513,HS_MD!B:B,0),1),"")</f>
        <v>Meat / Processed Food</v>
      </c>
      <c r="J513" s="17">
        <f>IFERROR(INDEX(Heat_Map[Index],MATCH(HS_DB[[#This Row],[Reporter]],Heat_Map[Global],0),1),"")</f>
        <v>36</v>
      </c>
      <c r="K513" s="17" t="str">
        <f>IF(AND(HS_DB[[#This Row],[Origin Rank]]&gt;1,HS_DB[[#This Row],[Origin Rank]]&lt;=10),"Yes","No")</f>
        <v>No</v>
      </c>
      <c r="L513" s="2">
        <v>2024</v>
      </c>
      <c r="M513" s="2" t="s">
        <v>57</v>
      </c>
      <c r="N513" s="2" t="s">
        <v>1</v>
      </c>
      <c r="O513" s="2" t="s">
        <v>22</v>
      </c>
      <c r="P513" s="2" t="s">
        <v>23</v>
      </c>
      <c r="Q513" s="2" t="s">
        <v>24</v>
      </c>
      <c r="R513" s="2" t="s">
        <v>25</v>
      </c>
      <c r="S513" s="2">
        <v>283526</v>
      </c>
      <c r="T513" s="3">
        <v>2662796</v>
      </c>
      <c r="U513" s="3">
        <v>4655025</v>
      </c>
      <c r="V513" s="3">
        <v>0</v>
      </c>
      <c r="W513" s="3">
        <v>4655025</v>
      </c>
      <c r="X513" s="3" t="s">
        <v>58</v>
      </c>
      <c r="Y513" s="3">
        <v>4655025</v>
      </c>
      <c r="Z513" s="3" t="s">
        <v>58</v>
      </c>
      <c r="AA513" s="6">
        <f>SUMIFS(HS_DB[Trade Value - USD],HS_DB[Reporter],HS_DB[[#This Row],[Reporter]])/SUM(HS_DB[Trade Value - USD])</f>
        <v>6.321329281187793E-2</v>
      </c>
      <c r="AB513" s="8" cm="1">
        <f t="array" ref="AB513">SUMPRODUCT(
(HS_DB[Reporter]=HS_DB[[#This Row],[Reporter]])*
(HS_DB[Trade Value - USD]&gt;HS_DB[[#This Row],[Trade Value - USD]])
)+1</f>
        <v>13</v>
      </c>
      <c r="AC513" s="8" t="str">
        <f>IFERROR(IF(INDEX(Heat_Map[Crisis Impact %],MATCH(HS_DB[[#This Row],[Reporter]],Heat_Map[Global],0),1)&gt;0,"Yes","No"),"No")</f>
        <v>Yes</v>
      </c>
      <c r="AD513" s="6">
        <f>IFERROR(INDEX(Heat_Map[Crisis Impact %],MATCH(HS_DB[[#This Row],[Reporter]],Heat_Map[Global],0),1),0)</f>
        <v>0.14000000000000001</v>
      </c>
      <c r="AE513" s="8">
        <f>HS_DB[[#This Row],[Crisis Impact%]]*HS_DB[[#This Row],[Trade Value - USD]]</f>
        <v>372791.44000000006</v>
      </c>
      <c r="AF513" s="8">
        <f>HS_DB[[#This Row],[Crisis Impact%]]*HS_DB[[#This Row],[Net Weight -KG]]</f>
        <v>651703.50000000012</v>
      </c>
      <c r="AG513" s="6">
        <f>SUMIFS(HS_DB[Trade Value - USD],HS_DB[Products],HS_DB[[#This Row],[Products]])/SUM(HS_DB[Trade Value - USD])</f>
        <v>1.2919776492486183E-2</v>
      </c>
      <c r="AH513" s="8">
        <f>_xlfn.RANK.EQ(HS_DB[[#This Row],[Trade Value - USD]], HS_DB[Trade Value - USD], 0)
 + COUNTIFS(HS_DB[Trade Value - USD],HS_DB[[#This Row],[Trade Value - USD]],
            HS_DB[HS Code],"&lt;"&amp;HS_DB[[#This Row],[HS Code]])</f>
        <v>50</v>
      </c>
      <c r="AI513" s="9">
        <f>IFERROR(HS_DB[[#This Row],[Trade Value - USD]]/HS_DB[[#This Row],[Net Weight -KG]],0)</f>
        <v>0.57202614379084971</v>
      </c>
      <c r="AJ513" s="17" cm="1">
        <f t="array" ref="AJ513">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513" s="17" t="str">
        <f>IF(HS_DB[[#This Row],[HS Code Risk Score]]&gt;=40,"High",
 IF(HS_DB[[#This Row],[HS Code Risk Score]]&gt;=25,"Medium","Low"))</f>
        <v>Medium</v>
      </c>
      <c r="AL513" s="17" t="str">
        <f>IF(RANK(HS_DB[[#This Row],[HS Code Risk Score]],HS_DB[HS Code Risk Score])&lt;=10,"Yes","No")</f>
        <v>No</v>
      </c>
      <c r="AM513" s="8">
        <f>SUMIFS(HS_DB[Net Weight -KG],HS_DB[HS Code],HS_DB[[#This Row],[HS Code]])</f>
        <v>35465011</v>
      </c>
      <c r="AN513" s="8">
        <f>SUMIFS(HS_DB[Trade Value - USD],HS_DB[HS Code],HS_DB[[#This Row],[HS Code]])</f>
        <v>24353886</v>
      </c>
      <c r="AO513" s="6">
        <f>_xlfn.MAXIFS(HS_DB[Origin Share%],HS_DB[HS Code],HS_DB[[#This Row],[HS Code]])</f>
        <v>6.321329281187793E-2</v>
      </c>
      <c r="AP513" s="8" cm="1">
        <f t="array" ref="AP513">_xlfn.LET(
_xlpm.hs,HS_DB[[#This Row],[HS Code]],
COUNTA(_xlfn.UNIQUE(_xlfn._xlws.FILTER(HS_DB[Reporter],HS_DB[HS Code]=_xlpm.hs)))
)</f>
        <v>13</v>
      </c>
      <c r="AQ513" s="17" t="str">
        <f>IF(HS_DB[[#This Row],[Origin Count]]=1,"Single Source","Multiple Sources")</f>
        <v>Multiple Sources</v>
      </c>
      <c r="AR513" s="8">
        <f>HS_DB[[#This Row],[Annual Spend - USD]]*(HS_DB[[#This Row],[HS Code Risk Score]]/100)</f>
        <v>8280321.2400000002</v>
      </c>
      <c r="AS513" s="8">
        <f>RANK(HS_DB[[#This Row],[Risk Exposure - USD]],HS_DB[Risk Exposure - USD],0)</f>
        <v>96</v>
      </c>
      <c r="AT513" s="8" t="str">
        <f>IF(HS_DB[[#This Row],[Risk Exposure Rank]]&lt;=10,"High",
 IF(HS_DB[[#This Row],[Risk Exposure Rank]]&lt;=30,"Medium",
 "Low"))</f>
        <v>Low</v>
      </c>
      <c r="AU513" s="8" t="str">
        <f>IF(HS_DB[[#This Row],[Risk Exposure Rank]]&lt;=5,"Immediate Action",
 IF(HS_DB[[#This Row],[Risk Exposure Rank]]&lt;=15,"Monitor Closely",
 "Routine Control"))</f>
        <v>Routine Control</v>
      </c>
      <c r="AV513" s="8">
        <f>SUMIFS(HS_DB[Trade Value - USD],HS_DB[HS Code],HS_DB[[#This Row],[HS Code]])</f>
        <v>24353886</v>
      </c>
      <c r="AW513" s="6">
        <f>HS_DB[[#This Row],[Annual Spend - USD]]/HS_DB[[#This Row],[Total Market Size - USD]]</f>
        <v>1</v>
      </c>
      <c r="AX513" s="6" cm="1">
        <f t="array" ref="AX513">COUNTA(_xlfn.UNIQUE(_xlfn._xlws.FILTER(HS_DB[Partner],HS_DB[HS Code]=HS_DB[[#This Row],[HS Code]])))</f>
        <v>1</v>
      </c>
      <c r="AY513" s="8" t="str">
        <f>IF(HS_DB[[#This Row],[Competition Intensity]]&lt;=2,"Highly Concentrated",
 IF(HS_DB[[#This Row],[Competition Intensity]]&lt;=5,"Moderate",
 "Highly Competitive"))</f>
        <v>Highly Concentrated</v>
      </c>
      <c r="AZ513" s="8">
        <f>HS_DB[[#This Row],[Total Market Size - USD]]
*
(1+IFERROR(#REF!,0))
/
HS_DB[[#This Row],[Competition Intensity]]</f>
        <v>24353886</v>
      </c>
      <c r="BA513" s="8" t="str">
        <f>IF(HS_DB[[#This Row],[Commercial Opportunity Score]]&gt;=PERCENTILE(HS_DB[Commercial Opportunity Score],0.9),"High Opportunity",
 IF(HS_DB[[#This Row],[Commercial Opportunity Score]]&gt;=PERCENTILE(HS_DB[Commercial Opportunity Score],0.6),"Medium Opportunity",
 "Routine Market"))</f>
        <v>Medium Opportunity</v>
      </c>
      <c r="BB513" s="3" t="str">
        <f>IF(AND(HS_DB[[#This Row],[Product Rank]]&gt;0,HS_DB[[#This Row],[Product Rank]]&lt;=10),"Yes","No")</f>
        <v>No</v>
      </c>
      <c r="BC513" s="3" t="str">
        <f>IF(AND(HS_DB[[#This Row],[Origin Rank]]&gt;0,HS_DB[[#This Row],[Origin Rank]]&lt;=10),"Yes","No")</f>
        <v>No</v>
      </c>
    </row>
    <row r="514" spans="2:55" x14ac:dyDescent="0.3">
      <c r="B514" s="2">
        <f>HS_DB[[#This Row],[Commodity Code]]</f>
        <v>283526</v>
      </c>
      <c r="C514" s="2">
        <f>IFERROR(INDEX(HS_MD!C:C,MATCH(B514,HS_MD!B:B,0),1),"")</f>
        <v>43</v>
      </c>
      <c r="D514" s="17" t="str">
        <f>IFERROR(INDEX(HS_MD!D:D,MATCH(B514,HS_MD!B:B,0),1),"")</f>
        <v>Phosphates</v>
      </c>
      <c r="E514" s="17" t="str">
        <f>IFERROR(INDEX(HS_MD!E:E,MATCH(B514,HS_MD!B:B,0),1),"")</f>
        <v>Phosphates</v>
      </c>
      <c r="F514" s="17" t="str">
        <f>IFERROR(INDEX(HS_MD!F:F,MATCH(B514,HS_MD!B:B,0),1),"")</f>
        <v>Food Ingredients</v>
      </c>
      <c r="G514" s="17" t="str">
        <f>IFERROR(INDEX(HS_MD!G:G,MATCH(B514,HS_MD!B:B,0),1),"")</f>
        <v>Salts &amp; Stabilizers</v>
      </c>
      <c r="H514" s="17" t="str">
        <f>IFERROR(INDEX(HS_MD!H:H,MATCH(B514,HS_MD!B:B,0),1),"")</f>
        <v>Industrial Phosphates</v>
      </c>
      <c r="I514" s="17" t="str">
        <f>IFERROR(INDEX(HS_MD!I:I,MATCH(B514,HS_MD!B:B,0),1),"")</f>
        <v>Meat / Processed Food</v>
      </c>
      <c r="J514" s="17">
        <f>IFERROR(INDEX(Heat_Map[Index],MATCH(HS_DB[[#This Row],[Reporter]],Heat_Map[Global],0),1),"")</f>
        <v>59</v>
      </c>
      <c r="K514" s="17" t="str">
        <f>IF(AND(HS_DB[[#This Row],[Origin Rank]]&gt;1,HS_DB[[#This Row],[Origin Rank]]&lt;=10),"Yes","No")</f>
        <v>No</v>
      </c>
      <c r="L514" s="2">
        <v>2024</v>
      </c>
      <c r="M514" s="2" t="s">
        <v>57</v>
      </c>
      <c r="N514" s="2" t="s">
        <v>44</v>
      </c>
      <c r="O514" s="2" t="s">
        <v>22</v>
      </c>
      <c r="P514" s="2" t="s">
        <v>23</v>
      </c>
      <c r="Q514" s="2" t="s">
        <v>24</v>
      </c>
      <c r="R514" s="2" t="s">
        <v>25</v>
      </c>
      <c r="S514" s="2">
        <v>283526</v>
      </c>
      <c r="T514" s="3">
        <v>159335</v>
      </c>
      <c r="U514" s="3">
        <v>138000</v>
      </c>
      <c r="V514" s="3">
        <v>0</v>
      </c>
      <c r="W514" s="3">
        <v>138000</v>
      </c>
      <c r="X514" s="3" t="s">
        <v>58</v>
      </c>
      <c r="Y514" s="3">
        <v>138000</v>
      </c>
      <c r="Z514" s="3" t="s">
        <v>58</v>
      </c>
      <c r="AA514" s="6">
        <f>SUMIFS(HS_DB[Trade Value - USD],HS_DB[Reporter],HS_DB[[#This Row],[Reporter]])/SUM(HS_DB[Trade Value - USD])</f>
        <v>1.6951290293147386E-2</v>
      </c>
      <c r="AB514" s="8" cm="1">
        <f t="array" ref="AB514">SUMPRODUCT(
(HS_DB[Reporter]=HS_DB[[#This Row],[Reporter]])*
(HS_DB[Trade Value - USD]&gt;HS_DB[[#This Row],[Trade Value - USD]])
)+1</f>
        <v>20</v>
      </c>
      <c r="AC514" s="8" t="str">
        <f>IFERROR(IF(INDEX(Heat_Map[Crisis Impact %],MATCH(HS_DB[[#This Row],[Reporter]],Heat_Map[Global],0),1)&gt;0,"Yes","No"),"No")</f>
        <v>No</v>
      </c>
      <c r="AD514" s="6">
        <f>IFERROR(INDEX(Heat_Map[Crisis Impact %],MATCH(HS_DB[[#This Row],[Reporter]],Heat_Map[Global],0),1),0)</f>
        <v>0</v>
      </c>
      <c r="AE514" s="8">
        <f>HS_DB[[#This Row],[Crisis Impact%]]*HS_DB[[#This Row],[Trade Value - USD]]</f>
        <v>0</v>
      </c>
      <c r="AF514" s="8">
        <f>HS_DB[[#This Row],[Crisis Impact%]]*HS_DB[[#This Row],[Net Weight -KG]]</f>
        <v>0</v>
      </c>
      <c r="AG514" s="6">
        <f>SUMIFS(HS_DB[Trade Value - USD],HS_DB[Products],HS_DB[[#This Row],[Products]])/SUM(HS_DB[Trade Value - USD])</f>
        <v>1.2919776492486183E-2</v>
      </c>
      <c r="AH514" s="8">
        <f>_xlfn.RANK.EQ(HS_DB[[#This Row],[Trade Value - USD]], HS_DB[Trade Value - USD], 0)
 + COUNTIFS(HS_DB[Trade Value - USD],HS_DB[[#This Row],[Trade Value - USD]],
            HS_DB[HS Code],"&lt;"&amp;HS_DB[[#This Row],[HS Code]])</f>
        <v>239</v>
      </c>
      <c r="AI514" s="9">
        <f>IFERROR(HS_DB[[#This Row],[Trade Value - USD]]/HS_DB[[#This Row],[Net Weight -KG]],0)</f>
        <v>1.1546014492753622</v>
      </c>
      <c r="AJ514" s="17" cm="1">
        <f t="array" ref="AJ514">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514" s="17" t="str">
        <f>IF(HS_DB[[#This Row],[HS Code Risk Score]]&gt;=40,"High",
 IF(HS_DB[[#This Row],[HS Code Risk Score]]&gt;=25,"Medium","Low"))</f>
        <v>Medium</v>
      </c>
      <c r="AL514" s="17" t="str">
        <f>IF(RANK(HS_DB[[#This Row],[HS Code Risk Score]],HS_DB[HS Code Risk Score])&lt;=10,"Yes","No")</f>
        <v>No</v>
      </c>
      <c r="AM514" s="8">
        <f>SUMIFS(HS_DB[Net Weight -KG],HS_DB[HS Code],HS_DB[[#This Row],[HS Code]])</f>
        <v>35465011</v>
      </c>
      <c r="AN514" s="8">
        <f>SUMIFS(HS_DB[Trade Value - USD],HS_DB[HS Code],HS_DB[[#This Row],[HS Code]])</f>
        <v>24353886</v>
      </c>
      <c r="AO514" s="6">
        <f>_xlfn.MAXIFS(HS_DB[Origin Share%],HS_DB[HS Code],HS_DB[[#This Row],[HS Code]])</f>
        <v>6.321329281187793E-2</v>
      </c>
      <c r="AP514" s="8" cm="1">
        <f t="array" ref="AP514">_xlfn.LET(
_xlpm.hs,HS_DB[[#This Row],[HS Code]],
COUNTA(_xlfn.UNIQUE(_xlfn._xlws.FILTER(HS_DB[Reporter],HS_DB[HS Code]=_xlpm.hs)))
)</f>
        <v>13</v>
      </c>
      <c r="AQ514" s="17" t="str">
        <f>IF(HS_DB[[#This Row],[Origin Count]]=1,"Single Source","Multiple Sources")</f>
        <v>Multiple Sources</v>
      </c>
      <c r="AR514" s="8">
        <f>HS_DB[[#This Row],[Annual Spend - USD]]*(HS_DB[[#This Row],[HS Code Risk Score]]/100)</f>
        <v>8280321.2400000002</v>
      </c>
      <c r="AS514" s="8">
        <f>RANK(HS_DB[[#This Row],[Risk Exposure - USD]],HS_DB[Risk Exposure - USD],0)</f>
        <v>96</v>
      </c>
      <c r="AT514" s="8" t="str">
        <f>IF(HS_DB[[#This Row],[Risk Exposure Rank]]&lt;=10,"High",
 IF(HS_DB[[#This Row],[Risk Exposure Rank]]&lt;=30,"Medium",
 "Low"))</f>
        <v>Low</v>
      </c>
      <c r="AU514" s="8" t="str">
        <f>IF(HS_DB[[#This Row],[Risk Exposure Rank]]&lt;=5,"Immediate Action",
 IF(HS_DB[[#This Row],[Risk Exposure Rank]]&lt;=15,"Monitor Closely",
 "Routine Control"))</f>
        <v>Routine Control</v>
      </c>
      <c r="AV514" s="8">
        <f>SUMIFS(HS_DB[Trade Value - USD],HS_DB[HS Code],HS_DB[[#This Row],[HS Code]])</f>
        <v>24353886</v>
      </c>
      <c r="AW514" s="6">
        <f>HS_DB[[#This Row],[Annual Spend - USD]]/HS_DB[[#This Row],[Total Market Size - USD]]</f>
        <v>1</v>
      </c>
      <c r="AX514" s="6" cm="1">
        <f t="array" ref="AX514">COUNTA(_xlfn.UNIQUE(_xlfn._xlws.FILTER(HS_DB[Partner],HS_DB[HS Code]=HS_DB[[#This Row],[HS Code]])))</f>
        <v>1</v>
      </c>
      <c r="AY514" s="8" t="str">
        <f>IF(HS_DB[[#This Row],[Competition Intensity]]&lt;=2,"Highly Concentrated",
 IF(HS_DB[[#This Row],[Competition Intensity]]&lt;=5,"Moderate",
 "Highly Competitive"))</f>
        <v>Highly Concentrated</v>
      </c>
      <c r="AZ514" s="8">
        <f>HS_DB[[#This Row],[Total Market Size - USD]]
*
(1+IFERROR(#REF!,0))
/
HS_DB[[#This Row],[Competition Intensity]]</f>
        <v>24353886</v>
      </c>
      <c r="BA514" s="8" t="str">
        <f>IF(HS_DB[[#This Row],[Commercial Opportunity Score]]&gt;=PERCENTILE(HS_DB[Commercial Opportunity Score],0.9),"High Opportunity",
 IF(HS_DB[[#This Row],[Commercial Opportunity Score]]&gt;=PERCENTILE(HS_DB[Commercial Opportunity Score],0.6),"Medium Opportunity",
 "Routine Market"))</f>
        <v>Medium Opportunity</v>
      </c>
      <c r="BB514" s="3" t="str">
        <f>IF(AND(HS_DB[[#This Row],[Product Rank]]&gt;0,HS_DB[[#This Row],[Product Rank]]&lt;=10),"Yes","No")</f>
        <v>No</v>
      </c>
      <c r="BC514" s="3" t="str">
        <f>IF(AND(HS_DB[[#This Row],[Origin Rank]]&gt;0,HS_DB[[#This Row],[Origin Rank]]&lt;=10),"Yes","No")</f>
        <v>No</v>
      </c>
    </row>
    <row r="515" spans="2:55" x14ac:dyDescent="0.3">
      <c r="B515" s="2">
        <f>HS_DB[[#This Row],[Commodity Code]]</f>
        <v>283526</v>
      </c>
      <c r="C515" s="2">
        <f>IFERROR(INDEX(HS_MD!C:C,MATCH(B515,HS_MD!B:B,0),1),"")</f>
        <v>43</v>
      </c>
      <c r="D515" s="17" t="str">
        <f>IFERROR(INDEX(HS_MD!D:D,MATCH(B515,HS_MD!B:B,0),1),"")</f>
        <v>Phosphates</v>
      </c>
      <c r="E515" s="17" t="str">
        <f>IFERROR(INDEX(HS_MD!E:E,MATCH(B515,HS_MD!B:B,0),1),"")</f>
        <v>Phosphates</v>
      </c>
      <c r="F515" s="17" t="str">
        <f>IFERROR(INDEX(HS_MD!F:F,MATCH(B515,HS_MD!B:B,0),1),"")</f>
        <v>Food Ingredients</v>
      </c>
      <c r="G515" s="17" t="str">
        <f>IFERROR(INDEX(HS_MD!G:G,MATCH(B515,HS_MD!B:B,0),1),"")</f>
        <v>Salts &amp; Stabilizers</v>
      </c>
      <c r="H515" s="17" t="str">
        <f>IFERROR(INDEX(HS_MD!H:H,MATCH(B515,HS_MD!B:B,0),1),"")</f>
        <v>Industrial Phosphates</v>
      </c>
      <c r="I515" s="17" t="str">
        <f>IFERROR(INDEX(HS_MD!I:I,MATCH(B515,HS_MD!B:B,0),1),"")</f>
        <v>Meat / Processed Food</v>
      </c>
      <c r="J515" s="17">
        <f>IFERROR(INDEX(Heat_Map[Index],MATCH(HS_DB[[#This Row],[Reporter]],Heat_Map[Global],0),1),"")</f>
        <v>63</v>
      </c>
      <c r="K515" s="17" t="str">
        <f>IF(AND(HS_DB[[#This Row],[Origin Rank]]&gt;1,HS_DB[[#This Row],[Origin Rank]]&lt;=10),"Yes","No")</f>
        <v>No</v>
      </c>
      <c r="L515" s="2">
        <v>2024</v>
      </c>
      <c r="M515" s="2" t="s">
        <v>57</v>
      </c>
      <c r="N515" s="2" t="s">
        <v>2</v>
      </c>
      <c r="O515" s="2" t="s">
        <v>22</v>
      </c>
      <c r="P515" s="2" t="s">
        <v>23</v>
      </c>
      <c r="Q515" s="2" t="s">
        <v>24</v>
      </c>
      <c r="R515" s="2" t="s">
        <v>25</v>
      </c>
      <c r="S515" s="2">
        <v>283526</v>
      </c>
      <c r="T515" s="3">
        <v>217100</v>
      </c>
      <c r="U515" s="3">
        <v>67281</v>
      </c>
      <c r="V515" s="3">
        <v>0</v>
      </c>
      <c r="W515" s="3">
        <v>67281</v>
      </c>
      <c r="X515" s="3" t="s">
        <v>58</v>
      </c>
      <c r="Y515" s="3">
        <v>67281</v>
      </c>
      <c r="Z515" s="3" t="s">
        <v>58</v>
      </c>
      <c r="AA515" s="6">
        <f>SUMIFS(HS_DB[Trade Value - USD],HS_DB[Reporter],HS_DB[[#This Row],[Reporter]])/SUM(HS_DB[Trade Value - USD])</f>
        <v>1.1674623358397021E-2</v>
      </c>
      <c r="AB515" s="8" cm="1">
        <f t="array" ref="AB515">SUMPRODUCT(
(HS_DB[Reporter]=HS_DB[[#This Row],[Reporter]])*
(HS_DB[Trade Value - USD]&gt;HS_DB[[#This Row],[Trade Value - USD]])
)+1</f>
        <v>15</v>
      </c>
      <c r="AC515" s="8" t="str">
        <f>IFERROR(IF(INDEX(Heat_Map[Crisis Impact %],MATCH(HS_DB[[#This Row],[Reporter]],Heat_Map[Global],0),1)&gt;0,"Yes","No"),"No")</f>
        <v>No</v>
      </c>
      <c r="AD515" s="6">
        <f>IFERROR(INDEX(Heat_Map[Crisis Impact %],MATCH(HS_DB[[#This Row],[Reporter]],Heat_Map[Global],0),1),0)</f>
        <v>0</v>
      </c>
      <c r="AE515" s="8">
        <f>HS_DB[[#This Row],[Crisis Impact%]]*HS_DB[[#This Row],[Trade Value - USD]]</f>
        <v>0</v>
      </c>
      <c r="AF515" s="8">
        <f>HS_DB[[#This Row],[Crisis Impact%]]*HS_DB[[#This Row],[Net Weight -KG]]</f>
        <v>0</v>
      </c>
      <c r="AG515" s="6">
        <f>SUMIFS(HS_DB[Trade Value - USD],HS_DB[Products],HS_DB[[#This Row],[Products]])/SUM(HS_DB[Trade Value - USD])</f>
        <v>1.2919776492486183E-2</v>
      </c>
      <c r="AH515" s="8">
        <f>_xlfn.RANK.EQ(HS_DB[[#This Row],[Trade Value - USD]], HS_DB[Trade Value - USD], 0)
 + COUNTIFS(HS_DB[Trade Value - USD],HS_DB[[#This Row],[Trade Value - USD]],
            HS_DB[HS Code],"&lt;"&amp;HS_DB[[#This Row],[HS Code]])</f>
        <v>212</v>
      </c>
      <c r="AI515" s="9">
        <f>IFERROR(HS_DB[[#This Row],[Trade Value - USD]]/HS_DB[[#This Row],[Net Weight -KG]],0)</f>
        <v>3.2267653572330972</v>
      </c>
      <c r="AJ515" s="17" cm="1">
        <f t="array" ref="AJ515">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515" s="17" t="str">
        <f>IF(HS_DB[[#This Row],[HS Code Risk Score]]&gt;=40,"High",
 IF(HS_DB[[#This Row],[HS Code Risk Score]]&gt;=25,"Medium","Low"))</f>
        <v>Medium</v>
      </c>
      <c r="AL515" s="17" t="str">
        <f>IF(RANK(HS_DB[[#This Row],[HS Code Risk Score]],HS_DB[HS Code Risk Score])&lt;=10,"Yes","No")</f>
        <v>No</v>
      </c>
      <c r="AM515" s="8">
        <f>SUMIFS(HS_DB[Net Weight -KG],HS_DB[HS Code],HS_DB[[#This Row],[HS Code]])</f>
        <v>35465011</v>
      </c>
      <c r="AN515" s="8">
        <f>SUMIFS(HS_DB[Trade Value - USD],HS_DB[HS Code],HS_DB[[#This Row],[HS Code]])</f>
        <v>24353886</v>
      </c>
      <c r="AO515" s="6">
        <f>_xlfn.MAXIFS(HS_DB[Origin Share%],HS_DB[HS Code],HS_DB[[#This Row],[HS Code]])</f>
        <v>6.321329281187793E-2</v>
      </c>
      <c r="AP515" s="8" cm="1">
        <f t="array" ref="AP515">_xlfn.LET(
_xlpm.hs,HS_DB[[#This Row],[HS Code]],
COUNTA(_xlfn.UNIQUE(_xlfn._xlws.FILTER(HS_DB[Reporter],HS_DB[HS Code]=_xlpm.hs)))
)</f>
        <v>13</v>
      </c>
      <c r="AQ515" s="17" t="str">
        <f>IF(HS_DB[[#This Row],[Origin Count]]=1,"Single Source","Multiple Sources")</f>
        <v>Multiple Sources</v>
      </c>
      <c r="AR515" s="8">
        <f>HS_DB[[#This Row],[Annual Spend - USD]]*(HS_DB[[#This Row],[HS Code Risk Score]]/100)</f>
        <v>8280321.2400000002</v>
      </c>
      <c r="AS515" s="8">
        <f>RANK(HS_DB[[#This Row],[Risk Exposure - USD]],HS_DB[Risk Exposure - USD],0)</f>
        <v>96</v>
      </c>
      <c r="AT515" s="8" t="str">
        <f>IF(HS_DB[[#This Row],[Risk Exposure Rank]]&lt;=10,"High",
 IF(HS_DB[[#This Row],[Risk Exposure Rank]]&lt;=30,"Medium",
 "Low"))</f>
        <v>Low</v>
      </c>
      <c r="AU515" s="8" t="str">
        <f>IF(HS_DB[[#This Row],[Risk Exposure Rank]]&lt;=5,"Immediate Action",
 IF(HS_DB[[#This Row],[Risk Exposure Rank]]&lt;=15,"Monitor Closely",
 "Routine Control"))</f>
        <v>Routine Control</v>
      </c>
      <c r="AV515" s="8">
        <f>SUMIFS(HS_DB[Trade Value - USD],HS_DB[HS Code],HS_DB[[#This Row],[HS Code]])</f>
        <v>24353886</v>
      </c>
      <c r="AW515" s="6">
        <f>HS_DB[[#This Row],[Annual Spend - USD]]/HS_DB[[#This Row],[Total Market Size - USD]]</f>
        <v>1</v>
      </c>
      <c r="AX515" s="6" cm="1">
        <f t="array" ref="AX515">COUNTA(_xlfn.UNIQUE(_xlfn._xlws.FILTER(HS_DB[Partner],HS_DB[HS Code]=HS_DB[[#This Row],[HS Code]])))</f>
        <v>1</v>
      </c>
      <c r="AY515" s="8" t="str">
        <f>IF(HS_DB[[#This Row],[Competition Intensity]]&lt;=2,"Highly Concentrated",
 IF(HS_DB[[#This Row],[Competition Intensity]]&lt;=5,"Moderate",
 "Highly Competitive"))</f>
        <v>Highly Concentrated</v>
      </c>
      <c r="AZ515" s="8">
        <f>HS_DB[[#This Row],[Total Market Size - USD]]
*
(1+IFERROR(#REF!,0))
/
HS_DB[[#This Row],[Competition Intensity]]</f>
        <v>24353886</v>
      </c>
      <c r="BA515" s="8" t="str">
        <f>IF(HS_DB[[#This Row],[Commercial Opportunity Score]]&gt;=PERCENTILE(HS_DB[Commercial Opportunity Score],0.9),"High Opportunity",
 IF(HS_DB[[#This Row],[Commercial Opportunity Score]]&gt;=PERCENTILE(HS_DB[Commercial Opportunity Score],0.6),"Medium Opportunity",
 "Routine Market"))</f>
        <v>Medium Opportunity</v>
      </c>
      <c r="BB515" s="3" t="str">
        <f>IF(AND(HS_DB[[#This Row],[Product Rank]]&gt;0,HS_DB[[#This Row],[Product Rank]]&lt;=10),"Yes","No")</f>
        <v>No</v>
      </c>
      <c r="BC515" s="3" t="str">
        <f>IF(AND(HS_DB[[#This Row],[Origin Rank]]&gt;0,HS_DB[[#This Row],[Origin Rank]]&lt;=10),"Yes","No")</f>
        <v>No</v>
      </c>
    </row>
    <row r="516" spans="2:55" x14ac:dyDescent="0.3">
      <c r="B516" s="2">
        <f>HS_DB[[#This Row],[Commodity Code]]</f>
        <v>283526</v>
      </c>
      <c r="C516" s="2">
        <f>IFERROR(INDEX(HS_MD!C:C,MATCH(B516,HS_MD!B:B,0),1),"")</f>
        <v>43</v>
      </c>
      <c r="D516" s="17" t="str">
        <f>IFERROR(INDEX(HS_MD!D:D,MATCH(B516,HS_MD!B:B,0),1),"")</f>
        <v>Phosphates</v>
      </c>
      <c r="E516" s="17" t="str">
        <f>IFERROR(INDEX(HS_MD!E:E,MATCH(B516,HS_MD!B:B,0),1),"")</f>
        <v>Phosphates</v>
      </c>
      <c r="F516" s="17" t="str">
        <f>IFERROR(INDEX(HS_MD!F:F,MATCH(B516,HS_MD!B:B,0),1),"")</f>
        <v>Food Ingredients</v>
      </c>
      <c r="G516" s="17" t="str">
        <f>IFERROR(INDEX(HS_MD!G:G,MATCH(B516,HS_MD!B:B,0),1),"")</f>
        <v>Salts &amp; Stabilizers</v>
      </c>
      <c r="H516" s="17" t="str">
        <f>IFERROR(INDEX(HS_MD!H:H,MATCH(B516,HS_MD!B:B,0),1),"")</f>
        <v>Industrial Phosphates</v>
      </c>
      <c r="I516" s="17" t="str">
        <f>IFERROR(INDEX(HS_MD!I:I,MATCH(B516,HS_MD!B:B,0),1),"")</f>
        <v>Meat / Processed Food</v>
      </c>
      <c r="J516" s="17">
        <f>IFERROR(INDEX(Heat_Map[Index],MATCH(HS_DB[[#This Row],[Reporter]],Heat_Map[Global],0),1),"")</f>
        <v>81</v>
      </c>
      <c r="K516" s="17" t="str">
        <f>IF(AND(HS_DB[[#This Row],[Origin Rank]]&gt;1,HS_DB[[#This Row],[Origin Rank]]&lt;=10),"Yes","No")</f>
        <v>Yes</v>
      </c>
      <c r="L516" s="2">
        <v>2024</v>
      </c>
      <c r="M516" s="2" t="s">
        <v>57</v>
      </c>
      <c r="N516" s="2" t="s">
        <v>49</v>
      </c>
      <c r="O516" s="2" t="s">
        <v>22</v>
      </c>
      <c r="P516" s="2" t="s">
        <v>23</v>
      </c>
      <c r="Q516" s="2" t="s">
        <v>24</v>
      </c>
      <c r="R516" s="2" t="s">
        <v>25</v>
      </c>
      <c r="S516" s="2">
        <v>283526</v>
      </c>
      <c r="T516" s="3">
        <v>283293</v>
      </c>
      <c r="U516" s="3">
        <v>325000</v>
      </c>
      <c r="V516" s="3">
        <v>0</v>
      </c>
      <c r="W516" s="3">
        <v>325000</v>
      </c>
      <c r="X516" s="3" t="s">
        <v>58</v>
      </c>
      <c r="Y516" s="3">
        <v>325000</v>
      </c>
      <c r="Z516" s="3" t="s">
        <v>58</v>
      </c>
      <c r="AA516" s="6">
        <f>SUMIFS(HS_DB[Trade Value - USD],HS_DB[Reporter],HS_DB[[#This Row],[Reporter]])/SUM(HS_DB[Trade Value - USD])</f>
        <v>1.1178535358665947E-2</v>
      </c>
      <c r="AB516" s="8" cm="1">
        <f t="array" ref="AB516">SUMPRODUCT(
(HS_DB[Reporter]=HS_DB[[#This Row],[Reporter]])*
(HS_DB[Trade Value - USD]&gt;HS_DB[[#This Row],[Trade Value - USD]])
)+1</f>
        <v>9</v>
      </c>
      <c r="AC516" s="8" t="str">
        <f>IFERROR(IF(INDEX(Heat_Map[Crisis Impact %],MATCH(HS_DB[[#This Row],[Reporter]],Heat_Map[Global],0),1)&gt;0,"Yes","No"),"No")</f>
        <v>No</v>
      </c>
      <c r="AD516" s="6">
        <f>IFERROR(INDEX(Heat_Map[Crisis Impact %],MATCH(HS_DB[[#This Row],[Reporter]],Heat_Map[Global],0),1),0)</f>
        <v>0</v>
      </c>
      <c r="AE516" s="8">
        <f>HS_DB[[#This Row],[Crisis Impact%]]*HS_DB[[#This Row],[Trade Value - USD]]</f>
        <v>0</v>
      </c>
      <c r="AF516" s="8">
        <f>HS_DB[[#This Row],[Crisis Impact%]]*HS_DB[[#This Row],[Net Weight -KG]]</f>
        <v>0</v>
      </c>
      <c r="AG516" s="6">
        <f>SUMIFS(HS_DB[Trade Value - USD],HS_DB[Products],HS_DB[[#This Row],[Products]])/SUM(HS_DB[Trade Value - USD])</f>
        <v>1.2919776492486183E-2</v>
      </c>
      <c r="AH516" s="8">
        <f>_xlfn.RANK.EQ(HS_DB[[#This Row],[Trade Value - USD]], HS_DB[Trade Value - USD], 0)
 + COUNTIFS(HS_DB[Trade Value - USD],HS_DB[[#This Row],[Trade Value - USD]],
            HS_DB[HS Code],"&lt;"&amp;HS_DB[[#This Row],[HS Code]])</f>
        <v>194</v>
      </c>
      <c r="AI516" s="9">
        <f>IFERROR(HS_DB[[#This Row],[Trade Value - USD]]/HS_DB[[#This Row],[Net Weight -KG]],0)</f>
        <v>0.87167076923076925</v>
      </c>
      <c r="AJ516" s="17" cm="1">
        <f t="array" ref="AJ516">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516" s="17" t="str">
        <f>IF(HS_DB[[#This Row],[HS Code Risk Score]]&gt;=40,"High",
 IF(HS_DB[[#This Row],[HS Code Risk Score]]&gt;=25,"Medium","Low"))</f>
        <v>Medium</v>
      </c>
      <c r="AL516" s="17" t="str">
        <f>IF(RANK(HS_DB[[#This Row],[HS Code Risk Score]],HS_DB[HS Code Risk Score])&lt;=10,"Yes","No")</f>
        <v>No</v>
      </c>
      <c r="AM516" s="8">
        <f>SUMIFS(HS_DB[Net Weight -KG],HS_DB[HS Code],HS_DB[[#This Row],[HS Code]])</f>
        <v>35465011</v>
      </c>
      <c r="AN516" s="8">
        <f>SUMIFS(HS_DB[Trade Value - USD],HS_DB[HS Code],HS_DB[[#This Row],[HS Code]])</f>
        <v>24353886</v>
      </c>
      <c r="AO516" s="6">
        <f>_xlfn.MAXIFS(HS_DB[Origin Share%],HS_DB[HS Code],HS_DB[[#This Row],[HS Code]])</f>
        <v>6.321329281187793E-2</v>
      </c>
      <c r="AP516" s="8" cm="1">
        <f t="array" ref="AP516">_xlfn.LET(
_xlpm.hs,HS_DB[[#This Row],[HS Code]],
COUNTA(_xlfn.UNIQUE(_xlfn._xlws.FILTER(HS_DB[Reporter],HS_DB[HS Code]=_xlpm.hs)))
)</f>
        <v>13</v>
      </c>
      <c r="AQ516" s="17" t="str">
        <f>IF(HS_DB[[#This Row],[Origin Count]]=1,"Single Source","Multiple Sources")</f>
        <v>Multiple Sources</v>
      </c>
      <c r="AR516" s="8">
        <f>HS_DB[[#This Row],[Annual Spend - USD]]*(HS_DB[[#This Row],[HS Code Risk Score]]/100)</f>
        <v>8280321.2400000002</v>
      </c>
      <c r="AS516" s="8">
        <f>RANK(HS_DB[[#This Row],[Risk Exposure - USD]],HS_DB[Risk Exposure - USD],0)</f>
        <v>96</v>
      </c>
      <c r="AT516" s="8" t="str">
        <f>IF(HS_DB[[#This Row],[Risk Exposure Rank]]&lt;=10,"High",
 IF(HS_DB[[#This Row],[Risk Exposure Rank]]&lt;=30,"Medium",
 "Low"))</f>
        <v>Low</v>
      </c>
      <c r="AU516" s="8" t="str">
        <f>IF(HS_DB[[#This Row],[Risk Exposure Rank]]&lt;=5,"Immediate Action",
 IF(HS_DB[[#This Row],[Risk Exposure Rank]]&lt;=15,"Monitor Closely",
 "Routine Control"))</f>
        <v>Routine Control</v>
      </c>
      <c r="AV516" s="8">
        <f>SUMIFS(HS_DB[Trade Value - USD],HS_DB[HS Code],HS_DB[[#This Row],[HS Code]])</f>
        <v>24353886</v>
      </c>
      <c r="AW516" s="6">
        <f>HS_DB[[#This Row],[Annual Spend - USD]]/HS_DB[[#This Row],[Total Market Size - USD]]</f>
        <v>1</v>
      </c>
      <c r="AX516" s="6" cm="1">
        <f t="array" ref="AX516">COUNTA(_xlfn.UNIQUE(_xlfn._xlws.FILTER(HS_DB[Partner],HS_DB[HS Code]=HS_DB[[#This Row],[HS Code]])))</f>
        <v>1</v>
      </c>
      <c r="AY516" s="8" t="str">
        <f>IF(HS_DB[[#This Row],[Competition Intensity]]&lt;=2,"Highly Concentrated",
 IF(HS_DB[[#This Row],[Competition Intensity]]&lt;=5,"Moderate",
 "Highly Competitive"))</f>
        <v>Highly Concentrated</v>
      </c>
      <c r="AZ516" s="8">
        <f>HS_DB[[#This Row],[Total Market Size - USD]]
*
(1+IFERROR(#REF!,0))
/
HS_DB[[#This Row],[Competition Intensity]]</f>
        <v>24353886</v>
      </c>
      <c r="BA516" s="8" t="str">
        <f>IF(HS_DB[[#This Row],[Commercial Opportunity Score]]&gt;=PERCENTILE(HS_DB[Commercial Opportunity Score],0.9),"High Opportunity",
 IF(HS_DB[[#This Row],[Commercial Opportunity Score]]&gt;=PERCENTILE(HS_DB[Commercial Opportunity Score],0.6),"Medium Opportunity",
 "Routine Market"))</f>
        <v>Medium Opportunity</v>
      </c>
      <c r="BB516" s="3" t="str">
        <f>IF(AND(HS_DB[[#This Row],[Product Rank]]&gt;0,HS_DB[[#This Row],[Product Rank]]&lt;=10),"Yes","No")</f>
        <v>No</v>
      </c>
      <c r="BC516" s="3" t="str">
        <f>IF(AND(HS_DB[[#This Row],[Origin Rank]]&gt;0,HS_DB[[#This Row],[Origin Rank]]&lt;=10),"Yes","No")</f>
        <v>Yes</v>
      </c>
    </row>
    <row r="517" spans="2:55" x14ac:dyDescent="0.3">
      <c r="B517" s="2">
        <f>HS_DB[[#This Row],[Commodity Code]]</f>
        <v>283526</v>
      </c>
      <c r="C517" s="2">
        <f>IFERROR(INDEX(HS_MD!C:C,MATCH(B517,HS_MD!B:B,0),1),"")</f>
        <v>43</v>
      </c>
      <c r="D517" s="17" t="str">
        <f>IFERROR(INDEX(HS_MD!D:D,MATCH(B517,HS_MD!B:B,0),1),"")</f>
        <v>Phosphates</v>
      </c>
      <c r="E517" s="17" t="str">
        <f>IFERROR(INDEX(HS_MD!E:E,MATCH(B517,HS_MD!B:B,0),1),"")</f>
        <v>Phosphates</v>
      </c>
      <c r="F517" s="17" t="str">
        <f>IFERROR(INDEX(HS_MD!F:F,MATCH(B517,HS_MD!B:B,0),1),"")</f>
        <v>Food Ingredients</v>
      </c>
      <c r="G517" s="17" t="str">
        <f>IFERROR(INDEX(HS_MD!G:G,MATCH(B517,HS_MD!B:B,0),1),"")</f>
        <v>Salts &amp; Stabilizers</v>
      </c>
      <c r="H517" s="17" t="str">
        <f>IFERROR(INDEX(HS_MD!H:H,MATCH(B517,HS_MD!B:B,0),1),"")</f>
        <v>Industrial Phosphates</v>
      </c>
      <c r="I517" s="17" t="str">
        <f>IFERROR(INDEX(HS_MD!I:I,MATCH(B517,HS_MD!B:B,0),1),"")</f>
        <v>Meat / Processed Food</v>
      </c>
      <c r="J517" s="17">
        <f>IFERROR(INDEX(Heat_Map[Index],MATCH(HS_DB[[#This Row],[Reporter]],Heat_Map[Global],0),1),"")</f>
        <v>112</v>
      </c>
      <c r="K517" s="17" t="str">
        <f>IF(AND(HS_DB[[#This Row],[Origin Rank]]&gt;1,HS_DB[[#This Row],[Origin Rank]]&lt;=10),"Yes","No")</f>
        <v>Yes</v>
      </c>
      <c r="L517" s="2">
        <v>2024</v>
      </c>
      <c r="M517" s="2" t="s">
        <v>57</v>
      </c>
      <c r="N517" s="2" t="s">
        <v>52</v>
      </c>
      <c r="O517" s="2" t="s">
        <v>22</v>
      </c>
      <c r="P517" s="2" t="s">
        <v>23</v>
      </c>
      <c r="Q517" s="2" t="s">
        <v>24</v>
      </c>
      <c r="R517" s="2" t="s">
        <v>25</v>
      </c>
      <c r="S517" s="2">
        <v>283526</v>
      </c>
      <c r="T517" s="3">
        <v>586183</v>
      </c>
      <c r="U517" s="3">
        <v>1300000</v>
      </c>
      <c r="V517" s="3">
        <v>0</v>
      </c>
      <c r="W517" s="3">
        <v>1300000</v>
      </c>
      <c r="X517" s="3" t="s">
        <v>58</v>
      </c>
      <c r="Y517" s="3">
        <v>1300000</v>
      </c>
      <c r="Z517" s="3" t="s">
        <v>58</v>
      </c>
      <c r="AA517" s="6">
        <f>SUMIFS(HS_DB[Trade Value - USD],HS_DB[Reporter],HS_DB[[#This Row],[Reporter]])/SUM(HS_DB[Trade Value - USD])</f>
        <v>1.4429559760252854E-3</v>
      </c>
      <c r="AB517" s="8" cm="1">
        <f t="array" ref="AB517">SUMPRODUCT(
(HS_DB[Reporter]=HS_DB[[#This Row],[Reporter]])*
(HS_DB[Trade Value - USD]&gt;HS_DB[[#This Row],[Trade Value - USD]])
)+1</f>
        <v>2</v>
      </c>
      <c r="AC517" s="8" t="str">
        <f>IFERROR(IF(INDEX(Heat_Map[Crisis Impact %],MATCH(HS_DB[[#This Row],[Reporter]],Heat_Map[Global],0),1)&gt;0,"Yes","No"),"No")</f>
        <v>No</v>
      </c>
      <c r="AD517" s="6">
        <f>IFERROR(INDEX(Heat_Map[Crisis Impact %],MATCH(HS_DB[[#This Row],[Reporter]],Heat_Map[Global],0),1),0)</f>
        <v>0</v>
      </c>
      <c r="AE517" s="8">
        <f>HS_DB[[#This Row],[Crisis Impact%]]*HS_DB[[#This Row],[Trade Value - USD]]</f>
        <v>0</v>
      </c>
      <c r="AF517" s="8">
        <f>HS_DB[[#This Row],[Crisis Impact%]]*HS_DB[[#This Row],[Net Weight -KG]]</f>
        <v>0</v>
      </c>
      <c r="AG517" s="6">
        <f>SUMIFS(HS_DB[Trade Value - USD],HS_DB[Products],HS_DB[[#This Row],[Products]])/SUM(HS_DB[Trade Value - USD])</f>
        <v>1.2919776492486183E-2</v>
      </c>
      <c r="AH517" s="8">
        <f>_xlfn.RANK.EQ(HS_DB[[#This Row],[Trade Value - USD]], HS_DB[Trade Value - USD], 0)
 + COUNTIFS(HS_DB[Trade Value - USD],HS_DB[[#This Row],[Trade Value - USD]],
            HS_DB[HS Code],"&lt;"&amp;HS_DB[[#This Row],[HS Code]])</f>
        <v>136</v>
      </c>
      <c r="AI517" s="9">
        <f>IFERROR(HS_DB[[#This Row],[Trade Value - USD]]/HS_DB[[#This Row],[Net Weight -KG]],0)</f>
        <v>0.45090999999999998</v>
      </c>
      <c r="AJ517" s="17" cm="1">
        <f t="array" ref="AJ517">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517" s="17" t="str">
        <f>IF(HS_DB[[#This Row],[HS Code Risk Score]]&gt;=40,"High",
 IF(HS_DB[[#This Row],[HS Code Risk Score]]&gt;=25,"Medium","Low"))</f>
        <v>Medium</v>
      </c>
      <c r="AL517" s="17" t="str">
        <f>IF(RANK(HS_DB[[#This Row],[HS Code Risk Score]],HS_DB[HS Code Risk Score])&lt;=10,"Yes","No")</f>
        <v>No</v>
      </c>
      <c r="AM517" s="8">
        <f>SUMIFS(HS_DB[Net Weight -KG],HS_DB[HS Code],HS_DB[[#This Row],[HS Code]])</f>
        <v>35465011</v>
      </c>
      <c r="AN517" s="8">
        <f>SUMIFS(HS_DB[Trade Value - USD],HS_DB[HS Code],HS_DB[[#This Row],[HS Code]])</f>
        <v>24353886</v>
      </c>
      <c r="AO517" s="6">
        <f>_xlfn.MAXIFS(HS_DB[Origin Share%],HS_DB[HS Code],HS_DB[[#This Row],[HS Code]])</f>
        <v>6.321329281187793E-2</v>
      </c>
      <c r="AP517" s="8" cm="1">
        <f t="array" ref="AP517">_xlfn.LET(
_xlpm.hs,HS_DB[[#This Row],[HS Code]],
COUNTA(_xlfn.UNIQUE(_xlfn._xlws.FILTER(HS_DB[Reporter],HS_DB[HS Code]=_xlpm.hs)))
)</f>
        <v>13</v>
      </c>
      <c r="AQ517" s="17" t="str">
        <f>IF(HS_DB[[#This Row],[Origin Count]]=1,"Single Source","Multiple Sources")</f>
        <v>Multiple Sources</v>
      </c>
      <c r="AR517" s="8">
        <f>HS_DB[[#This Row],[Annual Spend - USD]]*(HS_DB[[#This Row],[HS Code Risk Score]]/100)</f>
        <v>8280321.2400000002</v>
      </c>
      <c r="AS517" s="8">
        <f>RANK(HS_DB[[#This Row],[Risk Exposure - USD]],HS_DB[Risk Exposure - USD],0)</f>
        <v>96</v>
      </c>
      <c r="AT517" s="8" t="str">
        <f>IF(HS_DB[[#This Row],[Risk Exposure Rank]]&lt;=10,"High",
 IF(HS_DB[[#This Row],[Risk Exposure Rank]]&lt;=30,"Medium",
 "Low"))</f>
        <v>Low</v>
      </c>
      <c r="AU517" s="8" t="str">
        <f>IF(HS_DB[[#This Row],[Risk Exposure Rank]]&lt;=5,"Immediate Action",
 IF(HS_DB[[#This Row],[Risk Exposure Rank]]&lt;=15,"Monitor Closely",
 "Routine Control"))</f>
        <v>Routine Control</v>
      </c>
      <c r="AV517" s="8">
        <f>SUMIFS(HS_DB[Trade Value - USD],HS_DB[HS Code],HS_DB[[#This Row],[HS Code]])</f>
        <v>24353886</v>
      </c>
      <c r="AW517" s="6">
        <f>HS_DB[[#This Row],[Annual Spend - USD]]/HS_DB[[#This Row],[Total Market Size - USD]]</f>
        <v>1</v>
      </c>
      <c r="AX517" s="6" cm="1">
        <f t="array" ref="AX517">COUNTA(_xlfn.UNIQUE(_xlfn._xlws.FILTER(HS_DB[Partner],HS_DB[HS Code]=HS_DB[[#This Row],[HS Code]])))</f>
        <v>1</v>
      </c>
      <c r="AY517" s="8" t="str">
        <f>IF(HS_DB[[#This Row],[Competition Intensity]]&lt;=2,"Highly Concentrated",
 IF(HS_DB[[#This Row],[Competition Intensity]]&lt;=5,"Moderate",
 "Highly Competitive"))</f>
        <v>Highly Concentrated</v>
      </c>
      <c r="AZ517" s="8">
        <f>HS_DB[[#This Row],[Total Market Size - USD]]
*
(1+IFERROR(#REF!,0))
/
HS_DB[[#This Row],[Competition Intensity]]</f>
        <v>24353886</v>
      </c>
      <c r="BA517" s="8" t="str">
        <f>IF(HS_DB[[#This Row],[Commercial Opportunity Score]]&gt;=PERCENTILE(HS_DB[Commercial Opportunity Score],0.9),"High Opportunity",
 IF(HS_DB[[#This Row],[Commercial Opportunity Score]]&gt;=PERCENTILE(HS_DB[Commercial Opportunity Score],0.6),"Medium Opportunity",
 "Routine Market"))</f>
        <v>Medium Opportunity</v>
      </c>
      <c r="BB517" s="3" t="str">
        <f>IF(AND(HS_DB[[#This Row],[Product Rank]]&gt;0,HS_DB[[#This Row],[Product Rank]]&lt;=10),"Yes","No")</f>
        <v>No</v>
      </c>
      <c r="BC517" s="3" t="str">
        <f>IF(AND(HS_DB[[#This Row],[Origin Rank]]&gt;0,HS_DB[[#This Row],[Origin Rank]]&lt;=10),"Yes","No")</f>
        <v>Yes</v>
      </c>
    </row>
    <row r="518" spans="2:55" x14ac:dyDescent="0.3">
      <c r="B518" s="2">
        <f>HS_DB[[#This Row],[Commodity Code]]</f>
        <v>283526</v>
      </c>
      <c r="C518" s="2">
        <f>IFERROR(INDEX(HS_MD!C:C,MATCH(B518,HS_MD!B:B,0),1),"")</f>
        <v>43</v>
      </c>
      <c r="D518" s="17" t="str">
        <f>IFERROR(INDEX(HS_MD!D:D,MATCH(B518,HS_MD!B:B,0),1),"")</f>
        <v>Phosphates</v>
      </c>
      <c r="E518" s="17" t="str">
        <f>IFERROR(INDEX(HS_MD!E:E,MATCH(B518,HS_MD!B:B,0),1),"")</f>
        <v>Phosphates</v>
      </c>
      <c r="F518" s="17" t="str">
        <f>IFERROR(INDEX(HS_MD!F:F,MATCH(B518,HS_MD!B:B,0),1),"")</f>
        <v>Food Ingredients</v>
      </c>
      <c r="G518" s="17" t="str">
        <f>IFERROR(INDEX(HS_MD!G:G,MATCH(B518,HS_MD!B:B,0),1),"")</f>
        <v>Salts &amp; Stabilizers</v>
      </c>
      <c r="H518" s="17" t="str">
        <f>IFERROR(INDEX(HS_MD!H:H,MATCH(B518,HS_MD!B:B,0),1),"")</f>
        <v>Industrial Phosphates</v>
      </c>
      <c r="I518" s="17" t="str">
        <f>IFERROR(INDEX(HS_MD!I:I,MATCH(B518,HS_MD!B:B,0),1),"")</f>
        <v>Meat / Processed Food</v>
      </c>
      <c r="J518" s="17">
        <f>IFERROR(INDEX(Heat_Map[Index],MATCH(HS_DB[[#This Row],[Reporter]],Heat_Map[Global],0),1),"")</f>
        <v>118</v>
      </c>
      <c r="K518" s="17" t="str">
        <f>IF(AND(HS_DB[[#This Row],[Origin Rank]]&gt;1,HS_DB[[#This Row],[Origin Rank]]&lt;=10),"Yes","No")</f>
        <v>No</v>
      </c>
      <c r="L518" s="2">
        <v>2024</v>
      </c>
      <c r="M518" s="2" t="s">
        <v>57</v>
      </c>
      <c r="N518" s="2" t="s">
        <v>53</v>
      </c>
      <c r="O518" s="2" t="s">
        <v>22</v>
      </c>
      <c r="P518" s="2" t="s">
        <v>23</v>
      </c>
      <c r="Q518" s="2" t="s">
        <v>24</v>
      </c>
      <c r="R518" s="2" t="s">
        <v>25</v>
      </c>
      <c r="S518" s="2">
        <v>283526</v>
      </c>
      <c r="T518" s="3">
        <v>53780</v>
      </c>
      <c r="U518" s="3">
        <v>69000</v>
      </c>
      <c r="V518" s="3">
        <v>0</v>
      </c>
      <c r="W518" s="3">
        <v>69000</v>
      </c>
      <c r="X518" s="3" t="s">
        <v>58</v>
      </c>
      <c r="Y518" s="3">
        <v>69000</v>
      </c>
      <c r="Z518" s="3" t="s">
        <v>58</v>
      </c>
      <c r="AA518" s="6">
        <f>SUMIFS(HS_DB[Trade Value - USD],HS_DB[Reporter],HS_DB[[#This Row],[Reporter]])/SUM(HS_DB[Trade Value - USD])</f>
        <v>1.4561232389604124E-2</v>
      </c>
      <c r="AB518" s="8" cm="1">
        <f t="array" ref="AB518">SUMPRODUCT(
(HS_DB[Reporter]=HS_DB[[#This Row],[Reporter]])*
(HS_DB[Trade Value - USD]&gt;HS_DB[[#This Row],[Trade Value - USD]])
)+1</f>
        <v>21</v>
      </c>
      <c r="AC518" s="8" t="str">
        <f>IFERROR(IF(INDEX(Heat_Map[Crisis Impact %],MATCH(HS_DB[[#This Row],[Reporter]],Heat_Map[Global],0),1)&gt;0,"Yes","No"),"No")</f>
        <v>No</v>
      </c>
      <c r="AD518" s="6">
        <f>IFERROR(INDEX(Heat_Map[Crisis Impact %],MATCH(HS_DB[[#This Row],[Reporter]],Heat_Map[Global],0),1),0)</f>
        <v>0</v>
      </c>
      <c r="AE518" s="8">
        <f>HS_DB[[#This Row],[Crisis Impact%]]*HS_DB[[#This Row],[Trade Value - USD]]</f>
        <v>0</v>
      </c>
      <c r="AF518" s="8">
        <f>HS_DB[[#This Row],[Crisis Impact%]]*HS_DB[[#This Row],[Net Weight -KG]]</f>
        <v>0</v>
      </c>
      <c r="AG518" s="6">
        <f>SUMIFS(HS_DB[Trade Value - USD],HS_DB[Products],HS_DB[[#This Row],[Products]])/SUM(HS_DB[Trade Value - USD])</f>
        <v>1.2919776492486183E-2</v>
      </c>
      <c r="AH518" s="8">
        <f>_xlfn.RANK.EQ(HS_DB[[#This Row],[Trade Value - USD]], HS_DB[Trade Value - USD], 0)
 + COUNTIFS(HS_DB[Trade Value - USD],HS_DB[[#This Row],[Trade Value - USD]],
            HS_DB[HS Code],"&lt;"&amp;HS_DB[[#This Row],[HS Code]])</f>
        <v>320</v>
      </c>
      <c r="AI518" s="9">
        <f>IFERROR(HS_DB[[#This Row],[Trade Value - USD]]/HS_DB[[#This Row],[Net Weight -KG]],0)</f>
        <v>0.7794202898550725</v>
      </c>
      <c r="AJ518" s="17" cm="1">
        <f t="array" ref="AJ518">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518" s="17" t="str">
        <f>IF(HS_DB[[#This Row],[HS Code Risk Score]]&gt;=40,"High",
 IF(HS_DB[[#This Row],[HS Code Risk Score]]&gt;=25,"Medium","Low"))</f>
        <v>Medium</v>
      </c>
      <c r="AL518" s="17" t="str">
        <f>IF(RANK(HS_DB[[#This Row],[HS Code Risk Score]],HS_DB[HS Code Risk Score])&lt;=10,"Yes","No")</f>
        <v>No</v>
      </c>
      <c r="AM518" s="8">
        <f>SUMIFS(HS_DB[Net Weight -KG],HS_DB[HS Code],HS_DB[[#This Row],[HS Code]])</f>
        <v>35465011</v>
      </c>
      <c r="AN518" s="8">
        <f>SUMIFS(HS_DB[Trade Value - USD],HS_DB[HS Code],HS_DB[[#This Row],[HS Code]])</f>
        <v>24353886</v>
      </c>
      <c r="AO518" s="6">
        <f>_xlfn.MAXIFS(HS_DB[Origin Share%],HS_DB[HS Code],HS_DB[[#This Row],[HS Code]])</f>
        <v>6.321329281187793E-2</v>
      </c>
      <c r="AP518" s="8" cm="1">
        <f t="array" ref="AP518">_xlfn.LET(
_xlpm.hs,HS_DB[[#This Row],[HS Code]],
COUNTA(_xlfn.UNIQUE(_xlfn._xlws.FILTER(HS_DB[Reporter],HS_DB[HS Code]=_xlpm.hs)))
)</f>
        <v>13</v>
      </c>
      <c r="AQ518" s="17" t="str">
        <f>IF(HS_DB[[#This Row],[Origin Count]]=1,"Single Source","Multiple Sources")</f>
        <v>Multiple Sources</v>
      </c>
      <c r="AR518" s="8">
        <f>HS_DB[[#This Row],[Annual Spend - USD]]*(HS_DB[[#This Row],[HS Code Risk Score]]/100)</f>
        <v>8280321.2400000002</v>
      </c>
      <c r="AS518" s="8">
        <f>RANK(HS_DB[[#This Row],[Risk Exposure - USD]],HS_DB[Risk Exposure - USD],0)</f>
        <v>96</v>
      </c>
      <c r="AT518" s="8" t="str">
        <f>IF(HS_DB[[#This Row],[Risk Exposure Rank]]&lt;=10,"High",
 IF(HS_DB[[#This Row],[Risk Exposure Rank]]&lt;=30,"Medium",
 "Low"))</f>
        <v>Low</v>
      </c>
      <c r="AU518" s="8" t="str">
        <f>IF(HS_DB[[#This Row],[Risk Exposure Rank]]&lt;=5,"Immediate Action",
 IF(HS_DB[[#This Row],[Risk Exposure Rank]]&lt;=15,"Monitor Closely",
 "Routine Control"))</f>
        <v>Routine Control</v>
      </c>
      <c r="AV518" s="8">
        <f>SUMIFS(HS_DB[Trade Value - USD],HS_DB[HS Code],HS_DB[[#This Row],[HS Code]])</f>
        <v>24353886</v>
      </c>
      <c r="AW518" s="6">
        <f>HS_DB[[#This Row],[Annual Spend - USD]]/HS_DB[[#This Row],[Total Market Size - USD]]</f>
        <v>1</v>
      </c>
      <c r="AX518" s="6" cm="1">
        <f t="array" ref="AX518">COUNTA(_xlfn.UNIQUE(_xlfn._xlws.FILTER(HS_DB[Partner],HS_DB[HS Code]=HS_DB[[#This Row],[HS Code]])))</f>
        <v>1</v>
      </c>
      <c r="AY518" s="8" t="str">
        <f>IF(HS_DB[[#This Row],[Competition Intensity]]&lt;=2,"Highly Concentrated",
 IF(HS_DB[[#This Row],[Competition Intensity]]&lt;=5,"Moderate",
 "Highly Competitive"))</f>
        <v>Highly Concentrated</v>
      </c>
      <c r="AZ518" s="8">
        <f>HS_DB[[#This Row],[Total Market Size - USD]]
*
(1+IFERROR(#REF!,0))
/
HS_DB[[#This Row],[Competition Intensity]]</f>
        <v>24353886</v>
      </c>
      <c r="BA518" s="8" t="str">
        <f>IF(HS_DB[[#This Row],[Commercial Opportunity Score]]&gt;=PERCENTILE(HS_DB[Commercial Opportunity Score],0.9),"High Opportunity",
 IF(HS_DB[[#This Row],[Commercial Opportunity Score]]&gt;=PERCENTILE(HS_DB[Commercial Opportunity Score],0.6),"Medium Opportunity",
 "Routine Market"))</f>
        <v>Medium Opportunity</v>
      </c>
      <c r="BB518" s="3" t="str">
        <f>IF(AND(HS_DB[[#This Row],[Product Rank]]&gt;0,HS_DB[[#This Row],[Product Rank]]&lt;=10),"Yes","No")</f>
        <v>No</v>
      </c>
      <c r="BC518" s="3" t="str">
        <f>IF(AND(HS_DB[[#This Row],[Origin Rank]]&gt;0,HS_DB[[#This Row],[Origin Rank]]&lt;=10),"Yes","No")</f>
        <v>No</v>
      </c>
    </row>
    <row r="519" spans="2:55" x14ac:dyDescent="0.3">
      <c r="B519" s="2">
        <f>HS_DB[[#This Row],[Commodity Code]]</f>
        <v>283526</v>
      </c>
      <c r="C519" s="2">
        <f>IFERROR(INDEX(HS_MD!C:C,MATCH(B519,HS_MD!B:B,0),1),"")</f>
        <v>43</v>
      </c>
      <c r="D519" s="17" t="str">
        <f>IFERROR(INDEX(HS_MD!D:D,MATCH(B519,HS_MD!B:B,0),1),"")</f>
        <v>Phosphates</v>
      </c>
      <c r="E519" s="17" t="str">
        <f>IFERROR(INDEX(HS_MD!E:E,MATCH(B519,HS_MD!B:B,0),1),"")</f>
        <v>Phosphates</v>
      </c>
      <c r="F519" s="17" t="str">
        <f>IFERROR(INDEX(HS_MD!F:F,MATCH(B519,HS_MD!B:B,0),1),"")</f>
        <v>Food Ingredients</v>
      </c>
      <c r="G519" s="17" t="str">
        <f>IFERROR(INDEX(HS_MD!G:G,MATCH(B519,HS_MD!B:B,0),1),"")</f>
        <v>Salts &amp; Stabilizers</v>
      </c>
      <c r="H519" s="17" t="str">
        <f>IFERROR(INDEX(HS_MD!H:H,MATCH(B519,HS_MD!B:B,0),1),"")</f>
        <v>Industrial Phosphates</v>
      </c>
      <c r="I519" s="17" t="str">
        <f>IFERROR(INDEX(HS_MD!I:I,MATCH(B519,HS_MD!B:B,0),1),"")</f>
        <v>Meat / Processed Food</v>
      </c>
      <c r="J519" s="17">
        <f>IFERROR(INDEX(Heat_Map[Index],MATCH(HS_DB[[#This Row],[Reporter]],Heat_Map[Global],0),1),"")</f>
        <v>75</v>
      </c>
      <c r="K519" s="17" t="str">
        <f>IF(AND(HS_DB[[#This Row],[Origin Rank]]&gt;1,HS_DB[[#This Row],[Origin Rank]]&lt;=10),"Yes","No")</f>
        <v>No</v>
      </c>
      <c r="L519" s="2">
        <v>2024</v>
      </c>
      <c r="M519" s="2" t="s">
        <v>57</v>
      </c>
      <c r="N519" s="2" t="s">
        <v>8</v>
      </c>
      <c r="O519" s="2" t="s">
        <v>22</v>
      </c>
      <c r="P519" s="2" t="s">
        <v>23</v>
      </c>
      <c r="Q519" s="2" t="s">
        <v>24</v>
      </c>
      <c r="R519" s="2" t="s">
        <v>25</v>
      </c>
      <c r="S519" s="2">
        <v>283526</v>
      </c>
      <c r="T519" s="3">
        <v>26422</v>
      </c>
      <c r="U519" s="3">
        <v>4455</v>
      </c>
      <c r="V519" s="3">
        <v>0</v>
      </c>
      <c r="W519" s="3">
        <v>4455</v>
      </c>
      <c r="X519" s="3" t="s">
        <v>58</v>
      </c>
      <c r="Y519" s="3">
        <v>4455</v>
      </c>
      <c r="Z519" s="3" t="s">
        <v>58</v>
      </c>
      <c r="AA519" s="6">
        <f>SUMIFS(HS_DB[Trade Value - USD],HS_DB[Reporter],HS_DB[[#This Row],[Reporter]])/SUM(HS_DB[Trade Value - USD])</f>
        <v>2.2441761060335613E-2</v>
      </c>
      <c r="AB519" s="8" cm="1">
        <f t="array" ref="AB519">SUMPRODUCT(
(HS_DB[Reporter]=HS_DB[[#This Row],[Reporter]])*
(HS_DB[Trade Value - USD]&gt;HS_DB[[#This Row],[Trade Value - USD]])
)+1</f>
        <v>30</v>
      </c>
      <c r="AC519" s="8" t="str">
        <f>IFERROR(IF(INDEX(Heat_Map[Crisis Impact %],MATCH(HS_DB[[#This Row],[Reporter]],Heat_Map[Global],0),1)&gt;0,"Yes","No"),"No")</f>
        <v>No</v>
      </c>
      <c r="AD519" s="6">
        <f>IFERROR(INDEX(Heat_Map[Crisis Impact %],MATCH(HS_DB[[#This Row],[Reporter]],Heat_Map[Global],0),1),0)</f>
        <v>0</v>
      </c>
      <c r="AE519" s="8">
        <f>HS_DB[[#This Row],[Crisis Impact%]]*HS_DB[[#This Row],[Trade Value - USD]]</f>
        <v>0</v>
      </c>
      <c r="AF519" s="8">
        <f>HS_DB[[#This Row],[Crisis Impact%]]*HS_DB[[#This Row],[Net Weight -KG]]</f>
        <v>0</v>
      </c>
      <c r="AG519" s="6">
        <f>SUMIFS(HS_DB[Trade Value - USD],HS_DB[Products],HS_DB[[#This Row],[Products]])/SUM(HS_DB[Trade Value - USD])</f>
        <v>1.2919776492486183E-2</v>
      </c>
      <c r="AH519" s="8">
        <f>_xlfn.RANK.EQ(HS_DB[[#This Row],[Trade Value - USD]], HS_DB[Trade Value - USD], 0)
 + COUNTIFS(HS_DB[Trade Value - USD],HS_DB[[#This Row],[Trade Value - USD]],
            HS_DB[HS Code],"&lt;"&amp;HS_DB[[#This Row],[HS Code]])</f>
        <v>365</v>
      </c>
      <c r="AI519" s="9">
        <f>IFERROR(HS_DB[[#This Row],[Trade Value - USD]]/HS_DB[[#This Row],[Net Weight -KG]],0)</f>
        <v>5.9308641975308642</v>
      </c>
      <c r="AJ519" s="17" cm="1">
        <f t="array" ref="AJ519">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519" s="17" t="str">
        <f>IF(HS_DB[[#This Row],[HS Code Risk Score]]&gt;=40,"High",
 IF(HS_DB[[#This Row],[HS Code Risk Score]]&gt;=25,"Medium","Low"))</f>
        <v>Medium</v>
      </c>
      <c r="AL519" s="17" t="str">
        <f>IF(RANK(HS_DB[[#This Row],[HS Code Risk Score]],HS_DB[HS Code Risk Score])&lt;=10,"Yes","No")</f>
        <v>No</v>
      </c>
      <c r="AM519" s="8">
        <f>SUMIFS(HS_DB[Net Weight -KG],HS_DB[HS Code],HS_DB[[#This Row],[HS Code]])</f>
        <v>35465011</v>
      </c>
      <c r="AN519" s="8">
        <f>SUMIFS(HS_DB[Trade Value - USD],HS_DB[HS Code],HS_DB[[#This Row],[HS Code]])</f>
        <v>24353886</v>
      </c>
      <c r="AO519" s="6">
        <f>_xlfn.MAXIFS(HS_DB[Origin Share%],HS_DB[HS Code],HS_DB[[#This Row],[HS Code]])</f>
        <v>6.321329281187793E-2</v>
      </c>
      <c r="AP519" s="8" cm="1">
        <f t="array" ref="AP519">_xlfn.LET(
_xlpm.hs,HS_DB[[#This Row],[HS Code]],
COUNTA(_xlfn.UNIQUE(_xlfn._xlws.FILTER(HS_DB[Reporter],HS_DB[HS Code]=_xlpm.hs)))
)</f>
        <v>13</v>
      </c>
      <c r="AQ519" s="17" t="str">
        <f>IF(HS_DB[[#This Row],[Origin Count]]=1,"Single Source","Multiple Sources")</f>
        <v>Multiple Sources</v>
      </c>
      <c r="AR519" s="8">
        <f>HS_DB[[#This Row],[Annual Spend - USD]]*(HS_DB[[#This Row],[HS Code Risk Score]]/100)</f>
        <v>8280321.2400000002</v>
      </c>
      <c r="AS519" s="8">
        <f>RANK(HS_DB[[#This Row],[Risk Exposure - USD]],HS_DB[Risk Exposure - USD],0)</f>
        <v>96</v>
      </c>
      <c r="AT519" s="8" t="str">
        <f>IF(HS_DB[[#This Row],[Risk Exposure Rank]]&lt;=10,"High",
 IF(HS_DB[[#This Row],[Risk Exposure Rank]]&lt;=30,"Medium",
 "Low"))</f>
        <v>Low</v>
      </c>
      <c r="AU519" s="8" t="str">
        <f>IF(HS_DB[[#This Row],[Risk Exposure Rank]]&lt;=5,"Immediate Action",
 IF(HS_DB[[#This Row],[Risk Exposure Rank]]&lt;=15,"Monitor Closely",
 "Routine Control"))</f>
        <v>Routine Control</v>
      </c>
      <c r="AV519" s="8">
        <f>SUMIFS(HS_DB[Trade Value - USD],HS_DB[HS Code],HS_DB[[#This Row],[HS Code]])</f>
        <v>24353886</v>
      </c>
      <c r="AW519" s="6">
        <f>HS_DB[[#This Row],[Annual Spend - USD]]/HS_DB[[#This Row],[Total Market Size - USD]]</f>
        <v>1</v>
      </c>
      <c r="AX519" s="6" cm="1">
        <f t="array" ref="AX519">COUNTA(_xlfn.UNIQUE(_xlfn._xlws.FILTER(HS_DB[Partner],HS_DB[HS Code]=HS_DB[[#This Row],[HS Code]])))</f>
        <v>1</v>
      </c>
      <c r="AY519" s="8" t="str">
        <f>IF(HS_DB[[#This Row],[Competition Intensity]]&lt;=2,"Highly Concentrated",
 IF(HS_DB[[#This Row],[Competition Intensity]]&lt;=5,"Moderate",
 "Highly Competitive"))</f>
        <v>Highly Concentrated</v>
      </c>
      <c r="AZ519" s="8">
        <f>HS_DB[[#This Row],[Total Market Size - USD]]
*
(1+IFERROR(#REF!,0))
/
HS_DB[[#This Row],[Competition Intensity]]</f>
        <v>24353886</v>
      </c>
      <c r="BA519" s="8" t="str">
        <f>IF(HS_DB[[#This Row],[Commercial Opportunity Score]]&gt;=PERCENTILE(HS_DB[Commercial Opportunity Score],0.9),"High Opportunity",
 IF(HS_DB[[#This Row],[Commercial Opportunity Score]]&gt;=PERCENTILE(HS_DB[Commercial Opportunity Score],0.6),"Medium Opportunity",
 "Routine Market"))</f>
        <v>Medium Opportunity</v>
      </c>
      <c r="BB519" s="3" t="str">
        <f>IF(AND(HS_DB[[#This Row],[Product Rank]]&gt;0,HS_DB[[#This Row],[Product Rank]]&lt;=10),"Yes","No")</f>
        <v>No</v>
      </c>
      <c r="BC519" s="3" t="str">
        <f>IF(AND(HS_DB[[#This Row],[Origin Rank]]&gt;0,HS_DB[[#This Row],[Origin Rank]]&lt;=10),"Yes","No")</f>
        <v>No</v>
      </c>
    </row>
    <row r="520" spans="2:55" x14ac:dyDescent="0.3">
      <c r="B520" s="2">
        <f>HS_DB[[#This Row],[Commodity Code]]</f>
        <v>283526</v>
      </c>
      <c r="C520" s="2">
        <f>IFERROR(INDEX(HS_MD!C:C,MATCH(B520,HS_MD!B:B,0),1),"")</f>
        <v>43</v>
      </c>
      <c r="D520" s="17" t="str">
        <f>IFERROR(INDEX(HS_MD!D:D,MATCH(B520,HS_MD!B:B,0),1),"")</f>
        <v>Phosphates</v>
      </c>
      <c r="E520" s="17" t="str">
        <f>IFERROR(INDEX(HS_MD!E:E,MATCH(B520,HS_MD!B:B,0),1),"")</f>
        <v>Phosphates</v>
      </c>
      <c r="F520" s="17" t="str">
        <f>IFERROR(INDEX(HS_MD!F:F,MATCH(B520,HS_MD!B:B,0),1),"")</f>
        <v>Food Ingredients</v>
      </c>
      <c r="G520" s="17" t="str">
        <f>IFERROR(INDEX(HS_MD!G:G,MATCH(B520,HS_MD!B:B,0),1),"")</f>
        <v>Salts &amp; Stabilizers</v>
      </c>
      <c r="H520" s="17" t="str">
        <f>IFERROR(INDEX(HS_MD!H:H,MATCH(B520,HS_MD!B:B,0),1),"")</f>
        <v>Industrial Phosphates</v>
      </c>
      <c r="I520" s="17" t="str">
        <f>IFERROR(INDEX(HS_MD!I:I,MATCH(B520,HS_MD!B:B,0),1),"")</f>
        <v>Meat / Processed Food</v>
      </c>
      <c r="J520" s="17">
        <f>IFERROR(INDEX(Heat_Map[Index],MATCH(HS_DB[[#This Row],[Reporter]],Heat_Map[Global],0),1),"")</f>
        <v>159</v>
      </c>
      <c r="K520" s="17" t="str">
        <f>IF(AND(HS_DB[[#This Row],[Origin Rank]]&gt;1,HS_DB[[#This Row],[Origin Rank]]&lt;=10),"Yes","No")</f>
        <v>Yes</v>
      </c>
      <c r="L520" s="2">
        <v>2024</v>
      </c>
      <c r="M520" s="2" t="s">
        <v>57</v>
      </c>
      <c r="N520" s="2" t="s">
        <v>30</v>
      </c>
      <c r="O520" s="2" t="s">
        <v>22</v>
      </c>
      <c r="P520" s="2" t="s">
        <v>23</v>
      </c>
      <c r="Q520" s="2" t="s">
        <v>24</v>
      </c>
      <c r="R520" s="2" t="s">
        <v>25</v>
      </c>
      <c r="S520" s="2">
        <v>283526</v>
      </c>
      <c r="T520" s="3">
        <v>1642284</v>
      </c>
      <c r="U520" s="3">
        <v>2257800</v>
      </c>
      <c r="V520" s="3">
        <v>0</v>
      </c>
      <c r="W520" s="3">
        <v>2257800</v>
      </c>
      <c r="X520" s="3" t="s">
        <v>58</v>
      </c>
      <c r="Y520" s="3">
        <v>2257800</v>
      </c>
      <c r="Z520" s="3" t="s">
        <v>58</v>
      </c>
      <c r="AA520" s="6">
        <f>SUMIFS(HS_DB[Trade Value - USD],HS_DB[Reporter],HS_DB[[#This Row],[Reporter]])/SUM(HS_DB[Trade Value - USD])</f>
        <v>6.110186869383482E-3</v>
      </c>
      <c r="AB520" s="8" cm="1">
        <f t="array" ref="AB520">SUMPRODUCT(
(HS_DB[Reporter]=HS_DB[[#This Row],[Reporter]])*
(HS_DB[Trade Value - USD]&gt;HS_DB[[#This Row],[Trade Value - USD]])
)+1</f>
        <v>2</v>
      </c>
      <c r="AC520" s="8" t="str">
        <f>IFERROR(IF(INDEX(Heat_Map[Crisis Impact %],MATCH(HS_DB[[#This Row],[Reporter]],Heat_Map[Global],0),1)&gt;0,"Yes","No"),"No")</f>
        <v>No</v>
      </c>
      <c r="AD520" s="6">
        <f>IFERROR(INDEX(Heat_Map[Crisis Impact %],MATCH(HS_DB[[#This Row],[Reporter]],Heat_Map[Global],0),1),0)</f>
        <v>0</v>
      </c>
      <c r="AE520" s="8">
        <f>HS_DB[[#This Row],[Crisis Impact%]]*HS_DB[[#This Row],[Trade Value - USD]]</f>
        <v>0</v>
      </c>
      <c r="AF520" s="8">
        <f>HS_DB[[#This Row],[Crisis Impact%]]*HS_DB[[#This Row],[Net Weight -KG]]</f>
        <v>0</v>
      </c>
      <c r="AG520" s="6">
        <f>SUMIFS(HS_DB[Trade Value - USD],HS_DB[Products],HS_DB[[#This Row],[Products]])/SUM(HS_DB[Trade Value - USD])</f>
        <v>1.2919776492486183E-2</v>
      </c>
      <c r="AH520" s="8">
        <f>_xlfn.RANK.EQ(HS_DB[[#This Row],[Trade Value - USD]], HS_DB[Trade Value - USD], 0)
 + COUNTIFS(HS_DB[Trade Value - USD],HS_DB[[#This Row],[Trade Value - USD]],
            HS_DB[HS Code],"&lt;"&amp;HS_DB[[#This Row],[HS Code]])</f>
        <v>70</v>
      </c>
      <c r="AI520" s="9">
        <f>IFERROR(HS_DB[[#This Row],[Trade Value - USD]]/HS_DB[[#This Row],[Net Weight -KG]],0)</f>
        <v>0.72738240765346796</v>
      </c>
      <c r="AJ520" s="17" cm="1">
        <f t="array" ref="AJ520">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520" s="17" t="str">
        <f>IF(HS_DB[[#This Row],[HS Code Risk Score]]&gt;=40,"High",
 IF(HS_DB[[#This Row],[HS Code Risk Score]]&gt;=25,"Medium","Low"))</f>
        <v>Medium</v>
      </c>
      <c r="AL520" s="17" t="str">
        <f>IF(RANK(HS_DB[[#This Row],[HS Code Risk Score]],HS_DB[HS Code Risk Score])&lt;=10,"Yes","No")</f>
        <v>No</v>
      </c>
      <c r="AM520" s="8">
        <f>SUMIFS(HS_DB[Net Weight -KG],HS_DB[HS Code],HS_DB[[#This Row],[HS Code]])</f>
        <v>35465011</v>
      </c>
      <c r="AN520" s="8">
        <f>SUMIFS(HS_DB[Trade Value - USD],HS_DB[HS Code],HS_DB[[#This Row],[HS Code]])</f>
        <v>24353886</v>
      </c>
      <c r="AO520" s="6">
        <f>_xlfn.MAXIFS(HS_DB[Origin Share%],HS_DB[HS Code],HS_DB[[#This Row],[HS Code]])</f>
        <v>6.321329281187793E-2</v>
      </c>
      <c r="AP520" s="8" cm="1">
        <f t="array" ref="AP520">_xlfn.LET(
_xlpm.hs,HS_DB[[#This Row],[HS Code]],
COUNTA(_xlfn.UNIQUE(_xlfn._xlws.FILTER(HS_DB[Reporter],HS_DB[HS Code]=_xlpm.hs)))
)</f>
        <v>13</v>
      </c>
      <c r="AQ520" s="17" t="str">
        <f>IF(HS_DB[[#This Row],[Origin Count]]=1,"Single Source","Multiple Sources")</f>
        <v>Multiple Sources</v>
      </c>
      <c r="AR520" s="8">
        <f>HS_DB[[#This Row],[Annual Spend - USD]]*(HS_DB[[#This Row],[HS Code Risk Score]]/100)</f>
        <v>8280321.2400000002</v>
      </c>
      <c r="AS520" s="8">
        <f>RANK(HS_DB[[#This Row],[Risk Exposure - USD]],HS_DB[Risk Exposure - USD],0)</f>
        <v>96</v>
      </c>
      <c r="AT520" s="8" t="str">
        <f>IF(HS_DB[[#This Row],[Risk Exposure Rank]]&lt;=10,"High",
 IF(HS_DB[[#This Row],[Risk Exposure Rank]]&lt;=30,"Medium",
 "Low"))</f>
        <v>Low</v>
      </c>
      <c r="AU520" s="8" t="str">
        <f>IF(HS_DB[[#This Row],[Risk Exposure Rank]]&lt;=5,"Immediate Action",
 IF(HS_DB[[#This Row],[Risk Exposure Rank]]&lt;=15,"Monitor Closely",
 "Routine Control"))</f>
        <v>Routine Control</v>
      </c>
      <c r="AV520" s="8">
        <f>SUMIFS(HS_DB[Trade Value - USD],HS_DB[HS Code],HS_DB[[#This Row],[HS Code]])</f>
        <v>24353886</v>
      </c>
      <c r="AW520" s="6">
        <f>HS_DB[[#This Row],[Annual Spend - USD]]/HS_DB[[#This Row],[Total Market Size - USD]]</f>
        <v>1</v>
      </c>
      <c r="AX520" s="6" cm="1">
        <f t="array" ref="AX520">COUNTA(_xlfn.UNIQUE(_xlfn._xlws.FILTER(HS_DB[Partner],HS_DB[HS Code]=HS_DB[[#This Row],[HS Code]])))</f>
        <v>1</v>
      </c>
      <c r="AY520" s="8" t="str">
        <f>IF(HS_DB[[#This Row],[Competition Intensity]]&lt;=2,"Highly Concentrated",
 IF(HS_DB[[#This Row],[Competition Intensity]]&lt;=5,"Moderate",
 "Highly Competitive"))</f>
        <v>Highly Concentrated</v>
      </c>
      <c r="AZ520" s="8">
        <f>HS_DB[[#This Row],[Total Market Size - USD]]
*
(1+IFERROR(#REF!,0))
/
HS_DB[[#This Row],[Competition Intensity]]</f>
        <v>24353886</v>
      </c>
      <c r="BA520" s="8" t="str">
        <f>IF(HS_DB[[#This Row],[Commercial Opportunity Score]]&gt;=PERCENTILE(HS_DB[Commercial Opportunity Score],0.9),"High Opportunity",
 IF(HS_DB[[#This Row],[Commercial Opportunity Score]]&gt;=PERCENTILE(HS_DB[Commercial Opportunity Score],0.6),"Medium Opportunity",
 "Routine Market"))</f>
        <v>Medium Opportunity</v>
      </c>
      <c r="BB520" s="3" t="str">
        <f>IF(AND(HS_DB[[#This Row],[Product Rank]]&gt;0,HS_DB[[#This Row],[Product Rank]]&lt;=10),"Yes","No")</f>
        <v>No</v>
      </c>
      <c r="BC520" s="3" t="str">
        <f>IF(AND(HS_DB[[#This Row],[Origin Rank]]&gt;0,HS_DB[[#This Row],[Origin Rank]]&lt;=10),"Yes","No")</f>
        <v>Yes</v>
      </c>
    </row>
    <row r="521" spans="2:55" x14ac:dyDescent="0.3">
      <c r="B521" s="2">
        <f>HS_DB[[#This Row],[Commodity Code]]</f>
        <v>283526</v>
      </c>
      <c r="C521" s="2">
        <f>IFERROR(INDEX(HS_MD!C:C,MATCH(B521,HS_MD!B:B,0),1),"")</f>
        <v>43</v>
      </c>
      <c r="D521" s="17" t="str">
        <f>IFERROR(INDEX(HS_MD!D:D,MATCH(B521,HS_MD!B:B,0),1),"")</f>
        <v>Phosphates</v>
      </c>
      <c r="E521" s="17" t="str">
        <f>IFERROR(INDEX(HS_MD!E:E,MATCH(B521,HS_MD!B:B,0),1),"")</f>
        <v>Phosphates</v>
      </c>
      <c r="F521" s="17" t="str">
        <f>IFERROR(INDEX(HS_MD!F:F,MATCH(B521,HS_MD!B:B,0),1),"")</f>
        <v>Food Ingredients</v>
      </c>
      <c r="G521" s="17" t="str">
        <f>IFERROR(INDEX(HS_MD!G:G,MATCH(B521,HS_MD!B:B,0),1),"")</f>
        <v>Salts &amp; Stabilizers</v>
      </c>
      <c r="H521" s="17" t="str">
        <f>IFERROR(INDEX(HS_MD!H:H,MATCH(B521,HS_MD!B:B,0),1),"")</f>
        <v>Industrial Phosphates</v>
      </c>
      <c r="I521" s="17" t="str">
        <f>IFERROR(INDEX(HS_MD!I:I,MATCH(B521,HS_MD!B:B,0),1),"")</f>
        <v>Meat / Processed Food</v>
      </c>
      <c r="J521" s="17">
        <f>IFERROR(INDEX(Heat_Map[Index],MATCH(HS_DB[[#This Row],[Reporter]],Heat_Map[Global],0),1),"")</f>
        <v>174</v>
      </c>
      <c r="K521" s="17" t="str">
        <f>IF(AND(HS_DB[[#This Row],[Origin Rank]]&gt;1,HS_DB[[#This Row],[Origin Rank]]&lt;=10),"Yes","No")</f>
        <v>No</v>
      </c>
      <c r="L521" s="2">
        <v>2024</v>
      </c>
      <c r="M521" s="2" t="s">
        <v>57</v>
      </c>
      <c r="N521" s="2" t="s">
        <v>366</v>
      </c>
      <c r="O521" s="2" t="s">
        <v>22</v>
      </c>
      <c r="P521" s="2" t="s">
        <v>23</v>
      </c>
      <c r="Q521" s="2" t="s">
        <v>24</v>
      </c>
      <c r="R521" s="2" t="s">
        <v>25</v>
      </c>
      <c r="S521" s="2">
        <v>283526</v>
      </c>
      <c r="T521" s="3">
        <v>533891</v>
      </c>
      <c r="U521" s="3">
        <v>0</v>
      </c>
      <c r="V521" s="3">
        <v>0</v>
      </c>
      <c r="W521" s="3">
        <v>0</v>
      </c>
      <c r="X521" s="3" t="s">
        <v>26</v>
      </c>
      <c r="Y521" s="3">
        <v>0</v>
      </c>
      <c r="Z521" s="3" t="s">
        <v>26</v>
      </c>
      <c r="AA521" s="6">
        <f>SUMIFS(HS_DB[Trade Value - USD],HS_DB[Reporter],HS_DB[[#This Row],[Reporter]])/SUM(HS_DB[Trade Value - USD])</f>
        <v>2.8323005171946442E-4</v>
      </c>
      <c r="AB521" s="8" cm="1">
        <f t="array" ref="AB521">SUMPRODUCT(
(HS_DB[Reporter]=HS_DB[[#This Row],[Reporter]])*
(HS_DB[Trade Value - USD]&gt;HS_DB[[#This Row],[Trade Value - USD]])
)+1</f>
        <v>1</v>
      </c>
      <c r="AC521" s="8" t="str">
        <f>IFERROR(IF(INDEX(Heat_Map[Crisis Impact %],MATCH(HS_DB[[#This Row],[Reporter]],Heat_Map[Global],0),1)&gt;0,"Yes","No"),"No")</f>
        <v>No</v>
      </c>
      <c r="AD521" s="6">
        <f>IFERROR(INDEX(Heat_Map[Crisis Impact %],MATCH(HS_DB[[#This Row],[Reporter]],Heat_Map[Global],0),1),0)</f>
        <v>0</v>
      </c>
      <c r="AE521" s="8">
        <f>HS_DB[[#This Row],[Crisis Impact%]]*HS_DB[[#This Row],[Trade Value - USD]]</f>
        <v>0</v>
      </c>
      <c r="AF521" s="8">
        <f>HS_DB[[#This Row],[Crisis Impact%]]*HS_DB[[#This Row],[Net Weight -KG]]</f>
        <v>0</v>
      </c>
      <c r="AG521" s="6">
        <f>SUMIFS(HS_DB[Trade Value - USD],HS_DB[Products],HS_DB[[#This Row],[Products]])/SUM(HS_DB[Trade Value - USD])</f>
        <v>1.2919776492486183E-2</v>
      </c>
      <c r="AH521" s="8">
        <f>_xlfn.RANK.EQ(HS_DB[[#This Row],[Trade Value - USD]], HS_DB[Trade Value - USD], 0)
 + COUNTIFS(HS_DB[Trade Value - USD],HS_DB[[#This Row],[Trade Value - USD]],
            HS_DB[HS Code],"&lt;"&amp;HS_DB[[#This Row],[HS Code]])</f>
        <v>143</v>
      </c>
      <c r="AI521" s="9">
        <f>IFERROR(HS_DB[[#This Row],[Trade Value - USD]]/HS_DB[[#This Row],[Net Weight -KG]],0)</f>
        <v>0</v>
      </c>
      <c r="AJ521" s="17" cm="1">
        <f t="array" ref="AJ521">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521" s="17" t="str">
        <f>IF(HS_DB[[#This Row],[HS Code Risk Score]]&gt;=40,"High",
 IF(HS_DB[[#This Row],[HS Code Risk Score]]&gt;=25,"Medium","Low"))</f>
        <v>Medium</v>
      </c>
      <c r="AL521" s="17" t="str">
        <f>IF(RANK(HS_DB[[#This Row],[HS Code Risk Score]],HS_DB[HS Code Risk Score])&lt;=10,"Yes","No")</f>
        <v>No</v>
      </c>
      <c r="AM521" s="8">
        <f>SUMIFS(HS_DB[Net Weight -KG],HS_DB[HS Code],HS_DB[[#This Row],[HS Code]])</f>
        <v>35465011</v>
      </c>
      <c r="AN521" s="8">
        <f>SUMIFS(HS_DB[Trade Value - USD],HS_DB[HS Code],HS_DB[[#This Row],[HS Code]])</f>
        <v>24353886</v>
      </c>
      <c r="AO521" s="6">
        <f>_xlfn.MAXIFS(HS_DB[Origin Share%],HS_DB[HS Code],HS_DB[[#This Row],[HS Code]])</f>
        <v>6.321329281187793E-2</v>
      </c>
      <c r="AP521" s="8" cm="1">
        <f t="array" ref="AP521">_xlfn.LET(
_xlpm.hs,HS_DB[[#This Row],[HS Code]],
COUNTA(_xlfn.UNIQUE(_xlfn._xlws.FILTER(HS_DB[Reporter],HS_DB[HS Code]=_xlpm.hs)))
)</f>
        <v>13</v>
      </c>
      <c r="AQ521" s="17" t="str">
        <f>IF(HS_DB[[#This Row],[Origin Count]]=1,"Single Source","Multiple Sources")</f>
        <v>Multiple Sources</v>
      </c>
      <c r="AR521" s="8">
        <f>HS_DB[[#This Row],[Annual Spend - USD]]*(HS_DB[[#This Row],[HS Code Risk Score]]/100)</f>
        <v>8280321.2400000002</v>
      </c>
      <c r="AS521" s="8">
        <f>RANK(HS_DB[[#This Row],[Risk Exposure - USD]],HS_DB[Risk Exposure - USD],0)</f>
        <v>96</v>
      </c>
      <c r="AT521" s="8" t="str">
        <f>IF(HS_DB[[#This Row],[Risk Exposure Rank]]&lt;=10,"High",
 IF(HS_DB[[#This Row],[Risk Exposure Rank]]&lt;=30,"Medium",
 "Low"))</f>
        <v>Low</v>
      </c>
      <c r="AU521" s="8" t="str">
        <f>IF(HS_DB[[#This Row],[Risk Exposure Rank]]&lt;=5,"Immediate Action",
 IF(HS_DB[[#This Row],[Risk Exposure Rank]]&lt;=15,"Monitor Closely",
 "Routine Control"))</f>
        <v>Routine Control</v>
      </c>
      <c r="AV521" s="8">
        <f>SUMIFS(HS_DB[Trade Value - USD],HS_DB[HS Code],HS_DB[[#This Row],[HS Code]])</f>
        <v>24353886</v>
      </c>
      <c r="AW521" s="6">
        <f>HS_DB[[#This Row],[Annual Spend - USD]]/HS_DB[[#This Row],[Total Market Size - USD]]</f>
        <v>1</v>
      </c>
      <c r="AX521" s="6" cm="1">
        <f t="array" ref="AX521">COUNTA(_xlfn.UNIQUE(_xlfn._xlws.FILTER(HS_DB[Partner],HS_DB[HS Code]=HS_DB[[#This Row],[HS Code]])))</f>
        <v>1</v>
      </c>
      <c r="AY521" s="8" t="str">
        <f>IF(HS_DB[[#This Row],[Competition Intensity]]&lt;=2,"Highly Concentrated",
 IF(HS_DB[[#This Row],[Competition Intensity]]&lt;=5,"Moderate",
 "Highly Competitive"))</f>
        <v>Highly Concentrated</v>
      </c>
      <c r="AZ521" s="8">
        <f>HS_DB[[#This Row],[Total Market Size - USD]]
*
(1+IFERROR(#REF!,0))
/
HS_DB[[#This Row],[Competition Intensity]]</f>
        <v>24353886</v>
      </c>
      <c r="BA521" s="8" t="str">
        <f>IF(HS_DB[[#This Row],[Commercial Opportunity Score]]&gt;=PERCENTILE(HS_DB[Commercial Opportunity Score],0.9),"High Opportunity",
 IF(HS_DB[[#This Row],[Commercial Opportunity Score]]&gt;=PERCENTILE(HS_DB[Commercial Opportunity Score],0.6),"Medium Opportunity",
 "Routine Market"))</f>
        <v>Medium Opportunity</v>
      </c>
      <c r="BB521" s="3" t="str">
        <f>IF(AND(HS_DB[[#This Row],[Product Rank]]&gt;0,HS_DB[[#This Row],[Product Rank]]&lt;=10),"Yes","No")</f>
        <v>No</v>
      </c>
      <c r="BC521" s="3" t="str">
        <f>IF(AND(HS_DB[[#This Row],[Origin Rank]]&gt;0,HS_DB[[#This Row],[Origin Rank]]&lt;=10),"Yes","No")</f>
        <v>Yes</v>
      </c>
    </row>
    <row r="522" spans="2:55" x14ac:dyDescent="0.3">
      <c r="B522" s="2">
        <f>HS_DB[[#This Row],[Commodity Code]]</f>
        <v>283526</v>
      </c>
      <c r="C522" s="2">
        <f>IFERROR(INDEX(HS_MD!C:C,MATCH(B522,HS_MD!B:B,0),1),"")</f>
        <v>43</v>
      </c>
      <c r="D522" s="17" t="str">
        <f>IFERROR(INDEX(HS_MD!D:D,MATCH(B522,HS_MD!B:B,0),1),"")</f>
        <v>Phosphates</v>
      </c>
      <c r="E522" s="17" t="str">
        <f>IFERROR(INDEX(HS_MD!E:E,MATCH(B522,HS_MD!B:B,0),1),"")</f>
        <v>Phosphates</v>
      </c>
      <c r="F522" s="17" t="str">
        <f>IFERROR(INDEX(HS_MD!F:F,MATCH(B522,HS_MD!B:B,0),1),"")</f>
        <v>Food Ingredients</v>
      </c>
      <c r="G522" s="17" t="str">
        <f>IFERROR(INDEX(HS_MD!G:G,MATCH(B522,HS_MD!B:B,0),1),"")</f>
        <v>Salts &amp; Stabilizers</v>
      </c>
      <c r="H522" s="17" t="str">
        <f>IFERROR(INDEX(HS_MD!H:H,MATCH(B522,HS_MD!B:B,0),1),"")</f>
        <v>Industrial Phosphates</v>
      </c>
      <c r="I522" s="17" t="str">
        <f>IFERROR(INDEX(HS_MD!I:I,MATCH(B522,HS_MD!B:B,0),1),"")</f>
        <v>Meat / Processed Food</v>
      </c>
      <c r="J522" s="17">
        <f>IFERROR(INDEX(Heat_Map[Index],MATCH(HS_DB[[#This Row],[Reporter]],Heat_Map[Global],0),1),"")</f>
        <v>175</v>
      </c>
      <c r="K522" s="17" t="str">
        <f>IF(AND(HS_DB[[#This Row],[Origin Rank]]&gt;1,HS_DB[[#This Row],[Origin Rank]]&lt;=10),"Yes","No")</f>
        <v>Yes</v>
      </c>
      <c r="L522" s="2">
        <v>2024</v>
      </c>
      <c r="M522" s="2" t="s">
        <v>57</v>
      </c>
      <c r="N522" s="2" t="s">
        <v>34</v>
      </c>
      <c r="O522" s="2" t="s">
        <v>22</v>
      </c>
      <c r="P522" s="2" t="s">
        <v>23</v>
      </c>
      <c r="Q522" s="2" t="s">
        <v>24</v>
      </c>
      <c r="R522" s="2" t="s">
        <v>25</v>
      </c>
      <c r="S522" s="2">
        <v>283526</v>
      </c>
      <c r="T522" s="3">
        <v>17092342</v>
      </c>
      <c r="U522" s="3">
        <v>25550000</v>
      </c>
      <c r="V522" s="3">
        <v>0</v>
      </c>
      <c r="W522" s="3">
        <v>25550000</v>
      </c>
      <c r="X522" s="3" t="s">
        <v>58</v>
      </c>
      <c r="Y522" s="3">
        <v>25550000</v>
      </c>
      <c r="Z522" s="3" t="s">
        <v>58</v>
      </c>
      <c r="AA522" s="6">
        <f>SUMIFS(HS_DB[Trade Value - USD],HS_DB[Reporter],HS_DB[[#This Row],[Reporter]])/SUM(HS_DB[Trade Value - USD])</f>
        <v>4.7522902002533667E-2</v>
      </c>
      <c r="AB522" s="8" cm="1">
        <f t="array" ref="AB522">SUMPRODUCT(
(HS_DB[Reporter]=HS_DB[[#This Row],[Reporter]])*
(HS_DB[Trade Value - USD]&gt;HS_DB[[#This Row],[Trade Value - USD]])
)+1</f>
        <v>2</v>
      </c>
      <c r="AC522" s="8" t="str">
        <f>IFERROR(IF(INDEX(Heat_Map[Crisis Impact %],MATCH(HS_DB[[#This Row],[Reporter]],Heat_Map[Global],0),1)&gt;0,"Yes","No"),"No")</f>
        <v>Yes</v>
      </c>
      <c r="AD522" s="6">
        <f>IFERROR(INDEX(Heat_Map[Crisis Impact %],MATCH(HS_DB[[#This Row],[Reporter]],Heat_Map[Global],0),1),0)</f>
        <v>0.1</v>
      </c>
      <c r="AE522" s="8">
        <f>HS_DB[[#This Row],[Crisis Impact%]]*HS_DB[[#This Row],[Trade Value - USD]]</f>
        <v>1709234.2000000002</v>
      </c>
      <c r="AF522" s="8">
        <f>HS_DB[[#This Row],[Crisis Impact%]]*HS_DB[[#This Row],[Net Weight -KG]]</f>
        <v>2555000</v>
      </c>
      <c r="AG522" s="6">
        <f>SUMIFS(HS_DB[Trade Value - USD],HS_DB[Products],HS_DB[[#This Row],[Products]])/SUM(HS_DB[Trade Value - USD])</f>
        <v>1.2919776492486183E-2</v>
      </c>
      <c r="AH522" s="8">
        <f>_xlfn.RANK.EQ(HS_DB[[#This Row],[Trade Value - USD]], HS_DB[Trade Value - USD], 0)
 + COUNTIFS(HS_DB[Trade Value - USD],HS_DB[[#This Row],[Trade Value - USD]],
            HS_DB[HS Code],"&lt;"&amp;HS_DB[[#This Row],[HS Code]])</f>
        <v>9</v>
      </c>
      <c r="AI522" s="9">
        <f>IFERROR(HS_DB[[#This Row],[Trade Value - USD]]/HS_DB[[#This Row],[Net Weight -KG]],0)</f>
        <v>0.66897620352250486</v>
      </c>
      <c r="AJ522" s="17" cm="1">
        <f t="array" ref="AJ522">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522" s="17" t="str">
        <f>IF(HS_DB[[#This Row],[HS Code Risk Score]]&gt;=40,"High",
 IF(HS_DB[[#This Row],[HS Code Risk Score]]&gt;=25,"Medium","Low"))</f>
        <v>Medium</v>
      </c>
      <c r="AL522" s="17" t="str">
        <f>IF(RANK(HS_DB[[#This Row],[HS Code Risk Score]],HS_DB[HS Code Risk Score])&lt;=10,"Yes","No")</f>
        <v>No</v>
      </c>
      <c r="AM522" s="8">
        <f>SUMIFS(HS_DB[Net Weight -KG],HS_DB[HS Code],HS_DB[[#This Row],[HS Code]])</f>
        <v>35465011</v>
      </c>
      <c r="AN522" s="8">
        <f>SUMIFS(HS_DB[Trade Value - USD],HS_DB[HS Code],HS_DB[[#This Row],[HS Code]])</f>
        <v>24353886</v>
      </c>
      <c r="AO522" s="6">
        <f>_xlfn.MAXIFS(HS_DB[Origin Share%],HS_DB[HS Code],HS_DB[[#This Row],[HS Code]])</f>
        <v>6.321329281187793E-2</v>
      </c>
      <c r="AP522" s="8" cm="1">
        <f t="array" ref="AP522">_xlfn.LET(
_xlpm.hs,HS_DB[[#This Row],[HS Code]],
COUNTA(_xlfn.UNIQUE(_xlfn._xlws.FILTER(HS_DB[Reporter],HS_DB[HS Code]=_xlpm.hs)))
)</f>
        <v>13</v>
      </c>
      <c r="AQ522" s="17" t="str">
        <f>IF(HS_DB[[#This Row],[Origin Count]]=1,"Single Source","Multiple Sources")</f>
        <v>Multiple Sources</v>
      </c>
      <c r="AR522" s="8">
        <f>HS_DB[[#This Row],[Annual Spend - USD]]*(HS_DB[[#This Row],[HS Code Risk Score]]/100)</f>
        <v>8280321.2400000002</v>
      </c>
      <c r="AS522" s="8">
        <f>RANK(HS_DB[[#This Row],[Risk Exposure - USD]],HS_DB[Risk Exposure - USD],0)</f>
        <v>96</v>
      </c>
      <c r="AT522" s="8" t="str">
        <f>IF(HS_DB[[#This Row],[Risk Exposure Rank]]&lt;=10,"High",
 IF(HS_DB[[#This Row],[Risk Exposure Rank]]&lt;=30,"Medium",
 "Low"))</f>
        <v>Low</v>
      </c>
      <c r="AU522" s="8" t="str">
        <f>IF(HS_DB[[#This Row],[Risk Exposure Rank]]&lt;=5,"Immediate Action",
 IF(HS_DB[[#This Row],[Risk Exposure Rank]]&lt;=15,"Monitor Closely",
 "Routine Control"))</f>
        <v>Routine Control</v>
      </c>
      <c r="AV522" s="8">
        <f>SUMIFS(HS_DB[Trade Value - USD],HS_DB[HS Code],HS_DB[[#This Row],[HS Code]])</f>
        <v>24353886</v>
      </c>
      <c r="AW522" s="6">
        <f>HS_DB[[#This Row],[Annual Spend - USD]]/HS_DB[[#This Row],[Total Market Size - USD]]</f>
        <v>1</v>
      </c>
      <c r="AX522" s="6" cm="1">
        <f t="array" ref="AX522">COUNTA(_xlfn.UNIQUE(_xlfn._xlws.FILTER(HS_DB[Partner],HS_DB[HS Code]=HS_DB[[#This Row],[HS Code]])))</f>
        <v>1</v>
      </c>
      <c r="AY522" s="8" t="str">
        <f>IF(HS_DB[[#This Row],[Competition Intensity]]&lt;=2,"Highly Concentrated",
 IF(HS_DB[[#This Row],[Competition Intensity]]&lt;=5,"Moderate",
 "Highly Competitive"))</f>
        <v>Highly Concentrated</v>
      </c>
      <c r="AZ522" s="8">
        <f>HS_DB[[#This Row],[Total Market Size - USD]]
*
(1+IFERROR(#REF!,0))
/
HS_DB[[#This Row],[Competition Intensity]]</f>
        <v>24353886</v>
      </c>
      <c r="BA522" s="8" t="str">
        <f>IF(HS_DB[[#This Row],[Commercial Opportunity Score]]&gt;=PERCENTILE(HS_DB[Commercial Opportunity Score],0.9),"High Opportunity",
 IF(HS_DB[[#This Row],[Commercial Opportunity Score]]&gt;=PERCENTILE(HS_DB[Commercial Opportunity Score],0.6),"Medium Opportunity",
 "Routine Market"))</f>
        <v>Medium Opportunity</v>
      </c>
      <c r="BB522" s="3" t="str">
        <f>IF(AND(HS_DB[[#This Row],[Product Rank]]&gt;0,HS_DB[[#This Row],[Product Rank]]&lt;=10),"Yes","No")</f>
        <v>Yes</v>
      </c>
      <c r="BC522" s="3" t="str">
        <f>IF(AND(HS_DB[[#This Row],[Origin Rank]]&gt;0,HS_DB[[#This Row],[Origin Rank]]&lt;=10),"Yes","No")</f>
        <v>Yes</v>
      </c>
    </row>
    <row r="523" spans="2:55" x14ac:dyDescent="0.3">
      <c r="B523" s="2">
        <f>HS_DB[[#This Row],[Commodity Code]]</f>
        <v>283526</v>
      </c>
      <c r="C523" s="2">
        <f>IFERROR(INDEX(HS_MD!C:C,MATCH(B523,HS_MD!B:B,0),1),"")</f>
        <v>43</v>
      </c>
      <c r="D523" s="17" t="str">
        <f>IFERROR(INDEX(HS_MD!D:D,MATCH(B523,HS_MD!B:B,0),1),"")</f>
        <v>Phosphates</v>
      </c>
      <c r="E523" s="17" t="str">
        <f>IFERROR(INDEX(HS_MD!E:E,MATCH(B523,HS_MD!B:B,0),1),"")</f>
        <v>Phosphates</v>
      </c>
      <c r="F523" s="17" t="str">
        <f>IFERROR(INDEX(HS_MD!F:F,MATCH(B523,HS_MD!B:B,0),1),"")</f>
        <v>Food Ingredients</v>
      </c>
      <c r="G523" s="17" t="str">
        <f>IFERROR(INDEX(HS_MD!G:G,MATCH(B523,HS_MD!B:B,0),1),"")</f>
        <v>Salts &amp; Stabilizers</v>
      </c>
      <c r="H523" s="17" t="str">
        <f>IFERROR(INDEX(HS_MD!H:H,MATCH(B523,HS_MD!B:B,0),1),"")</f>
        <v>Industrial Phosphates</v>
      </c>
      <c r="I523" s="17" t="str">
        <f>IFERROR(INDEX(HS_MD!I:I,MATCH(B523,HS_MD!B:B,0),1),"")</f>
        <v>Meat / Processed Food</v>
      </c>
      <c r="J523" s="17">
        <f>IFERROR(INDEX(Heat_Map[Index],MATCH(HS_DB[[#This Row],[Reporter]],Heat_Map[Global],0),1),"")</f>
        <v>182</v>
      </c>
      <c r="K523" s="17" t="str">
        <f>IF(AND(HS_DB[[#This Row],[Origin Rank]]&gt;1,HS_DB[[#This Row],[Origin Rank]]&lt;=10),"Yes","No")</f>
        <v>Yes</v>
      </c>
      <c r="L523" s="2">
        <v>2024</v>
      </c>
      <c r="M523" s="2" t="s">
        <v>57</v>
      </c>
      <c r="N523" s="2" t="s">
        <v>56</v>
      </c>
      <c r="O523" s="2" t="s">
        <v>22</v>
      </c>
      <c r="P523" s="2" t="s">
        <v>23</v>
      </c>
      <c r="Q523" s="2" t="s">
        <v>24</v>
      </c>
      <c r="R523" s="2" t="s">
        <v>25</v>
      </c>
      <c r="S523" s="2">
        <v>283526</v>
      </c>
      <c r="T523" s="3">
        <v>371520</v>
      </c>
      <c r="U523" s="3">
        <v>162000</v>
      </c>
      <c r="V523" s="3">
        <v>0</v>
      </c>
      <c r="W523" s="3">
        <v>162000</v>
      </c>
      <c r="X523" s="3" t="s">
        <v>58</v>
      </c>
      <c r="Y523" s="3">
        <v>162000</v>
      </c>
      <c r="Z523" s="3" t="s">
        <v>58</v>
      </c>
      <c r="AA523" s="6">
        <f>SUMIFS(HS_DB[Trade Value - USD],HS_DB[Reporter],HS_DB[[#This Row],[Reporter]])/SUM(HS_DB[Trade Value - USD])</f>
        <v>9.425427433633813E-3</v>
      </c>
      <c r="AB523" s="8" cm="1">
        <f t="array" ref="AB523">SUMPRODUCT(
(HS_DB[Reporter]=HS_DB[[#This Row],[Reporter]])*
(HS_DB[Trade Value - USD]&gt;HS_DB[[#This Row],[Trade Value - USD]])
)+1</f>
        <v>7</v>
      </c>
      <c r="AC523" s="8" t="str">
        <f>IFERROR(IF(INDEX(Heat_Map[Crisis Impact %],MATCH(HS_DB[[#This Row],[Reporter]],Heat_Map[Global],0),1)&gt;0,"Yes","No"),"No")</f>
        <v>Yes</v>
      </c>
      <c r="AD523" s="6">
        <f>IFERROR(INDEX(Heat_Map[Crisis Impact %],MATCH(HS_DB[[#This Row],[Reporter]],Heat_Map[Global],0),1),0)</f>
        <v>4.0000000000000008E-2</v>
      </c>
      <c r="AE523" s="8">
        <f>HS_DB[[#This Row],[Crisis Impact%]]*HS_DB[[#This Row],[Trade Value - USD]]</f>
        <v>14860.800000000003</v>
      </c>
      <c r="AF523" s="8">
        <f>HS_DB[[#This Row],[Crisis Impact%]]*HS_DB[[#This Row],[Net Weight -KG]]</f>
        <v>6480.0000000000009</v>
      </c>
      <c r="AG523" s="6">
        <f>SUMIFS(HS_DB[Trade Value - USD],HS_DB[Products],HS_DB[[#This Row],[Products]])/SUM(HS_DB[Trade Value - USD])</f>
        <v>1.2919776492486183E-2</v>
      </c>
      <c r="AH523" s="8">
        <f>_xlfn.RANK.EQ(HS_DB[[#This Row],[Trade Value - USD]], HS_DB[Trade Value - USD], 0)
 + COUNTIFS(HS_DB[Trade Value - USD],HS_DB[[#This Row],[Trade Value - USD]],
            HS_DB[HS Code],"&lt;"&amp;HS_DB[[#This Row],[HS Code]])</f>
        <v>168</v>
      </c>
      <c r="AI523" s="9">
        <f>IFERROR(HS_DB[[#This Row],[Trade Value - USD]]/HS_DB[[#This Row],[Net Weight -KG]],0)</f>
        <v>2.2933333333333334</v>
      </c>
      <c r="AJ523" s="17" cm="1">
        <f t="array" ref="AJ523">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523" s="17" t="str">
        <f>IF(HS_DB[[#This Row],[HS Code Risk Score]]&gt;=40,"High",
 IF(HS_DB[[#This Row],[HS Code Risk Score]]&gt;=25,"Medium","Low"))</f>
        <v>Medium</v>
      </c>
      <c r="AL523" s="17" t="str">
        <f>IF(RANK(HS_DB[[#This Row],[HS Code Risk Score]],HS_DB[HS Code Risk Score])&lt;=10,"Yes","No")</f>
        <v>No</v>
      </c>
      <c r="AM523" s="8">
        <f>SUMIFS(HS_DB[Net Weight -KG],HS_DB[HS Code],HS_DB[[#This Row],[HS Code]])</f>
        <v>35465011</v>
      </c>
      <c r="AN523" s="8">
        <f>SUMIFS(HS_DB[Trade Value - USD],HS_DB[HS Code],HS_DB[[#This Row],[HS Code]])</f>
        <v>24353886</v>
      </c>
      <c r="AO523" s="6">
        <f>_xlfn.MAXIFS(HS_DB[Origin Share%],HS_DB[HS Code],HS_DB[[#This Row],[HS Code]])</f>
        <v>6.321329281187793E-2</v>
      </c>
      <c r="AP523" s="8" cm="1">
        <f t="array" ref="AP523">_xlfn.LET(
_xlpm.hs,HS_DB[[#This Row],[HS Code]],
COUNTA(_xlfn.UNIQUE(_xlfn._xlws.FILTER(HS_DB[Reporter],HS_DB[HS Code]=_xlpm.hs)))
)</f>
        <v>13</v>
      </c>
      <c r="AQ523" s="17" t="str">
        <f>IF(HS_DB[[#This Row],[Origin Count]]=1,"Single Source","Multiple Sources")</f>
        <v>Multiple Sources</v>
      </c>
      <c r="AR523" s="8">
        <f>HS_DB[[#This Row],[Annual Spend - USD]]*(HS_DB[[#This Row],[HS Code Risk Score]]/100)</f>
        <v>8280321.2400000002</v>
      </c>
      <c r="AS523" s="8">
        <f>RANK(HS_DB[[#This Row],[Risk Exposure - USD]],HS_DB[Risk Exposure - USD],0)</f>
        <v>96</v>
      </c>
      <c r="AT523" s="8" t="str">
        <f>IF(HS_DB[[#This Row],[Risk Exposure Rank]]&lt;=10,"High",
 IF(HS_DB[[#This Row],[Risk Exposure Rank]]&lt;=30,"Medium",
 "Low"))</f>
        <v>Low</v>
      </c>
      <c r="AU523" s="8" t="str">
        <f>IF(HS_DB[[#This Row],[Risk Exposure Rank]]&lt;=5,"Immediate Action",
 IF(HS_DB[[#This Row],[Risk Exposure Rank]]&lt;=15,"Monitor Closely",
 "Routine Control"))</f>
        <v>Routine Control</v>
      </c>
      <c r="AV523" s="8">
        <f>SUMIFS(HS_DB[Trade Value - USD],HS_DB[HS Code],HS_DB[[#This Row],[HS Code]])</f>
        <v>24353886</v>
      </c>
      <c r="AW523" s="6">
        <f>HS_DB[[#This Row],[Annual Spend - USD]]/HS_DB[[#This Row],[Total Market Size - USD]]</f>
        <v>1</v>
      </c>
      <c r="AX523" s="6" cm="1">
        <f t="array" ref="AX523">COUNTA(_xlfn.UNIQUE(_xlfn._xlws.FILTER(HS_DB[Partner],HS_DB[HS Code]=HS_DB[[#This Row],[HS Code]])))</f>
        <v>1</v>
      </c>
      <c r="AY523" s="8" t="str">
        <f>IF(HS_DB[[#This Row],[Competition Intensity]]&lt;=2,"Highly Concentrated",
 IF(HS_DB[[#This Row],[Competition Intensity]]&lt;=5,"Moderate",
 "Highly Competitive"))</f>
        <v>Highly Concentrated</v>
      </c>
      <c r="AZ523" s="8">
        <f>HS_DB[[#This Row],[Total Market Size - USD]]
*
(1+IFERROR(#REF!,0))
/
HS_DB[[#This Row],[Competition Intensity]]</f>
        <v>24353886</v>
      </c>
      <c r="BA523" s="8" t="str">
        <f>IF(HS_DB[[#This Row],[Commercial Opportunity Score]]&gt;=PERCENTILE(HS_DB[Commercial Opportunity Score],0.9),"High Opportunity",
 IF(HS_DB[[#This Row],[Commercial Opportunity Score]]&gt;=PERCENTILE(HS_DB[Commercial Opportunity Score],0.6),"Medium Opportunity",
 "Routine Market"))</f>
        <v>Medium Opportunity</v>
      </c>
      <c r="BB523" s="3" t="str">
        <f>IF(AND(HS_DB[[#This Row],[Product Rank]]&gt;0,HS_DB[[#This Row],[Product Rank]]&lt;=10),"Yes","No")</f>
        <v>No</v>
      </c>
      <c r="BC523" s="3" t="str">
        <f>IF(AND(HS_DB[[#This Row],[Origin Rank]]&gt;0,HS_DB[[#This Row],[Origin Rank]]&lt;=10),"Yes","No")</f>
        <v>Yes</v>
      </c>
    </row>
    <row r="524" spans="2:55" x14ac:dyDescent="0.3">
      <c r="B524" s="2">
        <f>HS_DB[[#This Row],[Commodity Code]]</f>
        <v>292242</v>
      </c>
      <c r="C524" s="2">
        <f>IFERROR(INDEX(HS_MD!C:C,MATCH(B524,HS_MD!B:B,0),1),"")</f>
        <v>44</v>
      </c>
      <c r="D524" s="17" t="str">
        <f>IFERROR(INDEX(HS_MD!D:D,MATCH(B524,HS_MD!B:B,0),1),"")</f>
        <v>Monosodium glutamate (MSG)</v>
      </c>
      <c r="E524" s="17" t="str">
        <f>IFERROR(INDEX(HS_MD!E:E,MATCH(B524,HS_MD!B:B,0),1),"")</f>
        <v>MSG</v>
      </c>
      <c r="F524" s="17" t="str">
        <f>IFERROR(INDEX(HS_MD!F:F,MATCH(B524,HS_MD!B:B,0),1),"")</f>
        <v>Food Ingredients</v>
      </c>
      <c r="G524" s="17" t="str">
        <f>IFERROR(INDEX(HS_MD!G:G,MATCH(B524,HS_MD!B:B,0),1),"")</f>
        <v>Flavor Enhancers</v>
      </c>
      <c r="H524" s="17" t="str">
        <f>IFERROR(INDEX(HS_MD!H:H,MATCH(B524,HS_MD!B:B,0),1),"")</f>
        <v>Monosodium Glutamate</v>
      </c>
      <c r="I524" s="17" t="str">
        <f>IFERROR(INDEX(HS_MD!I:I,MATCH(B524,HS_MD!B:B,0),1),"")</f>
        <v>Snacks / Seasonings</v>
      </c>
      <c r="J524" s="17">
        <f>IFERROR(INDEX(Heat_Map[Index],MATCH(HS_DB[[#This Row],[Reporter]],Heat_Map[Global],0),1),"")</f>
        <v>17</v>
      </c>
      <c r="K524" s="17" t="str">
        <f>IF(AND(HS_DB[[#This Row],[Origin Rank]]&gt;1,HS_DB[[#This Row],[Origin Rank]]&lt;=10),"Yes","No")</f>
        <v>No</v>
      </c>
      <c r="L524" s="2">
        <v>2024</v>
      </c>
      <c r="M524" s="2" t="s">
        <v>57</v>
      </c>
      <c r="N524" s="2" t="s">
        <v>5</v>
      </c>
      <c r="O524" s="2" t="s">
        <v>22</v>
      </c>
      <c r="P524" s="2" t="s">
        <v>23</v>
      </c>
      <c r="Q524" s="2" t="s">
        <v>24</v>
      </c>
      <c r="R524" s="2" t="s">
        <v>25</v>
      </c>
      <c r="S524" s="2">
        <v>292242</v>
      </c>
      <c r="T524" s="3">
        <v>19</v>
      </c>
      <c r="U524" s="3">
        <v>0.1</v>
      </c>
      <c r="V524" s="3">
        <v>0</v>
      </c>
      <c r="W524" s="3">
        <v>0</v>
      </c>
      <c r="X524" s="3" t="s">
        <v>58</v>
      </c>
      <c r="Y524" s="3">
        <v>0</v>
      </c>
      <c r="Z524" s="3" t="s">
        <v>58</v>
      </c>
      <c r="AA524" s="6">
        <f>SUMIFS(HS_DB[Trade Value - USD],HS_DB[Reporter],HS_DB[[#This Row],[Reporter]])/SUM(HS_DB[Trade Value - USD])</f>
        <v>5.3992075088500962E-3</v>
      </c>
      <c r="AB524" s="8" cm="1">
        <f t="array" ref="AB524">SUMPRODUCT(
(HS_DB[Reporter]=HS_DB[[#This Row],[Reporter]])*
(HS_DB[Trade Value - USD]&gt;HS_DB[[#This Row],[Trade Value - USD]])
)+1</f>
        <v>28</v>
      </c>
      <c r="AC524" s="8" t="str">
        <f>IFERROR(IF(INDEX(Heat_Map[Crisis Impact %],MATCH(HS_DB[[#This Row],[Reporter]],Heat_Map[Global],0),1)&gt;0,"Yes","No"),"No")</f>
        <v>No</v>
      </c>
      <c r="AD524" s="6">
        <f>IFERROR(INDEX(Heat_Map[Crisis Impact %],MATCH(HS_DB[[#This Row],[Reporter]],Heat_Map[Global],0),1),0)</f>
        <v>0</v>
      </c>
      <c r="AE524" s="8">
        <f>HS_DB[[#This Row],[Crisis Impact%]]*HS_DB[[#This Row],[Trade Value - USD]]</f>
        <v>0</v>
      </c>
      <c r="AF524" s="8">
        <f>HS_DB[[#This Row],[Crisis Impact%]]*HS_DB[[#This Row],[Net Weight -KG]]</f>
        <v>0</v>
      </c>
      <c r="AG524" s="6">
        <f>SUMIFS(HS_DB[Trade Value - USD],HS_DB[Products],HS_DB[[#This Row],[Products]])/SUM(HS_DB[Trade Value - USD])</f>
        <v>9.8199068625218038E-3</v>
      </c>
      <c r="AH524" s="8">
        <f>_xlfn.RANK.EQ(HS_DB[[#This Row],[Trade Value - USD]], HS_DB[Trade Value - USD], 0)
 + COUNTIFS(HS_DB[Trade Value - USD],HS_DB[[#This Row],[Trade Value - USD]],
            HS_DB[HS Code],"&lt;"&amp;HS_DB[[#This Row],[HS Code]])</f>
        <v>530</v>
      </c>
      <c r="AI524" s="9">
        <f>IFERROR(HS_DB[[#This Row],[Trade Value - USD]]/HS_DB[[#This Row],[Net Weight -KG]],0)</f>
        <v>190</v>
      </c>
      <c r="AJ524" s="17" cm="1">
        <f t="array" ref="AJ524">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524" s="17" t="str">
        <f>IF(HS_DB[[#This Row],[HS Code Risk Score]]&gt;=40,"High",
 IF(HS_DB[[#This Row],[HS Code Risk Score]]&gt;=25,"Medium","Low"))</f>
        <v>Medium</v>
      </c>
      <c r="AL524" s="17" t="str">
        <f>IF(RANK(HS_DB[[#This Row],[HS Code Risk Score]],HS_DB[HS Code Risk Score])&lt;=10,"Yes","No")</f>
        <v>No</v>
      </c>
      <c r="AM524" s="8">
        <f>SUMIFS(HS_DB[Net Weight -KG],HS_DB[HS Code],HS_DB[[#This Row],[HS Code]])</f>
        <v>17307326.700000003</v>
      </c>
      <c r="AN524" s="8">
        <f>SUMIFS(HS_DB[Trade Value - USD],HS_DB[HS Code],HS_DB[[#This Row],[HS Code]])</f>
        <v>18510606</v>
      </c>
      <c r="AO524" s="6">
        <f>_xlfn.MAXIFS(HS_DB[Origin Share%],HS_DB[HS Code],HS_DB[[#This Row],[HS Code]])</f>
        <v>0.39900464236999494</v>
      </c>
      <c r="AP524" s="8" cm="1">
        <f t="array" ref="AP524">_xlfn.LET(
_xlpm.hs,HS_DB[[#This Row],[HS Code]],
COUNTA(_xlfn.UNIQUE(_xlfn._xlws.FILTER(HS_DB[Reporter],HS_DB[HS Code]=_xlpm.hs)))
)</f>
        <v>9</v>
      </c>
      <c r="AQ524" s="17" t="str">
        <f>IF(HS_DB[[#This Row],[Origin Count]]=1,"Single Source","Multiple Sources")</f>
        <v>Multiple Sources</v>
      </c>
      <c r="AR524" s="8">
        <f>HS_DB[[#This Row],[Annual Spend - USD]]*(HS_DB[[#This Row],[HS Code Risk Score]]/100)</f>
        <v>6293606.04</v>
      </c>
      <c r="AS524" s="8">
        <f>RANK(HS_DB[[#This Row],[Risk Exposure - USD]],HS_DB[Risk Exposure - USD],0)</f>
        <v>109</v>
      </c>
      <c r="AT524" s="8" t="str">
        <f>IF(HS_DB[[#This Row],[Risk Exposure Rank]]&lt;=10,"High",
 IF(HS_DB[[#This Row],[Risk Exposure Rank]]&lt;=30,"Medium",
 "Low"))</f>
        <v>Low</v>
      </c>
      <c r="AU524" s="8" t="str">
        <f>IF(HS_DB[[#This Row],[Risk Exposure Rank]]&lt;=5,"Immediate Action",
 IF(HS_DB[[#This Row],[Risk Exposure Rank]]&lt;=15,"Monitor Closely",
 "Routine Control"))</f>
        <v>Routine Control</v>
      </c>
      <c r="AV524" s="8">
        <f>SUMIFS(HS_DB[Trade Value - USD],HS_DB[HS Code],HS_DB[[#This Row],[HS Code]])</f>
        <v>18510606</v>
      </c>
      <c r="AW524" s="6">
        <f>HS_DB[[#This Row],[Annual Spend - USD]]/HS_DB[[#This Row],[Total Market Size - USD]]</f>
        <v>1</v>
      </c>
      <c r="AX524" s="6" cm="1">
        <f t="array" ref="AX524">COUNTA(_xlfn.UNIQUE(_xlfn._xlws.FILTER(HS_DB[Partner],HS_DB[HS Code]=HS_DB[[#This Row],[HS Code]])))</f>
        <v>1</v>
      </c>
      <c r="AY524" s="8" t="str">
        <f>IF(HS_DB[[#This Row],[Competition Intensity]]&lt;=2,"Highly Concentrated",
 IF(HS_DB[[#This Row],[Competition Intensity]]&lt;=5,"Moderate",
 "Highly Competitive"))</f>
        <v>Highly Concentrated</v>
      </c>
      <c r="AZ524" s="8">
        <f>HS_DB[[#This Row],[Total Market Size - USD]]
*
(1+IFERROR(#REF!,0))
/
HS_DB[[#This Row],[Competition Intensity]]</f>
        <v>18510606</v>
      </c>
      <c r="BA524" s="8" t="str">
        <f>IF(HS_DB[[#This Row],[Commercial Opportunity Score]]&gt;=PERCENTILE(HS_DB[Commercial Opportunity Score],0.9),"High Opportunity",
 IF(HS_DB[[#This Row],[Commercial Opportunity Score]]&gt;=PERCENTILE(HS_DB[Commercial Opportunity Score],0.6),"Medium Opportunity",
 "Routine Market"))</f>
        <v>Medium Opportunity</v>
      </c>
      <c r="BB524" s="3" t="str">
        <f>IF(AND(HS_DB[[#This Row],[Product Rank]]&gt;0,HS_DB[[#This Row],[Product Rank]]&lt;=10),"Yes","No")</f>
        <v>No</v>
      </c>
      <c r="BC524" s="3" t="str">
        <f>IF(AND(HS_DB[[#This Row],[Origin Rank]]&gt;0,HS_DB[[#This Row],[Origin Rank]]&lt;=10),"Yes","No")</f>
        <v>No</v>
      </c>
    </row>
    <row r="525" spans="2:55" x14ac:dyDescent="0.3">
      <c r="B525" s="2">
        <f>HS_DB[[#This Row],[Commodity Code]]</f>
        <v>292242</v>
      </c>
      <c r="C525" s="2">
        <f>IFERROR(INDEX(HS_MD!C:C,MATCH(B525,HS_MD!B:B,0),1),"")</f>
        <v>44</v>
      </c>
      <c r="D525" s="17" t="str">
        <f>IFERROR(INDEX(HS_MD!D:D,MATCH(B525,HS_MD!B:B,0),1),"")</f>
        <v>Monosodium glutamate (MSG)</v>
      </c>
      <c r="E525" s="17" t="str">
        <f>IFERROR(INDEX(HS_MD!E:E,MATCH(B525,HS_MD!B:B,0),1),"")</f>
        <v>MSG</v>
      </c>
      <c r="F525" s="17" t="str">
        <f>IFERROR(INDEX(HS_MD!F:F,MATCH(B525,HS_MD!B:B,0),1),"")</f>
        <v>Food Ingredients</v>
      </c>
      <c r="G525" s="17" t="str">
        <f>IFERROR(INDEX(HS_MD!G:G,MATCH(B525,HS_MD!B:B,0),1),"")</f>
        <v>Flavor Enhancers</v>
      </c>
      <c r="H525" s="17" t="str">
        <f>IFERROR(INDEX(HS_MD!H:H,MATCH(B525,HS_MD!B:B,0),1),"")</f>
        <v>Monosodium Glutamate</v>
      </c>
      <c r="I525" s="17" t="str">
        <f>IFERROR(INDEX(HS_MD!I:I,MATCH(B525,HS_MD!B:B,0),1),"")</f>
        <v>Snacks / Seasonings</v>
      </c>
      <c r="J525" s="17">
        <f>IFERROR(INDEX(Heat_Map[Index],MATCH(HS_DB[[#This Row],[Reporter]],Heat_Map[Global],0),1),"")</f>
        <v>36</v>
      </c>
      <c r="K525" s="17" t="str">
        <f>IF(AND(HS_DB[[#This Row],[Origin Rank]]&gt;1,HS_DB[[#This Row],[Origin Rank]]&lt;=10),"Yes","No")</f>
        <v>Yes</v>
      </c>
      <c r="L525" s="2">
        <v>2024</v>
      </c>
      <c r="M525" s="2" t="s">
        <v>57</v>
      </c>
      <c r="N525" s="2" t="s">
        <v>1</v>
      </c>
      <c r="O525" s="2" t="s">
        <v>22</v>
      </c>
      <c r="P525" s="2" t="s">
        <v>23</v>
      </c>
      <c r="Q525" s="2" t="s">
        <v>24</v>
      </c>
      <c r="R525" s="2" t="s">
        <v>25</v>
      </c>
      <c r="S525" s="2">
        <v>292242</v>
      </c>
      <c r="T525" s="3">
        <v>16930539</v>
      </c>
      <c r="U525" s="3">
        <v>16520855</v>
      </c>
      <c r="V525" s="3">
        <v>0</v>
      </c>
      <c r="W525" s="3">
        <v>16520855</v>
      </c>
      <c r="X525" s="3" t="s">
        <v>58</v>
      </c>
      <c r="Y525" s="3">
        <v>16520855</v>
      </c>
      <c r="Z525" s="3" t="s">
        <v>58</v>
      </c>
      <c r="AA525" s="6">
        <f>SUMIFS(HS_DB[Trade Value - USD],HS_DB[Reporter],HS_DB[[#This Row],[Reporter]])/SUM(HS_DB[Trade Value - USD])</f>
        <v>6.321329281187793E-2</v>
      </c>
      <c r="AB525" s="8" cm="1">
        <f t="array" ref="AB525">SUMPRODUCT(
(HS_DB[Reporter]=HS_DB[[#This Row],[Reporter]])*
(HS_DB[Trade Value - USD]&gt;HS_DB[[#This Row],[Trade Value - USD]])
)+1</f>
        <v>2</v>
      </c>
      <c r="AC525" s="8" t="str">
        <f>IFERROR(IF(INDEX(Heat_Map[Crisis Impact %],MATCH(HS_DB[[#This Row],[Reporter]],Heat_Map[Global],0),1)&gt;0,"Yes","No"),"No")</f>
        <v>Yes</v>
      </c>
      <c r="AD525" s="6">
        <f>IFERROR(INDEX(Heat_Map[Crisis Impact %],MATCH(HS_DB[[#This Row],[Reporter]],Heat_Map[Global],0),1),0)</f>
        <v>0.14000000000000001</v>
      </c>
      <c r="AE525" s="8">
        <f>HS_DB[[#This Row],[Crisis Impact%]]*HS_DB[[#This Row],[Trade Value - USD]]</f>
        <v>2370275.4600000004</v>
      </c>
      <c r="AF525" s="8">
        <f>HS_DB[[#This Row],[Crisis Impact%]]*HS_DB[[#This Row],[Net Weight -KG]]</f>
        <v>2312919.7000000002</v>
      </c>
      <c r="AG525" s="6">
        <f>SUMIFS(HS_DB[Trade Value - USD],HS_DB[Products],HS_DB[[#This Row],[Products]])/SUM(HS_DB[Trade Value - USD])</f>
        <v>9.8199068625218038E-3</v>
      </c>
      <c r="AH525" s="8">
        <f>_xlfn.RANK.EQ(HS_DB[[#This Row],[Trade Value - USD]], HS_DB[Trade Value - USD], 0)
 + COUNTIFS(HS_DB[Trade Value - USD],HS_DB[[#This Row],[Trade Value - USD]],
            HS_DB[HS Code],"&lt;"&amp;HS_DB[[#This Row],[HS Code]])</f>
        <v>10</v>
      </c>
      <c r="AI525" s="9">
        <f>IFERROR(HS_DB[[#This Row],[Trade Value - USD]]/HS_DB[[#This Row],[Net Weight -KG]],0)</f>
        <v>1.0247979901766586</v>
      </c>
      <c r="AJ525" s="17" cm="1">
        <f t="array" ref="AJ525">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525" s="17" t="str">
        <f>IF(HS_DB[[#This Row],[HS Code Risk Score]]&gt;=40,"High",
 IF(HS_DB[[#This Row],[HS Code Risk Score]]&gt;=25,"Medium","Low"))</f>
        <v>Medium</v>
      </c>
      <c r="AL525" s="17" t="str">
        <f>IF(RANK(HS_DB[[#This Row],[HS Code Risk Score]],HS_DB[HS Code Risk Score])&lt;=10,"Yes","No")</f>
        <v>No</v>
      </c>
      <c r="AM525" s="8">
        <f>SUMIFS(HS_DB[Net Weight -KG],HS_DB[HS Code],HS_DB[[#This Row],[HS Code]])</f>
        <v>17307326.700000003</v>
      </c>
      <c r="AN525" s="8">
        <f>SUMIFS(HS_DB[Trade Value - USD],HS_DB[HS Code],HS_DB[[#This Row],[HS Code]])</f>
        <v>18510606</v>
      </c>
      <c r="AO525" s="6">
        <f>_xlfn.MAXIFS(HS_DB[Origin Share%],HS_DB[HS Code],HS_DB[[#This Row],[HS Code]])</f>
        <v>0.39900464236999494</v>
      </c>
      <c r="AP525" s="8" cm="1">
        <f t="array" ref="AP525">_xlfn.LET(
_xlpm.hs,HS_DB[[#This Row],[HS Code]],
COUNTA(_xlfn.UNIQUE(_xlfn._xlws.FILTER(HS_DB[Reporter],HS_DB[HS Code]=_xlpm.hs)))
)</f>
        <v>9</v>
      </c>
      <c r="AQ525" s="17" t="str">
        <f>IF(HS_DB[[#This Row],[Origin Count]]=1,"Single Source","Multiple Sources")</f>
        <v>Multiple Sources</v>
      </c>
      <c r="AR525" s="8">
        <f>HS_DB[[#This Row],[Annual Spend - USD]]*(HS_DB[[#This Row],[HS Code Risk Score]]/100)</f>
        <v>6293606.04</v>
      </c>
      <c r="AS525" s="8">
        <f>RANK(HS_DB[[#This Row],[Risk Exposure - USD]],HS_DB[Risk Exposure - USD],0)</f>
        <v>109</v>
      </c>
      <c r="AT525" s="8" t="str">
        <f>IF(HS_DB[[#This Row],[Risk Exposure Rank]]&lt;=10,"High",
 IF(HS_DB[[#This Row],[Risk Exposure Rank]]&lt;=30,"Medium",
 "Low"))</f>
        <v>Low</v>
      </c>
      <c r="AU525" s="8" t="str">
        <f>IF(HS_DB[[#This Row],[Risk Exposure Rank]]&lt;=5,"Immediate Action",
 IF(HS_DB[[#This Row],[Risk Exposure Rank]]&lt;=15,"Monitor Closely",
 "Routine Control"))</f>
        <v>Routine Control</v>
      </c>
      <c r="AV525" s="8">
        <f>SUMIFS(HS_DB[Trade Value - USD],HS_DB[HS Code],HS_DB[[#This Row],[HS Code]])</f>
        <v>18510606</v>
      </c>
      <c r="AW525" s="6">
        <f>HS_DB[[#This Row],[Annual Spend - USD]]/HS_DB[[#This Row],[Total Market Size - USD]]</f>
        <v>1</v>
      </c>
      <c r="AX525" s="6" cm="1">
        <f t="array" ref="AX525">COUNTA(_xlfn.UNIQUE(_xlfn._xlws.FILTER(HS_DB[Partner],HS_DB[HS Code]=HS_DB[[#This Row],[HS Code]])))</f>
        <v>1</v>
      </c>
      <c r="AY525" s="8" t="str">
        <f>IF(HS_DB[[#This Row],[Competition Intensity]]&lt;=2,"Highly Concentrated",
 IF(HS_DB[[#This Row],[Competition Intensity]]&lt;=5,"Moderate",
 "Highly Competitive"))</f>
        <v>Highly Concentrated</v>
      </c>
      <c r="AZ525" s="8">
        <f>HS_DB[[#This Row],[Total Market Size - USD]]
*
(1+IFERROR(#REF!,0))
/
HS_DB[[#This Row],[Competition Intensity]]</f>
        <v>18510606</v>
      </c>
      <c r="BA525" s="8" t="str">
        <f>IF(HS_DB[[#This Row],[Commercial Opportunity Score]]&gt;=PERCENTILE(HS_DB[Commercial Opportunity Score],0.9),"High Opportunity",
 IF(HS_DB[[#This Row],[Commercial Opportunity Score]]&gt;=PERCENTILE(HS_DB[Commercial Opportunity Score],0.6),"Medium Opportunity",
 "Routine Market"))</f>
        <v>Medium Opportunity</v>
      </c>
      <c r="BB525" s="3" t="str">
        <f>IF(AND(HS_DB[[#This Row],[Product Rank]]&gt;0,HS_DB[[#This Row],[Product Rank]]&lt;=10),"Yes","No")</f>
        <v>Yes</v>
      </c>
      <c r="BC525" s="3" t="str">
        <f>IF(AND(HS_DB[[#This Row],[Origin Rank]]&gt;0,HS_DB[[#This Row],[Origin Rank]]&lt;=10),"Yes","No")</f>
        <v>Yes</v>
      </c>
    </row>
    <row r="526" spans="2:55" x14ac:dyDescent="0.3">
      <c r="B526" s="2">
        <f>HS_DB[[#This Row],[Commodity Code]]</f>
        <v>292242</v>
      </c>
      <c r="C526" s="2">
        <f>IFERROR(INDEX(HS_MD!C:C,MATCH(B526,HS_MD!B:B,0),1),"")</f>
        <v>44</v>
      </c>
      <c r="D526" s="17" t="str">
        <f>IFERROR(INDEX(HS_MD!D:D,MATCH(B526,HS_MD!B:B,0),1),"")</f>
        <v>Monosodium glutamate (MSG)</v>
      </c>
      <c r="E526" s="17" t="str">
        <f>IFERROR(INDEX(HS_MD!E:E,MATCH(B526,HS_MD!B:B,0),1),"")</f>
        <v>MSG</v>
      </c>
      <c r="F526" s="17" t="str">
        <f>IFERROR(INDEX(HS_MD!F:F,MATCH(B526,HS_MD!B:B,0),1),"")</f>
        <v>Food Ingredients</v>
      </c>
      <c r="G526" s="17" t="str">
        <f>IFERROR(INDEX(HS_MD!G:G,MATCH(B526,HS_MD!B:B,0),1),"")</f>
        <v>Flavor Enhancers</v>
      </c>
      <c r="H526" s="17" t="str">
        <f>IFERROR(INDEX(HS_MD!H:H,MATCH(B526,HS_MD!B:B,0),1),"")</f>
        <v>Monosodium Glutamate</v>
      </c>
      <c r="I526" s="17" t="str">
        <f>IFERROR(INDEX(HS_MD!I:I,MATCH(B526,HS_MD!B:B,0),1),"")</f>
        <v>Snacks / Seasonings</v>
      </c>
      <c r="J526" s="17">
        <f>IFERROR(INDEX(Heat_Map[Index],MATCH(HS_DB[[#This Row],[Reporter]],Heat_Map[Global],0),1),"")</f>
        <v>59</v>
      </c>
      <c r="K526" s="17" t="str">
        <f>IF(AND(HS_DB[[#This Row],[Origin Rank]]&gt;1,HS_DB[[#This Row],[Origin Rank]]&lt;=10),"Yes","No")</f>
        <v>Yes</v>
      </c>
      <c r="L526" s="2">
        <v>2024</v>
      </c>
      <c r="M526" s="2" t="s">
        <v>57</v>
      </c>
      <c r="N526" s="2" t="s">
        <v>44</v>
      </c>
      <c r="O526" s="2" t="s">
        <v>22</v>
      </c>
      <c r="P526" s="2" t="s">
        <v>23</v>
      </c>
      <c r="Q526" s="2" t="s">
        <v>24</v>
      </c>
      <c r="R526" s="2" t="s">
        <v>25</v>
      </c>
      <c r="S526" s="2">
        <v>292242</v>
      </c>
      <c r="T526" s="3">
        <v>1169327</v>
      </c>
      <c r="U526" s="3">
        <v>640414</v>
      </c>
      <c r="V526" s="3">
        <v>0</v>
      </c>
      <c r="W526" s="3">
        <v>640414</v>
      </c>
      <c r="X526" s="3" t="s">
        <v>58</v>
      </c>
      <c r="Y526" s="3">
        <v>640414</v>
      </c>
      <c r="Z526" s="3" t="s">
        <v>58</v>
      </c>
      <c r="AA526" s="6">
        <f>SUMIFS(HS_DB[Trade Value - USD],HS_DB[Reporter],HS_DB[[#This Row],[Reporter]])/SUM(HS_DB[Trade Value - USD])</f>
        <v>1.6951290293147386E-2</v>
      </c>
      <c r="AB526" s="8" cm="1">
        <f t="array" ref="AB526">SUMPRODUCT(
(HS_DB[Reporter]=HS_DB[[#This Row],[Reporter]])*
(HS_DB[Trade Value - USD]&gt;HS_DB[[#This Row],[Trade Value - USD]])
)+1</f>
        <v>6</v>
      </c>
      <c r="AC526" s="8" t="str">
        <f>IFERROR(IF(INDEX(Heat_Map[Crisis Impact %],MATCH(HS_DB[[#This Row],[Reporter]],Heat_Map[Global],0),1)&gt;0,"Yes","No"),"No")</f>
        <v>No</v>
      </c>
      <c r="AD526" s="6">
        <f>IFERROR(INDEX(Heat_Map[Crisis Impact %],MATCH(HS_DB[[#This Row],[Reporter]],Heat_Map[Global],0),1),0)</f>
        <v>0</v>
      </c>
      <c r="AE526" s="8">
        <f>HS_DB[[#This Row],[Crisis Impact%]]*HS_DB[[#This Row],[Trade Value - USD]]</f>
        <v>0</v>
      </c>
      <c r="AF526" s="8">
        <f>HS_DB[[#This Row],[Crisis Impact%]]*HS_DB[[#This Row],[Net Weight -KG]]</f>
        <v>0</v>
      </c>
      <c r="AG526" s="6">
        <f>SUMIFS(HS_DB[Trade Value - USD],HS_DB[Products],HS_DB[[#This Row],[Products]])/SUM(HS_DB[Trade Value - USD])</f>
        <v>9.8199068625218038E-3</v>
      </c>
      <c r="AH526" s="8">
        <f>_xlfn.RANK.EQ(HS_DB[[#This Row],[Trade Value - USD]], HS_DB[Trade Value - USD], 0)
 + COUNTIFS(HS_DB[Trade Value - USD],HS_DB[[#This Row],[Trade Value - USD]],
            HS_DB[HS Code],"&lt;"&amp;HS_DB[[#This Row],[HS Code]])</f>
        <v>96</v>
      </c>
      <c r="AI526" s="9">
        <f>IFERROR(HS_DB[[#This Row],[Trade Value - USD]]/HS_DB[[#This Row],[Net Weight -KG]],0)</f>
        <v>1.8258923134097631</v>
      </c>
      <c r="AJ526" s="17" cm="1">
        <f t="array" ref="AJ526">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526" s="17" t="str">
        <f>IF(HS_DB[[#This Row],[HS Code Risk Score]]&gt;=40,"High",
 IF(HS_DB[[#This Row],[HS Code Risk Score]]&gt;=25,"Medium","Low"))</f>
        <v>Medium</v>
      </c>
      <c r="AL526" s="17" t="str">
        <f>IF(RANK(HS_DB[[#This Row],[HS Code Risk Score]],HS_DB[HS Code Risk Score])&lt;=10,"Yes","No")</f>
        <v>No</v>
      </c>
      <c r="AM526" s="8">
        <f>SUMIFS(HS_DB[Net Weight -KG],HS_DB[HS Code],HS_DB[[#This Row],[HS Code]])</f>
        <v>17307326.700000003</v>
      </c>
      <c r="AN526" s="8">
        <f>SUMIFS(HS_DB[Trade Value - USD],HS_DB[HS Code],HS_DB[[#This Row],[HS Code]])</f>
        <v>18510606</v>
      </c>
      <c r="AO526" s="6">
        <f>_xlfn.MAXIFS(HS_DB[Origin Share%],HS_DB[HS Code],HS_DB[[#This Row],[HS Code]])</f>
        <v>0.39900464236999494</v>
      </c>
      <c r="AP526" s="8" cm="1">
        <f t="array" ref="AP526">_xlfn.LET(
_xlpm.hs,HS_DB[[#This Row],[HS Code]],
COUNTA(_xlfn.UNIQUE(_xlfn._xlws.FILTER(HS_DB[Reporter],HS_DB[HS Code]=_xlpm.hs)))
)</f>
        <v>9</v>
      </c>
      <c r="AQ526" s="17" t="str">
        <f>IF(HS_DB[[#This Row],[Origin Count]]=1,"Single Source","Multiple Sources")</f>
        <v>Multiple Sources</v>
      </c>
      <c r="AR526" s="8">
        <f>HS_DB[[#This Row],[Annual Spend - USD]]*(HS_DB[[#This Row],[HS Code Risk Score]]/100)</f>
        <v>6293606.04</v>
      </c>
      <c r="AS526" s="8">
        <f>RANK(HS_DB[[#This Row],[Risk Exposure - USD]],HS_DB[Risk Exposure - USD],0)</f>
        <v>109</v>
      </c>
      <c r="AT526" s="8" t="str">
        <f>IF(HS_DB[[#This Row],[Risk Exposure Rank]]&lt;=10,"High",
 IF(HS_DB[[#This Row],[Risk Exposure Rank]]&lt;=30,"Medium",
 "Low"))</f>
        <v>Low</v>
      </c>
      <c r="AU526" s="8" t="str">
        <f>IF(HS_DB[[#This Row],[Risk Exposure Rank]]&lt;=5,"Immediate Action",
 IF(HS_DB[[#This Row],[Risk Exposure Rank]]&lt;=15,"Monitor Closely",
 "Routine Control"))</f>
        <v>Routine Control</v>
      </c>
      <c r="AV526" s="8">
        <f>SUMIFS(HS_DB[Trade Value - USD],HS_DB[HS Code],HS_DB[[#This Row],[HS Code]])</f>
        <v>18510606</v>
      </c>
      <c r="AW526" s="6">
        <f>HS_DB[[#This Row],[Annual Spend - USD]]/HS_DB[[#This Row],[Total Market Size - USD]]</f>
        <v>1</v>
      </c>
      <c r="AX526" s="6" cm="1">
        <f t="array" ref="AX526">COUNTA(_xlfn.UNIQUE(_xlfn._xlws.FILTER(HS_DB[Partner],HS_DB[HS Code]=HS_DB[[#This Row],[HS Code]])))</f>
        <v>1</v>
      </c>
      <c r="AY526" s="8" t="str">
        <f>IF(HS_DB[[#This Row],[Competition Intensity]]&lt;=2,"Highly Concentrated",
 IF(HS_DB[[#This Row],[Competition Intensity]]&lt;=5,"Moderate",
 "Highly Competitive"))</f>
        <v>Highly Concentrated</v>
      </c>
      <c r="AZ526" s="8">
        <f>HS_DB[[#This Row],[Total Market Size - USD]]
*
(1+IFERROR(#REF!,0))
/
HS_DB[[#This Row],[Competition Intensity]]</f>
        <v>18510606</v>
      </c>
      <c r="BA526" s="8" t="str">
        <f>IF(HS_DB[[#This Row],[Commercial Opportunity Score]]&gt;=PERCENTILE(HS_DB[Commercial Opportunity Score],0.9),"High Opportunity",
 IF(HS_DB[[#This Row],[Commercial Opportunity Score]]&gt;=PERCENTILE(HS_DB[Commercial Opportunity Score],0.6),"Medium Opportunity",
 "Routine Market"))</f>
        <v>Medium Opportunity</v>
      </c>
      <c r="BB526" s="3" t="str">
        <f>IF(AND(HS_DB[[#This Row],[Product Rank]]&gt;0,HS_DB[[#This Row],[Product Rank]]&lt;=10),"Yes","No")</f>
        <v>No</v>
      </c>
      <c r="BC526" s="3" t="str">
        <f>IF(AND(HS_DB[[#This Row],[Origin Rank]]&gt;0,HS_DB[[#This Row],[Origin Rank]]&lt;=10),"Yes","No")</f>
        <v>Yes</v>
      </c>
    </row>
    <row r="527" spans="2:55" x14ac:dyDescent="0.3">
      <c r="B527" s="2">
        <f>HS_DB[[#This Row],[Commodity Code]]</f>
        <v>292242</v>
      </c>
      <c r="C527" s="2">
        <f>IFERROR(INDEX(HS_MD!C:C,MATCH(B527,HS_MD!B:B,0),1),"")</f>
        <v>44</v>
      </c>
      <c r="D527" s="17" t="str">
        <f>IFERROR(INDEX(HS_MD!D:D,MATCH(B527,HS_MD!B:B,0),1),"")</f>
        <v>Monosodium glutamate (MSG)</v>
      </c>
      <c r="E527" s="17" t="str">
        <f>IFERROR(INDEX(HS_MD!E:E,MATCH(B527,HS_MD!B:B,0),1),"")</f>
        <v>MSG</v>
      </c>
      <c r="F527" s="17" t="str">
        <f>IFERROR(INDEX(HS_MD!F:F,MATCH(B527,HS_MD!B:B,0),1),"")</f>
        <v>Food Ingredients</v>
      </c>
      <c r="G527" s="17" t="str">
        <f>IFERROR(INDEX(HS_MD!G:G,MATCH(B527,HS_MD!B:B,0),1),"")</f>
        <v>Flavor Enhancers</v>
      </c>
      <c r="H527" s="17" t="str">
        <f>IFERROR(INDEX(HS_MD!H:H,MATCH(B527,HS_MD!B:B,0),1),"")</f>
        <v>Monosodium Glutamate</v>
      </c>
      <c r="I527" s="17" t="str">
        <f>IFERROR(INDEX(HS_MD!I:I,MATCH(B527,HS_MD!B:B,0),1),"")</f>
        <v>Snacks / Seasonings</v>
      </c>
      <c r="J527" s="17">
        <f>IFERROR(INDEX(Heat_Map[Index],MATCH(HS_DB[[#This Row],[Reporter]],Heat_Map[Global],0),1),"")</f>
        <v>63</v>
      </c>
      <c r="K527" s="17" t="str">
        <f>IF(AND(HS_DB[[#This Row],[Origin Rank]]&gt;1,HS_DB[[#This Row],[Origin Rank]]&lt;=10),"Yes","No")</f>
        <v>No</v>
      </c>
      <c r="L527" s="2">
        <v>2024</v>
      </c>
      <c r="M527" s="2" t="s">
        <v>57</v>
      </c>
      <c r="N527" s="2" t="s">
        <v>2</v>
      </c>
      <c r="O527" s="2" t="s">
        <v>22</v>
      </c>
      <c r="P527" s="2" t="s">
        <v>23</v>
      </c>
      <c r="Q527" s="2" t="s">
        <v>24</v>
      </c>
      <c r="R527" s="2" t="s">
        <v>25</v>
      </c>
      <c r="S527" s="2">
        <v>292242</v>
      </c>
      <c r="T527" s="3">
        <v>1038</v>
      </c>
      <c r="U527" s="3">
        <v>220.5</v>
      </c>
      <c r="V527" s="3">
        <v>0</v>
      </c>
      <c r="W527" s="3">
        <v>221</v>
      </c>
      <c r="X527" s="3" t="s">
        <v>58</v>
      </c>
      <c r="Y527" s="3">
        <v>0</v>
      </c>
      <c r="Z527" s="3" t="s">
        <v>26</v>
      </c>
      <c r="AA527" s="6">
        <f>SUMIFS(HS_DB[Trade Value - USD],HS_DB[Reporter],HS_DB[[#This Row],[Reporter]])/SUM(HS_DB[Trade Value - USD])</f>
        <v>1.1674623358397021E-2</v>
      </c>
      <c r="AB527" s="8" cm="1">
        <f t="array" ref="AB527">SUMPRODUCT(
(HS_DB[Reporter]=HS_DB[[#This Row],[Reporter]])*
(HS_DB[Trade Value - USD]&gt;HS_DB[[#This Row],[Trade Value - USD]])
)+1</f>
        <v>31</v>
      </c>
      <c r="AC527" s="8" t="str">
        <f>IFERROR(IF(INDEX(Heat_Map[Crisis Impact %],MATCH(HS_DB[[#This Row],[Reporter]],Heat_Map[Global],0),1)&gt;0,"Yes","No"),"No")</f>
        <v>No</v>
      </c>
      <c r="AD527" s="6">
        <f>IFERROR(INDEX(Heat_Map[Crisis Impact %],MATCH(HS_DB[[#This Row],[Reporter]],Heat_Map[Global],0),1),0)</f>
        <v>0</v>
      </c>
      <c r="AE527" s="8">
        <f>HS_DB[[#This Row],[Crisis Impact%]]*HS_DB[[#This Row],[Trade Value - USD]]</f>
        <v>0</v>
      </c>
      <c r="AF527" s="8">
        <f>HS_DB[[#This Row],[Crisis Impact%]]*HS_DB[[#This Row],[Net Weight -KG]]</f>
        <v>0</v>
      </c>
      <c r="AG527" s="6">
        <f>SUMIFS(HS_DB[Trade Value - USD],HS_DB[Products],HS_DB[[#This Row],[Products]])/SUM(HS_DB[Trade Value - USD])</f>
        <v>9.8199068625218038E-3</v>
      </c>
      <c r="AH527" s="8">
        <f>_xlfn.RANK.EQ(HS_DB[[#This Row],[Trade Value - USD]], HS_DB[Trade Value - USD], 0)
 + COUNTIFS(HS_DB[Trade Value - USD],HS_DB[[#This Row],[Trade Value - USD]],
            HS_DB[HS Code],"&lt;"&amp;HS_DB[[#This Row],[HS Code]])</f>
        <v>484</v>
      </c>
      <c r="AI527" s="9">
        <f>IFERROR(HS_DB[[#This Row],[Trade Value - USD]]/HS_DB[[#This Row],[Net Weight -KG]],0)</f>
        <v>4.7074829931972788</v>
      </c>
      <c r="AJ527" s="17" cm="1">
        <f t="array" ref="AJ527">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527" s="17" t="str">
        <f>IF(HS_DB[[#This Row],[HS Code Risk Score]]&gt;=40,"High",
 IF(HS_DB[[#This Row],[HS Code Risk Score]]&gt;=25,"Medium","Low"))</f>
        <v>Medium</v>
      </c>
      <c r="AL527" s="17" t="str">
        <f>IF(RANK(HS_DB[[#This Row],[HS Code Risk Score]],HS_DB[HS Code Risk Score])&lt;=10,"Yes","No")</f>
        <v>No</v>
      </c>
      <c r="AM527" s="8">
        <f>SUMIFS(HS_DB[Net Weight -KG],HS_DB[HS Code],HS_DB[[#This Row],[HS Code]])</f>
        <v>17307326.700000003</v>
      </c>
      <c r="AN527" s="8">
        <f>SUMIFS(HS_DB[Trade Value - USD],HS_DB[HS Code],HS_DB[[#This Row],[HS Code]])</f>
        <v>18510606</v>
      </c>
      <c r="AO527" s="6">
        <f>_xlfn.MAXIFS(HS_DB[Origin Share%],HS_DB[HS Code],HS_DB[[#This Row],[HS Code]])</f>
        <v>0.39900464236999494</v>
      </c>
      <c r="AP527" s="8" cm="1">
        <f t="array" ref="AP527">_xlfn.LET(
_xlpm.hs,HS_DB[[#This Row],[HS Code]],
COUNTA(_xlfn.UNIQUE(_xlfn._xlws.FILTER(HS_DB[Reporter],HS_DB[HS Code]=_xlpm.hs)))
)</f>
        <v>9</v>
      </c>
      <c r="AQ527" s="17" t="str">
        <f>IF(HS_DB[[#This Row],[Origin Count]]=1,"Single Source","Multiple Sources")</f>
        <v>Multiple Sources</v>
      </c>
      <c r="AR527" s="8">
        <f>HS_DB[[#This Row],[Annual Spend - USD]]*(HS_DB[[#This Row],[HS Code Risk Score]]/100)</f>
        <v>6293606.04</v>
      </c>
      <c r="AS527" s="8">
        <f>RANK(HS_DB[[#This Row],[Risk Exposure - USD]],HS_DB[Risk Exposure - USD],0)</f>
        <v>109</v>
      </c>
      <c r="AT527" s="8" t="str">
        <f>IF(HS_DB[[#This Row],[Risk Exposure Rank]]&lt;=10,"High",
 IF(HS_DB[[#This Row],[Risk Exposure Rank]]&lt;=30,"Medium",
 "Low"))</f>
        <v>Low</v>
      </c>
      <c r="AU527" s="8" t="str">
        <f>IF(HS_DB[[#This Row],[Risk Exposure Rank]]&lt;=5,"Immediate Action",
 IF(HS_DB[[#This Row],[Risk Exposure Rank]]&lt;=15,"Monitor Closely",
 "Routine Control"))</f>
        <v>Routine Control</v>
      </c>
      <c r="AV527" s="8">
        <f>SUMIFS(HS_DB[Trade Value - USD],HS_DB[HS Code],HS_DB[[#This Row],[HS Code]])</f>
        <v>18510606</v>
      </c>
      <c r="AW527" s="6">
        <f>HS_DB[[#This Row],[Annual Spend - USD]]/HS_DB[[#This Row],[Total Market Size - USD]]</f>
        <v>1</v>
      </c>
      <c r="AX527" s="6" cm="1">
        <f t="array" ref="AX527">COUNTA(_xlfn.UNIQUE(_xlfn._xlws.FILTER(HS_DB[Partner],HS_DB[HS Code]=HS_DB[[#This Row],[HS Code]])))</f>
        <v>1</v>
      </c>
      <c r="AY527" s="8" t="str">
        <f>IF(HS_DB[[#This Row],[Competition Intensity]]&lt;=2,"Highly Concentrated",
 IF(HS_DB[[#This Row],[Competition Intensity]]&lt;=5,"Moderate",
 "Highly Competitive"))</f>
        <v>Highly Concentrated</v>
      </c>
      <c r="AZ527" s="8">
        <f>HS_DB[[#This Row],[Total Market Size - USD]]
*
(1+IFERROR(#REF!,0))
/
HS_DB[[#This Row],[Competition Intensity]]</f>
        <v>18510606</v>
      </c>
      <c r="BA527" s="8" t="str">
        <f>IF(HS_DB[[#This Row],[Commercial Opportunity Score]]&gt;=PERCENTILE(HS_DB[Commercial Opportunity Score],0.9),"High Opportunity",
 IF(HS_DB[[#This Row],[Commercial Opportunity Score]]&gt;=PERCENTILE(HS_DB[Commercial Opportunity Score],0.6),"Medium Opportunity",
 "Routine Market"))</f>
        <v>Medium Opportunity</v>
      </c>
      <c r="BB527" s="3" t="str">
        <f>IF(AND(HS_DB[[#This Row],[Product Rank]]&gt;0,HS_DB[[#This Row],[Product Rank]]&lt;=10),"Yes","No")</f>
        <v>No</v>
      </c>
      <c r="BC527" s="3" t="str">
        <f>IF(AND(HS_DB[[#This Row],[Origin Rank]]&gt;0,HS_DB[[#This Row],[Origin Rank]]&lt;=10),"Yes","No")</f>
        <v>No</v>
      </c>
    </row>
    <row r="528" spans="2:55" x14ac:dyDescent="0.3">
      <c r="B528" s="2">
        <f>HS_DB[[#This Row],[Commodity Code]]</f>
        <v>292242</v>
      </c>
      <c r="C528" s="2">
        <f>IFERROR(INDEX(HS_MD!C:C,MATCH(B528,HS_MD!B:B,0),1),"")</f>
        <v>44</v>
      </c>
      <c r="D528" s="17" t="str">
        <f>IFERROR(INDEX(HS_MD!D:D,MATCH(B528,HS_MD!B:B,0),1),"")</f>
        <v>Monosodium glutamate (MSG)</v>
      </c>
      <c r="E528" s="17" t="str">
        <f>IFERROR(INDEX(HS_MD!E:E,MATCH(B528,HS_MD!B:B,0),1),"")</f>
        <v>MSG</v>
      </c>
      <c r="F528" s="17" t="str">
        <f>IFERROR(INDEX(HS_MD!F:F,MATCH(B528,HS_MD!B:B,0),1),"")</f>
        <v>Food Ingredients</v>
      </c>
      <c r="G528" s="17" t="str">
        <f>IFERROR(INDEX(HS_MD!G:G,MATCH(B528,HS_MD!B:B,0),1),"")</f>
        <v>Flavor Enhancers</v>
      </c>
      <c r="H528" s="17" t="str">
        <f>IFERROR(INDEX(HS_MD!H:H,MATCH(B528,HS_MD!B:B,0),1),"")</f>
        <v>Monosodium Glutamate</v>
      </c>
      <c r="I528" s="17" t="str">
        <f>IFERROR(INDEX(HS_MD!I:I,MATCH(B528,HS_MD!B:B,0),1),"")</f>
        <v>Snacks / Seasonings</v>
      </c>
      <c r="J528" s="17">
        <f>IFERROR(INDEX(Heat_Map[Index],MATCH(HS_DB[[#This Row],[Reporter]],Heat_Map[Global],0),1),"")</f>
        <v>76</v>
      </c>
      <c r="K528" s="17" t="str">
        <f>IF(AND(HS_DB[[#This Row],[Origin Rank]]&gt;1,HS_DB[[#This Row],[Origin Rank]]&lt;=10),"Yes","No")</f>
        <v>Yes</v>
      </c>
      <c r="L528" s="2">
        <v>2024</v>
      </c>
      <c r="M528" s="2" t="s">
        <v>57</v>
      </c>
      <c r="N528" s="2" t="s">
        <v>47</v>
      </c>
      <c r="O528" s="2" t="s">
        <v>22</v>
      </c>
      <c r="P528" s="2" t="s">
        <v>23</v>
      </c>
      <c r="Q528" s="2" t="s">
        <v>24</v>
      </c>
      <c r="R528" s="2" t="s">
        <v>25</v>
      </c>
      <c r="S528" s="2">
        <v>292242</v>
      </c>
      <c r="T528" s="3">
        <v>27434</v>
      </c>
      <c r="U528" s="3">
        <v>21600</v>
      </c>
      <c r="V528" s="3">
        <v>0</v>
      </c>
      <c r="W528" s="3">
        <v>21600</v>
      </c>
      <c r="X528" s="3" t="s">
        <v>58</v>
      </c>
      <c r="Y528" s="3">
        <v>21600</v>
      </c>
      <c r="Z528" s="3" t="s">
        <v>58</v>
      </c>
      <c r="AA528" s="6">
        <f>SUMIFS(HS_DB[Trade Value - USD],HS_DB[Reporter],HS_DB[[#This Row],[Reporter]])/SUM(HS_DB[Trade Value - USD])</f>
        <v>0.39900464236999494</v>
      </c>
      <c r="AB528" s="8" cm="1">
        <f t="array" ref="AB528">SUMPRODUCT(
(HS_DB[Reporter]=HS_DB[[#This Row],[Reporter]])*
(HS_DB[Trade Value - USD]&gt;HS_DB[[#This Row],[Trade Value - USD]])
)+1</f>
        <v>7</v>
      </c>
      <c r="AC528" s="8" t="str">
        <f>IFERROR(IF(INDEX(Heat_Map[Crisis Impact %],MATCH(HS_DB[[#This Row],[Reporter]],Heat_Map[Global],0),1)&gt;0,"Yes","No"),"No")</f>
        <v>Yes</v>
      </c>
      <c r="AD528" s="6">
        <f>IFERROR(INDEX(Heat_Map[Crisis Impact %],MATCH(HS_DB[[#This Row],[Reporter]],Heat_Map[Global],0),1),0)</f>
        <v>0.21</v>
      </c>
      <c r="AE528" s="8">
        <f>HS_DB[[#This Row],[Crisis Impact%]]*HS_DB[[#This Row],[Trade Value - USD]]</f>
        <v>5761.1399999999994</v>
      </c>
      <c r="AF528" s="8">
        <f>HS_DB[[#This Row],[Crisis Impact%]]*HS_DB[[#This Row],[Net Weight -KG]]</f>
        <v>4536</v>
      </c>
      <c r="AG528" s="6">
        <f>SUMIFS(HS_DB[Trade Value - USD],HS_DB[Products],HS_DB[[#This Row],[Products]])/SUM(HS_DB[Trade Value - USD])</f>
        <v>9.8199068625218038E-3</v>
      </c>
      <c r="AH528" s="8">
        <f>_xlfn.RANK.EQ(HS_DB[[#This Row],[Trade Value - USD]], HS_DB[Trade Value - USD], 0)
 + COUNTIFS(HS_DB[Trade Value - USD],HS_DB[[#This Row],[Trade Value - USD]],
            HS_DB[HS Code],"&lt;"&amp;HS_DB[[#This Row],[HS Code]])</f>
        <v>361</v>
      </c>
      <c r="AI528" s="9">
        <f>IFERROR(HS_DB[[#This Row],[Trade Value - USD]]/HS_DB[[#This Row],[Net Weight -KG]],0)</f>
        <v>1.2700925925925926</v>
      </c>
      <c r="AJ528" s="17" cm="1">
        <f t="array" ref="AJ528">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528" s="17" t="str">
        <f>IF(HS_DB[[#This Row],[HS Code Risk Score]]&gt;=40,"High",
 IF(HS_DB[[#This Row],[HS Code Risk Score]]&gt;=25,"Medium","Low"))</f>
        <v>Medium</v>
      </c>
      <c r="AL528" s="17" t="str">
        <f>IF(RANK(HS_DB[[#This Row],[HS Code Risk Score]],HS_DB[HS Code Risk Score])&lt;=10,"Yes","No")</f>
        <v>No</v>
      </c>
      <c r="AM528" s="8">
        <f>SUMIFS(HS_DB[Net Weight -KG],HS_DB[HS Code],HS_DB[[#This Row],[HS Code]])</f>
        <v>17307326.700000003</v>
      </c>
      <c r="AN528" s="8">
        <f>SUMIFS(HS_DB[Trade Value - USD],HS_DB[HS Code],HS_DB[[#This Row],[HS Code]])</f>
        <v>18510606</v>
      </c>
      <c r="AO528" s="6">
        <f>_xlfn.MAXIFS(HS_DB[Origin Share%],HS_DB[HS Code],HS_DB[[#This Row],[HS Code]])</f>
        <v>0.39900464236999494</v>
      </c>
      <c r="AP528" s="8" cm="1">
        <f t="array" ref="AP528">_xlfn.LET(
_xlpm.hs,HS_DB[[#This Row],[HS Code]],
COUNTA(_xlfn.UNIQUE(_xlfn._xlws.FILTER(HS_DB[Reporter],HS_DB[HS Code]=_xlpm.hs)))
)</f>
        <v>9</v>
      </c>
      <c r="AQ528" s="17" t="str">
        <f>IF(HS_DB[[#This Row],[Origin Count]]=1,"Single Source","Multiple Sources")</f>
        <v>Multiple Sources</v>
      </c>
      <c r="AR528" s="8">
        <f>HS_DB[[#This Row],[Annual Spend - USD]]*(HS_DB[[#This Row],[HS Code Risk Score]]/100)</f>
        <v>6293606.04</v>
      </c>
      <c r="AS528" s="8">
        <f>RANK(HS_DB[[#This Row],[Risk Exposure - USD]],HS_DB[Risk Exposure - USD],0)</f>
        <v>109</v>
      </c>
      <c r="AT528" s="8" t="str">
        <f>IF(HS_DB[[#This Row],[Risk Exposure Rank]]&lt;=10,"High",
 IF(HS_DB[[#This Row],[Risk Exposure Rank]]&lt;=30,"Medium",
 "Low"))</f>
        <v>Low</v>
      </c>
      <c r="AU528" s="8" t="str">
        <f>IF(HS_DB[[#This Row],[Risk Exposure Rank]]&lt;=5,"Immediate Action",
 IF(HS_DB[[#This Row],[Risk Exposure Rank]]&lt;=15,"Monitor Closely",
 "Routine Control"))</f>
        <v>Routine Control</v>
      </c>
      <c r="AV528" s="8">
        <f>SUMIFS(HS_DB[Trade Value - USD],HS_DB[HS Code],HS_DB[[#This Row],[HS Code]])</f>
        <v>18510606</v>
      </c>
      <c r="AW528" s="6">
        <f>HS_DB[[#This Row],[Annual Spend - USD]]/HS_DB[[#This Row],[Total Market Size - USD]]</f>
        <v>1</v>
      </c>
      <c r="AX528" s="6" cm="1">
        <f t="array" ref="AX528">COUNTA(_xlfn.UNIQUE(_xlfn._xlws.FILTER(HS_DB[Partner],HS_DB[HS Code]=HS_DB[[#This Row],[HS Code]])))</f>
        <v>1</v>
      </c>
      <c r="AY528" s="8" t="str">
        <f>IF(HS_DB[[#This Row],[Competition Intensity]]&lt;=2,"Highly Concentrated",
 IF(HS_DB[[#This Row],[Competition Intensity]]&lt;=5,"Moderate",
 "Highly Competitive"))</f>
        <v>Highly Concentrated</v>
      </c>
      <c r="AZ528" s="8">
        <f>HS_DB[[#This Row],[Total Market Size - USD]]
*
(1+IFERROR(#REF!,0))
/
HS_DB[[#This Row],[Competition Intensity]]</f>
        <v>18510606</v>
      </c>
      <c r="BA528" s="8" t="str">
        <f>IF(HS_DB[[#This Row],[Commercial Opportunity Score]]&gt;=PERCENTILE(HS_DB[Commercial Opportunity Score],0.9),"High Opportunity",
 IF(HS_DB[[#This Row],[Commercial Opportunity Score]]&gt;=PERCENTILE(HS_DB[Commercial Opportunity Score],0.6),"Medium Opportunity",
 "Routine Market"))</f>
        <v>Medium Opportunity</v>
      </c>
      <c r="BB528" s="3" t="str">
        <f>IF(AND(HS_DB[[#This Row],[Product Rank]]&gt;0,HS_DB[[#This Row],[Product Rank]]&lt;=10),"Yes","No")</f>
        <v>No</v>
      </c>
      <c r="BC528" s="3" t="str">
        <f>IF(AND(HS_DB[[#This Row],[Origin Rank]]&gt;0,HS_DB[[#This Row],[Origin Rank]]&lt;=10),"Yes","No")</f>
        <v>Yes</v>
      </c>
    </row>
    <row r="529" spans="2:55" x14ac:dyDescent="0.3">
      <c r="B529" s="2">
        <f>HS_DB[[#This Row],[Commodity Code]]</f>
        <v>292242</v>
      </c>
      <c r="C529" s="2">
        <f>IFERROR(INDEX(HS_MD!C:C,MATCH(B529,HS_MD!B:B,0),1),"")</f>
        <v>44</v>
      </c>
      <c r="D529" s="17" t="str">
        <f>IFERROR(INDEX(HS_MD!D:D,MATCH(B529,HS_MD!B:B,0),1),"")</f>
        <v>Monosodium glutamate (MSG)</v>
      </c>
      <c r="E529" s="17" t="str">
        <f>IFERROR(INDEX(HS_MD!E:E,MATCH(B529,HS_MD!B:B,0),1),"")</f>
        <v>MSG</v>
      </c>
      <c r="F529" s="17" t="str">
        <f>IFERROR(INDEX(HS_MD!F:F,MATCH(B529,HS_MD!B:B,0),1),"")</f>
        <v>Food Ingredients</v>
      </c>
      <c r="G529" s="17" t="str">
        <f>IFERROR(INDEX(HS_MD!G:G,MATCH(B529,HS_MD!B:B,0),1),"")</f>
        <v>Flavor Enhancers</v>
      </c>
      <c r="H529" s="17" t="str">
        <f>IFERROR(INDEX(HS_MD!H:H,MATCH(B529,HS_MD!B:B,0),1),"")</f>
        <v>Monosodium Glutamate</v>
      </c>
      <c r="I529" s="17" t="str">
        <f>IFERROR(INDEX(HS_MD!I:I,MATCH(B529,HS_MD!B:B,0),1),"")</f>
        <v>Snacks / Seasonings</v>
      </c>
      <c r="J529" s="17">
        <f>IFERROR(INDEX(Heat_Map[Index],MATCH(HS_DB[[#This Row],[Reporter]],Heat_Map[Global],0),1),"")</f>
        <v>118</v>
      </c>
      <c r="K529" s="17" t="str">
        <f>IF(AND(HS_DB[[#This Row],[Origin Rank]]&gt;1,HS_DB[[#This Row],[Origin Rank]]&lt;=10),"Yes","No")</f>
        <v>No</v>
      </c>
      <c r="L529" s="2">
        <v>2024</v>
      </c>
      <c r="M529" s="2" t="s">
        <v>57</v>
      </c>
      <c r="N529" s="2" t="s">
        <v>53</v>
      </c>
      <c r="O529" s="2" t="s">
        <v>22</v>
      </c>
      <c r="P529" s="2" t="s">
        <v>23</v>
      </c>
      <c r="Q529" s="2" t="s">
        <v>24</v>
      </c>
      <c r="R529" s="2" t="s">
        <v>25</v>
      </c>
      <c r="S529" s="2">
        <v>292242</v>
      </c>
      <c r="T529" s="3">
        <v>1343</v>
      </c>
      <c r="U529" s="3">
        <v>250</v>
      </c>
      <c r="V529" s="3">
        <v>0</v>
      </c>
      <c r="W529" s="3">
        <v>250</v>
      </c>
      <c r="X529" s="3" t="s">
        <v>58</v>
      </c>
      <c r="Y529" s="3">
        <v>250</v>
      </c>
      <c r="Z529" s="3" t="s">
        <v>58</v>
      </c>
      <c r="AA529" s="6">
        <f>SUMIFS(HS_DB[Trade Value - USD],HS_DB[Reporter],HS_DB[[#This Row],[Reporter]])/SUM(HS_DB[Trade Value - USD])</f>
        <v>1.4561232389604124E-2</v>
      </c>
      <c r="AB529" s="8" cm="1">
        <f t="array" ref="AB529">SUMPRODUCT(
(HS_DB[Reporter]=HS_DB[[#This Row],[Reporter]])*
(HS_DB[Trade Value - USD]&gt;HS_DB[[#This Row],[Trade Value - USD]])
)+1</f>
        <v>30</v>
      </c>
      <c r="AC529" s="8" t="str">
        <f>IFERROR(IF(INDEX(Heat_Map[Crisis Impact %],MATCH(HS_DB[[#This Row],[Reporter]],Heat_Map[Global],0),1)&gt;0,"Yes","No"),"No")</f>
        <v>No</v>
      </c>
      <c r="AD529" s="6">
        <f>IFERROR(INDEX(Heat_Map[Crisis Impact %],MATCH(HS_DB[[#This Row],[Reporter]],Heat_Map[Global],0),1),0)</f>
        <v>0</v>
      </c>
      <c r="AE529" s="8">
        <f>HS_DB[[#This Row],[Crisis Impact%]]*HS_DB[[#This Row],[Trade Value - USD]]</f>
        <v>0</v>
      </c>
      <c r="AF529" s="8">
        <f>HS_DB[[#This Row],[Crisis Impact%]]*HS_DB[[#This Row],[Net Weight -KG]]</f>
        <v>0</v>
      </c>
      <c r="AG529" s="6">
        <f>SUMIFS(HS_DB[Trade Value - USD],HS_DB[Products],HS_DB[[#This Row],[Products]])/SUM(HS_DB[Trade Value - USD])</f>
        <v>9.8199068625218038E-3</v>
      </c>
      <c r="AH529" s="8">
        <f>_xlfn.RANK.EQ(HS_DB[[#This Row],[Trade Value - USD]], HS_DB[Trade Value - USD], 0)
 + COUNTIFS(HS_DB[Trade Value - USD],HS_DB[[#This Row],[Trade Value - USD]],
            HS_DB[HS Code],"&lt;"&amp;HS_DB[[#This Row],[HS Code]])</f>
        <v>478</v>
      </c>
      <c r="AI529" s="9">
        <f>IFERROR(HS_DB[[#This Row],[Trade Value - USD]]/HS_DB[[#This Row],[Net Weight -KG]],0)</f>
        <v>5.3719999999999999</v>
      </c>
      <c r="AJ529" s="17" cm="1">
        <f t="array" ref="AJ529">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529" s="17" t="str">
        <f>IF(HS_DB[[#This Row],[HS Code Risk Score]]&gt;=40,"High",
 IF(HS_DB[[#This Row],[HS Code Risk Score]]&gt;=25,"Medium","Low"))</f>
        <v>Medium</v>
      </c>
      <c r="AL529" s="17" t="str">
        <f>IF(RANK(HS_DB[[#This Row],[HS Code Risk Score]],HS_DB[HS Code Risk Score])&lt;=10,"Yes","No")</f>
        <v>No</v>
      </c>
      <c r="AM529" s="8">
        <f>SUMIFS(HS_DB[Net Weight -KG],HS_DB[HS Code],HS_DB[[#This Row],[HS Code]])</f>
        <v>17307326.700000003</v>
      </c>
      <c r="AN529" s="8">
        <f>SUMIFS(HS_DB[Trade Value - USD],HS_DB[HS Code],HS_DB[[#This Row],[HS Code]])</f>
        <v>18510606</v>
      </c>
      <c r="AO529" s="6">
        <f>_xlfn.MAXIFS(HS_DB[Origin Share%],HS_DB[HS Code],HS_DB[[#This Row],[HS Code]])</f>
        <v>0.39900464236999494</v>
      </c>
      <c r="AP529" s="8" cm="1">
        <f t="array" ref="AP529">_xlfn.LET(
_xlpm.hs,HS_DB[[#This Row],[HS Code]],
COUNTA(_xlfn.UNIQUE(_xlfn._xlws.FILTER(HS_DB[Reporter],HS_DB[HS Code]=_xlpm.hs)))
)</f>
        <v>9</v>
      </c>
      <c r="AQ529" s="17" t="str">
        <f>IF(HS_DB[[#This Row],[Origin Count]]=1,"Single Source","Multiple Sources")</f>
        <v>Multiple Sources</v>
      </c>
      <c r="AR529" s="8">
        <f>HS_DB[[#This Row],[Annual Spend - USD]]*(HS_DB[[#This Row],[HS Code Risk Score]]/100)</f>
        <v>6293606.04</v>
      </c>
      <c r="AS529" s="8">
        <f>RANK(HS_DB[[#This Row],[Risk Exposure - USD]],HS_DB[Risk Exposure - USD],0)</f>
        <v>109</v>
      </c>
      <c r="AT529" s="8" t="str">
        <f>IF(HS_DB[[#This Row],[Risk Exposure Rank]]&lt;=10,"High",
 IF(HS_DB[[#This Row],[Risk Exposure Rank]]&lt;=30,"Medium",
 "Low"))</f>
        <v>Low</v>
      </c>
      <c r="AU529" s="8" t="str">
        <f>IF(HS_DB[[#This Row],[Risk Exposure Rank]]&lt;=5,"Immediate Action",
 IF(HS_DB[[#This Row],[Risk Exposure Rank]]&lt;=15,"Monitor Closely",
 "Routine Control"))</f>
        <v>Routine Control</v>
      </c>
      <c r="AV529" s="8">
        <f>SUMIFS(HS_DB[Trade Value - USD],HS_DB[HS Code],HS_DB[[#This Row],[HS Code]])</f>
        <v>18510606</v>
      </c>
      <c r="AW529" s="6">
        <f>HS_DB[[#This Row],[Annual Spend - USD]]/HS_DB[[#This Row],[Total Market Size - USD]]</f>
        <v>1</v>
      </c>
      <c r="AX529" s="6" cm="1">
        <f t="array" ref="AX529">COUNTA(_xlfn.UNIQUE(_xlfn._xlws.FILTER(HS_DB[Partner],HS_DB[HS Code]=HS_DB[[#This Row],[HS Code]])))</f>
        <v>1</v>
      </c>
      <c r="AY529" s="8" t="str">
        <f>IF(HS_DB[[#This Row],[Competition Intensity]]&lt;=2,"Highly Concentrated",
 IF(HS_DB[[#This Row],[Competition Intensity]]&lt;=5,"Moderate",
 "Highly Competitive"))</f>
        <v>Highly Concentrated</v>
      </c>
      <c r="AZ529" s="8">
        <f>HS_DB[[#This Row],[Total Market Size - USD]]
*
(1+IFERROR(#REF!,0))
/
HS_DB[[#This Row],[Competition Intensity]]</f>
        <v>18510606</v>
      </c>
      <c r="BA529" s="8" t="str">
        <f>IF(HS_DB[[#This Row],[Commercial Opportunity Score]]&gt;=PERCENTILE(HS_DB[Commercial Opportunity Score],0.9),"High Opportunity",
 IF(HS_DB[[#This Row],[Commercial Opportunity Score]]&gt;=PERCENTILE(HS_DB[Commercial Opportunity Score],0.6),"Medium Opportunity",
 "Routine Market"))</f>
        <v>Medium Opportunity</v>
      </c>
      <c r="BB529" s="3" t="str">
        <f>IF(AND(HS_DB[[#This Row],[Product Rank]]&gt;0,HS_DB[[#This Row],[Product Rank]]&lt;=10),"Yes","No")</f>
        <v>No</v>
      </c>
      <c r="BC529" s="3" t="str">
        <f>IF(AND(HS_DB[[#This Row],[Origin Rank]]&gt;0,HS_DB[[#This Row],[Origin Rank]]&lt;=10),"Yes","No")</f>
        <v>No</v>
      </c>
    </row>
    <row r="530" spans="2:55" x14ac:dyDescent="0.3">
      <c r="B530" s="2">
        <f>HS_DB[[#This Row],[Commodity Code]]</f>
        <v>292242</v>
      </c>
      <c r="C530" s="2">
        <f>IFERROR(INDEX(HS_MD!C:C,MATCH(B530,HS_MD!B:B,0),1),"")</f>
        <v>44</v>
      </c>
      <c r="D530" s="17" t="str">
        <f>IFERROR(INDEX(HS_MD!D:D,MATCH(B530,HS_MD!B:B,0),1),"")</f>
        <v>Monosodium glutamate (MSG)</v>
      </c>
      <c r="E530" s="17" t="str">
        <f>IFERROR(INDEX(HS_MD!E:E,MATCH(B530,HS_MD!B:B,0),1),"")</f>
        <v>MSG</v>
      </c>
      <c r="F530" s="17" t="str">
        <f>IFERROR(INDEX(HS_MD!F:F,MATCH(B530,HS_MD!B:B,0),1),"")</f>
        <v>Food Ingredients</v>
      </c>
      <c r="G530" s="17" t="str">
        <f>IFERROR(INDEX(HS_MD!G:G,MATCH(B530,HS_MD!B:B,0),1),"")</f>
        <v>Flavor Enhancers</v>
      </c>
      <c r="H530" s="17" t="str">
        <f>IFERROR(INDEX(HS_MD!H:H,MATCH(B530,HS_MD!B:B,0),1),"")</f>
        <v>Monosodium Glutamate</v>
      </c>
      <c r="I530" s="17" t="str">
        <f>IFERROR(INDEX(HS_MD!I:I,MATCH(B530,HS_MD!B:B,0),1),"")</f>
        <v>Snacks / Seasonings</v>
      </c>
      <c r="J530" s="17">
        <f>IFERROR(INDEX(Heat_Map[Index],MATCH(HS_DB[[#This Row],[Reporter]],Heat_Map[Global],0),1),"")</f>
        <v>134</v>
      </c>
      <c r="K530" s="17" t="str">
        <f>IF(AND(HS_DB[[#This Row],[Origin Rank]]&gt;1,HS_DB[[#This Row],[Origin Rank]]&lt;=10),"Yes","No")</f>
        <v>Yes</v>
      </c>
      <c r="L530" s="2">
        <v>2024</v>
      </c>
      <c r="M530" s="2" t="s">
        <v>57</v>
      </c>
      <c r="N530" s="2" t="s">
        <v>55</v>
      </c>
      <c r="O530" s="2" t="s">
        <v>22</v>
      </c>
      <c r="P530" s="2" t="s">
        <v>23</v>
      </c>
      <c r="Q530" s="2" t="s">
        <v>24</v>
      </c>
      <c r="R530" s="2" t="s">
        <v>25</v>
      </c>
      <c r="S530" s="2">
        <v>292242</v>
      </c>
      <c r="T530" s="3">
        <v>77580</v>
      </c>
      <c r="U530" s="3">
        <v>40000</v>
      </c>
      <c r="V530" s="3">
        <v>0</v>
      </c>
      <c r="W530" s="3">
        <v>40000</v>
      </c>
      <c r="X530" s="3" t="s">
        <v>58</v>
      </c>
      <c r="Y530" s="3">
        <v>40000</v>
      </c>
      <c r="Z530" s="3" t="s">
        <v>58</v>
      </c>
      <c r="AA530" s="6">
        <f>SUMIFS(HS_DB[Trade Value - USD],HS_DB[Reporter],HS_DB[[#This Row],[Reporter]])/SUM(HS_DB[Trade Value - USD])</f>
        <v>6.3855771678493602E-3</v>
      </c>
      <c r="AB530" s="8" cm="1">
        <f t="array" ref="AB530">SUMPRODUCT(
(HS_DB[Reporter]=HS_DB[[#This Row],[Reporter]])*
(HS_DB[Trade Value - USD]&gt;HS_DB[[#This Row],[Trade Value - USD]])
)+1</f>
        <v>6</v>
      </c>
      <c r="AC530" s="8" t="str">
        <f>IFERROR(IF(INDEX(Heat_Map[Crisis Impact %],MATCH(HS_DB[[#This Row],[Reporter]],Heat_Map[Global],0),1)&gt;0,"Yes","No"),"No")</f>
        <v>Yes</v>
      </c>
      <c r="AD530" s="6">
        <f>IFERROR(INDEX(Heat_Map[Crisis Impact %],MATCH(HS_DB[[#This Row],[Reporter]],Heat_Map[Global],0),1),0)</f>
        <v>0.06</v>
      </c>
      <c r="AE530" s="8">
        <f>HS_DB[[#This Row],[Crisis Impact%]]*HS_DB[[#This Row],[Trade Value - USD]]</f>
        <v>4654.8</v>
      </c>
      <c r="AF530" s="8">
        <f>HS_DB[[#This Row],[Crisis Impact%]]*HS_DB[[#This Row],[Net Weight -KG]]</f>
        <v>2400</v>
      </c>
      <c r="AG530" s="6">
        <f>SUMIFS(HS_DB[Trade Value - USD],HS_DB[Products],HS_DB[[#This Row],[Products]])/SUM(HS_DB[Trade Value - USD])</f>
        <v>9.8199068625218038E-3</v>
      </c>
      <c r="AH530" s="8">
        <f>_xlfn.RANK.EQ(HS_DB[[#This Row],[Trade Value - USD]], HS_DB[Trade Value - USD], 0)
 + COUNTIFS(HS_DB[Trade Value - USD],HS_DB[[#This Row],[Trade Value - USD]],
            HS_DB[HS Code],"&lt;"&amp;HS_DB[[#This Row],[HS Code]])</f>
        <v>295</v>
      </c>
      <c r="AI530" s="9">
        <f>IFERROR(HS_DB[[#This Row],[Trade Value - USD]]/HS_DB[[#This Row],[Net Weight -KG]],0)</f>
        <v>1.9395</v>
      </c>
      <c r="AJ530" s="17" cm="1">
        <f t="array" ref="AJ530">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530" s="17" t="str">
        <f>IF(HS_DB[[#This Row],[HS Code Risk Score]]&gt;=40,"High",
 IF(HS_DB[[#This Row],[HS Code Risk Score]]&gt;=25,"Medium","Low"))</f>
        <v>Medium</v>
      </c>
      <c r="AL530" s="17" t="str">
        <f>IF(RANK(HS_DB[[#This Row],[HS Code Risk Score]],HS_DB[HS Code Risk Score])&lt;=10,"Yes","No")</f>
        <v>No</v>
      </c>
      <c r="AM530" s="8">
        <f>SUMIFS(HS_DB[Net Weight -KG],HS_DB[HS Code],HS_DB[[#This Row],[HS Code]])</f>
        <v>17307326.700000003</v>
      </c>
      <c r="AN530" s="8">
        <f>SUMIFS(HS_DB[Trade Value - USD],HS_DB[HS Code],HS_DB[[#This Row],[HS Code]])</f>
        <v>18510606</v>
      </c>
      <c r="AO530" s="6">
        <f>_xlfn.MAXIFS(HS_DB[Origin Share%],HS_DB[HS Code],HS_DB[[#This Row],[HS Code]])</f>
        <v>0.39900464236999494</v>
      </c>
      <c r="AP530" s="8" cm="1">
        <f t="array" ref="AP530">_xlfn.LET(
_xlpm.hs,HS_DB[[#This Row],[HS Code]],
COUNTA(_xlfn.UNIQUE(_xlfn._xlws.FILTER(HS_DB[Reporter],HS_DB[HS Code]=_xlpm.hs)))
)</f>
        <v>9</v>
      </c>
      <c r="AQ530" s="17" t="str">
        <f>IF(HS_DB[[#This Row],[Origin Count]]=1,"Single Source","Multiple Sources")</f>
        <v>Multiple Sources</v>
      </c>
      <c r="AR530" s="8">
        <f>HS_DB[[#This Row],[Annual Spend - USD]]*(HS_DB[[#This Row],[HS Code Risk Score]]/100)</f>
        <v>6293606.04</v>
      </c>
      <c r="AS530" s="8">
        <f>RANK(HS_DB[[#This Row],[Risk Exposure - USD]],HS_DB[Risk Exposure - USD],0)</f>
        <v>109</v>
      </c>
      <c r="AT530" s="8" t="str">
        <f>IF(HS_DB[[#This Row],[Risk Exposure Rank]]&lt;=10,"High",
 IF(HS_DB[[#This Row],[Risk Exposure Rank]]&lt;=30,"Medium",
 "Low"))</f>
        <v>Low</v>
      </c>
      <c r="AU530" s="8" t="str">
        <f>IF(HS_DB[[#This Row],[Risk Exposure Rank]]&lt;=5,"Immediate Action",
 IF(HS_DB[[#This Row],[Risk Exposure Rank]]&lt;=15,"Monitor Closely",
 "Routine Control"))</f>
        <v>Routine Control</v>
      </c>
      <c r="AV530" s="8">
        <f>SUMIFS(HS_DB[Trade Value - USD],HS_DB[HS Code],HS_DB[[#This Row],[HS Code]])</f>
        <v>18510606</v>
      </c>
      <c r="AW530" s="6">
        <f>HS_DB[[#This Row],[Annual Spend - USD]]/HS_DB[[#This Row],[Total Market Size - USD]]</f>
        <v>1</v>
      </c>
      <c r="AX530" s="6" cm="1">
        <f t="array" ref="AX530">COUNTA(_xlfn.UNIQUE(_xlfn._xlws.FILTER(HS_DB[Partner],HS_DB[HS Code]=HS_DB[[#This Row],[HS Code]])))</f>
        <v>1</v>
      </c>
      <c r="AY530" s="8" t="str">
        <f>IF(HS_DB[[#This Row],[Competition Intensity]]&lt;=2,"Highly Concentrated",
 IF(HS_DB[[#This Row],[Competition Intensity]]&lt;=5,"Moderate",
 "Highly Competitive"))</f>
        <v>Highly Concentrated</v>
      </c>
      <c r="AZ530" s="8">
        <f>HS_DB[[#This Row],[Total Market Size - USD]]
*
(1+IFERROR(#REF!,0))
/
HS_DB[[#This Row],[Competition Intensity]]</f>
        <v>18510606</v>
      </c>
      <c r="BA530" s="8" t="str">
        <f>IF(HS_DB[[#This Row],[Commercial Opportunity Score]]&gt;=PERCENTILE(HS_DB[Commercial Opportunity Score],0.9),"High Opportunity",
 IF(HS_DB[[#This Row],[Commercial Opportunity Score]]&gt;=PERCENTILE(HS_DB[Commercial Opportunity Score],0.6),"Medium Opportunity",
 "Routine Market"))</f>
        <v>Medium Opportunity</v>
      </c>
      <c r="BB530" s="3" t="str">
        <f>IF(AND(HS_DB[[#This Row],[Product Rank]]&gt;0,HS_DB[[#This Row],[Product Rank]]&lt;=10),"Yes","No")</f>
        <v>No</v>
      </c>
      <c r="BC530" s="3" t="str">
        <f>IF(AND(HS_DB[[#This Row],[Origin Rank]]&gt;0,HS_DB[[#This Row],[Origin Rank]]&lt;=10),"Yes","No")</f>
        <v>Yes</v>
      </c>
    </row>
    <row r="531" spans="2:55" x14ac:dyDescent="0.3">
      <c r="B531" s="2">
        <f>HS_DB[[#This Row],[Commodity Code]]</f>
        <v>292242</v>
      </c>
      <c r="C531" s="2">
        <f>IFERROR(INDEX(HS_MD!C:C,MATCH(B531,HS_MD!B:B,0),1),"")</f>
        <v>44</v>
      </c>
      <c r="D531" s="17" t="str">
        <f>IFERROR(INDEX(HS_MD!D:D,MATCH(B531,HS_MD!B:B,0),1),"")</f>
        <v>Monosodium glutamate (MSG)</v>
      </c>
      <c r="E531" s="17" t="str">
        <f>IFERROR(INDEX(HS_MD!E:E,MATCH(B531,HS_MD!B:B,0),1),"")</f>
        <v>MSG</v>
      </c>
      <c r="F531" s="17" t="str">
        <f>IFERROR(INDEX(HS_MD!F:F,MATCH(B531,HS_MD!B:B,0),1),"")</f>
        <v>Food Ingredients</v>
      </c>
      <c r="G531" s="17" t="str">
        <f>IFERROR(INDEX(HS_MD!G:G,MATCH(B531,HS_MD!B:B,0),1),"")</f>
        <v>Flavor Enhancers</v>
      </c>
      <c r="H531" s="17" t="str">
        <f>IFERROR(INDEX(HS_MD!H:H,MATCH(B531,HS_MD!B:B,0),1),"")</f>
        <v>Monosodium Glutamate</v>
      </c>
      <c r="I531" s="17" t="str">
        <f>IFERROR(INDEX(HS_MD!I:I,MATCH(B531,HS_MD!B:B,0),1),"")</f>
        <v>Snacks / Seasonings</v>
      </c>
      <c r="J531" s="17">
        <f>IFERROR(INDEX(Heat_Map[Index],MATCH(HS_DB[[#This Row],[Reporter]],Heat_Map[Global],0),1),"")</f>
        <v>75</v>
      </c>
      <c r="K531" s="17" t="str">
        <f>IF(AND(HS_DB[[#This Row],[Origin Rank]]&gt;1,HS_DB[[#This Row],[Origin Rank]]&lt;=10),"Yes","No")</f>
        <v>No</v>
      </c>
      <c r="L531" s="2">
        <v>2024</v>
      </c>
      <c r="M531" s="2" t="s">
        <v>57</v>
      </c>
      <c r="N531" s="2" t="s">
        <v>8</v>
      </c>
      <c r="O531" s="2" t="s">
        <v>22</v>
      </c>
      <c r="P531" s="2" t="s">
        <v>23</v>
      </c>
      <c r="Q531" s="2" t="s">
        <v>24</v>
      </c>
      <c r="R531" s="2" t="s">
        <v>25</v>
      </c>
      <c r="S531" s="2">
        <v>292242</v>
      </c>
      <c r="T531" s="3">
        <v>20071</v>
      </c>
      <c r="U531" s="3">
        <v>3187.1</v>
      </c>
      <c r="V531" s="3">
        <v>0</v>
      </c>
      <c r="W531" s="3">
        <v>3187</v>
      </c>
      <c r="X531" s="3" t="s">
        <v>58</v>
      </c>
      <c r="Y531" s="3">
        <v>3152</v>
      </c>
      <c r="Z531" s="3" t="s">
        <v>58</v>
      </c>
      <c r="AA531" s="6">
        <f>SUMIFS(HS_DB[Trade Value - USD],HS_DB[Reporter],HS_DB[[#This Row],[Reporter]])/SUM(HS_DB[Trade Value - USD])</f>
        <v>2.2441761060335613E-2</v>
      </c>
      <c r="AB531" s="8" cm="1">
        <f t="array" ref="AB531">SUMPRODUCT(
(HS_DB[Reporter]=HS_DB[[#This Row],[Reporter]])*
(HS_DB[Trade Value - USD]&gt;HS_DB[[#This Row],[Trade Value - USD]])
)+1</f>
        <v>31</v>
      </c>
      <c r="AC531" s="8" t="str">
        <f>IFERROR(IF(INDEX(Heat_Map[Crisis Impact %],MATCH(HS_DB[[#This Row],[Reporter]],Heat_Map[Global],0),1)&gt;0,"Yes","No"),"No")</f>
        <v>No</v>
      </c>
      <c r="AD531" s="6">
        <f>IFERROR(INDEX(Heat_Map[Crisis Impact %],MATCH(HS_DB[[#This Row],[Reporter]],Heat_Map[Global],0),1),0)</f>
        <v>0</v>
      </c>
      <c r="AE531" s="8">
        <f>HS_DB[[#This Row],[Crisis Impact%]]*HS_DB[[#This Row],[Trade Value - USD]]</f>
        <v>0</v>
      </c>
      <c r="AF531" s="8">
        <f>HS_DB[[#This Row],[Crisis Impact%]]*HS_DB[[#This Row],[Net Weight -KG]]</f>
        <v>0</v>
      </c>
      <c r="AG531" s="6">
        <f>SUMIFS(HS_DB[Trade Value - USD],HS_DB[Products],HS_DB[[#This Row],[Products]])/SUM(HS_DB[Trade Value - USD])</f>
        <v>9.8199068625218038E-3</v>
      </c>
      <c r="AH531" s="8">
        <f>_xlfn.RANK.EQ(HS_DB[[#This Row],[Trade Value - USD]], HS_DB[Trade Value - USD], 0)
 + COUNTIFS(HS_DB[Trade Value - USD],HS_DB[[#This Row],[Trade Value - USD]],
            HS_DB[HS Code],"&lt;"&amp;HS_DB[[#This Row],[HS Code]])</f>
        <v>380</v>
      </c>
      <c r="AI531" s="9">
        <f>IFERROR(HS_DB[[#This Row],[Trade Value - USD]]/HS_DB[[#This Row],[Net Weight -KG]],0)</f>
        <v>6.2975745975965616</v>
      </c>
      <c r="AJ531" s="17" cm="1">
        <f t="array" ref="AJ531">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531" s="17" t="str">
        <f>IF(HS_DB[[#This Row],[HS Code Risk Score]]&gt;=40,"High",
 IF(HS_DB[[#This Row],[HS Code Risk Score]]&gt;=25,"Medium","Low"))</f>
        <v>Medium</v>
      </c>
      <c r="AL531" s="17" t="str">
        <f>IF(RANK(HS_DB[[#This Row],[HS Code Risk Score]],HS_DB[HS Code Risk Score])&lt;=10,"Yes","No")</f>
        <v>No</v>
      </c>
      <c r="AM531" s="8">
        <f>SUMIFS(HS_DB[Net Weight -KG],HS_DB[HS Code],HS_DB[[#This Row],[HS Code]])</f>
        <v>17307326.700000003</v>
      </c>
      <c r="AN531" s="8">
        <f>SUMIFS(HS_DB[Trade Value - USD],HS_DB[HS Code],HS_DB[[#This Row],[HS Code]])</f>
        <v>18510606</v>
      </c>
      <c r="AO531" s="6">
        <f>_xlfn.MAXIFS(HS_DB[Origin Share%],HS_DB[HS Code],HS_DB[[#This Row],[HS Code]])</f>
        <v>0.39900464236999494</v>
      </c>
      <c r="AP531" s="8" cm="1">
        <f t="array" ref="AP531">_xlfn.LET(
_xlpm.hs,HS_DB[[#This Row],[HS Code]],
COUNTA(_xlfn.UNIQUE(_xlfn._xlws.FILTER(HS_DB[Reporter],HS_DB[HS Code]=_xlpm.hs)))
)</f>
        <v>9</v>
      </c>
      <c r="AQ531" s="17" t="str">
        <f>IF(HS_DB[[#This Row],[Origin Count]]=1,"Single Source","Multiple Sources")</f>
        <v>Multiple Sources</v>
      </c>
      <c r="AR531" s="8">
        <f>HS_DB[[#This Row],[Annual Spend - USD]]*(HS_DB[[#This Row],[HS Code Risk Score]]/100)</f>
        <v>6293606.04</v>
      </c>
      <c r="AS531" s="8">
        <f>RANK(HS_DB[[#This Row],[Risk Exposure - USD]],HS_DB[Risk Exposure - USD],0)</f>
        <v>109</v>
      </c>
      <c r="AT531" s="8" t="str">
        <f>IF(HS_DB[[#This Row],[Risk Exposure Rank]]&lt;=10,"High",
 IF(HS_DB[[#This Row],[Risk Exposure Rank]]&lt;=30,"Medium",
 "Low"))</f>
        <v>Low</v>
      </c>
      <c r="AU531" s="8" t="str">
        <f>IF(HS_DB[[#This Row],[Risk Exposure Rank]]&lt;=5,"Immediate Action",
 IF(HS_DB[[#This Row],[Risk Exposure Rank]]&lt;=15,"Monitor Closely",
 "Routine Control"))</f>
        <v>Routine Control</v>
      </c>
      <c r="AV531" s="8">
        <f>SUMIFS(HS_DB[Trade Value - USD],HS_DB[HS Code],HS_DB[[#This Row],[HS Code]])</f>
        <v>18510606</v>
      </c>
      <c r="AW531" s="6">
        <f>HS_DB[[#This Row],[Annual Spend - USD]]/HS_DB[[#This Row],[Total Market Size - USD]]</f>
        <v>1</v>
      </c>
      <c r="AX531" s="6" cm="1">
        <f t="array" ref="AX531">COUNTA(_xlfn.UNIQUE(_xlfn._xlws.FILTER(HS_DB[Partner],HS_DB[HS Code]=HS_DB[[#This Row],[HS Code]])))</f>
        <v>1</v>
      </c>
      <c r="AY531" s="8" t="str">
        <f>IF(HS_DB[[#This Row],[Competition Intensity]]&lt;=2,"Highly Concentrated",
 IF(HS_DB[[#This Row],[Competition Intensity]]&lt;=5,"Moderate",
 "Highly Competitive"))</f>
        <v>Highly Concentrated</v>
      </c>
      <c r="AZ531" s="8">
        <f>HS_DB[[#This Row],[Total Market Size - USD]]
*
(1+IFERROR(#REF!,0))
/
HS_DB[[#This Row],[Competition Intensity]]</f>
        <v>18510606</v>
      </c>
      <c r="BA531" s="8" t="str">
        <f>IF(HS_DB[[#This Row],[Commercial Opportunity Score]]&gt;=PERCENTILE(HS_DB[Commercial Opportunity Score],0.9),"High Opportunity",
 IF(HS_DB[[#This Row],[Commercial Opportunity Score]]&gt;=PERCENTILE(HS_DB[Commercial Opportunity Score],0.6),"Medium Opportunity",
 "Routine Market"))</f>
        <v>Medium Opportunity</v>
      </c>
      <c r="BB531" s="3" t="str">
        <f>IF(AND(HS_DB[[#This Row],[Product Rank]]&gt;0,HS_DB[[#This Row],[Product Rank]]&lt;=10),"Yes","No")</f>
        <v>No</v>
      </c>
      <c r="BC531" s="3" t="str">
        <f>IF(AND(HS_DB[[#This Row],[Origin Rank]]&gt;0,HS_DB[[#This Row],[Origin Rank]]&lt;=10),"Yes","No")</f>
        <v>No</v>
      </c>
    </row>
    <row r="532" spans="2:55" x14ac:dyDescent="0.3">
      <c r="B532" s="2">
        <f>HS_DB[[#This Row],[Commodity Code]]</f>
        <v>292242</v>
      </c>
      <c r="C532" s="2">
        <f>IFERROR(INDEX(HS_MD!C:C,MATCH(B532,HS_MD!B:B,0),1),"")</f>
        <v>44</v>
      </c>
      <c r="D532" s="17" t="str">
        <f>IFERROR(INDEX(HS_MD!D:D,MATCH(B532,HS_MD!B:B,0),1),"")</f>
        <v>Monosodium glutamate (MSG)</v>
      </c>
      <c r="E532" s="17" t="str">
        <f>IFERROR(INDEX(HS_MD!E:E,MATCH(B532,HS_MD!B:B,0),1),"")</f>
        <v>MSG</v>
      </c>
      <c r="F532" s="17" t="str">
        <f>IFERROR(INDEX(HS_MD!F:F,MATCH(B532,HS_MD!B:B,0),1),"")</f>
        <v>Food Ingredients</v>
      </c>
      <c r="G532" s="17" t="str">
        <f>IFERROR(INDEX(HS_MD!G:G,MATCH(B532,HS_MD!B:B,0),1),"")</f>
        <v>Flavor Enhancers</v>
      </c>
      <c r="H532" s="17" t="str">
        <f>IFERROR(INDEX(HS_MD!H:H,MATCH(B532,HS_MD!B:B,0),1),"")</f>
        <v>Monosodium Glutamate</v>
      </c>
      <c r="I532" s="17" t="str">
        <f>IFERROR(INDEX(HS_MD!I:I,MATCH(B532,HS_MD!B:B,0),1),"")</f>
        <v>Snacks / Seasonings</v>
      </c>
      <c r="J532" s="17">
        <f>IFERROR(INDEX(Heat_Map[Index],MATCH(HS_DB[[#This Row],[Reporter]],Heat_Map[Global],0),1),"")</f>
        <v>175</v>
      </c>
      <c r="K532" s="17" t="str">
        <f>IF(AND(HS_DB[[#This Row],[Origin Rank]]&gt;1,HS_DB[[#This Row],[Origin Rank]]&lt;=10),"Yes","No")</f>
        <v>No</v>
      </c>
      <c r="L532" s="2">
        <v>2024</v>
      </c>
      <c r="M532" s="2" t="s">
        <v>57</v>
      </c>
      <c r="N532" s="2" t="s">
        <v>34</v>
      </c>
      <c r="O532" s="2" t="s">
        <v>22</v>
      </c>
      <c r="P532" s="2" t="s">
        <v>23</v>
      </c>
      <c r="Q532" s="2" t="s">
        <v>24</v>
      </c>
      <c r="R532" s="2" t="s">
        <v>25</v>
      </c>
      <c r="S532" s="2">
        <v>292242</v>
      </c>
      <c r="T532" s="3">
        <v>283255</v>
      </c>
      <c r="U532" s="3">
        <v>80800</v>
      </c>
      <c r="V532" s="3">
        <v>0</v>
      </c>
      <c r="W532" s="3">
        <v>80800</v>
      </c>
      <c r="X532" s="3" t="s">
        <v>58</v>
      </c>
      <c r="Y532" s="3">
        <v>80800</v>
      </c>
      <c r="Z532" s="3" t="s">
        <v>58</v>
      </c>
      <c r="AA532" s="6">
        <f>SUMIFS(HS_DB[Trade Value - USD],HS_DB[Reporter],HS_DB[[#This Row],[Reporter]])/SUM(HS_DB[Trade Value - USD])</f>
        <v>4.7522902002533667E-2</v>
      </c>
      <c r="AB532" s="8" cm="1">
        <f t="array" ref="AB532">SUMPRODUCT(
(HS_DB[Reporter]=HS_DB[[#This Row],[Reporter]])*
(HS_DB[Trade Value - USD]&gt;HS_DB[[#This Row],[Trade Value - USD]])
)+1</f>
        <v>20</v>
      </c>
      <c r="AC532" s="8" t="str">
        <f>IFERROR(IF(INDEX(Heat_Map[Crisis Impact %],MATCH(HS_DB[[#This Row],[Reporter]],Heat_Map[Global],0),1)&gt;0,"Yes","No"),"No")</f>
        <v>Yes</v>
      </c>
      <c r="AD532" s="6">
        <f>IFERROR(INDEX(Heat_Map[Crisis Impact %],MATCH(HS_DB[[#This Row],[Reporter]],Heat_Map[Global],0),1),0)</f>
        <v>0.1</v>
      </c>
      <c r="AE532" s="8">
        <f>HS_DB[[#This Row],[Crisis Impact%]]*HS_DB[[#This Row],[Trade Value - USD]]</f>
        <v>28325.5</v>
      </c>
      <c r="AF532" s="8">
        <f>HS_DB[[#This Row],[Crisis Impact%]]*HS_DB[[#This Row],[Net Weight -KG]]</f>
        <v>8080</v>
      </c>
      <c r="AG532" s="6">
        <f>SUMIFS(HS_DB[Trade Value - USD],HS_DB[Products],HS_DB[[#This Row],[Products]])/SUM(HS_DB[Trade Value - USD])</f>
        <v>9.8199068625218038E-3</v>
      </c>
      <c r="AH532" s="8">
        <f>_xlfn.RANK.EQ(HS_DB[[#This Row],[Trade Value - USD]], HS_DB[Trade Value - USD], 0)
 + COUNTIFS(HS_DB[Trade Value - USD],HS_DB[[#This Row],[Trade Value - USD]],
            HS_DB[HS Code],"&lt;"&amp;HS_DB[[#This Row],[HS Code]])</f>
        <v>195</v>
      </c>
      <c r="AI532" s="9">
        <f>IFERROR(HS_DB[[#This Row],[Trade Value - USD]]/HS_DB[[#This Row],[Net Weight -KG]],0)</f>
        <v>3.5056311881188118</v>
      </c>
      <c r="AJ532" s="17" cm="1">
        <f t="array" ref="AJ532">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532" s="17" t="str">
        <f>IF(HS_DB[[#This Row],[HS Code Risk Score]]&gt;=40,"High",
 IF(HS_DB[[#This Row],[HS Code Risk Score]]&gt;=25,"Medium","Low"))</f>
        <v>Medium</v>
      </c>
      <c r="AL532" s="17" t="str">
        <f>IF(RANK(HS_DB[[#This Row],[HS Code Risk Score]],HS_DB[HS Code Risk Score])&lt;=10,"Yes","No")</f>
        <v>No</v>
      </c>
      <c r="AM532" s="8">
        <f>SUMIFS(HS_DB[Net Weight -KG],HS_DB[HS Code],HS_DB[[#This Row],[HS Code]])</f>
        <v>17307326.700000003</v>
      </c>
      <c r="AN532" s="8">
        <f>SUMIFS(HS_DB[Trade Value - USD],HS_DB[HS Code],HS_DB[[#This Row],[HS Code]])</f>
        <v>18510606</v>
      </c>
      <c r="AO532" s="6">
        <f>_xlfn.MAXIFS(HS_DB[Origin Share%],HS_DB[HS Code],HS_DB[[#This Row],[HS Code]])</f>
        <v>0.39900464236999494</v>
      </c>
      <c r="AP532" s="8" cm="1">
        <f t="array" ref="AP532">_xlfn.LET(
_xlpm.hs,HS_DB[[#This Row],[HS Code]],
COUNTA(_xlfn.UNIQUE(_xlfn._xlws.FILTER(HS_DB[Reporter],HS_DB[HS Code]=_xlpm.hs)))
)</f>
        <v>9</v>
      </c>
      <c r="AQ532" s="17" t="str">
        <f>IF(HS_DB[[#This Row],[Origin Count]]=1,"Single Source","Multiple Sources")</f>
        <v>Multiple Sources</v>
      </c>
      <c r="AR532" s="8">
        <f>HS_DB[[#This Row],[Annual Spend - USD]]*(HS_DB[[#This Row],[HS Code Risk Score]]/100)</f>
        <v>6293606.04</v>
      </c>
      <c r="AS532" s="8">
        <f>RANK(HS_DB[[#This Row],[Risk Exposure - USD]],HS_DB[Risk Exposure - USD],0)</f>
        <v>109</v>
      </c>
      <c r="AT532" s="8" t="str">
        <f>IF(HS_DB[[#This Row],[Risk Exposure Rank]]&lt;=10,"High",
 IF(HS_DB[[#This Row],[Risk Exposure Rank]]&lt;=30,"Medium",
 "Low"))</f>
        <v>Low</v>
      </c>
      <c r="AU532" s="8" t="str">
        <f>IF(HS_DB[[#This Row],[Risk Exposure Rank]]&lt;=5,"Immediate Action",
 IF(HS_DB[[#This Row],[Risk Exposure Rank]]&lt;=15,"Monitor Closely",
 "Routine Control"))</f>
        <v>Routine Control</v>
      </c>
      <c r="AV532" s="8">
        <f>SUMIFS(HS_DB[Trade Value - USD],HS_DB[HS Code],HS_DB[[#This Row],[HS Code]])</f>
        <v>18510606</v>
      </c>
      <c r="AW532" s="6">
        <f>HS_DB[[#This Row],[Annual Spend - USD]]/HS_DB[[#This Row],[Total Market Size - USD]]</f>
        <v>1</v>
      </c>
      <c r="AX532" s="6" cm="1">
        <f t="array" ref="AX532">COUNTA(_xlfn.UNIQUE(_xlfn._xlws.FILTER(HS_DB[Partner],HS_DB[HS Code]=HS_DB[[#This Row],[HS Code]])))</f>
        <v>1</v>
      </c>
      <c r="AY532" s="8" t="str">
        <f>IF(HS_DB[[#This Row],[Competition Intensity]]&lt;=2,"Highly Concentrated",
 IF(HS_DB[[#This Row],[Competition Intensity]]&lt;=5,"Moderate",
 "Highly Competitive"))</f>
        <v>Highly Concentrated</v>
      </c>
      <c r="AZ532" s="8">
        <f>HS_DB[[#This Row],[Total Market Size - USD]]
*
(1+IFERROR(#REF!,0))
/
HS_DB[[#This Row],[Competition Intensity]]</f>
        <v>18510606</v>
      </c>
      <c r="BA532" s="8" t="str">
        <f>IF(HS_DB[[#This Row],[Commercial Opportunity Score]]&gt;=PERCENTILE(HS_DB[Commercial Opportunity Score],0.9),"High Opportunity",
 IF(HS_DB[[#This Row],[Commercial Opportunity Score]]&gt;=PERCENTILE(HS_DB[Commercial Opportunity Score],0.6),"Medium Opportunity",
 "Routine Market"))</f>
        <v>Medium Opportunity</v>
      </c>
      <c r="BB532" s="3" t="str">
        <f>IF(AND(HS_DB[[#This Row],[Product Rank]]&gt;0,HS_DB[[#This Row],[Product Rank]]&lt;=10),"Yes","No")</f>
        <v>No</v>
      </c>
      <c r="BC532" s="3" t="str">
        <f>IF(AND(HS_DB[[#This Row],[Origin Rank]]&gt;0,HS_DB[[#This Row],[Origin Rank]]&lt;=10),"Yes","No")</f>
        <v>No</v>
      </c>
    </row>
    <row r="533" spans="2:55" x14ac:dyDescent="0.3">
      <c r="B533" s="66">
        <f>HS_DB[[#This Row],[Commodity Code]]</f>
        <v>290532</v>
      </c>
      <c r="C533" s="66">
        <f>IFERROR(INDEX(HS_MD!C:C,MATCH(B533,HS_MD!B:B,0),1),"")</f>
        <v>45</v>
      </c>
      <c r="D533" s="75" t="str">
        <f>IFERROR(INDEX(HS_MD!D:D,MATCH(B533,HS_MD!B:B,0),1),"")</f>
        <v>Propylene glycol (propane-1,2-diol)</v>
      </c>
      <c r="E533" s="75" t="str">
        <f>IFERROR(INDEX(HS_MD!E:E,MATCH(B533,HS_MD!B:B,0),1),"")</f>
        <v>Propylene Glycol</v>
      </c>
      <c r="F533" s="75" t="str">
        <f>IFERROR(INDEX(HS_MD!F:F,MATCH(B533,HS_MD!B:B,0),1),"")</f>
        <v>Food Ingredients</v>
      </c>
      <c r="G533" s="75" t="str">
        <f>IFERROR(INDEX(HS_MD!G:G,MATCH(B533,HS_MD!B:B,0),1),"")</f>
        <v>Solvents &amp; Humectants</v>
      </c>
      <c r="H533" s="75" t="str">
        <f>IFERROR(INDEX(HS_MD!H:H,MATCH(B533,HS_MD!B:B,0),1),"")</f>
        <v>Propylene Glycol</v>
      </c>
      <c r="I533" s="75" t="str">
        <f>IFERROR(INDEX(HS_MD!I:I,MATCH(B533,HS_MD!B:B,0),1),"")</f>
        <v>Beverages / Flavors / Pharma / Cosmetics</v>
      </c>
      <c r="J533" s="75">
        <f>IFERROR(INDEX(Heat_Map[Index],MATCH(HS_DB[[#This Row],[Reporter]],Heat_Map[Global],0),1),"")</f>
        <v>17</v>
      </c>
      <c r="K533" s="75" t="str">
        <f>IF(AND(HS_DB[[#This Row],[Origin Rank]]&gt;1,HS_DB[[#This Row],[Origin Rank]]&lt;=10),"Yes","No")</f>
        <v>No</v>
      </c>
      <c r="L533" s="2">
        <v>2024</v>
      </c>
      <c r="M533" s="2" t="s">
        <v>57</v>
      </c>
      <c r="N533" s="2" t="s">
        <v>5</v>
      </c>
      <c r="O533" s="2" t="s">
        <v>22</v>
      </c>
      <c r="P533" s="2" t="s">
        <v>23</v>
      </c>
      <c r="Q533" s="2" t="s">
        <v>24</v>
      </c>
      <c r="R533" s="2" t="s">
        <v>25</v>
      </c>
      <c r="S533" s="2">
        <v>290532</v>
      </c>
      <c r="T533" s="3">
        <v>46747</v>
      </c>
      <c r="U533" s="3">
        <v>25678.3</v>
      </c>
      <c r="V533" s="3">
        <v>0</v>
      </c>
      <c r="W533" s="3">
        <v>25678</v>
      </c>
      <c r="X533" s="3" t="s">
        <v>58</v>
      </c>
      <c r="Y533" s="3">
        <v>25678</v>
      </c>
      <c r="Z533" s="3" t="s">
        <v>58</v>
      </c>
      <c r="AA533" s="6">
        <f>SUMIFS(HS_DB[Trade Value - USD],HS_DB[Reporter],HS_DB[[#This Row],[Reporter]])/SUM(HS_DB[Trade Value - USD])</f>
        <v>5.3992075088500962E-3</v>
      </c>
      <c r="AB533" s="8" cm="1">
        <f t="array" ref="AB533">SUMPRODUCT(
(HS_DB[Reporter]=HS_DB[[#This Row],[Reporter]])*
(HS_DB[Trade Value - USD]&gt;HS_DB[[#This Row],[Trade Value - USD]])
)+1</f>
        <v>16</v>
      </c>
      <c r="AC533" s="8" t="str">
        <f>IFERROR(IF(INDEX(Heat_Map[Crisis Impact %],MATCH(HS_DB[[#This Row],[Reporter]],Heat_Map[Global],0),1)&gt;0,"Yes","No"),"No")</f>
        <v>No</v>
      </c>
      <c r="AD533" s="6">
        <f>IFERROR(INDEX(Heat_Map[Crisis Impact %],MATCH(HS_DB[[#This Row],[Reporter]],Heat_Map[Global],0),1),0)</f>
        <v>0</v>
      </c>
      <c r="AE533" s="8">
        <f>HS_DB[[#This Row],[Crisis Impact%]]*HS_DB[[#This Row],[Trade Value - USD]]</f>
        <v>0</v>
      </c>
      <c r="AF533" s="8">
        <f>HS_DB[[#This Row],[Crisis Impact%]]*HS_DB[[#This Row],[Net Weight -KG]]</f>
        <v>0</v>
      </c>
      <c r="AG533" s="6">
        <f>SUMIFS(HS_DB[Trade Value - USD],HS_DB[Products],HS_DB[[#This Row],[Products]])/SUM(HS_DB[Trade Value - USD])</f>
        <v>8.4914845993256851E-3</v>
      </c>
      <c r="AH533" s="8">
        <f>_xlfn.RANK.EQ(HS_DB[[#This Row],[Trade Value - USD]], HS_DB[Trade Value - USD], 0)
 + COUNTIFS(HS_DB[Trade Value - USD],HS_DB[[#This Row],[Trade Value - USD]],
            HS_DB[HS Code],"&lt;"&amp;HS_DB[[#This Row],[HS Code]])</f>
        <v>329</v>
      </c>
      <c r="AI533" s="9">
        <f>IFERROR(HS_DB[[#This Row],[Trade Value - USD]]/HS_DB[[#This Row],[Net Weight -KG]],0)</f>
        <v>1.8204865586896328</v>
      </c>
      <c r="AJ533" s="75" cm="1">
        <f t="array" ref="AJ533">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533" s="75" t="str">
        <f>IF(HS_DB[[#This Row],[HS Code Risk Score]]&gt;=40,"High",
 IF(HS_DB[[#This Row],[HS Code Risk Score]]&gt;=25,"Medium","Low"))</f>
        <v>Medium</v>
      </c>
      <c r="AL533" s="75" t="str">
        <f>IF(RANK(HS_DB[[#This Row],[HS Code Risk Score]],HS_DB[HS Code Risk Score])&lt;=10,"Yes","No")</f>
        <v>No</v>
      </c>
      <c r="AM533" s="8">
        <f>SUMIFS(HS_DB[Net Weight -KG],HS_DB[HS Code],HS_DB[[#This Row],[HS Code]])</f>
        <v>12795114.299999999</v>
      </c>
      <c r="AN533" s="8">
        <f>SUMIFS(HS_DB[Trade Value - USD],HS_DB[HS Code],HS_DB[[#This Row],[HS Code]])</f>
        <v>16006519</v>
      </c>
      <c r="AO533" s="6">
        <f>_xlfn.MAXIFS(HS_DB[Origin Share%],HS_DB[HS Code],HS_DB[[#This Row],[HS Code]])</f>
        <v>6.321329281187793E-2</v>
      </c>
      <c r="AP533" s="8" cm="1">
        <f t="array" ref="AP533">_xlfn.LET(
_xlpm.hs,HS_DB[[#This Row],[HS Code]],
COUNTA(_xlfn.UNIQUE(_xlfn._xlws.FILTER(HS_DB[Reporter],HS_DB[HS Code]=_xlpm.hs)))
)</f>
        <v>12</v>
      </c>
      <c r="AQ533" s="75" t="str">
        <f>IF(HS_DB[[#This Row],[Origin Count]]=1,"Single Source","Multiple Sources")</f>
        <v>Multiple Sources</v>
      </c>
      <c r="AR533" s="8">
        <f>HS_DB[[#This Row],[Annual Spend - USD]]*(HS_DB[[#This Row],[HS Code Risk Score]]/100)</f>
        <v>5442216.46</v>
      </c>
      <c r="AS533" s="8">
        <f>RANK(HS_DB[[#This Row],[Risk Exposure - USD]],HS_DB[Risk Exposure - USD],0)</f>
        <v>132</v>
      </c>
      <c r="AT533" s="8" t="str">
        <f>IF(HS_DB[[#This Row],[Risk Exposure Rank]]&lt;=10,"High",
 IF(HS_DB[[#This Row],[Risk Exposure Rank]]&lt;=30,"Medium",
 "Low"))</f>
        <v>Low</v>
      </c>
      <c r="AU533" s="8" t="str">
        <f>IF(HS_DB[[#This Row],[Risk Exposure Rank]]&lt;=5,"Immediate Action",
 IF(HS_DB[[#This Row],[Risk Exposure Rank]]&lt;=15,"Monitor Closely",
 "Routine Control"))</f>
        <v>Routine Control</v>
      </c>
      <c r="AV533" s="8">
        <f>SUMIFS(HS_DB[Trade Value - USD],HS_DB[HS Code],HS_DB[[#This Row],[HS Code]])</f>
        <v>16006519</v>
      </c>
      <c r="AW533" s="6">
        <f>HS_DB[[#This Row],[Annual Spend - USD]]/HS_DB[[#This Row],[Total Market Size - USD]]</f>
        <v>1</v>
      </c>
      <c r="AX533" s="6" cm="1">
        <f t="array" ref="AX533">COUNTA(_xlfn.UNIQUE(_xlfn._xlws.FILTER(HS_DB[Partner],HS_DB[HS Code]=HS_DB[[#This Row],[HS Code]])))</f>
        <v>1</v>
      </c>
      <c r="AY533" s="8" t="str">
        <f>IF(HS_DB[[#This Row],[Competition Intensity]]&lt;=2,"Highly Concentrated",
 IF(HS_DB[[#This Row],[Competition Intensity]]&lt;=5,"Moderate",
 "Highly Competitive"))</f>
        <v>Highly Concentrated</v>
      </c>
      <c r="AZ533" s="8">
        <f>HS_DB[[#This Row],[Total Market Size - USD]]
*
(1+IFERROR(#REF!,0))
/
HS_DB[[#This Row],[Competition Intensity]]</f>
        <v>16006519</v>
      </c>
      <c r="BA533" s="8" t="str">
        <f>IF(HS_DB[[#This Row],[Commercial Opportunity Score]]&gt;=PERCENTILE(HS_DB[Commercial Opportunity Score],0.9),"High Opportunity",
 IF(HS_DB[[#This Row],[Commercial Opportunity Score]]&gt;=PERCENTILE(HS_DB[Commercial Opportunity Score],0.6),"Medium Opportunity",
 "Routine Market"))</f>
        <v>Medium Opportunity</v>
      </c>
      <c r="BB533" s="3" t="str">
        <f>IF(AND(HS_DB[[#This Row],[Product Rank]]&gt;0,HS_DB[[#This Row],[Product Rank]]&lt;=10),"Yes","No")</f>
        <v>No</v>
      </c>
      <c r="BC533" s="3" t="str">
        <f>IF(AND(HS_DB[[#This Row],[Origin Rank]]&gt;0,HS_DB[[#This Row],[Origin Rank]]&lt;=10),"Yes","No")</f>
        <v>No</v>
      </c>
    </row>
    <row r="534" spans="2:55" x14ac:dyDescent="0.3">
      <c r="B534" s="66">
        <f>HS_DB[[#This Row],[Commodity Code]]</f>
        <v>290532</v>
      </c>
      <c r="C534" s="66">
        <f>IFERROR(INDEX(HS_MD!C:C,MATCH(B534,HS_MD!B:B,0),1),"")</f>
        <v>45</v>
      </c>
      <c r="D534" s="75" t="str">
        <f>IFERROR(INDEX(HS_MD!D:D,MATCH(B534,HS_MD!B:B,0),1),"")</f>
        <v>Propylene glycol (propane-1,2-diol)</v>
      </c>
      <c r="E534" s="75" t="str">
        <f>IFERROR(INDEX(HS_MD!E:E,MATCH(B534,HS_MD!B:B,0),1),"")</f>
        <v>Propylene Glycol</v>
      </c>
      <c r="F534" s="75" t="str">
        <f>IFERROR(INDEX(HS_MD!F:F,MATCH(B534,HS_MD!B:B,0),1),"")</f>
        <v>Food Ingredients</v>
      </c>
      <c r="G534" s="75" t="str">
        <f>IFERROR(INDEX(HS_MD!G:G,MATCH(B534,HS_MD!B:B,0),1),"")</f>
        <v>Solvents &amp; Humectants</v>
      </c>
      <c r="H534" s="75" t="str">
        <f>IFERROR(INDEX(HS_MD!H:H,MATCH(B534,HS_MD!B:B,0),1),"")</f>
        <v>Propylene Glycol</v>
      </c>
      <c r="I534" s="75" t="str">
        <f>IFERROR(INDEX(HS_MD!I:I,MATCH(B534,HS_MD!B:B,0),1),"")</f>
        <v>Beverages / Flavors / Pharma / Cosmetics</v>
      </c>
      <c r="J534" s="75">
        <f>IFERROR(INDEX(Heat_Map[Index],MATCH(HS_DB[[#This Row],[Reporter]],Heat_Map[Global],0),1),"")</f>
        <v>36</v>
      </c>
      <c r="K534" s="75" t="str">
        <f>IF(AND(HS_DB[[#This Row],[Origin Rank]]&gt;1,HS_DB[[#This Row],[Origin Rank]]&lt;=10),"Yes","No")</f>
        <v>Yes</v>
      </c>
      <c r="L534" s="2">
        <v>2024</v>
      </c>
      <c r="M534" s="2" t="s">
        <v>57</v>
      </c>
      <c r="N534" s="2" t="s">
        <v>1</v>
      </c>
      <c r="O534" s="2" t="s">
        <v>22</v>
      </c>
      <c r="P534" s="2" t="s">
        <v>23</v>
      </c>
      <c r="Q534" s="2" t="s">
        <v>24</v>
      </c>
      <c r="R534" s="2" t="s">
        <v>25</v>
      </c>
      <c r="S534" s="2">
        <v>290532</v>
      </c>
      <c r="T534" s="3">
        <v>7003835</v>
      </c>
      <c r="U534" s="3">
        <v>6481210</v>
      </c>
      <c r="V534" s="3">
        <v>0</v>
      </c>
      <c r="W534" s="3">
        <v>6481210</v>
      </c>
      <c r="X534" s="3" t="s">
        <v>58</v>
      </c>
      <c r="Y534" s="3">
        <v>6481210</v>
      </c>
      <c r="Z534" s="3" t="s">
        <v>58</v>
      </c>
      <c r="AA534" s="6">
        <f>SUMIFS(HS_DB[Trade Value - USD],HS_DB[Reporter],HS_DB[[#This Row],[Reporter]])/SUM(HS_DB[Trade Value - USD])</f>
        <v>6.321329281187793E-2</v>
      </c>
      <c r="AB534" s="8" cm="1">
        <f t="array" ref="AB534">SUMPRODUCT(
(HS_DB[Reporter]=HS_DB[[#This Row],[Reporter]])*
(HS_DB[Trade Value - USD]&gt;HS_DB[[#This Row],[Trade Value - USD]])
)+1</f>
        <v>6</v>
      </c>
      <c r="AC534" s="8" t="str">
        <f>IFERROR(IF(INDEX(Heat_Map[Crisis Impact %],MATCH(HS_DB[[#This Row],[Reporter]],Heat_Map[Global],0),1)&gt;0,"Yes","No"),"No")</f>
        <v>Yes</v>
      </c>
      <c r="AD534" s="6">
        <f>IFERROR(INDEX(Heat_Map[Crisis Impact %],MATCH(HS_DB[[#This Row],[Reporter]],Heat_Map[Global],0),1),0)</f>
        <v>0.14000000000000001</v>
      </c>
      <c r="AE534" s="8">
        <f>HS_DB[[#This Row],[Crisis Impact%]]*HS_DB[[#This Row],[Trade Value - USD]]</f>
        <v>980536.90000000014</v>
      </c>
      <c r="AF534" s="8">
        <f>HS_DB[[#This Row],[Crisis Impact%]]*HS_DB[[#This Row],[Net Weight -KG]]</f>
        <v>907369.40000000014</v>
      </c>
      <c r="AG534" s="6">
        <f>SUMIFS(HS_DB[Trade Value - USD],HS_DB[Products],HS_DB[[#This Row],[Products]])/SUM(HS_DB[Trade Value - USD])</f>
        <v>8.4914845993256851E-3</v>
      </c>
      <c r="AH534" s="8">
        <f>_xlfn.RANK.EQ(HS_DB[[#This Row],[Trade Value - USD]], HS_DB[Trade Value - USD], 0)
 + COUNTIFS(HS_DB[Trade Value - USD],HS_DB[[#This Row],[Trade Value - USD]],
            HS_DB[HS Code],"&lt;"&amp;HS_DB[[#This Row],[HS Code]])</f>
        <v>25</v>
      </c>
      <c r="AI534" s="9">
        <f>IFERROR(HS_DB[[#This Row],[Trade Value - USD]]/HS_DB[[#This Row],[Net Weight -KG]],0)</f>
        <v>1.0806369489647767</v>
      </c>
      <c r="AJ534" s="75" cm="1">
        <f t="array" ref="AJ534">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534" s="75" t="str">
        <f>IF(HS_DB[[#This Row],[HS Code Risk Score]]&gt;=40,"High",
 IF(HS_DB[[#This Row],[HS Code Risk Score]]&gt;=25,"Medium","Low"))</f>
        <v>Medium</v>
      </c>
      <c r="AL534" s="75" t="str">
        <f>IF(RANK(HS_DB[[#This Row],[HS Code Risk Score]],HS_DB[HS Code Risk Score])&lt;=10,"Yes","No")</f>
        <v>No</v>
      </c>
      <c r="AM534" s="8">
        <f>SUMIFS(HS_DB[Net Weight -KG],HS_DB[HS Code],HS_DB[[#This Row],[HS Code]])</f>
        <v>12795114.299999999</v>
      </c>
      <c r="AN534" s="8">
        <f>SUMIFS(HS_DB[Trade Value - USD],HS_DB[HS Code],HS_DB[[#This Row],[HS Code]])</f>
        <v>16006519</v>
      </c>
      <c r="AO534" s="6">
        <f>_xlfn.MAXIFS(HS_DB[Origin Share%],HS_DB[HS Code],HS_DB[[#This Row],[HS Code]])</f>
        <v>6.321329281187793E-2</v>
      </c>
      <c r="AP534" s="8" cm="1">
        <f t="array" ref="AP534">_xlfn.LET(
_xlpm.hs,HS_DB[[#This Row],[HS Code]],
COUNTA(_xlfn.UNIQUE(_xlfn._xlws.FILTER(HS_DB[Reporter],HS_DB[HS Code]=_xlpm.hs)))
)</f>
        <v>12</v>
      </c>
      <c r="AQ534" s="75" t="str">
        <f>IF(HS_DB[[#This Row],[Origin Count]]=1,"Single Source","Multiple Sources")</f>
        <v>Multiple Sources</v>
      </c>
      <c r="AR534" s="8">
        <f>HS_DB[[#This Row],[Annual Spend - USD]]*(HS_DB[[#This Row],[HS Code Risk Score]]/100)</f>
        <v>5442216.46</v>
      </c>
      <c r="AS534" s="8">
        <f>RANK(HS_DB[[#This Row],[Risk Exposure - USD]],HS_DB[Risk Exposure - USD],0)</f>
        <v>132</v>
      </c>
      <c r="AT534" s="8" t="str">
        <f>IF(HS_DB[[#This Row],[Risk Exposure Rank]]&lt;=10,"High",
 IF(HS_DB[[#This Row],[Risk Exposure Rank]]&lt;=30,"Medium",
 "Low"))</f>
        <v>Low</v>
      </c>
      <c r="AU534" s="8" t="str">
        <f>IF(HS_DB[[#This Row],[Risk Exposure Rank]]&lt;=5,"Immediate Action",
 IF(HS_DB[[#This Row],[Risk Exposure Rank]]&lt;=15,"Monitor Closely",
 "Routine Control"))</f>
        <v>Routine Control</v>
      </c>
      <c r="AV534" s="8">
        <f>SUMIFS(HS_DB[Trade Value - USD],HS_DB[HS Code],HS_DB[[#This Row],[HS Code]])</f>
        <v>16006519</v>
      </c>
      <c r="AW534" s="6">
        <f>HS_DB[[#This Row],[Annual Spend - USD]]/HS_DB[[#This Row],[Total Market Size - USD]]</f>
        <v>1</v>
      </c>
      <c r="AX534" s="6" cm="1">
        <f t="array" ref="AX534">COUNTA(_xlfn.UNIQUE(_xlfn._xlws.FILTER(HS_DB[Partner],HS_DB[HS Code]=HS_DB[[#This Row],[HS Code]])))</f>
        <v>1</v>
      </c>
      <c r="AY534" s="8" t="str">
        <f>IF(HS_DB[[#This Row],[Competition Intensity]]&lt;=2,"Highly Concentrated",
 IF(HS_DB[[#This Row],[Competition Intensity]]&lt;=5,"Moderate",
 "Highly Competitive"))</f>
        <v>Highly Concentrated</v>
      </c>
      <c r="AZ534" s="8">
        <f>HS_DB[[#This Row],[Total Market Size - USD]]
*
(1+IFERROR(#REF!,0))
/
HS_DB[[#This Row],[Competition Intensity]]</f>
        <v>16006519</v>
      </c>
      <c r="BA534" s="8" t="str">
        <f>IF(HS_DB[[#This Row],[Commercial Opportunity Score]]&gt;=PERCENTILE(HS_DB[Commercial Opportunity Score],0.9),"High Opportunity",
 IF(HS_DB[[#This Row],[Commercial Opportunity Score]]&gt;=PERCENTILE(HS_DB[Commercial Opportunity Score],0.6),"Medium Opportunity",
 "Routine Market"))</f>
        <v>Medium Opportunity</v>
      </c>
      <c r="BB534" s="3" t="str">
        <f>IF(AND(HS_DB[[#This Row],[Product Rank]]&gt;0,HS_DB[[#This Row],[Product Rank]]&lt;=10),"Yes","No")</f>
        <v>No</v>
      </c>
      <c r="BC534" s="3" t="str">
        <f>IF(AND(HS_DB[[#This Row],[Origin Rank]]&gt;0,HS_DB[[#This Row],[Origin Rank]]&lt;=10),"Yes","No")</f>
        <v>Yes</v>
      </c>
    </row>
    <row r="535" spans="2:55" x14ac:dyDescent="0.3">
      <c r="B535" s="66">
        <f>HS_DB[[#This Row],[Commodity Code]]</f>
        <v>290532</v>
      </c>
      <c r="C535" s="66">
        <f>IFERROR(INDEX(HS_MD!C:C,MATCH(B535,HS_MD!B:B,0),1),"")</f>
        <v>45</v>
      </c>
      <c r="D535" s="75" t="str">
        <f>IFERROR(INDEX(HS_MD!D:D,MATCH(B535,HS_MD!B:B,0),1),"")</f>
        <v>Propylene glycol (propane-1,2-diol)</v>
      </c>
      <c r="E535" s="75" t="str">
        <f>IFERROR(INDEX(HS_MD!E:E,MATCH(B535,HS_MD!B:B,0),1),"")</f>
        <v>Propylene Glycol</v>
      </c>
      <c r="F535" s="75" t="str">
        <f>IFERROR(INDEX(HS_MD!F:F,MATCH(B535,HS_MD!B:B,0),1),"")</f>
        <v>Food Ingredients</v>
      </c>
      <c r="G535" s="75" t="str">
        <f>IFERROR(INDEX(HS_MD!G:G,MATCH(B535,HS_MD!B:B,0),1),"")</f>
        <v>Solvents &amp; Humectants</v>
      </c>
      <c r="H535" s="75" t="str">
        <f>IFERROR(INDEX(HS_MD!H:H,MATCH(B535,HS_MD!B:B,0),1),"")</f>
        <v>Propylene Glycol</v>
      </c>
      <c r="I535" s="75" t="str">
        <f>IFERROR(INDEX(HS_MD!I:I,MATCH(B535,HS_MD!B:B,0),1),"")</f>
        <v>Beverages / Flavors / Pharma / Cosmetics</v>
      </c>
      <c r="J535" s="75">
        <f>IFERROR(INDEX(Heat_Map[Index],MATCH(HS_DB[[#This Row],[Reporter]],Heat_Map[Global],0),1),"")</f>
        <v>59</v>
      </c>
      <c r="K535" s="75" t="str">
        <f>IF(AND(HS_DB[[#This Row],[Origin Rank]]&gt;1,HS_DB[[#This Row],[Origin Rank]]&lt;=10),"Yes","No")</f>
        <v>No</v>
      </c>
      <c r="L535" s="2">
        <v>2024</v>
      </c>
      <c r="M535" s="2" t="s">
        <v>57</v>
      </c>
      <c r="N535" s="2" t="s">
        <v>44</v>
      </c>
      <c r="O535" s="2" t="s">
        <v>22</v>
      </c>
      <c r="P535" s="2" t="s">
        <v>23</v>
      </c>
      <c r="Q535" s="2" t="s">
        <v>24</v>
      </c>
      <c r="R535" s="2" t="s">
        <v>25</v>
      </c>
      <c r="S535" s="2">
        <v>290532</v>
      </c>
      <c r="T535" s="3">
        <v>187093</v>
      </c>
      <c r="U535" s="3">
        <v>108000</v>
      </c>
      <c r="V535" s="3">
        <v>0</v>
      </c>
      <c r="W535" s="3">
        <v>108000</v>
      </c>
      <c r="X535" s="3" t="s">
        <v>58</v>
      </c>
      <c r="Y535" s="3">
        <v>108000</v>
      </c>
      <c r="Z535" s="3" t="s">
        <v>58</v>
      </c>
      <c r="AA535" s="6">
        <f>SUMIFS(HS_DB[Trade Value - USD],HS_DB[Reporter],HS_DB[[#This Row],[Reporter]])/SUM(HS_DB[Trade Value - USD])</f>
        <v>1.6951290293147386E-2</v>
      </c>
      <c r="AB535" s="8" cm="1">
        <f t="array" ref="AB535">SUMPRODUCT(
(HS_DB[Reporter]=HS_DB[[#This Row],[Reporter]])*
(HS_DB[Trade Value - USD]&gt;HS_DB[[#This Row],[Trade Value - USD]])
)+1</f>
        <v>19</v>
      </c>
      <c r="AC535" s="8" t="str">
        <f>IFERROR(IF(INDEX(Heat_Map[Crisis Impact %],MATCH(HS_DB[[#This Row],[Reporter]],Heat_Map[Global],0),1)&gt;0,"Yes","No"),"No")</f>
        <v>No</v>
      </c>
      <c r="AD535" s="6">
        <f>IFERROR(INDEX(Heat_Map[Crisis Impact %],MATCH(HS_DB[[#This Row],[Reporter]],Heat_Map[Global],0),1),0)</f>
        <v>0</v>
      </c>
      <c r="AE535" s="8">
        <f>HS_DB[[#This Row],[Crisis Impact%]]*HS_DB[[#This Row],[Trade Value - USD]]</f>
        <v>0</v>
      </c>
      <c r="AF535" s="8">
        <f>HS_DB[[#This Row],[Crisis Impact%]]*HS_DB[[#This Row],[Net Weight -KG]]</f>
        <v>0</v>
      </c>
      <c r="AG535" s="6">
        <f>SUMIFS(HS_DB[Trade Value - USD],HS_DB[Products],HS_DB[[#This Row],[Products]])/SUM(HS_DB[Trade Value - USD])</f>
        <v>8.4914845993256851E-3</v>
      </c>
      <c r="AH535" s="8">
        <f>_xlfn.RANK.EQ(HS_DB[[#This Row],[Trade Value - USD]], HS_DB[Trade Value - USD], 0)
 + COUNTIFS(HS_DB[Trade Value - USD],HS_DB[[#This Row],[Trade Value - USD]],
            HS_DB[HS Code],"&lt;"&amp;HS_DB[[#This Row],[HS Code]])</f>
        <v>224</v>
      </c>
      <c r="AI535" s="9">
        <f>IFERROR(HS_DB[[#This Row],[Trade Value - USD]]/HS_DB[[#This Row],[Net Weight -KG]],0)</f>
        <v>1.7323425925925926</v>
      </c>
      <c r="AJ535" s="75" cm="1">
        <f t="array" ref="AJ535">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535" s="75" t="str">
        <f>IF(HS_DB[[#This Row],[HS Code Risk Score]]&gt;=40,"High",
 IF(HS_DB[[#This Row],[HS Code Risk Score]]&gt;=25,"Medium","Low"))</f>
        <v>Medium</v>
      </c>
      <c r="AL535" s="75" t="str">
        <f>IF(RANK(HS_DB[[#This Row],[HS Code Risk Score]],HS_DB[HS Code Risk Score])&lt;=10,"Yes","No")</f>
        <v>No</v>
      </c>
      <c r="AM535" s="8">
        <f>SUMIFS(HS_DB[Net Weight -KG],HS_DB[HS Code],HS_DB[[#This Row],[HS Code]])</f>
        <v>12795114.299999999</v>
      </c>
      <c r="AN535" s="8">
        <f>SUMIFS(HS_DB[Trade Value - USD],HS_DB[HS Code],HS_DB[[#This Row],[HS Code]])</f>
        <v>16006519</v>
      </c>
      <c r="AO535" s="6">
        <f>_xlfn.MAXIFS(HS_DB[Origin Share%],HS_DB[HS Code],HS_DB[[#This Row],[HS Code]])</f>
        <v>6.321329281187793E-2</v>
      </c>
      <c r="AP535" s="8" cm="1">
        <f t="array" ref="AP535">_xlfn.LET(
_xlpm.hs,HS_DB[[#This Row],[HS Code]],
COUNTA(_xlfn.UNIQUE(_xlfn._xlws.FILTER(HS_DB[Reporter],HS_DB[HS Code]=_xlpm.hs)))
)</f>
        <v>12</v>
      </c>
      <c r="AQ535" s="75" t="str">
        <f>IF(HS_DB[[#This Row],[Origin Count]]=1,"Single Source","Multiple Sources")</f>
        <v>Multiple Sources</v>
      </c>
      <c r="AR535" s="8">
        <f>HS_DB[[#This Row],[Annual Spend - USD]]*(HS_DB[[#This Row],[HS Code Risk Score]]/100)</f>
        <v>5442216.46</v>
      </c>
      <c r="AS535" s="8">
        <f>RANK(HS_DB[[#This Row],[Risk Exposure - USD]],HS_DB[Risk Exposure - USD],0)</f>
        <v>132</v>
      </c>
      <c r="AT535" s="8" t="str">
        <f>IF(HS_DB[[#This Row],[Risk Exposure Rank]]&lt;=10,"High",
 IF(HS_DB[[#This Row],[Risk Exposure Rank]]&lt;=30,"Medium",
 "Low"))</f>
        <v>Low</v>
      </c>
      <c r="AU535" s="8" t="str">
        <f>IF(HS_DB[[#This Row],[Risk Exposure Rank]]&lt;=5,"Immediate Action",
 IF(HS_DB[[#This Row],[Risk Exposure Rank]]&lt;=15,"Monitor Closely",
 "Routine Control"))</f>
        <v>Routine Control</v>
      </c>
      <c r="AV535" s="8">
        <f>SUMIFS(HS_DB[Trade Value - USD],HS_DB[HS Code],HS_DB[[#This Row],[HS Code]])</f>
        <v>16006519</v>
      </c>
      <c r="AW535" s="6">
        <f>HS_DB[[#This Row],[Annual Spend - USD]]/HS_DB[[#This Row],[Total Market Size - USD]]</f>
        <v>1</v>
      </c>
      <c r="AX535" s="6" cm="1">
        <f t="array" ref="AX535">COUNTA(_xlfn.UNIQUE(_xlfn._xlws.FILTER(HS_DB[Partner],HS_DB[HS Code]=HS_DB[[#This Row],[HS Code]])))</f>
        <v>1</v>
      </c>
      <c r="AY535" s="8" t="str">
        <f>IF(HS_DB[[#This Row],[Competition Intensity]]&lt;=2,"Highly Concentrated",
 IF(HS_DB[[#This Row],[Competition Intensity]]&lt;=5,"Moderate",
 "Highly Competitive"))</f>
        <v>Highly Concentrated</v>
      </c>
      <c r="AZ535" s="8">
        <f>HS_DB[[#This Row],[Total Market Size - USD]]
*
(1+IFERROR(#REF!,0))
/
HS_DB[[#This Row],[Competition Intensity]]</f>
        <v>16006519</v>
      </c>
      <c r="BA535" s="8" t="str">
        <f>IF(HS_DB[[#This Row],[Commercial Opportunity Score]]&gt;=PERCENTILE(HS_DB[Commercial Opportunity Score],0.9),"High Opportunity",
 IF(HS_DB[[#This Row],[Commercial Opportunity Score]]&gt;=PERCENTILE(HS_DB[Commercial Opportunity Score],0.6),"Medium Opportunity",
 "Routine Market"))</f>
        <v>Medium Opportunity</v>
      </c>
      <c r="BB535" s="3" t="str">
        <f>IF(AND(HS_DB[[#This Row],[Product Rank]]&gt;0,HS_DB[[#This Row],[Product Rank]]&lt;=10),"Yes","No")</f>
        <v>No</v>
      </c>
      <c r="BC535" s="3" t="str">
        <f>IF(AND(HS_DB[[#This Row],[Origin Rank]]&gt;0,HS_DB[[#This Row],[Origin Rank]]&lt;=10),"Yes","No")</f>
        <v>No</v>
      </c>
    </row>
    <row r="536" spans="2:55" x14ac:dyDescent="0.3">
      <c r="B536" s="66">
        <f>HS_DB[[#This Row],[Commodity Code]]</f>
        <v>290532</v>
      </c>
      <c r="C536" s="66">
        <f>IFERROR(INDEX(HS_MD!C:C,MATCH(B536,HS_MD!B:B,0),1),"")</f>
        <v>45</v>
      </c>
      <c r="D536" s="75" t="str">
        <f>IFERROR(INDEX(HS_MD!D:D,MATCH(B536,HS_MD!B:B,0),1),"")</f>
        <v>Propylene glycol (propane-1,2-diol)</v>
      </c>
      <c r="E536" s="75" t="str">
        <f>IFERROR(INDEX(HS_MD!E:E,MATCH(B536,HS_MD!B:B,0),1),"")</f>
        <v>Propylene Glycol</v>
      </c>
      <c r="F536" s="75" t="str">
        <f>IFERROR(INDEX(HS_MD!F:F,MATCH(B536,HS_MD!B:B,0),1),"")</f>
        <v>Food Ingredients</v>
      </c>
      <c r="G536" s="75" t="str">
        <f>IFERROR(INDEX(HS_MD!G:G,MATCH(B536,HS_MD!B:B,0),1),"")</f>
        <v>Solvents &amp; Humectants</v>
      </c>
      <c r="H536" s="75" t="str">
        <f>IFERROR(INDEX(HS_MD!H:H,MATCH(B536,HS_MD!B:B,0),1),"")</f>
        <v>Propylene Glycol</v>
      </c>
      <c r="I536" s="75" t="str">
        <f>IFERROR(INDEX(HS_MD!I:I,MATCH(B536,HS_MD!B:B,0),1),"")</f>
        <v>Beverages / Flavors / Pharma / Cosmetics</v>
      </c>
      <c r="J536" s="75">
        <f>IFERROR(INDEX(Heat_Map[Index],MATCH(HS_DB[[#This Row],[Reporter]],Heat_Map[Global],0),1),"")</f>
        <v>63</v>
      </c>
      <c r="K536" s="75" t="str">
        <f>IF(AND(HS_DB[[#This Row],[Origin Rank]]&gt;1,HS_DB[[#This Row],[Origin Rank]]&lt;=10),"Yes","No")</f>
        <v>Yes</v>
      </c>
      <c r="L536" s="2">
        <v>2024</v>
      </c>
      <c r="M536" s="2" t="s">
        <v>57</v>
      </c>
      <c r="N536" s="2" t="s">
        <v>2</v>
      </c>
      <c r="O536" s="2" t="s">
        <v>22</v>
      </c>
      <c r="P536" s="2" t="s">
        <v>23</v>
      </c>
      <c r="Q536" s="2" t="s">
        <v>24</v>
      </c>
      <c r="R536" s="2" t="s">
        <v>25</v>
      </c>
      <c r="S536" s="2">
        <v>290532</v>
      </c>
      <c r="T536" s="3">
        <v>2560011</v>
      </c>
      <c r="U536" s="3">
        <v>1148025.2</v>
      </c>
      <c r="V536" s="3">
        <v>0</v>
      </c>
      <c r="W536" s="3">
        <v>1148025</v>
      </c>
      <c r="X536" s="3" t="s">
        <v>58</v>
      </c>
      <c r="Y536" s="3">
        <v>0</v>
      </c>
      <c r="Z536" s="3" t="s">
        <v>26</v>
      </c>
      <c r="AA536" s="6">
        <f>SUMIFS(HS_DB[Trade Value - USD],HS_DB[Reporter],HS_DB[[#This Row],[Reporter]])/SUM(HS_DB[Trade Value - USD])</f>
        <v>1.1674623358397021E-2</v>
      </c>
      <c r="AB536" s="8" cm="1">
        <f t="array" ref="AB536">SUMPRODUCT(
(HS_DB[Reporter]=HS_DB[[#This Row],[Reporter]])*
(HS_DB[Trade Value - USD]&gt;HS_DB[[#This Row],[Trade Value - USD]])
)+1</f>
        <v>3</v>
      </c>
      <c r="AC536" s="8" t="str">
        <f>IFERROR(IF(INDEX(Heat_Map[Crisis Impact %],MATCH(HS_DB[[#This Row],[Reporter]],Heat_Map[Global],0),1)&gt;0,"Yes","No"),"No")</f>
        <v>No</v>
      </c>
      <c r="AD536" s="6">
        <f>IFERROR(INDEX(Heat_Map[Crisis Impact %],MATCH(HS_DB[[#This Row],[Reporter]],Heat_Map[Global],0),1),0)</f>
        <v>0</v>
      </c>
      <c r="AE536" s="8">
        <f>HS_DB[[#This Row],[Crisis Impact%]]*HS_DB[[#This Row],[Trade Value - USD]]</f>
        <v>0</v>
      </c>
      <c r="AF536" s="8">
        <f>HS_DB[[#This Row],[Crisis Impact%]]*HS_DB[[#This Row],[Net Weight -KG]]</f>
        <v>0</v>
      </c>
      <c r="AG536" s="6">
        <f>SUMIFS(HS_DB[Trade Value - USD],HS_DB[Products],HS_DB[[#This Row],[Products]])/SUM(HS_DB[Trade Value - USD])</f>
        <v>8.4914845993256851E-3</v>
      </c>
      <c r="AH536" s="8">
        <f>_xlfn.RANK.EQ(HS_DB[[#This Row],[Trade Value - USD]], HS_DB[Trade Value - USD], 0)
 + COUNTIFS(HS_DB[Trade Value - USD],HS_DB[[#This Row],[Trade Value - USD]],
            HS_DB[HS Code],"&lt;"&amp;HS_DB[[#This Row],[HS Code]])</f>
        <v>52</v>
      </c>
      <c r="AI536" s="9">
        <f>IFERROR(HS_DB[[#This Row],[Trade Value - USD]]/HS_DB[[#This Row],[Net Weight -KG]],0)</f>
        <v>2.229925789085466</v>
      </c>
      <c r="AJ536" s="75" cm="1">
        <f t="array" ref="AJ536">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536" s="75" t="str">
        <f>IF(HS_DB[[#This Row],[HS Code Risk Score]]&gt;=40,"High",
 IF(HS_DB[[#This Row],[HS Code Risk Score]]&gt;=25,"Medium","Low"))</f>
        <v>Medium</v>
      </c>
      <c r="AL536" s="75" t="str">
        <f>IF(RANK(HS_DB[[#This Row],[HS Code Risk Score]],HS_DB[HS Code Risk Score])&lt;=10,"Yes","No")</f>
        <v>No</v>
      </c>
      <c r="AM536" s="8">
        <f>SUMIFS(HS_DB[Net Weight -KG],HS_DB[HS Code],HS_DB[[#This Row],[HS Code]])</f>
        <v>12795114.299999999</v>
      </c>
      <c r="AN536" s="8">
        <f>SUMIFS(HS_DB[Trade Value - USD],HS_DB[HS Code],HS_DB[[#This Row],[HS Code]])</f>
        <v>16006519</v>
      </c>
      <c r="AO536" s="6">
        <f>_xlfn.MAXIFS(HS_DB[Origin Share%],HS_DB[HS Code],HS_DB[[#This Row],[HS Code]])</f>
        <v>6.321329281187793E-2</v>
      </c>
      <c r="AP536" s="8" cm="1">
        <f t="array" ref="AP536">_xlfn.LET(
_xlpm.hs,HS_DB[[#This Row],[HS Code]],
COUNTA(_xlfn.UNIQUE(_xlfn._xlws.FILTER(HS_DB[Reporter],HS_DB[HS Code]=_xlpm.hs)))
)</f>
        <v>12</v>
      </c>
      <c r="AQ536" s="75" t="str">
        <f>IF(HS_DB[[#This Row],[Origin Count]]=1,"Single Source","Multiple Sources")</f>
        <v>Multiple Sources</v>
      </c>
      <c r="AR536" s="8">
        <f>HS_DB[[#This Row],[Annual Spend - USD]]*(HS_DB[[#This Row],[HS Code Risk Score]]/100)</f>
        <v>5442216.46</v>
      </c>
      <c r="AS536" s="8">
        <f>RANK(HS_DB[[#This Row],[Risk Exposure - USD]],HS_DB[Risk Exposure - USD],0)</f>
        <v>132</v>
      </c>
      <c r="AT536" s="8" t="str">
        <f>IF(HS_DB[[#This Row],[Risk Exposure Rank]]&lt;=10,"High",
 IF(HS_DB[[#This Row],[Risk Exposure Rank]]&lt;=30,"Medium",
 "Low"))</f>
        <v>Low</v>
      </c>
      <c r="AU536" s="8" t="str">
        <f>IF(HS_DB[[#This Row],[Risk Exposure Rank]]&lt;=5,"Immediate Action",
 IF(HS_DB[[#This Row],[Risk Exposure Rank]]&lt;=15,"Monitor Closely",
 "Routine Control"))</f>
        <v>Routine Control</v>
      </c>
      <c r="AV536" s="8">
        <f>SUMIFS(HS_DB[Trade Value - USD],HS_DB[HS Code],HS_DB[[#This Row],[HS Code]])</f>
        <v>16006519</v>
      </c>
      <c r="AW536" s="6">
        <f>HS_DB[[#This Row],[Annual Spend - USD]]/HS_DB[[#This Row],[Total Market Size - USD]]</f>
        <v>1</v>
      </c>
      <c r="AX536" s="6" cm="1">
        <f t="array" ref="AX536">COUNTA(_xlfn.UNIQUE(_xlfn._xlws.FILTER(HS_DB[Partner],HS_DB[HS Code]=HS_DB[[#This Row],[HS Code]])))</f>
        <v>1</v>
      </c>
      <c r="AY536" s="8" t="str">
        <f>IF(HS_DB[[#This Row],[Competition Intensity]]&lt;=2,"Highly Concentrated",
 IF(HS_DB[[#This Row],[Competition Intensity]]&lt;=5,"Moderate",
 "Highly Competitive"))</f>
        <v>Highly Concentrated</v>
      </c>
      <c r="AZ536" s="8">
        <f>HS_DB[[#This Row],[Total Market Size - USD]]
*
(1+IFERROR(#REF!,0))
/
HS_DB[[#This Row],[Competition Intensity]]</f>
        <v>16006519</v>
      </c>
      <c r="BA536" s="8" t="str">
        <f>IF(HS_DB[[#This Row],[Commercial Opportunity Score]]&gt;=PERCENTILE(HS_DB[Commercial Opportunity Score],0.9),"High Opportunity",
 IF(HS_DB[[#This Row],[Commercial Opportunity Score]]&gt;=PERCENTILE(HS_DB[Commercial Opportunity Score],0.6),"Medium Opportunity",
 "Routine Market"))</f>
        <v>Medium Opportunity</v>
      </c>
      <c r="BB536" s="3" t="str">
        <f>IF(AND(HS_DB[[#This Row],[Product Rank]]&gt;0,HS_DB[[#This Row],[Product Rank]]&lt;=10),"Yes","No")</f>
        <v>No</v>
      </c>
      <c r="BC536" s="3" t="str">
        <f>IF(AND(HS_DB[[#This Row],[Origin Rank]]&gt;0,HS_DB[[#This Row],[Origin Rank]]&lt;=10),"Yes","No")</f>
        <v>Yes</v>
      </c>
    </row>
    <row r="537" spans="2:55" x14ac:dyDescent="0.3">
      <c r="B537" s="66">
        <f>HS_DB[[#This Row],[Commodity Code]]</f>
        <v>290532</v>
      </c>
      <c r="C537" s="66">
        <f>IFERROR(INDEX(HS_MD!C:C,MATCH(B537,HS_MD!B:B,0),1),"")</f>
        <v>45</v>
      </c>
      <c r="D537" s="75" t="str">
        <f>IFERROR(INDEX(HS_MD!D:D,MATCH(B537,HS_MD!B:B,0),1),"")</f>
        <v>Propylene glycol (propane-1,2-diol)</v>
      </c>
      <c r="E537" s="75" t="str">
        <f>IFERROR(INDEX(HS_MD!E:E,MATCH(B537,HS_MD!B:B,0),1),"")</f>
        <v>Propylene Glycol</v>
      </c>
      <c r="F537" s="75" t="str">
        <f>IFERROR(INDEX(HS_MD!F:F,MATCH(B537,HS_MD!B:B,0),1),"")</f>
        <v>Food Ingredients</v>
      </c>
      <c r="G537" s="75" t="str">
        <f>IFERROR(INDEX(HS_MD!G:G,MATCH(B537,HS_MD!B:B,0),1),"")</f>
        <v>Solvents &amp; Humectants</v>
      </c>
      <c r="H537" s="75" t="str">
        <f>IFERROR(INDEX(HS_MD!H:H,MATCH(B537,HS_MD!B:B,0),1),"")</f>
        <v>Propylene Glycol</v>
      </c>
      <c r="I537" s="75" t="str">
        <f>IFERROR(INDEX(HS_MD!I:I,MATCH(B537,HS_MD!B:B,0),1),"")</f>
        <v>Beverages / Flavors / Pharma / Cosmetics</v>
      </c>
      <c r="J537" s="75" t="str">
        <f>IFERROR(INDEX(Heat_Map[Index],MATCH(HS_DB[[#This Row],[Reporter]],Heat_Map[Global],0),1),"")</f>
        <v/>
      </c>
      <c r="K537" s="75" t="str">
        <f>IF(AND(HS_DB[[#This Row],[Origin Rank]]&gt;1,HS_DB[[#This Row],[Origin Rank]]&lt;=10),"Yes","No")</f>
        <v>No</v>
      </c>
      <c r="L537" s="2">
        <v>2024</v>
      </c>
      <c r="M537" s="2" t="s">
        <v>57</v>
      </c>
      <c r="N537" s="2" t="s">
        <v>608</v>
      </c>
      <c r="O537" s="2" t="s">
        <v>22</v>
      </c>
      <c r="P537" s="2" t="s">
        <v>23</v>
      </c>
      <c r="Q537" s="2" t="s">
        <v>24</v>
      </c>
      <c r="R537" s="2" t="s">
        <v>25</v>
      </c>
      <c r="S537" s="2">
        <v>290532</v>
      </c>
      <c r="T537" s="3">
        <v>2840973</v>
      </c>
      <c r="U537" s="3">
        <v>2054770</v>
      </c>
      <c r="V537" s="3">
        <v>0</v>
      </c>
      <c r="W537" s="3">
        <v>2054770</v>
      </c>
      <c r="X537" s="3" t="s">
        <v>58</v>
      </c>
      <c r="Y537" s="3">
        <v>2054770</v>
      </c>
      <c r="Z537" s="3" t="s">
        <v>58</v>
      </c>
      <c r="AA537" s="6">
        <f>SUMIFS(HS_DB[Trade Value - USD],HS_DB[Reporter],HS_DB[[#This Row],[Reporter]])/SUM(HS_DB[Trade Value - USD])</f>
        <v>1.5071408390918784E-3</v>
      </c>
      <c r="AB537" s="8" cm="1">
        <f t="array" ref="AB537">SUMPRODUCT(
(HS_DB[Reporter]=HS_DB[[#This Row],[Reporter]])*
(HS_DB[Trade Value - USD]&gt;HS_DB[[#This Row],[Trade Value - USD]])
)+1</f>
        <v>1</v>
      </c>
      <c r="AC537" s="8" t="str">
        <f>IFERROR(IF(INDEX(Heat_Map[Crisis Impact %],MATCH(HS_DB[[#This Row],[Reporter]],Heat_Map[Global],0),1)&gt;0,"Yes","No"),"No")</f>
        <v>No</v>
      </c>
      <c r="AD537" s="6">
        <f>IFERROR(INDEX(Heat_Map[Crisis Impact %],MATCH(HS_DB[[#This Row],[Reporter]],Heat_Map[Global],0),1),0)</f>
        <v>0</v>
      </c>
      <c r="AE537" s="8">
        <f>HS_DB[[#This Row],[Crisis Impact%]]*HS_DB[[#This Row],[Trade Value - USD]]</f>
        <v>0</v>
      </c>
      <c r="AF537" s="8">
        <f>HS_DB[[#This Row],[Crisis Impact%]]*HS_DB[[#This Row],[Net Weight -KG]]</f>
        <v>0</v>
      </c>
      <c r="AG537" s="6">
        <f>SUMIFS(HS_DB[Trade Value - USD],HS_DB[Products],HS_DB[[#This Row],[Products]])/SUM(HS_DB[Trade Value - USD])</f>
        <v>8.4914845993256851E-3</v>
      </c>
      <c r="AH537" s="8">
        <f>_xlfn.RANK.EQ(HS_DB[[#This Row],[Trade Value - USD]], HS_DB[Trade Value - USD], 0)
 + COUNTIFS(HS_DB[Trade Value - USD],HS_DB[[#This Row],[Trade Value - USD]],
            HS_DB[HS Code],"&lt;"&amp;HS_DB[[#This Row],[HS Code]])</f>
        <v>47</v>
      </c>
      <c r="AI537" s="9">
        <f>IFERROR(HS_DB[[#This Row],[Trade Value - USD]]/HS_DB[[#This Row],[Net Weight -KG]],0)</f>
        <v>1.3826233593054211</v>
      </c>
      <c r="AJ537" s="75" cm="1">
        <f t="array" ref="AJ537">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537" s="75" t="str">
        <f>IF(HS_DB[[#This Row],[HS Code Risk Score]]&gt;=40,"High",
 IF(HS_DB[[#This Row],[HS Code Risk Score]]&gt;=25,"Medium","Low"))</f>
        <v>Medium</v>
      </c>
      <c r="AL537" s="75" t="str">
        <f>IF(RANK(HS_DB[[#This Row],[HS Code Risk Score]],HS_DB[HS Code Risk Score])&lt;=10,"Yes","No")</f>
        <v>No</v>
      </c>
      <c r="AM537" s="8">
        <f>SUMIFS(HS_DB[Net Weight -KG],HS_DB[HS Code],HS_DB[[#This Row],[HS Code]])</f>
        <v>12795114.299999999</v>
      </c>
      <c r="AN537" s="8">
        <f>SUMIFS(HS_DB[Trade Value - USD],HS_DB[HS Code],HS_DB[[#This Row],[HS Code]])</f>
        <v>16006519</v>
      </c>
      <c r="AO537" s="6">
        <f>_xlfn.MAXIFS(HS_DB[Origin Share%],HS_DB[HS Code],HS_DB[[#This Row],[HS Code]])</f>
        <v>6.321329281187793E-2</v>
      </c>
      <c r="AP537" s="8" cm="1">
        <f t="array" ref="AP537">_xlfn.LET(
_xlpm.hs,HS_DB[[#This Row],[HS Code]],
COUNTA(_xlfn.UNIQUE(_xlfn._xlws.FILTER(HS_DB[Reporter],HS_DB[HS Code]=_xlpm.hs)))
)</f>
        <v>12</v>
      </c>
      <c r="AQ537" s="75" t="str">
        <f>IF(HS_DB[[#This Row],[Origin Count]]=1,"Single Source","Multiple Sources")</f>
        <v>Multiple Sources</v>
      </c>
      <c r="AR537" s="8">
        <f>HS_DB[[#This Row],[Annual Spend - USD]]*(HS_DB[[#This Row],[HS Code Risk Score]]/100)</f>
        <v>5442216.46</v>
      </c>
      <c r="AS537" s="8">
        <f>RANK(HS_DB[[#This Row],[Risk Exposure - USD]],HS_DB[Risk Exposure - USD],0)</f>
        <v>132</v>
      </c>
      <c r="AT537" s="8" t="str">
        <f>IF(HS_DB[[#This Row],[Risk Exposure Rank]]&lt;=10,"High",
 IF(HS_DB[[#This Row],[Risk Exposure Rank]]&lt;=30,"Medium",
 "Low"))</f>
        <v>Low</v>
      </c>
      <c r="AU537" s="8" t="str">
        <f>IF(HS_DB[[#This Row],[Risk Exposure Rank]]&lt;=5,"Immediate Action",
 IF(HS_DB[[#This Row],[Risk Exposure Rank]]&lt;=15,"Monitor Closely",
 "Routine Control"))</f>
        <v>Routine Control</v>
      </c>
      <c r="AV537" s="8">
        <f>SUMIFS(HS_DB[Trade Value - USD],HS_DB[HS Code],HS_DB[[#This Row],[HS Code]])</f>
        <v>16006519</v>
      </c>
      <c r="AW537" s="6">
        <f>HS_DB[[#This Row],[Annual Spend - USD]]/HS_DB[[#This Row],[Total Market Size - USD]]</f>
        <v>1</v>
      </c>
      <c r="AX537" s="6" cm="1">
        <f t="array" ref="AX537">COUNTA(_xlfn.UNIQUE(_xlfn._xlws.FILTER(HS_DB[Partner],HS_DB[HS Code]=HS_DB[[#This Row],[HS Code]])))</f>
        <v>1</v>
      </c>
      <c r="AY537" s="8" t="str">
        <f>IF(HS_DB[[#This Row],[Competition Intensity]]&lt;=2,"Highly Concentrated",
 IF(HS_DB[[#This Row],[Competition Intensity]]&lt;=5,"Moderate",
 "Highly Competitive"))</f>
        <v>Highly Concentrated</v>
      </c>
      <c r="AZ537" s="8">
        <f>HS_DB[[#This Row],[Total Market Size - USD]]
*
(1+IFERROR(#REF!,0))
/
HS_DB[[#This Row],[Competition Intensity]]</f>
        <v>16006519</v>
      </c>
      <c r="BA537" s="8" t="str">
        <f>IF(HS_DB[[#This Row],[Commercial Opportunity Score]]&gt;=PERCENTILE(HS_DB[Commercial Opportunity Score],0.9),"High Opportunity",
 IF(HS_DB[[#This Row],[Commercial Opportunity Score]]&gt;=PERCENTILE(HS_DB[Commercial Opportunity Score],0.6),"Medium Opportunity",
 "Routine Market"))</f>
        <v>Medium Opportunity</v>
      </c>
      <c r="BB537" s="3" t="str">
        <f>IF(AND(HS_DB[[#This Row],[Product Rank]]&gt;0,HS_DB[[#This Row],[Product Rank]]&lt;=10),"Yes","No")</f>
        <v>No</v>
      </c>
      <c r="BC537" s="3" t="str">
        <f>IF(AND(HS_DB[[#This Row],[Origin Rank]]&gt;0,HS_DB[[#This Row],[Origin Rank]]&lt;=10),"Yes","No")</f>
        <v>Yes</v>
      </c>
    </row>
    <row r="538" spans="2:55" x14ac:dyDescent="0.3">
      <c r="B538" s="66">
        <f>HS_DB[[#This Row],[Commodity Code]]</f>
        <v>290532</v>
      </c>
      <c r="C538" s="66">
        <f>IFERROR(INDEX(HS_MD!C:C,MATCH(B538,HS_MD!B:B,0),1),"")</f>
        <v>45</v>
      </c>
      <c r="D538" s="75" t="str">
        <f>IFERROR(INDEX(HS_MD!D:D,MATCH(B538,HS_MD!B:B,0),1),"")</f>
        <v>Propylene glycol (propane-1,2-diol)</v>
      </c>
      <c r="E538" s="75" t="str">
        <f>IFERROR(INDEX(HS_MD!E:E,MATCH(B538,HS_MD!B:B,0),1),"")</f>
        <v>Propylene Glycol</v>
      </c>
      <c r="F538" s="75" t="str">
        <f>IFERROR(INDEX(HS_MD!F:F,MATCH(B538,HS_MD!B:B,0),1),"")</f>
        <v>Food Ingredients</v>
      </c>
      <c r="G538" s="75" t="str">
        <f>IFERROR(INDEX(HS_MD!G:G,MATCH(B538,HS_MD!B:B,0),1),"")</f>
        <v>Solvents &amp; Humectants</v>
      </c>
      <c r="H538" s="75" t="str">
        <f>IFERROR(INDEX(HS_MD!H:H,MATCH(B538,HS_MD!B:B,0),1),"")</f>
        <v>Propylene Glycol</v>
      </c>
      <c r="I538" s="75" t="str">
        <f>IFERROR(INDEX(HS_MD!I:I,MATCH(B538,HS_MD!B:B,0),1),"")</f>
        <v>Beverages / Flavors / Pharma / Cosmetics</v>
      </c>
      <c r="J538" s="75">
        <f>IFERROR(INDEX(Heat_Map[Index],MATCH(HS_DB[[#This Row],[Reporter]],Heat_Map[Global],0),1),"")</f>
        <v>92</v>
      </c>
      <c r="K538" s="75" t="str">
        <f>IF(AND(HS_DB[[#This Row],[Origin Rank]]&gt;1,HS_DB[[#This Row],[Origin Rank]]&lt;=10),"Yes","No")</f>
        <v>No</v>
      </c>
      <c r="L538" s="2">
        <v>2024</v>
      </c>
      <c r="M538" s="2" t="s">
        <v>57</v>
      </c>
      <c r="N538" s="2" t="s">
        <v>50</v>
      </c>
      <c r="O538" s="2" t="s">
        <v>22</v>
      </c>
      <c r="P538" s="2" t="s">
        <v>23</v>
      </c>
      <c r="Q538" s="2" t="s">
        <v>24</v>
      </c>
      <c r="R538" s="2" t="s">
        <v>25</v>
      </c>
      <c r="S538" s="2">
        <v>290532</v>
      </c>
      <c r="T538" s="3">
        <v>14190</v>
      </c>
      <c r="U538" s="3">
        <v>10394.1</v>
      </c>
      <c r="V538" s="3">
        <v>0</v>
      </c>
      <c r="W538" s="3">
        <v>10394</v>
      </c>
      <c r="X538" s="3" t="s">
        <v>58</v>
      </c>
      <c r="Y538" s="3">
        <v>0</v>
      </c>
      <c r="Z538" s="3" t="s">
        <v>26</v>
      </c>
      <c r="AA538" s="6">
        <f>SUMIFS(HS_DB[Trade Value - USD],HS_DB[Reporter],HS_DB[[#This Row],[Reporter]])/SUM(HS_DB[Trade Value - USD])</f>
        <v>1.4545824499937243E-5</v>
      </c>
      <c r="AB538" s="8" cm="1">
        <f t="array" ref="AB538">SUMPRODUCT(
(HS_DB[Reporter]=HS_DB[[#This Row],[Reporter]])*
(HS_DB[Trade Value - USD]&gt;HS_DB[[#This Row],[Trade Value - USD]])
)+1</f>
        <v>1</v>
      </c>
      <c r="AC538" s="8" t="str">
        <f>IFERROR(IF(INDEX(Heat_Map[Crisis Impact %],MATCH(HS_DB[[#This Row],[Reporter]],Heat_Map[Global],0),1)&gt;0,"Yes","No"),"No")</f>
        <v>No</v>
      </c>
      <c r="AD538" s="6">
        <f>IFERROR(INDEX(Heat_Map[Crisis Impact %],MATCH(HS_DB[[#This Row],[Reporter]],Heat_Map[Global],0),1),0)</f>
        <v>0</v>
      </c>
      <c r="AE538" s="8">
        <f>HS_DB[[#This Row],[Crisis Impact%]]*HS_DB[[#This Row],[Trade Value - USD]]</f>
        <v>0</v>
      </c>
      <c r="AF538" s="8">
        <f>HS_DB[[#This Row],[Crisis Impact%]]*HS_DB[[#This Row],[Net Weight -KG]]</f>
        <v>0</v>
      </c>
      <c r="AG538" s="6">
        <f>SUMIFS(HS_DB[Trade Value - USD],HS_DB[Products],HS_DB[[#This Row],[Products]])/SUM(HS_DB[Trade Value - USD])</f>
        <v>8.4914845993256851E-3</v>
      </c>
      <c r="AH538" s="8">
        <f>_xlfn.RANK.EQ(HS_DB[[#This Row],[Trade Value - USD]], HS_DB[Trade Value - USD], 0)
 + COUNTIFS(HS_DB[Trade Value - USD],HS_DB[[#This Row],[Trade Value - USD]],
            HS_DB[HS Code],"&lt;"&amp;HS_DB[[#This Row],[HS Code]])</f>
        <v>397</v>
      </c>
      <c r="AI538" s="9">
        <f>IFERROR(HS_DB[[#This Row],[Trade Value - USD]]/HS_DB[[#This Row],[Net Weight -KG]],0)</f>
        <v>1.3651975640026552</v>
      </c>
      <c r="AJ538" s="75" cm="1">
        <f t="array" ref="AJ538">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538" s="75" t="str">
        <f>IF(HS_DB[[#This Row],[HS Code Risk Score]]&gt;=40,"High",
 IF(HS_DB[[#This Row],[HS Code Risk Score]]&gt;=25,"Medium","Low"))</f>
        <v>Medium</v>
      </c>
      <c r="AL538" s="75" t="str">
        <f>IF(RANK(HS_DB[[#This Row],[HS Code Risk Score]],HS_DB[HS Code Risk Score])&lt;=10,"Yes","No")</f>
        <v>No</v>
      </c>
      <c r="AM538" s="8">
        <f>SUMIFS(HS_DB[Net Weight -KG],HS_DB[HS Code],HS_DB[[#This Row],[HS Code]])</f>
        <v>12795114.299999999</v>
      </c>
      <c r="AN538" s="8">
        <f>SUMIFS(HS_DB[Trade Value - USD],HS_DB[HS Code],HS_DB[[#This Row],[HS Code]])</f>
        <v>16006519</v>
      </c>
      <c r="AO538" s="6">
        <f>_xlfn.MAXIFS(HS_DB[Origin Share%],HS_DB[HS Code],HS_DB[[#This Row],[HS Code]])</f>
        <v>6.321329281187793E-2</v>
      </c>
      <c r="AP538" s="8" cm="1">
        <f t="array" ref="AP538">_xlfn.LET(
_xlpm.hs,HS_DB[[#This Row],[HS Code]],
COUNTA(_xlfn.UNIQUE(_xlfn._xlws.FILTER(HS_DB[Reporter],HS_DB[HS Code]=_xlpm.hs)))
)</f>
        <v>12</v>
      </c>
      <c r="AQ538" s="75" t="str">
        <f>IF(HS_DB[[#This Row],[Origin Count]]=1,"Single Source","Multiple Sources")</f>
        <v>Multiple Sources</v>
      </c>
      <c r="AR538" s="8">
        <f>HS_DB[[#This Row],[Annual Spend - USD]]*(HS_DB[[#This Row],[HS Code Risk Score]]/100)</f>
        <v>5442216.46</v>
      </c>
      <c r="AS538" s="8">
        <f>RANK(HS_DB[[#This Row],[Risk Exposure - USD]],HS_DB[Risk Exposure - USD],0)</f>
        <v>132</v>
      </c>
      <c r="AT538" s="8" t="str">
        <f>IF(HS_DB[[#This Row],[Risk Exposure Rank]]&lt;=10,"High",
 IF(HS_DB[[#This Row],[Risk Exposure Rank]]&lt;=30,"Medium",
 "Low"))</f>
        <v>Low</v>
      </c>
      <c r="AU538" s="8" t="str">
        <f>IF(HS_DB[[#This Row],[Risk Exposure Rank]]&lt;=5,"Immediate Action",
 IF(HS_DB[[#This Row],[Risk Exposure Rank]]&lt;=15,"Monitor Closely",
 "Routine Control"))</f>
        <v>Routine Control</v>
      </c>
      <c r="AV538" s="8">
        <f>SUMIFS(HS_DB[Trade Value - USD],HS_DB[HS Code],HS_DB[[#This Row],[HS Code]])</f>
        <v>16006519</v>
      </c>
      <c r="AW538" s="6">
        <f>HS_DB[[#This Row],[Annual Spend - USD]]/HS_DB[[#This Row],[Total Market Size - USD]]</f>
        <v>1</v>
      </c>
      <c r="AX538" s="6" cm="1">
        <f t="array" ref="AX538">COUNTA(_xlfn.UNIQUE(_xlfn._xlws.FILTER(HS_DB[Partner],HS_DB[HS Code]=HS_DB[[#This Row],[HS Code]])))</f>
        <v>1</v>
      </c>
      <c r="AY538" s="8" t="str">
        <f>IF(HS_DB[[#This Row],[Competition Intensity]]&lt;=2,"Highly Concentrated",
 IF(HS_DB[[#This Row],[Competition Intensity]]&lt;=5,"Moderate",
 "Highly Competitive"))</f>
        <v>Highly Concentrated</v>
      </c>
      <c r="AZ538" s="8">
        <f>HS_DB[[#This Row],[Total Market Size - USD]]
*
(1+IFERROR(#REF!,0))
/
HS_DB[[#This Row],[Competition Intensity]]</f>
        <v>16006519</v>
      </c>
      <c r="BA538" s="8" t="str">
        <f>IF(HS_DB[[#This Row],[Commercial Opportunity Score]]&gt;=PERCENTILE(HS_DB[Commercial Opportunity Score],0.9),"High Opportunity",
 IF(HS_DB[[#This Row],[Commercial Opportunity Score]]&gt;=PERCENTILE(HS_DB[Commercial Opportunity Score],0.6),"Medium Opportunity",
 "Routine Market"))</f>
        <v>Medium Opportunity</v>
      </c>
      <c r="BB538" s="3" t="str">
        <f>IF(AND(HS_DB[[#This Row],[Product Rank]]&gt;0,HS_DB[[#This Row],[Product Rank]]&lt;=10),"Yes","No")</f>
        <v>No</v>
      </c>
      <c r="BC538" s="3" t="str">
        <f>IF(AND(HS_DB[[#This Row],[Origin Rank]]&gt;0,HS_DB[[#This Row],[Origin Rank]]&lt;=10),"Yes","No")</f>
        <v>Yes</v>
      </c>
    </row>
    <row r="539" spans="2:55" x14ac:dyDescent="0.3">
      <c r="B539" s="66">
        <f>HS_DB[[#This Row],[Commodity Code]]</f>
        <v>290532</v>
      </c>
      <c r="C539" s="66">
        <f>IFERROR(INDEX(HS_MD!C:C,MATCH(B539,HS_MD!B:B,0),1),"")</f>
        <v>45</v>
      </c>
      <c r="D539" s="75" t="str">
        <f>IFERROR(INDEX(HS_MD!D:D,MATCH(B539,HS_MD!B:B,0),1),"")</f>
        <v>Propylene glycol (propane-1,2-diol)</v>
      </c>
      <c r="E539" s="75" t="str">
        <f>IFERROR(INDEX(HS_MD!E:E,MATCH(B539,HS_MD!B:B,0),1),"")</f>
        <v>Propylene Glycol</v>
      </c>
      <c r="F539" s="75" t="str">
        <f>IFERROR(INDEX(HS_MD!F:F,MATCH(B539,HS_MD!B:B,0),1),"")</f>
        <v>Food Ingredients</v>
      </c>
      <c r="G539" s="75" t="str">
        <f>IFERROR(INDEX(HS_MD!G:G,MATCH(B539,HS_MD!B:B,0),1),"")</f>
        <v>Solvents &amp; Humectants</v>
      </c>
      <c r="H539" s="75" t="str">
        <f>IFERROR(INDEX(HS_MD!H:H,MATCH(B539,HS_MD!B:B,0),1),"")</f>
        <v>Propylene Glycol</v>
      </c>
      <c r="I539" s="75" t="str">
        <f>IFERROR(INDEX(HS_MD!I:I,MATCH(B539,HS_MD!B:B,0),1),"")</f>
        <v>Beverages / Flavors / Pharma / Cosmetics</v>
      </c>
      <c r="J539" s="75">
        <f>IFERROR(INDEX(Heat_Map[Index],MATCH(HS_DB[[#This Row],[Reporter]],Heat_Map[Global],0),1),"")</f>
        <v>134</v>
      </c>
      <c r="K539" s="75" t="str">
        <f>IF(AND(HS_DB[[#This Row],[Origin Rank]]&gt;1,HS_DB[[#This Row],[Origin Rank]]&lt;=10),"Yes","No")</f>
        <v>Yes</v>
      </c>
      <c r="L539" s="2">
        <v>2024</v>
      </c>
      <c r="M539" s="2" t="s">
        <v>57</v>
      </c>
      <c r="N539" s="2" t="s">
        <v>55</v>
      </c>
      <c r="O539" s="2" t="s">
        <v>22</v>
      </c>
      <c r="P539" s="2" t="s">
        <v>23</v>
      </c>
      <c r="Q539" s="2" t="s">
        <v>24</v>
      </c>
      <c r="R539" s="2" t="s">
        <v>25</v>
      </c>
      <c r="S539" s="2">
        <v>290532</v>
      </c>
      <c r="T539" s="3">
        <v>254</v>
      </c>
      <c r="U539" s="3">
        <v>30</v>
      </c>
      <c r="V539" s="3">
        <v>0</v>
      </c>
      <c r="W539" s="3">
        <v>30</v>
      </c>
      <c r="X539" s="3" t="s">
        <v>58</v>
      </c>
      <c r="Y539" s="3">
        <v>30</v>
      </c>
      <c r="Z539" s="3" t="s">
        <v>58</v>
      </c>
      <c r="AA539" s="6">
        <f>SUMIFS(HS_DB[Trade Value - USD],HS_DB[Reporter],HS_DB[[#This Row],[Reporter]])/SUM(HS_DB[Trade Value - USD])</f>
        <v>6.3855771678493602E-3</v>
      </c>
      <c r="AB539" s="8" cm="1">
        <f t="array" ref="AB539">SUMPRODUCT(
(HS_DB[Reporter]=HS_DB[[#This Row],[Reporter]])*
(HS_DB[Trade Value - USD]&gt;HS_DB[[#This Row],[Trade Value - USD]])
)+1</f>
        <v>10</v>
      </c>
      <c r="AC539" s="8" t="str">
        <f>IFERROR(IF(INDEX(Heat_Map[Crisis Impact %],MATCH(HS_DB[[#This Row],[Reporter]],Heat_Map[Global],0),1)&gt;0,"Yes","No"),"No")</f>
        <v>Yes</v>
      </c>
      <c r="AD539" s="6">
        <f>IFERROR(INDEX(Heat_Map[Crisis Impact %],MATCH(HS_DB[[#This Row],[Reporter]],Heat_Map[Global],0),1),0)</f>
        <v>0.06</v>
      </c>
      <c r="AE539" s="8">
        <f>HS_DB[[#This Row],[Crisis Impact%]]*HS_DB[[#This Row],[Trade Value - USD]]</f>
        <v>15.24</v>
      </c>
      <c r="AF539" s="8">
        <f>HS_DB[[#This Row],[Crisis Impact%]]*HS_DB[[#This Row],[Net Weight -KG]]</f>
        <v>1.7999999999999998</v>
      </c>
      <c r="AG539" s="6">
        <f>SUMIFS(HS_DB[Trade Value - USD],HS_DB[Products],HS_DB[[#This Row],[Products]])/SUM(HS_DB[Trade Value - USD])</f>
        <v>8.4914845993256851E-3</v>
      </c>
      <c r="AH539" s="8">
        <f>_xlfn.RANK.EQ(HS_DB[[#This Row],[Trade Value - USD]], HS_DB[Trade Value - USD], 0)
 + COUNTIFS(HS_DB[Trade Value - USD],HS_DB[[#This Row],[Trade Value - USD]],
            HS_DB[HS Code],"&lt;"&amp;HS_DB[[#This Row],[HS Code]])</f>
        <v>505</v>
      </c>
      <c r="AI539" s="9">
        <f>IFERROR(HS_DB[[#This Row],[Trade Value - USD]]/HS_DB[[#This Row],[Net Weight -KG]],0)</f>
        <v>8.4666666666666668</v>
      </c>
      <c r="AJ539" s="75" cm="1">
        <f t="array" ref="AJ539">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539" s="75" t="str">
        <f>IF(HS_DB[[#This Row],[HS Code Risk Score]]&gt;=40,"High",
 IF(HS_DB[[#This Row],[HS Code Risk Score]]&gt;=25,"Medium","Low"))</f>
        <v>Medium</v>
      </c>
      <c r="AL539" s="75" t="str">
        <f>IF(RANK(HS_DB[[#This Row],[HS Code Risk Score]],HS_DB[HS Code Risk Score])&lt;=10,"Yes","No")</f>
        <v>No</v>
      </c>
      <c r="AM539" s="8">
        <f>SUMIFS(HS_DB[Net Weight -KG],HS_DB[HS Code],HS_DB[[#This Row],[HS Code]])</f>
        <v>12795114.299999999</v>
      </c>
      <c r="AN539" s="8">
        <f>SUMIFS(HS_DB[Trade Value - USD],HS_DB[HS Code],HS_DB[[#This Row],[HS Code]])</f>
        <v>16006519</v>
      </c>
      <c r="AO539" s="6">
        <f>_xlfn.MAXIFS(HS_DB[Origin Share%],HS_DB[HS Code],HS_DB[[#This Row],[HS Code]])</f>
        <v>6.321329281187793E-2</v>
      </c>
      <c r="AP539" s="8" cm="1">
        <f t="array" ref="AP539">_xlfn.LET(
_xlpm.hs,HS_DB[[#This Row],[HS Code]],
COUNTA(_xlfn.UNIQUE(_xlfn._xlws.FILTER(HS_DB[Reporter],HS_DB[HS Code]=_xlpm.hs)))
)</f>
        <v>12</v>
      </c>
      <c r="AQ539" s="75" t="str">
        <f>IF(HS_DB[[#This Row],[Origin Count]]=1,"Single Source","Multiple Sources")</f>
        <v>Multiple Sources</v>
      </c>
      <c r="AR539" s="8">
        <f>HS_DB[[#This Row],[Annual Spend - USD]]*(HS_DB[[#This Row],[HS Code Risk Score]]/100)</f>
        <v>5442216.46</v>
      </c>
      <c r="AS539" s="8">
        <f>RANK(HS_DB[[#This Row],[Risk Exposure - USD]],HS_DB[Risk Exposure - USD],0)</f>
        <v>132</v>
      </c>
      <c r="AT539" s="8" t="str">
        <f>IF(HS_DB[[#This Row],[Risk Exposure Rank]]&lt;=10,"High",
 IF(HS_DB[[#This Row],[Risk Exposure Rank]]&lt;=30,"Medium",
 "Low"))</f>
        <v>Low</v>
      </c>
      <c r="AU539" s="8" t="str">
        <f>IF(HS_DB[[#This Row],[Risk Exposure Rank]]&lt;=5,"Immediate Action",
 IF(HS_DB[[#This Row],[Risk Exposure Rank]]&lt;=15,"Monitor Closely",
 "Routine Control"))</f>
        <v>Routine Control</v>
      </c>
      <c r="AV539" s="8">
        <f>SUMIFS(HS_DB[Trade Value - USD],HS_DB[HS Code],HS_DB[[#This Row],[HS Code]])</f>
        <v>16006519</v>
      </c>
      <c r="AW539" s="6">
        <f>HS_DB[[#This Row],[Annual Spend - USD]]/HS_DB[[#This Row],[Total Market Size - USD]]</f>
        <v>1</v>
      </c>
      <c r="AX539" s="6" cm="1">
        <f t="array" ref="AX539">COUNTA(_xlfn.UNIQUE(_xlfn._xlws.FILTER(HS_DB[Partner],HS_DB[HS Code]=HS_DB[[#This Row],[HS Code]])))</f>
        <v>1</v>
      </c>
      <c r="AY539" s="8" t="str">
        <f>IF(HS_DB[[#This Row],[Competition Intensity]]&lt;=2,"Highly Concentrated",
 IF(HS_DB[[#This Row],[Competition Intensity]]&lt;=5,"Moderate",
 "Highly Competitive"))</f>
        <v>Highly Concentrated</v>
      </c>
      <c r="AZ539" s="8">
        <f>HS_DB[[#This Row],[Total Market Size - USD]]
*
(1+IFERROR(#REF!,0))
/
HS_DB[[#This Row],[Competition Intensity]]</f>
        <v>16006519</v>
      </c>
      <c r="BA539" s="8" t="str">
        <f>IF(HS_DB[[#This Row],[Commercial Opportunity Score]]&gt;=PERCENTILE(HS_DB[Commercial Opportunity Score],0.9),"High Opportunity",
 IF(HS_DB[[#This Row],[Commercial Opportunity Score]]&gt;=PERCENTILE(HS_DB[Commercial Opportunity Score],0.6),"Medium Opportunity",
 "Routine Market"))</f>
        <v>Medium Opportunity</v>
      </c>
      <c r="BB539" s="3" t="str">
        <f>IF(AND(HS_DB[[#This Row],[Product Rank]]&gt;0,HS_DB[[#This Row],[Product Rank]]&lt;=10),"Yes","No")</f>
        <v>No</v>
      </c>
      <c r="BC539" s="3" t="str">
        <f>IF(AND(HS_DB[[#This Row],[Origin Rank]]&gt;0,HS_DB[[#This Row],[Origin Rank]]&lt;=10),"Yes","No")</f>
        <v>Yes</v>
      </c>
    </row>
    <row r="540" spans="2:55" x14ac:dyDescent="0.3">
      <c r="B540" s="66">
        <f>HS_DB[[#This Row],[Commodity Code]]</f>
        <v>290532</v>
      </c>
      <c r="C540" s="66">
        <f>IFERROR(INDEX(HS_MD!C:C,MATCH(B540,HS_MD!B:B,0),1),"")</f>
        <v>45</v>
      </c>
      <c r="D540" s="75" t="str">
        <f>IFERROR(INDEX(HS_MD!D:D,MATCH(B540,HS_MD!B:B,0),1),"")</f>
        <v>Propylene glycol (propane-1,2-diol)</v>
      </c>
      <c r="E540" s="75" t="str">
        <f>IFERROR(INDEX(HS_MD!E:E,MATCH(B540,HS_MD!B:B,0),1),"")</f>
        <v>Propylene Glycol</v>
      </c>
      <c r="F540" s="75" t="str">
        <f>IFERROR(INDEX(HS_MD!F:F,MATCH(B540,HS_MD!B:B,0),1),"")</f>
        <v>Food Ingredients</v>
      </c>
      <c r="G540" s="75" t="str">
        <f>IFERROR(INDEX(HS_MD!G:G,MATCH(B540,HS_MD!B:B,0),1),"")</f>
        <v>Solvents &amp; Humectants</v>
      </c>
      <c r="H540" s="75" t="str">
        <f>IFERROR(INDEX(HS_MD!H:H,MATCH(B540,HS_MD!B:B,0),1),"")</f>
        <v>Propylene Glycol</v>
      </c>
      <c r="I540" s="75" t="str">
        <f>IFERROR(INDEX(HS_MD!I:I,MATCH(B540,HS_MD!B:B,0),1),"")</f>
        <v>Beverages / Flavors / Pharma / Cosmetics</v>
      </c>
      <c r="J540" s="75">
        <f>IFERROR(INDEX(Heat_Map[Index],MATCH(HS_DB[[#This Row],[Reporter]],Heat_Map[Global],0),1),"")</f>
        <v>146</v>
      </c>
      <c r="K540" s="75" t="str">
        <f>IF(AND(HS_DB[[#This Row],[Origin Rank]]&gt;1,HS_DB[[#This Row],[Origin Rank]]&lt;=10),"Yes","No")</f>
        <v>Yes</v>
      </c>
      <c r="L540" s="2">
        <v>2024</v>
      </c>
      <c r="M540" s="2" t="s">
        <v>57</v>
      </c>
      <c r="N540" s="2" t="s">
        <v>27</v>
      </c>
      <c r="O540" s="2" t="s">
        <v>22</v>
      </c>
      <c r="P540" s="2" t="s">
        <v>23</v>
      </c>
      <c r="Q540" s="2" t="s">
        <v>24</v>
      </c>
      <c r="R540" s="2" t="s">
        <v>25</v>
      </c>
      <c r="S540" s="2">
        <v>290532</v>
      </c>
      <c r="T540" s="3">
        <v>2828775</v>
      </c>
      <c r="U540" s="3">
        <v>2688000</v>
      </c>
      <c r="V540" s="3">
        <v>0</v>
      </c>
      <c r="W540" s="3">
        <v>2688000</v>
      </c>
      <c r="X540" s="3" t="s">
        <v>58</v>
      </c>
      <c r="Y540" s="3">
        <v>2688000</v>
      </c>
      <c r="Z540" s="3" t="s">
        <v>58</v>
      </c>
      <c r="AA540" s="6">
        <f>SUMIFS(HS_DB[Trade Value - USD],HS_DB[Reporter],HS_DB[[#This Row],[Reporter]])/SUM(HS_DB[Trade Value - USD])</f>
        <v>9.709938116315122E-3</v>
      </c>
      <c r="AB540" s="8" cm="1">
        <f t="array" ref="AB540">SUMPRODUCT(
(HS_DB[Reporter]=HS_DB[[#This Row],[Reporter]])*
(HS_DB[Trade Value - USD]&gt;HS_DB[[#This Row],[Trade Value - USD]])
)+1</f>
        <v>2</v>
      </c>
      <c r="AC540" s="8" t="str">
        <f>IFERROR(IF(INDEX(Heat_Map[Crisis Impact %],MATCH(HS_DB[[#This Row],[Reporter]],Heat_Map[Global],0),1)&gt;0,"Yes","No"),"No")</f>
        <v>No</v>
      </c>
      <c r="AD540" s="6">
        <f>IFERROR(INDEX(Heat_Map[Crisis Impact %],MATCH(HS_DB[[#This Row],[Reporter]],Heat_Map[Global],0),1),0)</f>
        <v>0</v>
      </c>
      <c r="AE540" s="8">
        <f>HS_DB[[#This Row],[Crisis Impact%]]*HS_DB[[#This Row],[Trade Value - USD]]</f>
        <v>0</v>
      </c>
      <c r="AF540" s="8">
        <f>HS_DB[[#This Row],[Crisis Impact%]]*HS_DB[[#This Row],[Net Weight -KG]]</f>
        <v>0</v>
      </c>
      <c r="AG540" s="6">
        <f>SUMIFS(HS_DB[Trade Value - USD],HS_DB[Products],HS_DB[[#This Row],[Products]])/SUM(HS_DB[Trade Value - USD])</f>
        <v>8.4914845993256851E-3</v>
      </c>
      <c r="AH540" s="8">
        <f>_xlfn.RANK.EQ(HS_DB[[#This Row],[Trade Value - USD]], HS_DB[Trade Value - USD], 0)
 + COUNTIFS(HS_DB[Trade Value - USD],HS_DB[[#This Row],[Trade Value - USD]],
            HS_DB[HS Code],"&lt;"&amp;HS_DB[[#This Row],[HS Code]])</f>
        <v>48</v>
      </c>
      <c r="AI540" s="9">
        <f>IFERROR(HS_DB[[#This Row],[Trade Value - USD]]/HS_DB[[#This Row],[Net Weight -KG]],0)</f>
        <v>1.0523716517857142</v>
      </c>
      <c r="AJ540" s="75" cm="1">
        <f t="array" ref="AJ540">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540" s="75" t="str">
        <f>IF(HS_DB[[#This Row],[HS Code Risk Score]]&gt;=40,"High",
 IF(HS_DB[[#This Row],[HS Code Risk Score]]&gt;=25,"Medium","Low"))</f>
        <v>Medium</v>
      </c>
      <c r="AL540" s="75" t="str">
        <f>IF(RANK(HS_DB[[#This Row],[HS Code Risk Score]],HS_DB[HS Code Risk Score])&lt;=10,"Yes","No")</f>
        <v>No</v>
      </c>
      <c r="AM540" s="8">
        <f>SUMIFS(HS_DB[Net Weight -KG],HS_DB[HS Code],HS_DB[[#This Row],[HS Code]])</f>
        <v>12795114.299999999</v>
      </c>
      <c r="AN540" s="8">
        <f>SUMIFS(HS_DB[Trade Value - USD],HS_DB[HS Code],HS_DB[[#This Row],[HS Code]])</f>
        <v>16006519</v>
      </c>
      <c r="AO540" s="6">
        <f>_xlfn.MAXIFS(HS_DB[Origin Share%],HS_DB[HS Code],HS_DB[[#This Row],[HS Code]])</f>
        <v>6.321329281187793E-2</v>
      </c>
      <c r="AP540" s="8" cm="1">
        <f t="array" ref="AP540">_xlfn.LET(
_xlpm.hs,HS_DB[[#This Row],[HS Code]],
COUNTA(_xlfn.UNIQUE(_xlfn._xlws.FILTER(HS_DB[Reporter],HS_DB[HS Code]=_xlpm.hs)))
)</f>
        <v>12</v>
      </c>
      <c r="AQ540" s="75" t="str">
        <f>IF(HS_DB[[#This Row],[Origin Count]]=1,"Single Source","Multiple Sources")</f>
        <v>Multiple Sources</v>
      </c>
      <c r="AR540" s="8">
        <f>HS_DB[[#This Row],[Annual Spend - USD]]*(HS_DB[[#This Row],[HS Code Risk Score]]/100)</f>
        <v>5442216.46</v>
      </c>
      <c r="AS540" s="8">
        <f>RANK(HS_DB[[#This Row],[Risk Exposure - USD]],HS_DB[Risk Exposure - USD],0)</f>
        <v>132</v>
      </c>
      <c r="AT540" s="8" t="str">
        <f>IF(HS_DB[[#This Row],[Risk Exposure Rank]]&lt;=10,"High",
 IF(HS_DB[[#This Row],[Risk Exposure Rank]]&lt;=30,"Medium",
 "Low"))</f>
        <v>Low</v>
      </c>
      <c r="AU540" s="8" t="str">
        <f>IF(HS_DB[[#This Row],[Risk Exposure Rank]]&lt;=5,"Immediate Action",
 IF(HS_DB[[#This Row],[Risk Exposure Rank]]&lt;=15,"Monitor Closely",
 "Routine Control"))</f>
        <v>Routine Control</v>
      </c>
      <c r="AV540" s="8">
        <f>SUMIFS(HS_DB[Trade Value - USD],HS_DB[HS Code],HS_DB[[#This Row],[HS Code]])</f>
        <v>16006519</v>
      </c>
      <c r="AW540" s="6">
        <f>HS_DB[[#This Row],[Annual Spend - USD]]/HS_DB[[#This Row],[Total Market Size - USD]]</f>
        <v>1</v>
      </c>
      <c r="AX540" s="6" cm="1">
        <f t="array" ref="AX540">COUNTA(_xlfn.UNIQUE(_xlfn._xlws.FILTER(HS_DB[Partner],HS_DB[HS Code]=HS_DB[[#This Row],[HS Code]])))</f>
        <v>1</v>
      </c>
      <c r="AY540" s="8" t="str">
        <f>IF(HS_DB[[#This Row],[Competition Intensity]]&lt;=2,"Highly Concentrated",
 IF(HS_DB[[#This Row],[Competition Intensity]]&lt;=5,"Moderate",
 "Highly Competitive"))</f>
        <v>Highly Concentrated</v>
      </c>
      <c r="AZ540" s="8">
        <f>HS_DB[[#This Row],[Total Market Size - USD]]
*
(1+IFERROR(#REF!,0))
/
HS_DB[[#This Row],[Competition Intensity]]</f>
        <v>16006519</v>
      </c>
      <c r="BA540" s="8" t="str">
        <f>IF(HS_DB[[#This Row],[Commercial Opportunity Score]]&gt;=PERCENTILE(HS_DB[Commercial Opportunity Score],0.9),"High Opportunity",
 IF(HS_DB[[#This Row],[Commercial Opportunity Score]]&gt;=PERCENTILE(HS_DB[Commercial Opportunity Score],0.6),"Medium Opportunity",
 "Routine Market"))</f>
        <v>Medium Opportunity</v>
      </c>
      <c r="BB540" s="3" t="str">
        <f>IF(AND(HS_DB[[#This Row],[Product Rank]]&gt;0,HS_DB[[#This Row],[Product Rank]]&lt;=10),"Yes","No")</f>
        <v>No</v>
      </c>
      <c r="BC540" s="3" t="str">
        <f>IF(AND(HS_DB[[#This Row],[Origin Rank]]&gt;0,HS_DB[[#This Row],[Origin Rank]]&lt;=10),"Yes","No")</f>
        <v>Yes</v>
      </c>
    </row>
    <row r="541" spans="2:55" x14ac:dyDescent="0.3">
      <c r="B541" s="66">
        <f>HS_DB[[#This Row],[Commodity Code]]</f>
        <v>290532</v>
      </c>
      <c r="C541" s="66">
        <f>IFERROR(INDEX(HS_MD!C:C,MATCH(B541,HS_MD!B:B,0),1),"")</f>
        <v>45</v>
      </c>
      <c r="D541" s="75" t="str">
        <f>IFERROR(INDEX(HS_MD!D:D,MATCH(B541,HS_MD!B:B,0),1),"")</f>
        <v>Propylene glycol (propane-1,2-diol)</v>
      </c>
      <c r="E541" s="75" t="str">
        <f>IFERROR(INDEX(HS_MD!E:E,MATCH(B541,HS_MD!B:B,0),1),"")</f>
        <v>Propylene Glycol</v>
      </c>
      <c r="F541" s="75" t="str">
        <f>IFERROR(INDEX(HS_MD!F:F,MATCH(B541,HS_MD!B:B,0),1),"")</f>
        <v>Food Ingredients</v>
      </c>
      <c r="G541" s="75" t="str">
        <f>IFERROR(INDEX(HS_MD!G:G,MATCH(B541,HS_MD!B:B,0),1),"")</f>
        <v>Solvents &amp; Humectants</v>
      </c>
      <c r="H541" s="75" t="str">
        <f>IFERROR(INDEX(HS_MD!H:H,MATCH(B541,HS_MD!B:B,0),1),"")</f>
        <v>Propylene Glycol</v>
      </c>
      <c r="I541" s="75" t="str">
        <f>IFERROR(INDEX(HS_MD!I:I,MATCH(B541,HS_MD!B:B,0),1),"")</f>
        <v>Beverages / Flavors / Pharma / Cosmetics</v>
      </c>
      <c r="J541" s="75">
        <f>IFERROR(INDEX(Heat_Map[Index],MATCH(HS_DB[[#This Row],[Reporter]],Heat_Map[Global],0),1),"")</f>
        <v>75</v>
      </c>
      <c r="K541" s="75" t="str">
        <f>IF(AND(HS_DB[[#This Row],[Origin Rank]]&gt;1,HS_DB[[#This Row],[Origin Rank]]&lt;=10),"Yes","No")</f>
        <v>No</v>
      </c>
      <c r="L541" s="2">
        <v>2024</v>
      </c>
      <c r="M541" s="2" t="s">
        <v>57</v>
      </c>
      <c r="N541" s="2" t="s">
        <v>8</v>
      </c>
      <c r="O541" s="2" t="s">
        <v>22</v>
      </c>
      <c r="P541" s="2" t="s">
        <v>23</v>
      </c>
      <c r="Q541" s="2" t="s">
        <v>24</v>
      </c>
      <c r="R541" s="2" t="s">
        <v>25</v>
      </c>
      <c r="S541" s="2">
        <v>290532</v>
      </c>
      <c r="T541" s="3">
        <v>18380</v>
      </c>
      <c r="U541" s="3">
        <v>4887.7</v>
      </c>
      <c r="V541" s="3">
        <v>0</v>
      </c>
      <c r="W541" s="3">
        <v>4888</v>
      </c>
      <c r="X541" s="3" t="s">
        <v>58</v>
      </c>
      <c r="Y541" s="3">
        <v>4852</v>
      </c>
      <c r="Z541" s="3" t="s">
        <v>58</v>
      </c>
      <c r="AA541" s="6">
        <f>SUMIFS(HS_DB[Trade Value - USD],HS_DB[Reporter],HS_DB[[#This Row],[Reporter]])/SUM(HS_DB[Trade Value - USD])</f>
        <v>2.2441761060335613E-2</v>
      </c>
      <c r="AB541" s="8" cm="1">
        <f t="array" ref="AB541">SUMPRODUCT(
(HS_DB[Reporter]=HS_DB[[#This Row],[Reporter]])*
(HS_DB[Trade Value - USD]&gt;HS_DB[[#This Row],[Trade Value - USD]])
)+1</f>
        <v>32</v>
      </c>
      <c r="AC541" s="8" t="str">
        <f>IFERROR(IF(INDEX(Heat_Map[Crisis Impact %],MATCH(HS_DB[[#This Row],[Reporter]],Heat_Map[Global],0),1)&gt;0,"Yes","No"),"No")</f>
        <v>No</v>
      </c>
      <c r="AD541" s="6">
        <f>IFERROR(INDEX(Heat_Map[Crisis Impact %],MATCH(HS_DB[[#This Row],[Reporter]],Heat_Map[Global],0),1),0)</f>
        <v>0</v>
      </c>
      <c r="AE541" s="8">
        <f>HS_DB[[#This Row],[Crisis Impact%]]*HS_DB[[#This Row],[Trade Value - USD]]</f>
        <v>0</v>
      </c>
      <c r="AF541" s="8">
        <f>HS_DB[[#This Row],[Crisis Impact%]]*HS_DB[[#This Row],[Net Weight -KG]]</f>
        <v>0</v>
      </c>
      <c r="AG541" s="6">
        <f>SUMIFS(HS_DB[Trade Value - USD],HS_DB[Products],HS_DB[[#This Row],[Products]])/SUM(HS_DB[Trade Value - USD])</f>
        <v>8.4914845993256851E-3</v>
      </c>
      <c r="AH541" s="8">
        <f>_xlfn.RANK.EQ(HS_DB[[#This Row],[Trade Value - USD]], HS_DB[Trade Value - USD], 0)
 + COUNTIFS(HS_DB[Trade Value - USD],HS_DB[[#This Row],[Trade Value - USD]],
            HS_DB[HS Code],"&lt;"&amp;HS_DB[[#This Row],[HS Code]])</f>
        <v>384</v>
      </c>
      <c r="AI541" s="9">
        <f>IFERROR(HS_DB[[#This Row],[Trade Value - USD]]/HS_DB[[#This Row],[Net Weight -KG]],0)</f>
        <v>3.7604599300284387</v>
      </c>
      <c r="AJ541" s="75" cm="1">
        <f t="array" ref="AJ541">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541" s="75" t="str">
        <f>IF(HS_DB[[#This Row],[HS Code Risk Score]]&gt;=40,"High",
 IF(HS_DB[[#This Row],[HS Code Risk Score]]&gt;=25,"Medium","Low"))</f>
        <v>Medium</v>
      </c>
      <c r="AL541" s="75" t="str">
        <f>IF(RANK(HS_DB[[#This Row],[HS Code Risk Score]],HS_DB[HS Code Risk Score])&lt;=10,"Yes","No")</f>
        <v>No</v>
      </c>
      <c r="AM541" s="8">
        <f>SUMIFS(HS_DB[Net Weight -KG],HS_DB[HS Code],HS_DB[[#This Row],[HS Code]])</f>
        <v>12795114.299999999</v>
      </c>
      <c r="AN541" s="8">
        <f>SUMIFS(HS_DB[Trade Value - USD],HS_DB[HS Code],HS_DB[[#This Row],[HS Code]])</f>
        <v>16006519</v>
      </c>
      <c r="AO541" s="6">
        <f>_xlfn.MAXIFS(HS_DB[Origin Share%],HS_DB[HS Code],HS_DB[[#This Row],[HS Code]])</f>
        <v>6.321329281187793E-2</v>
      </c>
      <c r="AP541" s="8" cm="1">
        <f t="array" ref="AP541">_xlfn.LET(
_xlpm.hs,HS_DB[[#This Row],[HS Code]],
COUNTA(_xlfn.UNIQUE(_xlfn._xlws.FILTER(HS_DB[Reporter],HS_DB[HS Code]=_xlpm.hs)))
)</f>
        <v>12</v>
      </c>
      <c r="AQ541" s="75" t="str">
        <f>IF(HS_DB[[#This Row],[Origin Count]]=1,"Single Source","Multiple Sources")</f>
        <v>Multiple Sources</v>
      </c>
      <c r="AR541" s="8">
        <f>HS_DB[[#This Row],[Annual Spend - USD]]*(HS_DB[[#This Row],[HS Code Risk Score]]/100)</f>
        <v>5442216.46</v>
      </c>
      <c r="AS541" s="8">
        <f>RANK(HS_DB[[#This Row],[Risk Exposure - USD]],HS_DB[Risk Exposure - USD],0)</f>
        <v>132</v>
      </c>
      <c r="AT541" s="8" t="str">
        <f>IF(HS_DB[[#This Row],[Risk Exposure Rank]]&lt;=10,"High",
 IF(HS_DB[[#This Row],[Risk Exposure Rank]]&lt;=30,"Medium",
 "Low"))</f>
        <v>Low</v>
      </c>
      <c r="AU541" s="8" t="str">
        <f>IF(HS_DB[[#This Row],[Risk Exposure Rank]]&lt;=5,"Immediate Action",
 IF(HS_DB[[#This Row],[Risk Exposure Rank]]&lt;=15,"Monitor Closely",
 "Routine Control"))</f>
        <v>Routine Control</v>
      </c>
      <c r="AV541" s="8">
        <f>SUMIFS(HS_DB[Trade Value - USD],HS_DB[HS Code],HS_DB[[#This Row],[HS Code]])</f>
        <v>16006519</v>
      </c>
      <c r="AW541" s="6">
        <f>HS_DB[[#This Row],[Annual Spend - USD]]/HS_DB[[#This Row],[Total Market Size - USD]]</f>
        <v>1</v>
      </c>
      <c r="AX541" s="6" cm="1">
        <f t="array" ref="AX541">COUNTA(_xlfn.UNIQUE(_xlfn._xlws.FILTER(HS_DB[Partner],HS_DB[HS Code]=HS_DB[[#This Row],[HS Code]])))</f>
        <v>1</v>
      </c>
      <c r="AY541" s="8" t="str">
        <f>IF(HS_DB[[#This Row],[Competition Intensity]]&lt;=2,"Highly Concentrated",
 IF(HS_DB[[#This Row],[Competition Intensity]]&lt;=5,"Moderate",
 "Highly Competitive"))</f>
        <v>Highly Concentrated</v>
      </c>
      <c r="AZ541" s="8">
        <f>HS_DB[[#This Row],[Total Market Size - USD]]
*
(1+IFERROR(#REF!,0))
/
HS_DB[[#This Row],[Competition Intensity]]</f>
        <v>16006519</v>
      </c>
      <c r="BA541" s="8" t="str">
        <f>IF(HS_DB[[#This Row],[Commercial Opportunity Score]]&gt;=PERCENTILE(HS_DB[Commercial Opportunity Score],0.9),"High Opportunity",
 IF(HS_DB[[#This Row],[Commercial Opportunity Score]]&gt;=PERCENTILE(HS_DB[Commercial Opportunity Score],0.6),"Medium Opportunity",
 "Routine Market"))</f>
        <v>Medium Opportunity</v>
      </c>
      <c r="BB541" s="3" t="str">
        <f>IF(AND(HS_DB[[#This Row],[Product Rank]]&gt;0,HS_DB[[#This Row],[Product Rank]]&lt;=10),"Yes","No")</f>
        <v>No</v>
      </c>
      <c r="BC541" s="3" t="str">
        <f>IF(AND(HS_DB[[#This Row],[Origin Rank]]&gt;0,HS_DB[[#This Row],[Origin Rank]]&lt;=10),"Yes","No")</f>
        <v>No</v>
      </c>
    </row>
    <row r="542" spans="2:55" x14ac:dyDescent="0.3">
      <c r="B542" s="66">
        <f>HS_DB[[#This Row],[Commodity Code]]</f>
        <v>290532</v>
      </c>
      <c r="C542" s="66">
        <f>IFERROR(INDEX(HS_MD!C:C,MATCH(B542,HS_MD!B:B,0),1),"")</f>
        <v>45</v>
      </c>
      <c r="D542" s="75" t="str">
        <f>IFERROR(INDEX(HS_MD!D:D,MATCH(B542,HS_MD!B:B,0),1),"")</f>
        <v>Propylene glycol (propane-1,2-diol)</v>
      </c>
      <c r="E542" s="75" t="str">
        <f>IFERROR(INDEX(HS_MD!E:E,MATCH(B542,HS_MD!B:B,0),1),"")</f>
        <v>Propylene Glycol</v>
      </c>
      <c r="F542" s="75" t="str">
        <f>IFERROR(INDEX(HS_MD!F:F,MATCH(B542,HS_MD!B:B,0),1),"")</f>
        <v>Food Ingredients</v>
      </c>
      <c r="G542" s="75" t="str">
        <f>IFERROR(INDEX(HS_MD!G:G,MATCH(B542,HS_MD!B:B,0),1),"")</f>
        <v>Solvents &amp; Humectants</v>
      </c>
      <c r="H542" s="75" t="str">
        <f>IFERROR(INDEX(HS_MD!H:H,MATCH(B542,HS_MD!B:B,0),1),"")</f>
        <v>Propylene Glycol</v>
      </c>
      <c r="I542" s="75" t="str">
        <f>IFERROR(INDEX(HS_MD!I:I,MATCH(B542,HS_MD!B:B,0),1),"")</f>
        <v>Beverages / Flavors / Pharma / Cosmetics</v>
      </c>
      <c r="J542" s="75">
        <f>IFERROR(INDEX(Heat_Map[Index],MATCH(HS_DB[[#This Row],[Reporter]],Heat_Map[Global],0),1),"")</f>
        <v>159</v>
      </c>
      <c r="K542" s="75" t="str">
        <f>IF(AND(HS_DB[[#This Row],[Origin Rank]]&gt;1,HS_DB[[#This Row],[Origin Rank]]&lt;=10),"Yes","No")</f>
        <v>Yes</v>
      </c>
      <c r="L542" s="2">
        <v>2024</v>
      </c>
      <c r="M542" s="2" t="s">
        <v>57</v>
      </c>
      <c r="N542" s="2" t="s">
        <v>30</v>
      </c>
      <c r="O542" s="2" t="s">
        <v>22</v>
      </c>
      <c r="P542" s="2" t="s">
        <v>23</v>
      </c>
      <c r="Q542" s="2" t="s">
        <v>24</v>
      </c>
      <c r="R542" s="2" t="s">
        <v>25</v>
      </c>
      <c r="S542" s="2">
        <v>290532</v>
      </c>
      <c r="T542" s="3">
        <v>376959</v>
      </c>
      <c r="U542" s="3">
        <v>189275</v>
      </c>
      <c r="V542" s="3">
        <v>0</v>
      </c>
      <c r="W542" s="3">
        <v>189275</v>
      </c>
      <c r="X542" s="3" t="s">
        <v>58</v>
      </c>
      <c r="Y542" s="3">
        <v>189275</v>
      </c>
      <c r="Z542" s="3" t="s">
        <v>58</v>
      </c>
      <c r="AA542" s="6">
        <f>SUMIFS(HS_DB[Trade Value - USD],HS_DB[Reporter],HS_DB[[#This Row],[Reporter]])/SUM(HS_DB[Trade Value - USD])</f>
        <v>6.110186869383482E-3</v>
      </c>
      <c r="AB542" s="8" cm="1">
        <f t="array" ref="AB542">SUMPRODUCT(
(HS_DB[Reporter]=HS_DB[[#This Row],[Reporter]])*
(HS_DB[Trade Value - USD]&gt;HS_DB[[#This Row],[Trade Value - USD]])
)+1</f>
        <v>8</v>
      </c>
      <c r="AC542" s="8" t="str">
        <f>IFERROR(IF(INDEX(Heat_Map[Crisis Impact %],MATCH(HS_DB[[#This Row],[Reporter]],Heat_Map[Global],0),1)&gt;0,"Yes","No"),"No")</f>
        <v>No</v>
      </c>
      <c r="AD542" s="6">
        <f>IFERROR(INDEX(Heat_Map[Crisis Impact %],MATCH(HS_DB[[#This Row],[Reporter]],Heat_Map[Global],0),1),0)</f>
        <v>0</v>
      </c>
      <c r="AE542" s="8">
        <f>HS_DB[[#This Row],[Crisis Impact%]]*HS_DB[[#This Row],[Trade Value - USD]]</f>
        <v>0</v>
      </c>
      <c r="AF542" s="8">
        <f>HS_DB[[#This Row],[Crisis Impact%]]*HS_DB[[#This Row],[Net Weight -KG]]</f>
        <v>0</v>
      </c>
      <c r="AG542" s="6">
        <f>SUMIFS(HS_DB[Trade Value - USD],HS_DB[Products],HS_DB[[#This Row],[Products]])/SUM(HS_DB[Trade Value - USD])</f>
        <v>8.4914845993256851E-3</v>
      </c>
      <c r="AH542" s="8">
        <f>_xlfn.RANK.EQ(HS_DB[[#This Row],[Trade Value - USD]], HS_DB[Trade Value - USD], 0)
 + COUNTIFS(HS_DB[Trade Value - USD],HS_DB[[#This Row],[Trade Value - USD]],
            HS_DB[HS Code],"&lt;"&amp;HS_DB[[#This Row],[HS Code]])</f>
        <v>165</v>
      </c>
      <c r="AI542" s="9">
        <f>IFERROR(HS_DB[[#This Row],[Trade Value - USD]]/HS_DB[[#This Row],[Net Weight -KG]],0)</f>
        <v>1.9915942411834633</v>
      </c>
      <c r="AJ542" s="75" cm="1">
        <f t="array" ref="AJ542">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542" s="75" t="str">
        <f>IF(HS_DB[[#This Row],[HS Code Risk Score]]&gt;=40,"High",
 IF(HS_DB[[#This Row],[HS Code Risk Score]]&gt;=25,"Medium","Low"))</f>
        <v>Medium</v>
      </c>
      <c r="AL542" s="75" t="str">
        <f>IF(RANK(HS_DB[[#This Row],[HS Code Risk Score]],HS_DB[HS Code Risk Score])&lt;=10,"Yes","No")</f>
        <v>No</v>
      </c>
      <c r="AM542" s="8">
        <f>SUMIFS(HS_DB[Net Weight -KG],HS_DB[HS Code],HS_DB[[#This Row],[HS Code]])</f>
        <v>12795114.299999999</v>
      </c>
      <c r="AN542" s="8">
        <f>SUMIFS(HS_DB[Trade Value - USD],HS_DB[HS Code],HS_DB[[#This Row],[HS Code]])</f>
        <v>16006519</v>
      </c>
      <c r="AO542" s="6">
        <f>_xlfn.MAXIFS(HS_DB[Origin Share%],HS_DB[HS Code],HS_DB[[#This Row],[HS Code]])</f>
        <v>6.321329281187793E-2</v>
      </c>
      <c r="AP542" s="8" cm="1">
        <f t="array" ref="AP542">_xlfn.LET(
_xlpm.hs,HS_DB[[#This Row],[HS Code]],
COUNTA(_xlfn.UNIQUE(_xlfn._xlws.FILTER(HS_DB[Reporter],HS_DB[HS Code]=_xlpm.hs)))
)</f>
        <v>12</v>
      </c>
      <c r="AQ542" s="75" t="str">
        <f>IF(HS_DB[[#This Row],[Origin Count]]=1,"Single Source","Multiple Sources")</f>
        <v>Multiple Sources</v>
      </c>
      <c r="AR542" s="8">
        <f>HS_DB[[#This Row],[Annual Spend - USD]]*(HS_DB[[#This Row],[HS Code Risk Score]]/100)</f>
        <v>5442216.46</v>
      </c>
      <c r="AS542" s="8">
        <f>RANK(HS_DB[[#This Row],[Risk Exposure - USD]],HS_DB[Risk Exposure - USD],0)</f>
        <v>132</v>
      </c>
      <c r="AT542" s="8" t="str">
        <f>IF(HS_DB[[#This Row],[Risk Exposure Rank]]&lt;=10,"High",
 IF(HS_DB[[#This Row],[Risk Exposure Rank]]&lt;=30,"Medium",
 "Low"))</f>
        <v>Low</v>
      </c>
      <c r="AU542" s="8" t="str">
        <f>IF(HS_DB[[#This Row],[Risk Exposure Rank]]&lt;=5,"Immediate Action",
 IF(HS_DB[[#This Row],[Risk Exposure Rank]]&lt;=15,"Monitor Closely",
 "Routine Control"))</f>
        <v>Routine Control</v>
      </c>
      <c r="AV542" s="8">
        <f>SUMIFS(HS_DB[Trade Value - USD],HS_DB[HS Code],HS_DB[[#This Row],[HS Code]])</f>
        <v>16006519</v>
      </c>
      <c r="AW542" s="6">
        <f>HS_DB[[#This Row],[Annual Spend - USD]]/HS_DB[[#This Row],[Total Market Size - USD]]</f>
        <v>1</v>
      </c>
      <c r="AX542" s="6" cm="1">
        <f t="array" ref="AX542">COUNTA(_xlfn.UNIQUE(_xlfn._xlws.FILTER(HS_DB[Partner],HS_DB[HS Code]=HS_DB[[#This Row],[HS Code]])))</f>
        <v>1</v>
      </c>
      <c r="AY542" s="8" t="str">
        <f>IF(HS_DB[[#This Row],[Competition Intensity]]&lt;=2,"Highly Concentrated",
 IF(HS_DB[[#This Row],[Competition Intensity]]&lt;=5,"Moderate",
 "Highly Competitive"))</f>
        <v>Highly Concentrated</v>
      </c>
      <c r="AZ542" s="8">
        <f>HS_DB[[#This Row],[Total Market Size - USD]]
*
(1+IFERROR(#REF!,0))
/
HS_DB[[#This Row],[Competition Intensity]]</f>
        <v>16006519</v>
      </c>
      <c r="BA542" s="8" t="str">
        <f>IF(HS_DB[[#This Row],[Commercial Opportunity Score]]&gt;=PERCENTILE(HS_DB[Commercial Opportunity Score],0.9),"High Opportunity",
 IF(HS_DB[[#This Row],[Commercial Opportunity Score]]&gt;=PERCENTILE(HS_DB[Commercial Opportunity Score],0.6),"Medium Opportunity",
 "Routine Market"))</f>
        <v>Medium Opportunity</v>
      </c>
      <c r="BB542" s="3" t="str">
        <f>IF(AND(HS_DB[[#This Row],[Product Rank]]&gt;0,HS_DB[[#This Row],[Product Rank]]&lt;=10),"Yes","No")</f>
        <v>No</v>
      </c>
      <c r="BC542" s="3" t="str">
        <f>IF(AND(HS_DB[[#This Row],[Origin Rank]]&gt;0,HS_DB[[#This Row],[Origin Rank]]&lt;=10),"Yes","No")</f>
        <v>Yes</v>
      </c>
    </row>
    <row r="543" spans="2:55" x14ac:dyDescent="0.3">
      <c r="B543" s="66">
        <f>HS_DB[[#This Row],[Commodity Code]]</f>
        <v>290532</v>
      </c>
      <c r="C543" s="66">
        <f>IFERROR(INDEX(HS_MD!C:C,MATCH(B543,HS_MD!B:B,0),1),"")</f>
        <v>45</v>
      </c>
      <c r="D543" s="75" t="str">
        <f>IFERROR(INDEX(HS_MD!D:D,MATCH(B543,HS_MD!B:B,0),1),"")</f>
        <v>Propylene glycol (propane-1,2-diol)</v>
      </c>
      <c r="E543" s="75" t="str">
        <f>IFERROR(INDEX(HS_MD!E:E,MATCH(B543,HS_MD!B:B,0),1),"")</f>
        <v>Propylene Glycol</v>
      </c>
      <c r="F543" s="75" t="str">
        <f>IFERROR(INDEX(HS_MD!F:F,MATCH(B543,HS_MD!B:B,0),1),"")</f>
        <v>Food Ingredients</v>
      </c>
      <c r="G543" s="75" t="str">
        <f>IFERROR(INDEX(HS_MD!G:G,MATCH(B543,HS_MD!B:B,0),1),"")</f>
        <v>Solvents &amp; Humectants</v>
      </c>
      <c r="H543" s="75" t="str">
        <f>IFERROR(INDEX(HS_MD!H:H,MATCH(B543,HS_MD!B:B,0),1),"")</f>
        <v>Propylene Glycol</v>
      </c>
      <c r="I543" s="75" t="str">
        <f>IFERROR(INDEX(HS_MD!I:I,MATCH(B543,HS_MD!B:B,0),1),"")</f>
        <v>Beverages / Flavors / Pharma / Cosmetics</v>
      </c>
      <c r="J543" s="75">
        <f>IFERROR(INDEX(Heat_Map[Index],MATCH(HS_DB[[#This Row],[Reporter]],Heat_Map[Global],0),1),"")</f>
        <v>175</v>
      </c>
      <c r="K543" s="75" t="str">
        <f>IF(AND(HS_DB[[#This Row],[Origin Rank]]&gt;1,HS_DB[[#This Row],[Origin Rank]]&lt;=10),"Yes","No")</f>
        <v>No</v>
      </c>
      <c r="L543" s="2">
        <v>2024</v>
      </c>
      <c r="M543" s="2" t="s">
        <v>57</v>
      </c>
      <c r="N543" s="2" t="s">
        <v>34</v>
      </c>
      <c r="O543" s="2" t="s">
        <v>22</v>
      </c>
      <c r="P543" s="2" t="s">
        <v>23</v>
      </c>
      <c r="Q543" s="2" t="s">
        <v>24</v>
      </c>
      <c r="R543" s="2" t="s">
        <v>25</v>
      </c>
      <c r="S543" s="2">
        <v>290532</v>
      </c>
      <c r="T543" s="3">
        <v>125606</v>
      </c>
      <c r="U543" s="3">
        <v>84080</v>
      </c>
      <c r="V543" s="3">
        <v>0</v>
      </c>
      <c r="W543" s="3">
        <v>84080</v>
      </c>
      <c r="X543" s="3" t="s">
        <v>58</v>
      </c>
      <c r="Y543" s="3">
        <v>84080</v>
      </c>
      <c r="Z543" s="3" t="s">
        <v>58</v>
      </c>
      <c r="AA543" s="6">
        <f>SUMIFS(HS_DB[Trade Value - USD],HS_DB[Reporter],HS_DB[[#This Row],[Reporter]])/SUM(HS_DB[Trade Value - USD])</f>
        <v>4.7522902002533667E-2</v>
      </c>
      <c r="AB543" s="8" cm="1">
        <f t="array" ref="AB543">SUMPRODUCT(
(HS_DB[Reporter]=HS_DB[[#This Row],[Reporter]])*
(HS_DB[Trade Value - USD]&gt;HS_DB[[#This Row],[Trade Value - USD]])
)+1</f>
        <v>24</v>
      </c>
      <c r="AC543" s="8" t="str">
        <f>IFERROR(IF(INDEX(Heat_Map[Crisis Impact %],MATCH(HS_DB[[#This Row],[Reporter]],Heat_Map[Global],0),1)&gt;0,"Yes","No"),"No")</f>
        <v>Yes</v>
      </c>
      <c r="AD543" s="6">
        <f>IFERROR(INDEX(Heat_Map[Crisis Impact %],MATCH(HS_DB[[#This Row],[Reporter]],Heat_Map[Global],0),1),0)</f>
        <v>0.1</v>
      </c>
      <c r="AE543" s="8">
        <f>HS_DB[[#This Row],[Crisis Impact%]]*HS_DB[[#This Row],[Trade Value - USD]]</f>
        <v>12560.6</v>
      </c>
      <c r="AF543" s="8">
        <f>HS_DB[[#This Row],[Crisis Impact%]]*HS_DB[[#This Row],[Net Weight -KG]]</f>
        <v>8408</v>
      </c>
      <c r="AG543" s="6">
        <f>SUMIFS(HS_DB[Trade Value - USD],HS_DB[Products],HS_DB[[#This Row],[Products]])/SUM(HS_DB[Trade Value - USD])</f>
        <v>8.4914845993256851E-3</v>
      </c>
      <c r="AH543" s="8">
        <f>_xlfn.RANK.EQ(HS_DB[[#This Row],[Trade Value - USD]], HS_DB[Trade Value - USD], 0)
 + COUNTIFS(HS_DB[Trade Value - USD],HS_DB[[#This Row],[Trade Value - USD]],
            HS_DB[HS Code],"&lt;"&amp;HS_DB[[#This Row],[HS Code]])</f>
        <v>259</v>
      </c>
      <c r="AI543" s="9">
        <f>IFERROR(HS_DB[[#This Row],[Trade Value - USD]]/HS_DB[[#This Row],[Net Weight -KG]],0)</f>
        <v>1.4938867745004758</v>
      </c>
      <c r="AJ543" s="75" cm="1">
        <f t="array" ref="AJ543">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543" s="75" t="str">
        <f>IF(HS_DB[[#This Row],[HS Code Risk Score]]&gt;=40,"High",
 IF(HS_DB[[#This Row],[HS Code Risk Score]]&gt;=25,"Medium","Low"))</f>
        <v>Medium</v>
      </c>
      <c r="AL543" s="75" t="str">
        <f>IF(RANK(HS_DB[[#This Row],[HS Code Risk Score]],HS_DB[HS Code Risk Score])&lt;=10,"Yes","No")</f>
        <v>No</v>
      </c>
      <c r="AM543" s="8">
        <f>SUMIFS(HS_DB[Net Weight -KG],HS_DB[HS Code],HS_DB[[#This Row],[HS Code]])</f>
        <v>12795114.299999999</v>
      </c>
      <c r="AN543" s="8">
        <f>SUMIFS(HS_DB[Trade Value - USD],HS_DB[HS Code],HS_DB[[#This Row],[HS Code]])</f>
        <v>16006519</v>
      </c>
      <c r="AO543" s="6">
        <f>_xlfn.MAXIFS(HS_DB[Origin Share%],HS_DB[HS Code],HS_DB[[#This Row],[HS Code]])</f>
        <v>6.321329281187793E-2</v>
      </c>
      <c r="AP543" s="8" cm="1">
        <f t="array" ref="AP543">_xlfn.LET(
_xlpm.hs,HS_DB[[#This Row],[HS Code]],
COUNTA(_xlfn.UNIQUE(_xlfn._xlws.FILTER(HS_DB[Reporter],HS_DB[HS Code]=_xlpm.hs)))
)</f>
        <v>12</v>
      </c>
      <c r="AQ543" s="75" t="str">
        <f>IF(HS_DB[[#This Row],[Origin Count]]=1,"Single Source","Multiple Sources")</f>
        <v>Multiple Sources</v>
      </c>
      <c r="AR543" s="8">
        <f>HS_DB[[#This Row],[Annual Spend - USD]]*(HS_DB[[#This Row],[HS Code Risk Score]]/100)</f>
        <v>5442216.46</v>
      </c>
      <c r="AS543" s="8">
        <f>RANK(HS_DB[[#This Row],[Risk Exposure - USD]],HS_DB[Risk Exposure - USD],0)</f>
        <v>132</v>
      </c>
      <c r="AT543" s="8" t="str">
        <f>IF(HS_DB[[#This Row],[Risk Exposure Rank]]&lt;=10,"High",
 IF(HS_DB[[#This Row],[Risk Exposure Rank]]&lt;=30,"Medium",
 "Low"))</f>
        <v>Low</v>
      </c>
      <c r="AU543" s="8" t="str">
        <f>IF(HS_DB[[#This Row],[Risk Exposure Rank]]&lt;=5,"Immediate Action",
 IF(HS_DB[[#This Row],[Risk Exposure Rank]]&lt;=15,"Monitor Closely",
 "Routine Control"))</f>
        <v>Routine Control</v>
      </c>
      <c r="AV543" s="8">
        <f>SUMIFS(HS_DB[Trade Value - USD],HS_DB[HS Code],HS_DB[[#This Row],[HS Code]])</f>
        <v>16006519</v>
      </c>
      <c r="AW543" s="6">
        <f>HS_DB[[#This Row],[Annual Spend - USD]]/HS_DB[[#This Row],[Total Market Size - USD]]</f>
        <v>1</v>
      </c>
      <c r="AX543" s="6" cm="1">
        <f t="array" ref="AX543">COUNTA(_xlfn.UNIQUE(_xlfn._xlws.FILTER(HS_DB[Partner],HS_DB[HS Code]=HS_DB[[#This Row],[HS Code]])))</f>
        <v>1</v>
      </c>
      <c r="AY543" s="8" t="str">
        <f>IF(HS_DB[[#This Row],[Competition Intensity]]&lt;=2,"Highly Concentrated",
 IF(HS_DB[[#This Row],[Competition Intensity]]&lt;=5,"Moderate",
 "Highly Competitive"))</f>
        <v>Highly Concentrated</v>
      </c>
      <c r="AZ543" s="8">
        <f>HS_DB[[#This Row],[Total Market Size - USD]]
*
(1+IFERROR(#REF!,0))
/
HS_DB[[#This Row],[Competition Intensity]]</f>
        <v>16006519</v>
      </c>
      <c r="BA543" s="8" t="str">
        <f>IF(HS_DB[[#This Row],[Commercial Opportunity Score]]&gt;=PERCENTILE(HS_DB[Commercial Opportunity Score],0.9),"High Opportunity",
 IF(HS_DB[[#This Row],[Commercial Opportunity Score]]&gt;=PERCENTILE(HS_DB[Commercial Opportunity Score],0.6),"Medium Opportunity",
 "Routine Market"))</f>
        <v>Medium Opportunity</v>
      </c>
      <c r="BB543" s="3" t="str">
        <f>IF(AND(HS_DB[[#This Row],[Product Rank]]&gt;0,HS_DB[[#This Row],[Product Rank]]&lt;=10),"Yes","No")</f>
        <v>No</v>
      </c>
      <c r="BC543" s="3" t="str">
        <f>IF(AND(HS_DB[[#This Row],[Origin Rank]]&gt;0,HS_DB[[#This Row],[Origin Rank]]&lt;=10),"Yes","No")</f>
        <v>No</v>
      </c>
    </row>
    <row r="544" spans="2:55" x14ac:dyDescent="0.3">
      <c r="B544" s="66">
        <f>HS_DB[[#This Row],[Commodity Code]]</f>
        <v>290532</v>
      </c>
      <c r="C544" s="66">
        <f>IFERROR(INDEX(HS_MD!C:C,MATCH(B544,HS_MD!B:B,0),1),"")</f>
        <v>45</v>
      </c>
      <c r="D544" s="75" t="str">
        <f>IFERROR(INDEX(HS_MD!D:D,MATCH(B544,HS_MD!B:B,0),1),"")</f>
        <v>Propylene glycol (propane-1,2-diol)</v>
      </c>
      <c r="E544" s="75" t="str">
        <f>IFERROR(INDEX(HS_MD!E:E,MATCH(B544,HS_MD!B:B,0),1),"")</f>
        <v>Propylene Glycol</v>
      </c>
      <c r="F544" s="75" t="str">
        <f>IFERROR(INDEX(HS_MD!F:F,MATCH(B544,HS_MD!B:B,0),1),"")</f>
        <v>Food Ingredients</v>
      </c>
      <c r="G544" s="75" t="str">
        <f>IFERROR(INDEX(HS_MD!G:G,MATCH(B544,HS_MD!B:B,0),1),"")</f>
        <v>Solvents &amp; Humectants</v>
      </c>
      <c r="H544" s="75" t="str">
        <f>IFERROR(INDEX(HS_MD!H:H,MATCH(B544,HS_MD!B:B,0),1),"")</f>
        <v>Propylene Glycol</v>
      </c>
      <c r="I544" s="75" t="str">
        <f>IFERROR(INDEX(HS_MD!I:I,MATCH(B544,HS_MD!B:B,0),1),"")</f>
        <v>Beverages / Flavors / Pharma / Cosmetics</v>
      </c>
      <c r="J544" s="75">
        <f>IFERROR(INDEX(Heat_Map[Index],MATCH(HS_DB[[#This Row],[Reporter]],Heat_Map[Global],0),1),"")</f>
        <v>182</v>
      </c>
      <c r="K544" s="75" t="str">
        <f>IF(AND(HS_DB[[#This Row],[Origin Rank]]&gt;1,HS_DB[[#This Row],[Origin Rank]]&lt;=10),"Yes","No")</f>
        <v>No</v>
      </c>
      <c r="L544" s="2">
        <v>2024</v>
      </c>
      <c r="M544" s="2" t="s">
        <v>57</v>
      </c>
      <c r="N544" s="2" t="s">
        <v>56</v>
      </c>
      <c r="O544" s="2" t="s">
        <v>22</v>
      </c>
      <c r="P544" s="2" t="s">
        <v>23</v>
      </c>
      <c r="Q544" s="2" t="s">
        <v>24</v>
      </c>
      <c r="R544" s="2" t="s">
        <v>25</v>
      </c>
      <c r="S544" s="2">
        <v>290532</v>
      </c>
      <c r="T544" s="3">
        <v>3696</v>
      </c>
      <c r="U544" s="3">
        <v>764</v>
      </c>
      <c r="V544" s="3">
        <v>0</v>
      </c>
      <c r="W544" s="3">
        <v>764</v>
      </c>
      <c r="X544" s="3" t="s">
        <v>58</v>
      </c>
      <c r="Y544" s="3">
        <v>764</v>
      </c>
      <c r="Z544" s="3" t="s">
        <v>58</v>
      </c>
      <c r="AA544" s="6">
        <f>SUMIFS(HS_DB[Trade Value - USD],HS_DB[Reporter],HS_DB[[#This Row],[Reporter]])/SUM(HS_DB[Trade Value - USD])</f>
        <v>9.425427433633813E-3</v>
      </c>
      <c r="AB544" s="8" cm="1">
        <f t="array" ref="AB544">SUMPRODUCT(
(HS_DB[Reporter]=HS_DB[[#This Row],[Reporter]])*
(HS_DB[Trade Value - USD]&gt;HS_DB[[#This Row],[Trade Value - USD]])
)+1</f>
        <v>24</v>
      </c>
      <c r="AC544" s="8" t="str">
        <f>IFERROR(IF(INDEX(Heat_Map[Crisis Impact %],MATCH(HS_DB[[#This Row],[Reporter]],Heat_Map[Global],0),1)&gt;0,"Yes","No"),"No")</f>
        <v>Yes</v>
      </c>
      <c r="AD544" s="6">
        <f>IFERROR(INDEX(Heat_Map[Crisis Impact %],MATCH(HS_DB[[#This Row],[Reporter]],Heat_Map[Global],0),1),0)</f>
        <v>4.0000000000000008E-2</v>
      </c>
      <c r="AE544" s="8">
        <f>HS_DB[[#This Row],[Crisis Impact%]]*HS_DB[[#This Row],[Trade Value - USD]]</f>
        <v>147.84000000000003</v>
      </c>
      <c r="AF544" s="8">
        <f>HS_DB[[#This Row],[Crisis Impact%]]*HS_DB[[#This Row],[Net Weight -KG]]</f>
        <v>30.560000000000006</v>
      </c>
      <c r="AG544" s="6">
        <f>SUMIFS(HS_DB[Trade Value - USD],HS_DB[Products],HS_DB[[#This Row],[Products]])/SUM(HS_DB[Trade Value - USD])</f>
        <v>8.4914845993256851E-3</v>
      </c>
      <c r="AH544" s="8">
        <f>_xlfn.RANK.EQ(HS_DB[[#This Row],[Trade Value - USD]], HS_DB[Trade Value - USD], 0)
 + COUNTIFS(HS_DB[Trade Value - USD],HS_DB[[#This Row],[Trade Value - USD]],
            HS_DB[HS Code],"&lt;"&amp;HS_DB[[#This Row],[HS Code]])</f>
        <v>449</v>
      </c>
      <c r="AI544" s="9">
        <f>IFERROR(HS_DB[[#This Row],[Trade Value - USD]]/HS_DB[[#This Row],[Net Weight -KG]],0)</f>
        <v>4.837696335078534</v>
      </c>
      <c r="AJ544" s="75" cm="1">
        <f t="array" ref="AJ544">_xlfn.LET(
_xlpm.hs,HS_DB[[#This Row],[HS Code]],
_xlpm.MaxShare,_xlfn.MAXIFS(HS_DB[Origin Share%],HS_DB[HS Code],_xlpm.hs),
_xlpm.ConcRisk,IF(_xlpm.MaxShare&gt;0.8,30,
        IF(_xlpm.MaxShare&gt;0.6,22,
        IF(_xlpm.MaxShare&gt;0.4,12,4))),
_xlpm.AvgPrice,AVERAGEIFS(HS_DB[Weighted Price - USD],HS_DB[HS Code],_xlpm.hs),
_xlpm.StdPrice,_xlfn.STDEV.P(_xlfn._xlws.FILTER(HS_DB[Weighted Price - USD],HS_DB[HS Code]=_xlpm.hs)),
_xlpm.Vol,IFERROR(_xlpm.StdPrice/_xlpm.AvgPrice,0),
_xlpm.PriceRisk,IF(_xlpm.Vol&gt;0.3,25,
         IF(_xlpm.Vol&gt;0.18,16,
         IF(_xlpm.Vol&gt;0.1,8,3))),
_xlpm.CountryCount,COUNTA(_xlfn.UNIQUE(_xlfn._xlws.FILTER(HS_DB[Reporter],HS_DB[HS Code]=_xlpm.hs))),
_xlpm.CountryRisk,IF(_xlpm.CountryCount=1,25,
           IF(_xlpm.CountryCount&lt;=3,16,
           IF(_xlpm.CountryCount&lt;=5,8,3))),
_xlpm.SeaCount,COUNTIFS(HS_DB[HS Code],_xlpm.hs,HS_DB[Transport Mode],"Sea"),
_xlpm.TotalCount,COUNTIF(HS_DB[HS Code],_xlpm.hs),
_xlpm.SeaRatio,IFERROR(_xlpm.SeaCount/_xlpm.TotalCount,0),
_xlpm.TransportRisk,IF(_xlpm.SeaRatio&gt;0.85,15,
            IF(_xlpm.SeaRatio&gt;0.65,10,
            IF(_xlpm.SeaRatio&gt;0.4,6,2))),
_xlpm.ConcRisk+_xlpm.PriceRisk+_xlpm.CountryRisk+_xlpm.TransportRisk
)</f>
        <v>34</v>
      </c>
      <c r="AK544" s="75" t="str">
        <f>IF(HS_DB[[#This Row],[HS Code Risk Score]]&gt;=40,"High",
 IF(HS_DB[[#This Row],[HS Code Risk Score]]&gt;=25,"Medium","Low"))</f>
        <v>Medium</v>
      </c>
      <c r="AL544" s="75" t="str">
        <f>IF(RANK(HS_DB[[#This Row],[HS Code Risk Score]],HS_DB[HS Code Risk Score])&lt;=10,"Yes","No")</f>
        <v>No</v>
      </c>
      <c r="AM544" s="8">
        <f>SUMIFS(HS_DB[Net Weight -KG],HS_DB[HS Code],HS_DB[[#This Row],[HS Code]])</f>
        <v>12795114.299999999</v>
      </c>
      <c r="AN544" s="8">
        <f>SUMIFS(HS_DB[Trade Value - USD],HS_DB[HS Code],HS_DB[[#This Row],[HS Code]])</f>
        <v>16006519</v>
      </c>
      <c r="AO544" s="6">
        <f>_xlfn.MAXIFS(HS_DB[Origin Share%],HS_DB[HS Code],HS_DB[[#This Row],[HS Code]])</f>
        <v>6.321329281187793E-2</v>
      </c>
      <c r="AP544" s="8" cm="1">
        <f t="array" ref="AP544">_xlfn.LET(
_xlpm.hs,HS_DB[[#This Row],[HS Code]],
COUNTA(_xlfn.UNIQUE(_xlfn._xlws.FILTER(HS_DB[Reporter],HS_DB[HS Code]=_xlpm.hs)))
)</f>
        <v>12</v>
      </c>
      <c r="AQ544" s="75" t="str">
        <f>IF(HS_DB[[#This Row],[Origin Count]]=1,"Single Source","Multiple Sources")</f>
        <v>Multiple Sources</v>
      </c>
      <c r="AR544" s="8">
        <f>HS_DB[[#This Row],[Annual Spend - USD]]*(HS_DB[[#This Row],[HS Code Risk Score]]/100)</f>
        <v>5442216.46</v>
      </c>
      <c r="AS544" s="8">
        <f>RANK(HS_DB[[#This Row],[Risk Exposure - USD]],HS_DB[Risk Exposure - USD],0)</f>
        <v>132</v>
      </c>
      <c r="AT544" s="8" t="str">
        <f>IF(HS_DB[[#This Row],[Risk Exposure Rank]]&lt;=10,"High",
 IF(HS_DB[[#This Row],[Risk Exposure Rank]]&lt;=30,"Medium",
 "Low"))</f>
        <v>Low</v>
      </c>
      <c r="AU544" s="8" t="str">
        <f>IF(HS_DB[[#This Row],[Risk Exposure Rank]]&lt;=5,"Immediate Action",
 IF(HS_DB[[#This Row],[Risk Exposure Rank]]&lt;=15,"Monitor Closely",
 "Routine Control"))</f>
        <v>Routine Control</v>
      </c>
      <c r="AV544" s="8">
        <f>SUMIFS(HS_DB[Trade Value - USD],HS_DB[HS Code],HS_DB[[#This Row],[HS Code]])</f>
        <v>16006519</v>
      </c>
      <c r="AW544" s="6">
        <f>HS_DB[[#This Row],[Annual Spend - USD]]/HS_DB[[#This Row],[Total Market Size - USD]]</f>
        <v>1</v>
      </c>
      <c r="AX544" s="6" cm="1">
        <f t="array" ref="AX544">COUNTA(_xlfn.UNIQUE(_xlfn._xlws.FILTER(HS_DB[Partner],HS_DB[HS Code]=HS_DB[[#This Row],[HS Code]])))</f>
        <v>1</v>
      </c>
      <c r="AY544" s="8" t="str">
        <f>IF(HS_DB[[#This Row],[Competition Intensity]]&lt;=2,"Highly Concentrated",
 IF(HS_DB[[#This Row],[Competition Intensity]]&lt;=5,"Moderate",
 "Highly Competitive"))</f>
        <v>Highly Concentrated</v>
      </c>
      <c r="AZ544" s="8">
        <f>HS_DB[[#This Row],[Total Market Size - USD]]
*
(1+IFERROR(#REF!,0))
/
HS_DB[[#This Row],[Competition Intensity]]</f>
        <v>16006519</v>
      </c>
      <c r="BA544" s="8" t="str">
        <f>IF(HS_DB[[#This Row],[Commercial Opportunity Score]]&gt;=PERCENTILE(HS_DB[Commercial Opportunity Score],0.9),"High Opportunity",
 IF(HS_DB[[#This Row],[Commercial Opportunity Score]]&gt;=PERCENTILE(HS_DB[Commercial Opportunity Score],0.6),"Medium Opportunity",
 "Routine Market"))</f>
        <v>Medium Opportunity</v>
      </c>
      <c r="BB544" s="3" t="str">
        <f>IF(AND(HS_DB[[#This Row],[Product Rank]]&gt;0,HS_DB[[#This Row],[Product Rank]]&lt;=10),"Yes","No")</f>
        <v>No</v>
      </c>
      <c r="BC544" s="3" t="str">
        <f>IF(AND(HS_DB[[#This Row],[Origin Rank]]&gt;0,HS_DB[[#This Row],[Origin Rank]]&lt;=10),"Yes","No")</f>
        <v>No</v>
      </c>
    </row>
  </sheetData>
  <mergeCells count="1">
    <mergeCell ref="B2:D3"/>
  </mergeCell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FBD939-2A95-49CE-A9AB-0ABDAB5ADCCA}">
  <sheetPr codeName="Sheet3">
    <tabColor theme="0" tint="-0.14999847407452621"/>
  </sheetPr>
  <dimension ref="A1:V33"/>
  <sheetViews>
    <sheetView showGridLines="0" zoomScale="70" zoomScaleNormal="70" workbookViewId="0">
      <pane xSplit="7" ySplit="5" topLeftCell="P6" activePane="bottomRight" state="frozen"/>
      <selection sqref="A1:HO5"/>
      <selection pane="topRight" sqref="A1:HO5"/>
      <selection pane="bottomLeft" sqref="A1:HO5"/>
      <selection pane="bottomRight" sqref="A1:HO5"/>
    </sheetView>
  </sheetViews>
  <sheetFormatPr defaultColWidth="0" defaultRowHeight="14.4" x14ac:dyDescent="0.3"/>
  <cols>
    <col min="1" max="1" width="0.77734375" customWidth="1"/>
    <col min="2" max="2" width="11.33203125" style="1" bestFit="1" customWidth="1"/>
    <col min="3" max="3" width="30.77734375" style="1" bestFit="1" customWidth="1"/>
    <col min="4" max="4" width="25.33203125" style="1" bestFit="1" customWidth="1"/>
    <col min="5" max="5" width="29" style="1" bestFit="1" customWidth="1"/>
    <col min="6" max="6" width="17.21875" style="1" bestFit="1" customWidth="1"/>
    <col min="7" max="7" width="8.6640625" bestFit="1" customWidth="1"/>
    <col min="8" max="8" width="12.77734375" bestFit="1" customWidth="1"/>
    <col min="9" max="9" width="13.44140625" bestFit="1" customWidth="1"/>
    <col min="10" max="10" width="11.109375" bestFit="1" customWidth="1"/>
    <col min="11" max="11" width="11.21875" bestFit="1" customWidth="1"/>
    <col min="12" max="12" width="14.109375" bestFit="1" customWidth="1"/>
    <col min="13" max="13" width="18.21875" bestFit="1" customWidth="1"/>
    <col min="14" max="14" width="17.109375" bestFit="1" customWidth="1"/>
    <col min="15" max="15" width="16.44140625" bestFit="1" customWidth="1"/>
    <col min="16" max="16" width="15.109375" bestFit="1" customWidth="1"/>
    <col min="17" max="17" width="16.44140625" bestFit="1" customWidth="1"/>
    <col min="18" max="18" width="15.77734375" bestFit="1" customWidth="1"/>
    <col min="19" max="19" width="11.109375" bestFit="1" customWidth="1"/>
    <col min="20" max="20" width="15.21875" bestFit="1" customWidth="1"/>
    <col min="21" max="21" width="20.21875" bestFit="1" customWidth="1"/>
    <col min="22" max="22" width="0.88671875" customWidth="1"/>
    <col min="23" max="16384" width="8.88671875" hidden="1"/>
  </cols>
  <sheetData>
    <row r="1" spans="2:21" ht="4.95" customHeight="1" x14ac:dyDescent="0.3"/>
    <row r="2" spans="2:21" ht="14.4" customHeight="1" x14ac:dyDescent="0.3">
      <c r="B2" s="44" t="s">
        <v>178</v>
      </c>
      <c r="C2" s="44"/>
      <c r="D2" s="44"/>
      <c r="E2" s="19"/>
      <c r="F2" s="19"/>
    </row>
    <row r="3" spans="2:21" ht="14.4" customHeight="1" x14ac:dyDescent="0.3">
      <c r="B3" s="44"/>
      <c r="C3" s="44"/>
      <c r="D3" s="44"/>
      <c r="E3" s="19"/>
      <c r="F3" s="19"/>
    </row>
    <row r="4" spans="2:21" ht="4.95" customHeight="1" x14ac:dyDescent="0.3"/>
    <row r="5" spans="2:21" s="10" customFormat="1" ht="49.95" customHeight="1" x14ac:dyDescent="0.3">
      <c r="B5" s="15" t="s">
        <v>0</v>
      </c>
      <c r="C5" s="13" t="s">
        <v>68</v>
      </c>
      <c r="D5" s="13" t="s">
        <v>62</v>
      </c>
      <c r="E5" s="13" t="s">
        <v>63</v>
      </c>
      <c r="F5" s="13" t="s">
        <v>144</v>
      </c>
      <c r="G5" s="16" t="s">
        <v>140</v>
      </c>
      <c r="H5" s="16" t="s">
        <v>159</v>
      </c>
      <c r="I5" s="16" t="s">
        <v>158</v>
      </c>
      <c r="J5" s="16" t="s">
        <v>160</v>
      </c>
      <c r="K5" s="16" t="s">
        <v>166</v>
      </c>
      <c r="L5" s="16" t="s">
        <v>161</v>
      </c>
      <c r="M5" s="16" t="s">
        <v>164</v>
      </c>
      <c r="N5" s="16" t="s">
        <v>165</v>
      </c>
      <c r="O5" s="16" t="s">
        <v>167</v>
      </c>
      <c r="P5" s="16" t="s">
        <v>168</v>
      </c>
      <c r="Q5" s="16" t="s">
        <v>169</v>
      </c>
      <c r="R5" s="16" t="s">
        <v>170</v>
      </c>
      <c r="S5" s="16" t="s">
        <v>61</v>
      </c>
      <c r="T5" s="16" t="s">
        <v>174</v>
      </c>
      <c r="U5" s="16" t="s">
        <v>175</v>
      </c>
    </row>
    <row r="6" spans="2:21" x14ac:dyDescent="0.3">
      <c r="B6" s="2">
        <v>391390</v>
      </c>
      <c r="C6" s="17" t="str">
        <f>IFERROR(INDEX(HS_MD!D:D,MATCH(B6,HS_MD!B:B,0),1),"")</f>
        <v>Other polymers of natural origin</v>
      </c>
      <c r="D6" s="17" t="str">
        <f>IFERROR(INDEX(HS_MD!F:F,MATCH(B6,HS_MD!B:B,0),1),"")</f>
        <v>FUNCTIONAL INGREDIENTS</v>
      </c>
      <c r="E6" s="17" t="str">
        <f>IFERROR(INDEX(HS_MD!E:E,MATCH(B6,HS_MD!B:B,0),1),"")</f>
        <v>Xanthan Gum</v>
      </c>
      <c r="F6" s="17" t="str">
        <f>IFERROR(INDEX(HS_MD!#REF!,MATCH(B6,HS_MD!B:B,0),1),"")</f>
        <v/>
      </c>
      <c r="G6" s="17">
        <f>COUNTIFS(HS_DB[HS Code],HS_Summary[[#This Row],[HS Code]])</f>
        <v>19</v>
      </c>
      <c r="H6" s="17">
        <f>_xlfn.MAXIFS(HS_DB[HS Code Risk Score],HS_DB[HS Code],HS_Summary[[#This Row],[HS Code]])</f>
        <v>34</v>
      </c>
      <c r="I6" s="17" t="str">
        <f>INDEX(HS_DB[HS Code Risk Status],MATCH(HS_Summary[[#This Row],[HS Code]],HS_DB[HS Code],0))</f>
        <v>Medium</v>
      </c>
      <c r="J6" s="8">
        <f>SUMIFS(HS_DB[Net Weight -KG],HS_DB[HS Code],HS_Summary[[#This Row],[HS Code]])</f>
        <v>2298360.2000000002</v>
      </c>
      <c r="K6" s="8">
        <f>SUMIFS(HS_DB[Trade Value - USD],HS_DB[HS Code],HS_Summary[[#This Row],[HS Code]])</f>
        <v>11556158</v>
      </c>
      <c r="L6" s="6">
        <f>_xlfn.MAXIFS(HS_DB[Origin Share%],HS_DB[HS Code],HS_Summary[[#This Row],[HS Code]])</f>
        <v>0.25769345655074266</v>
      </c>
      <c r="M6" s="17" t="str">
        <f>IF(HS_Summary[[#This Row],[Max Origin Share %]]&gt;0.8,"Single Source",
 IF(HS_Summary[[#This Row],[Max Origin Share %]]&gt;0.6,"High Dependency",
 "Diversified"))</f>
        <v>Diversified</v>
      </c>
      <c r="N6" s="8">
        <f>HS_Summary[[#This Row],[Annual Spend - USD]]*(HS_Summary[[#This Row],[HS Code Risk Score]]/100)</f>
        <v>3929093.72</v>
      </c>
      <c r="O6" s="17">
        <f>RANK(HS_Summary[[#This Row],[Risk Exposure - USD]],HS_Summary[Risk Exposure - USD],0)</f>
        <v>10</v>
      </c>
      <c r="P6" s="17" t="str">
        <f>IF(HS_Summary[[#This Row],[Risk Exposure Rank]]&lt;=COUNT(HS_Summary[HS Code])*0.1,"High",
 IF(HS_Summary[[#This Row],[Risk Exposure Rank]]&lt;=COUNT(HS_Summary[HS Code])*0.3,"Medium",
 "Low"))</f>
        <v>Low</v>
      </c>
      <c r="Q6" s="17" t="str">
        <f>IF(AND(HS_Summary[[#This Row],[HS Code Risk Score]]&gt;=85,HS_Summary[[#This Row],[Risk Exposure Rank]]&lt;=5),"Strategic Critical",
 IF(AND(HS_Summary[[#This Row],[HS Code Risk Score]]&gt;=70,HS_Summary[[#This Row],[Risk Exposure Rank]]&lt;=10),"High Priority",
 IF(AND(HS_Summary[[#This Row],[HS Code Risk Score]]&gt;=70,HS_Summary[[#This Row],[Max Origin Share %]]&gt;0.7),"Supply Risk Action",
 IF(HS_Summary[[#This Row],[Risk Exposure Rank]]&lt;=5,"Financial Control",
 IF(HS_Summary[[#This Row],[HS Code Risk Score]]&gt;=70,"Risk Monitoring",
 "Routine Control")))))</f>
        <v>Routine Control</v>
      </c>
      <c r="R6" s="8">
        <f>SUMIFS(HS_DB[Trade Value - USD],HS_DB[HS Code],HS_Summary[[#This Row],[HS Code]])</f>
        <v>11556158</v>
      </c>
      <c r="S6" s="6">
        <f>IFERROR(HS_Summary[[#This Row],[Annual Spend - USD]]/HS_Summary[[#This Row],[Total Market Size - USD]],0)</f>
        <v>1</v>
      </c>
      <c r="T6" s="17" cm="1">
        <f t="array" ref="T6">COUNTA(_xlfn.UNIQUE(_xlfn._xlws.FILTER(HS_DB[Partner],HS_DB[HS Code]=HS_Summary[[#This Row],[HS Code]])))</f>
        <v>1</v>
      </c>
      <c r="U6" s="17" t="str">
        <f>IF(HS_Summary[[#This Row],[Competition Intensity]]&lt;=2,"Highly Concentrated",
 IF(HS_Summary[[#This Row],[Competition Intensity]]&lt;=5,"Moderate",
 "Highly Competitive"))</f>
        <v>Highly Concentrated</v>
      </c>
    </row>
    <row r="7" spans="2:21" x14ac:dyDescent="0.3">
      <c r="B7" s="2">
        <v>391231</v>
      </c>
      <c r="C7" s="17" t="str">
        <f>IFERROR(INDEX(HS_MD!D:D,MATCH(B7,HS_MD!B:B,0),1),"")</f>
        <v>Cellulose ethers</v>
      </c>
      <c r="D7" s="17" t="str">
        <f>IFERROR(INDEX(HS_MD!F:F,MATCH(B7,HS_MD!B:B,0),1),"")</f>
        <v>FUNCTIONAL INGREDIENTS</v>
      </c>
      <c r="E7" s="17" t="str">
        <f>IFERROR(INDEX(HS_MD!E:E,MATCH(B7,HS_MD!B:B,0),1),"")</f>
        <v>CMC (Carboxymethyl Cellulose)</v>
      </c>
      <c r="F7" s="17" t="str">
        <f>IFERROR(INDEX(HS_MD!#REF!,MATCH(B7,HS_MD!B:B,0),1),"")</f>
        <v/>
      </c>
      <c r="G7" s="17">
        <f>COUNTIFS(HS_DB[HS Code],HS_Summary[[#This Row],[HS Code]])</f>
        <v>17</v>
      </c>
      <c r="H7" s="17">
        <f>_xlfn.MAXIFS(HS_DB[HS Code Risk Score],HS_DB[HS Code],HS_Summary[[#This Row],[HS Code]])</f>
        <v>34</v>
      </c>
      <c r="I7" s="17" t="str">
        <f>INDEX(HS_DB[HS Code Risk Status],MATCH(HS_Summary[[#This Row],[HS Code]],HS_DB[HS Code],0))</f>
        <v>Medium</v>
      </c>
      <c r="J7" s="8">
        <f>SUMIFS(HS_DB[Net Weight -KG],HS_DB[HS Code],HS_Summary[[#This Row],[HS Code]])</f>
        <v>6842762.2999999998</v>
      </c>
      <c r="K7" s="8">
        <f>SUMIFS(HS_DB[Trade Value - USD],HS_DB[HS Code],HS_Summary[[#This Row],[HS Code]])</f>
        <v>15776132</v>
      </c>
      <c r="L7" s="6">
        <f>_xlfn.MAXIFS(HS_DB[Origin Share%],HS_DB[HS Code],HS_Summary[[#This Row],[HS Code]])</f>
        <v>6.321329281187793E-2</v>
      </c>
      <c r="M7" s="17" t="str">
        <f>IF(HS_Summary[[#This Row],[Max Origin Share %]]&gt;0.8,"Single Source",
 IF(HS_Summary[[#This Row],[Max Origin Share %]]&gt;0.6,"High Dependency",
 "Diversified"))</f>
        <v>Diversified</v>
      </c>
      <c r="N7" s="8">
        <f>HS_Summary[[#This Row],[Annual Spend - USD]]*(HS_Summary[[#This Row],[HS Code Risk Score]]/100)</f>
        <v>5363884.8800000008</v>
      </c>
      <c r="O7" s="17">
        <f>RANK(HS_Summary[[#This Row],[Risk Exposure - USD]],HS_Summary[Risk Exposure - USD],0)</f>
        <v>4</v>
      </c>
      <c r="P7" s="17" t="str">
        <f>IF(HS_Summary[[#This Row],[Risk Exposure Rank]]&lt;=COUNT(HS_Summary[HS Code])*0.1,"High",
 IF(HS_Summary[[#This Row],[Risk Exposure Rank]]&lt;=COUNT(HS_Summary[HS Code])*0.3,"Medium",
 "Low"))</f>
        <v>Medium</v>
      </c>
      <c r="Q7" s="17" t="str">
        <f>IF(AND(HS_Summary[[#This Row],[HS Code Risk Score]]&gt;=85,HS_Summary[[#This Row],[Risk Exposure Rank]]&lt;=5),"Strategic Critical",
 IF(AND(HS_Summary[[#This Row],[HS Code Risk Score]]&gt;=70,HS_Summary[[#This Row],[Risk Exposure Rank]]&lt;=10),"High Priority",
 IF(AND(HS_Summary[[#This Row],[HS Code Risk Score]]&gt;=70,HS_Summary[[#This Row],[Max Origin Share %]]&gt;0.7),"Supply Risk Action",
 IF(HS_Summary[[#This Row],[Risk Exposure Rank]]&lt;=5,"Financial Control",
 IF(HS_Summary[[#This Row],[HS Code Risk Score]]&gt;=70,"Risk Monitoring",
 "Routine Control")))))</f>
        <v>Financial Control</v>
      </c>
      <c r="R7" s="8">
        <f>SUMIFS(HS_DB[Trade Value - USD],HS_DB[HS Code],HS_Summary[[#This Row],[HS Code]])</f>
        <v>15776132</v>
      </c>
      <c r="S7" s="6">
        <f>IFERROR(HS_Summary[[#This Row],[Annual Spend - USD]]/HS_Summary[[#This Row],[Total Market Size - USD]],0)</f>
        <v>1</v>
      </c>
      <c r="T7" s="17" cm="1">
        <f t="array" ref="T7">COUNTA(_xlfn.UNIQUE(_xlfn._xlws.FILTER(HS_DB[Partner],HS_DB[HS Code]=HS_Summary[[#This Row],[HS Code]])))</f>
        <v>1</v>
      </c>
      <c r="U7" s="17" t="str">
        <f>IF(HS_Summary[[#This Row],[Competition Intensity]]&lt;=2,"Highly Concentrated",
 IF(HS_Summary[[#This Row],[Competition Intensity]]&lt;=5,"Moderate",
 "Highly Competitive"))</f>
        <v>Highly Concentrated</v>
      </c>
    </row>
    <row r="8" spans="2:21" x14ac:dyDescent="0.3">
      <c r="B8" s="2">
        <v>130232</v>
      </c>
      <c r="C8" s="17" t="str">
        <f>IFERROR(INDEX(HS_MD!D:D,MATCH(B8,HS_MD!B:B,0),1),"")</f>
        <v>Vegetable gums</v>
      </c>
      <c r="D8" s="17" t="str">
        <f>IFERROR(INDEX(HS_MD!F:F,MATCH(B8,HS_MD!B:B,0),1),"")</f>
        <v>FUNCTIONAL INGREDIENTS</v>
      </c>
      <c r="E8" s="17" t="str">
        <f>IFERROR(INDEX(HS_MD!E:E,MATCH(B8,HS_MD!B:B,0),1),"")</f>
        <v>Guar Gum</v>
      </c>
      <c r="F8" s="17" t="str">
        <f>IFERROR(INDEX(HS_MD!#REF!,MATCH(B8,HS_MD!B:B,0),1),"")</f>
        <v/>
      </c>
      <c r="G8" s="17">
        <f>COUNTIFS(HS_DB[HS Code],HS_Summary[[#This Row],[HS Code]])</f>
        <v>11</v>
      </c>
      <c r="H8" s="17">
        <f>_xlfn.MAXIFS(HS_DB[HS Code Risk Score],HS_DB[HS Code],HS_Summary[[#This Row],[HS Code]])</f>
        <v>34</v>
      </c>
      <c r="I8" s="17" t="str">
        <f>INDEX(HS_DB[HS Code Risk Status],MATCH(HS_Summary[[#This Row],[HS Code]],HS_DB[HS Code],0))</f>
        <v>Medium</v>
      </c>
      <c r="J8" s="8">
        <f>SUMIFS(HS_DB[Net Weight -KG],HS_DB[HS Code],HS_Summary[[#This Row],[HS Code]])</f>
        <v>2211416</v>
      </c>
      <c r="K8" s="8">
        <f>SUMIFS(HS_DB[Trade Value - USD],HS_DB[HS Code],HS_Summary[[#This Row],[HS Code]])</f>
        <v>5296920</v>
      </c>
      <c r="L8" s="6">
        <f>_xlfn.MAXIFS(HS_DB[Origin Share%],HS_DB[HS Code],HS_Summary[[#This Row],[HS Code]])</f>
        <v>6.321329281187793E-2</v>
      </c>
      <c r="M8" s="17" t="str">
        <f>IF(HS_Summary[[#This Row],[Max Origin Share %]]&gt;0.8,"Single Source",
 IF(HS_Summary[[#This Row],[Max Origin Share %]]&gt;0.6,"High Dependency",
 "Diversified"))</f>
        <v>Diversified</v>
      </c>
      <c r="N8" s="8">
        <f>HS_Summary[[#This Row],[Annual Spend - USD]]*(HS_Summary[[#This Row],[HS Code Risk Score]]/100)</f>
        <v>1800952.8</v>
      </c>
      <c r="O8" s="17">
        <f>RANK(HS_Summary[[#This Row],[Risk Exposure - USD]],HS_Summary[Risk Exposure - USD],0)</f>
        <v>16</v>
      </c>
      <c r="P8" s="17" t="str">
        <f>IF(HS_Summary[[#This Row],[Risk Exposure Rank]]&lt;=COUNT(HS_Summary[HS Code])*0.1,"High",
 IF(HS_Summary[[#This Row],[Risk Exposure Rank]]&lt;=COUNT(HS_Summary[HS Code])*0.3,"Medium",
 "Low"))</f>
        <v>Low</v>
      </c>
      <c r="Q8" s="17" t="str">
        <f>IF(AND(HS_Summary[[#This Row],[HS Code Risk Score]]&gt;=85,HS_Summary[[#This Row],[Risk Exposure Rank]]&lt;=5),"Strategic Critical",
 IF(AND(HS_Summary[[#This Row],[HS Code Risk Score]]&gt;=70,HS_Summary[[#This Row],[Risk Exposure Rank]]&lt;=10),"High Priority",
 IF(AND(HS_Summary[[#This Row],[HS Code Risk Score]]&gt;=70,HS_Summary[[#This Row],[Max Origin Share %]]&gt;0.7),"Supply Risk Action",
 IF(HS_Summary[[#This Row],[Risk Exposure Rank]]&lt;=5,"Financial Control",
 IF(HS_Summary[[#This Row],[HS Code Risk Score]]&gt;=70,"Risk Monitoring",
 "Routine Control")))))</f>
        <v>Routine Control</v>
      </c>
      <c r="R8" s="8">
        <f>SUMIFS(HS_DB[Trade Value - USD],HS_DB[HS Code],HS_Summary[[#This Row],[HS Code]])</f>
        <v>5296920</v>
      </c>
      <c r="S8" s="6">
        <f>IFERROR(HS_Summary[[#This Row],[Annual Spend - USD]]/HS_Summary[[#This Row],[Total Market Size - USD]],0)</f>
        <v>1</v>
      </c>
      <c r="T8" s="17" cm="1">
        <f t="array" ref="T8">COUNTA(_xlfn.UNIQUE(_xlfn._xlws.FILTER(HS_DB[Partner],HS_DB[HS Code]=HS_Summary[[#This Row],[HS Code]])))</f>
        <v>1</v>
      </c>
      <c r="U8" s="17" t="str">
        <f>IF(HS_Summary[[#This Row],[Competition Intensity]]&lt;=2,"Highly Concentrated",
 IF(HS_Summary[[#This Row],[Competition Intensity]]&lt;=5,"Moderate",
 "Highly Competitive"))</f>
        <v>Highly Concentrated</v>
      </c>
    </row>
    <row r="9" spans="2:21" x14ac:dyDescent="0.3">
      <c r="B9" s="2">
        <v>130239</v>
      </c>
      <c r="C9" s="17" t="str">
        <f>IFERROR(INDEX(HS_MD!D:D,MATCH(B9,HS_MD!B:B,0),1),"")</f>
        <v>Mucilages and thickeners</v>
      </c>
      <c r="D9" s="17" t="str">
        <f>IFERROR(INDEX(HS_MD!F:F,MATCH(B9,HS_MD!B:B,0),1),"")</f>
        <v>FUNCTIONAL INGREDIENTS</v>
      </c>
      <c r="E9" s="17" t="str">
        <f>IFERROR(INDEX(HS_MD!E:E,MATCH(B9,HS_MD!B:B,0),1),"")</f>
        <v>Carrageenan</v>
      </c>
      <c r="F9" s="17" t="str">
        <f>IFERROR(INDEX(HS_MD!#REF!,MATCH(B9,HS_MD!B:B,0),1),"")</f>
        <v/>
      </c>
      <c r="G9" s="17">
        <f>COUNTIFS(HS_DB[HS Code],HS_Summary[[#This Row],[HS Code]])</f>
        <v>16</v>
      </c>
      <c r="H9" s="17">
        <f>_xlfn.MAXIFS(HS_DB[HS Code Risk Score],HS_DB[HS Code],HS_Summary[[#This Row],[HS Code]])</f>
        <v>34</v>
      </c>
      <c r="I9" s="17" t="str">
        <f>INDEX(HS_DB[HS Code Risk Status],MATCH(HS_Summary[[#This Row],[HS Code]],HS_DB[HS Code],0))</f>
        <v>Medium</v>
      </c>
      <c r="J9" s="8">
        <f>SUMIFS(HS_DB[Net Weight -KG],HS_DB[HS Code],HS_Summary[[#This Row],[HS Code]])</f>
        <v>1977514.1</v>
      </c>
      <c r="K9" s="8">
        <f>SUMIFS(HS_DB[Trade Value - USD],HS_DB[HS Code],HS_Summary[[#This Row],[HS Code]])</f>
        <v>6186829</v>
      </c>
      <c r="L9" s="6">
        <f>_xlfn.MAXIFS(HS_DB[Origin Share%],HS_DB[HS Code],HS_Summary[[#This Row],[HS Code]])</f>
        <v>6.321329281187793E-2</v>
      </c>
      <c r="M9" s="17" t="str">
        <f>IF(HS_Summary[[#This Row],[Max Origin Share %]]&gt;0.8,"Single Source",
 IF(HS_Summary[[#This Row],[Max Origin Share %]]&gt;0.6,"High Dependency",
 "Diversified"))</f>
        <v>Diversified</v>
      </c>
      <c r="N9" s="8">
        <f>HS_Summary[[#This Row],[Annual Spend - USD]]*(HS_Summary[[#This Row],[HS Code Risk Score]]/100)</f>
        <v>2103521.8600000003</v>
      </c>
      <c r="O9" s="17">
        <f>RANK(HS_Summary[[#This Row],[Risk Exposure - USD]],HS_Summary[Risk Exposure - USD],0)</f>
        <v>15</v>
      </c>
      <c r="P9" s="17" t="str">
        <f>IF(HS_Summary[[#This Row],[Risk Exposure Rank]]&lt;=COUNT(HS_Summary[HS Code])*0.1,"High",
 IF(HS_Summary[[#This Row],[Risk Exposure Rank]]&lt;=COUNT(HS_Summary[HS Code])*0.3,"Medium",
 "Low"))</f>
        <v>Low</v>
      </c>
      <c r="Q9" s="17" t="str">
        <f>IF(AND(HS_Summary[[#This Row],[HS Code Risk Score]]&gt;=85,HS_Summary[[#This Row],[Risk Exposure Rank]]&lt;=5),"Strategic Critical",
 IF(AND(HS_Summary[[#This Row],[HS Code Risk Score]]&gt;=70,HS_Summary[[#This Row],[Risk Exposure Rank]]&lt;=10),"High Priority",
 IF(AND(HS_Summary[[#This Row],[HS Code Risk Score]]&gt;=70,HS_Summary[[#This Row],[Max Origin Share %]]&gt;0.7),"Supply Risk Action",
 IF(HS_Summary[[#This Row],[Risk Exposure Rank]]&lt;=5,"Financial Control",
 IF(HS_Summary[[#This Row],[HS Code Risk Score]]&gt;=70,"Risk Monitoring",
 "Routine Control")))))</f>
        <v>Routine Control</v>
      </c>
      <c r="R9" s="8">
        <f>SUMIFS(HS_DB[Trade Value - USD],HS_DB[HS Code],HS_Summary[[#This Row],[HS Code]])</f>
        <v>6186829</v>
      </c>
      <c r="S9" s="6">
        <f>IFERROR(HS_Summary[[#This Row],[Annual Spend - USD]]/HS_Summary[[#This Row],[Total Market Size - USD]],0)</f>
        <v>1</v>
      </c>
      <c r="T9" s="17" cm="1">
        <f t="array" ref="T9">COUNTA(_xlfn.UNIQUE(_xlfn._xlws.FILTER(HS_DB[Partner],HS_DB[HS Code]=HS_Summary[[#This Row],[HS Code]])))</f>
        <v>1</v>
      </c>
      <c r="U9" s="17" t="str">
        <f>IF(HS_Summary[[#This Row],[Competition Intensity]]&lt;=2,"Highly Concentrated",
 IF(HS_Summary[[#This Row],[Competition Intensity]]&lt;=5,"Moderate",
 "Highly Competitive"))</f>
        <v>Highly Concentrated</v>
      </c>
    </row>
    <row r="10" spans="2:21" x14ac:dyDescent="0.3">
      <c r="B10" s="2">
        <v>130232</v>
      </c>
      <c r="C10" s="17" t="str">
        <f>IFERROR(INDEX(HS_MD!D:D,MATCH(B10,HS_MD!B:B,0),1),"")</f>
        <v>Vegetable gums</v>
      </c>
      <c r="D10" s="17" t="str">
        <f>IFERROR(INDEX(HS_MD!F:F,MATCH(B10,HS_MD!B:B,0),1),"")</f>
        <v>FUNCTIONAL INGREDIENTS</v>
      </c>
      <c r="E10" s="17" t="str">
        <f>IFERROR(INDEX(HS_MD!E:E,MATCH(B10,HS_MD!B:B,0),1),"")</f>
        <v>Guar Gum</v>
      </c>
      <c r="F10" s="17" t="str">
        <f>IFERROR(INDEX(HS_MD!#REF!,MATCH(B10,HS_MD!B:B,0),1),"")</f>
        <v/>
      </c>
      <c r="G10" s="17">
        <f>COUNTIFS(HS_DB[HS Code],HS_Summary[[#This Row],[HS Code]])</f>
        <v>11</v>
      </c>
      <c r="H10" s="17">
        <f>_xlfn.MAXIFS(HS_DB[HS Code Risk Score],HS_DB[HS Code],HS_Summary[[#This Row],[HS Code]])</f>
        <v>34</v>
      </c>
      <c r="I10" s="17" t="str">
        <f>INDEX(HS_DB[HS Code Risk Status],MATCH(HS_Summary[[#This Row],[HS Code]],HS_DB[HS Code],0))</f>
        <v>Medium</v>
      </c>
      <c r="J10" s="8">
        <f>SUMIFS(HS_DB[Net Weight -KG],HS_DB[HS Code],HS_Summary[[#This Row],[HS Code]])</f>
        <v>2211416</v>
      </c>
      <c r="K10" s="8">
        <f>SUMIFS(HS_DB[Trade Value - USD],HS_DB[HS Code],HS_Summary[[#This Row],[HS Code]])</f>
        <v>5296920</v>
      </c>
      <c r="L10" s="6">
        <f>_xlfn.MAXIFS(HS_DB[Origin Share%],HS_DB[HS Code],HS_Summary[[#This Row],[HS Code]])</f>
        <v>6.321329281187793E-2</v>
      </c>
      <c r="M10" s="17" t="str">
        <f>IF(HS_Summary[[#This Row],[Max Origin Share %]]&gt;0.8,"Single Source",
 IF(HS_Summary[[#This Row],[Max Origin Share %]]&gt;0.6,"High Dependency",
 "Diversified"))</f>
        <v>Diversified</v>
      </c>
      <c r="N10" s="8">
        <f>HS_Summary[[#This Row],[Annual Spend - USD]]*(HS_Summary[[#This Row],[HS Code Risk Score]]/100)</f>
        <v>1800952.8</v>
      </c>
      <c r="O10" s="17">
        <f>RANK(HS_Summary[[#This Row],[Risk Exposure - USD]],HS_Summary[Risk Exposure - USD],0)</f>
        <v>16</v>
      </c>
      <c r="P10" s="17" t="str">
        <f>IF(HS_Summary[[#This Row],[Risk Exposure Rank]]&lt;=COUNT(HS_Summary[HS Code])*0.1,"High",
 IF(HS_Summary[[#This Row],[Risk Exposure Rank]]&lt;=COUNT(HS_Summary[HS Code])*0.3,"Medium",
 "Low"))</f>
        <v>Low</v>
      </c>
      <c r="Q10" s="17" t="str">
        <f>IF(AND(HS_Summary[[#This Row],[HS Code Risk Score]]&gt;=85,HS_Summary[[#This Row],[Risk Exposure Rank]]&lt;=5),"Strategic Critical",
 IF(AND(HS_Summary[[#This Row],[HS Code Risk Score]]&gt;=70,HS_Summary[[#This Row],[Risk Exposure Rank]]&lt;=10),"High Priority",
 IF(AND(HS_Summary[[#This Row],[HS Code Risk Score]]&gt;=70,HS_Summary[[#This Row],[Max Origin Share %]]&gt;0.7),"Supply Risk Action",
 IF(HS_Summary[[#This Row],[Risk Exposure Rank]]&lt;=5,"Financial Control",
 IF(HS_Summary[[#This Row],[HS Code Risk Score]]&gt;=70,"Risk Monitoring",
 "Routine Control")))))</f>
        <v>Routine Control</v>
      </c>
      <c r="R10" s="8">
        <f>SUMIFS(HS_DB[Trade Value - USD],HS_DB[HS Code],HS_Summary[[#This Row],[HS Code]])</f>
        <v>5296920</v>
      </c>
      <c r="S10" s="6">
        <f>IFERROR(HS_Summary[[#This Row],[Annual Spend - USD]]/HS_Summary[[#This Row],[Total Market Size - USD]],0)</f>
        <v>1</v>
      </c>
      <c r="T10" s="17" cm="1">
        <f t="array" ref="T10">COUNTA(_xlfn.UNIQUE(_xlfn._xlws.FILTER(HS_DB[Partner],HS_DB[HS Code]=HS_Summary[[#This Row],[HS Code]])))</f>
        <v>1</v>
      </c>
      <c r="U10" s="17" t="str">
        <f>IF(HS_Summary[[#This Row],[Competition Intensity]]&lt;=2,"Highly Concentrated",
 IF(HS_Summary[[#This Row],[Competition Intensity]]&lt;=5,"Moderate",
 "Highly Competitive"))</f>
        <v>Highly Concentrated</v>
      </c>
    </row>
    <row r="11" spans="2:21" x14ac:dyDescent="0.3">
      <c r="B11" s="2">
        <v>291814</v>
      </c>
      <c r="C11" s="17" t="str">
        <f>IFERROR(INDEX(HS_MD!D:D,MATCH(B11,HS_MD!B:B,0),1),"")</f>
        <v>Citric acid and salts</v>
      </c>
      <c r="D11" s="17" t="str">
        <f>IFERROR(INDEX(HS_MD!F:F,MATCH(B11,HS_MD!B:B,0),1),"")</f>
        <v>ACIDULANTS &amp; REGULATORS</v>
      </c>
      <c r="E11" s="17" t="str">
        <f>IFERROR(INDEX(HS_MD!E:E,MATCH(B11,HS_MD!B:B,0),1),"")</f>
        <v>Citric Acid</v>
      </c>
      <c r="F11" s="17" t="str">
        <f>IFERROR(INDEX(HS_MD!#REF!,MATCH(B11,HS_MD!B:B,0),1),"")</f>
        <v/>
      </c>
      <c r="G11" s="17">
        <f>COUNTIFS(HS_DB[HS Code],HS_Summary[[#This Row],[HS Code]])</f>
        <v>14</v>
      </c>
      <c r="H11" s="17">
        <f>_xlfn.MAXIFS(HS_DB[HS Code Risk Score],HS_DB[HS Code],HS_Summary[[#This Row],[HS Code]])</f>
        <v>34</v>
      </c>
      <c r="I11" s="17" t="str">
        <f>INDEX(HS_DB[HS Code Risk Status],MATCH(HS_Summary[[#This Row],[HS Code]],HS_DB[HS Code],0))</f>
        <v>Medium</v>
      </c>
      <c r="J11" s="8">
        <f>SUMIFS(HS_DB[Net Weight -KG],HS_DB[HS Code],HS_Summary[[#This Row],[HS Code]])</f>
        <v>22769049.100000001</v>
      </c>
      <c r="K11" s="8">
        <f>SUMIFS(HS_DB[Trade Value - USD],HS_DB[HS Code],HS_Summary[[#This Row],[HS Code]])</f>
        <v>17496053</v>
      </c>
      <c r="L11" s="6">
        <f>_xlfn.MAXIFS(HS_DB[Origin Share%],HS_DB[HS Code],HS_Summary[[#This Row],[HS Code]])</f>
        <v>0.25769345655074266</v>
      </c>
      <c r="M11" s="17" t="str">
        <f>IF(HS_Summary[[#This Row],[Max Origin Share %]]&gt;0.8,"Single Source",
 IF(HS_Summary[[#This Row],[Max Origin Share %]]&gt;0.6,"High Dependency",
 "Diversified"))</f>
        <v>Diversified</v>
      </c>
      <c r="N11" s="8">
        <f>HS_Summary[[#This Row],[Annual Spend - USD]]*(HS_Summary[[#This Row],[HS Code Risk Score]]/100)</f>
        <v>5948658.0200000005</v>
      </c>
      <c r="O11" s="17">
        <f>RANK(HS_Summary[[#This Row],[Risk Exposure - USD]],HS_Summary[Risk Exposure - USD],0)</f>
        <v>3</v>
      </c>
      <c r="P11" s="17" t="str">
        <f>IF(HS_Summary[[#This Row],[Risk Exposure Rank]]&lt;=COUNT(HS_Summary[HS Code])*0.1,"High",
 IF(HS_Summary[[#This Row],[Risk Exposure Rank]]&lt;=COUNT(HS_Summary[HS Code])*0.3,"Medium",
 "Low"))</f>
        <v>Medium</v>
      </c>
      <c r="Q11" s="17" t="str">
        <f>IF(AND(HS_Summary[[#This Row],[HS Code Risk Score]]&gt;=85,HS_Summary[[#This Row],[Risk Exposure Rank]]&lt;=5),"Strategic Critical",
 IF(AND(HS_Summary[[#This Row],[HS Code Risk Score]]&gt;=70,HS_Summary[[#This Row],[Risk Exposure Rank]]&lt;=10),"High Priority",
 IF(AND(HS_Summary[[#This Row],[HS Code Risk Score]]&gt;=70,HS_Summary[[#This Row],[Max Origin Share %]]&gt;0.7),"Supply Risk Action",
 IF(HS_Summary[[#This Row],[Risk Exposure Rank]]&lt;=5,"Financial Control",
 IF(HS_Summary[[#This Row],[HS Code Risk Score]]&gt;=70,"Risk Monitoring",
 "Routine Control")))))</f>
        <v>Financial Control</v>
      </c>
      <c r="R11" s="8">
        <f>SUMIFS(HS_DB[Trade Value - USD],HS_DB[HS Code],HS_Summary[[#This Row],[HS Code]])</f>
        <v>17496053</v>
      </c>
      <c r="S11" s="6">
        <f>IFERROR(HS_Summary[[#This Row],[Annual Spend - USD]]/HS_Summary[[#This Row],[Total Market Size - USD]],0)</f>
        <v>1</v>
      </c>
      <c r="T11" s="17" cm="1">
        <f t="array" ref="T11">COUNTA(_xlfn.UNIQUE(_xlfn._xlws.FILTER(HS_DB[Partner],HS_DB[HS Code]=HS_Summary[[#This Row],[HS Code]])))</f>
        <v>1</v>
      </c>
      <c r="U11" s="17" t="str">
        <f>IF(HS_Summary[[#This Row],[Competition Intensity]]&lt;=2,"Highly Concentrated",
 IF(HS_Summary[[#This Row],[Competition Intensity]]&lt;=5,"Moderate",
 "Highly Competitive"))</f>
        <v>Highly Concentrated</v>
      </c>
    </row>
    <row r="12" spans="2:21" x14ac:dyDescent="0.3">
      <c r="B12" s="2">
        <v>291811</v>
      </c>
      <c r="C12" s="17" t="str">
        <f>IFERROR(INDEX(HS_MD!D:D,MATCH(B12,HS_MD!B:B,0),1),"")</f>
        <v>Lactic acid and salts</v>
      </c>
      <c r="D12" s="17" t="str">
        <f>IFERROR(INDEX(HS_MD!F:F,MATCH(B12,HS_MD!B:B,0),1),"")</f>
        <v>ACIDULANTS &amp; REGULATORS</v>
      </c>
      <c r="E12" s="17" t="str">
        <f>IFERROR(INDEX(HS_MD!E:E,MATCH(B12,HS_MD!B:B,0),1),"")</f>
        <v>Lactic Acid</v>
      </c>
      <c r="F12" s="17" t="str">
        <f>IFERROR(INDEX(HS_MD!#REF!,MATCH(B12,HS_MD!B:B,0),1),"")</f>
        <v/>
      </c>
      <c r="G12" s="17">
        <f>COUNTIFS(HS_DB[HS Code],HS_Summary[[#This Row],[HS Code]])</f>
        <v>12</v>
      </c>
      <c r="H12" s="17">
        <f>_xlfn.MAXIFS(HS_DB[HS Code Risk Score],HS_DB[HS Code],HS_Summary[[#This Row],[HS Code]])</f>
        <v>34</v>
      </c>
      <c r="I12" s="17" t="str">
        <f>INDEX(HS_DB[HS Code Risk Status],MATCH(HS_Summary[[#This Row],[HS Code]],HS_DB[HS Code],0))</f>
        <v>Medium</v>
      </c>
      <c r="J12" s="8">
        <f>SUMIFS(HS_DB[Net Weight -KG],HS_DB[HS Code],HS_Summary[[#This Row],[HS Code]])</f>
        <v>1513457.4</v>
      </c>
      <c r="K12" s="8">
        <f>SUMIFS(HS_DB[Trade Value - USD],HS_DB[HS Code],HS_Summary[[#This Row],[HS Code]])</f>
        <v>2003356</v>
      </c>
      <c r="L12" s="6">
        <f>_xlfn.MAXIFS(HS_DB[Origin Share%],HS_DB[HS Code],HS_Summary[[#This Row],[HS Code]])</f>
        <v>6.321329281187793E-2</v>
      </c>
      <c r="M12" s="17" t="str">
        <f>IF(HS_Summary[[#This Row],[Max Origin Share %]]&gt;0.8,"Single Source",
 IF(HS_Summary[[#This Row],[Max Origin Share %]]&gt;0.6,"High Dependency",
 "Diversified"))</f>
        <v>Diversified</v>
      </c>
      <c r="N12" s="8">
        <f>HS_Summary[[#This Row],[Annual Spend - USD]]*(HS_Summary[[#This Row],[HS Code Risk Score]]/100)</f>
        <v>681141.04</v>
      </c>
      <c r="O12" s="17">
        <f>RANK(HS_Summary[[#This Row],[Risk Exposure - USD]],HS_Summary[Risk Exposure - USD],0)</f>
        <v>23</v>
      </c>
      <c r="P12" s="17" t="str">
        <f>IF(HS_Summary[[#This Row],[Risk Exposure Rank]]&lt;=COUNT(HS_Summary[HS Code])*0.1,"High",
 IF(HS_Summary[[#This Row],[Risk Exposure Rank]]&lt;=COUNT(HS_Summary[HS Code])*0.3,"Medium",
 "Low"))</f>
        <v>Low</v>
      </c>
      <c r="Q12" s="17" t="str">
        <f>IF(AND(HS_Summary[[#This Row],[HS Code Risk Score]]&gt;=85,HS_Summary[[#This Row],[Risk Exposure Rank]]&lt;=5),"Strategic Critical",
 IF(AND(HS_Summary[[#This Row],[HS Code Risk Score]]&gt;=70,HS_Summary[[#This Row],[Risk Exposure Rank]]&lt;=10),"High Priority",
 IF(AND(HS_Summary[[#This Row],[HS Code Risk Score]]&gt;=70,HS_Summary[[#This Row],[Max Origin Share %]]&gt;0.7),"Supply Risk Action",
 IF(HS_Summary[[#This Row],[Risk Exposure Rank]]&lt;=5,"Financial Control",
 IF(HS_Summary[[#This Row],[HS Code Risk Score]]&gt;=70,"Risk Monitoring",
 "Routine Control")))))</f>
        <v>Routine Control</v>
      </c>
      <c r="R12" s="8">
        <f>SUMIFS(HS_DB[Trade Value - USD],HS_DB[HS Code],HS_Summary[[#This Row],[HS Code]])</f>
        <v>2003356</v>
      </c>
      <c r="S12" s="6">
        <f>IFERROR(HS_Summary[[#This Row],[Annual Spend - USD]]/HS_Summary[[#This Row],[Total Market Size - USD]],0)</f>
        <v>1</v>
      </c>
      <c r="T12" s="17" cm="1">
        <f t="array" ref="T12">COUNTA(_xlfn.UNIQUE(_xlfn._xlws.FILTER(HS_DB[Partner],HS_DB[HS Code]=HS_Summary[[#This Row],[HS Code]])))</f>
        <v>1</v>
      </c>
      <c r="U12" s="17" t="str">
        <f>IF(HS_Summary[[#This Row],[Competition Intensity]]&lt;=2,"Highly Concentrated",
 IF(HS_Summary[[#This Row],[Competition Intensity]]&lt;=5,"Moderate",
 "Highly Competitive"))</f>
        <v>Highly Concentrated</v>
      </c>
    </row>
    <row r="13" spans="2:21" x14ac:dyDescent="0.3">
      <c r="B13" s="2">
        <v>280920</v>
      </c>
      <c r="C13" s="17" t="str">
        <f>IFERROR(INDEX(HS_MD!D:D,MATCH(B13,HS_MD!B:B,0),1),"")</f>
        <v>Phosphoric acid</v>
      </c>
      <c r="D13" s="17" t="str">
        <f>IFERROR(INDEX(HS_MD!F:F,MATCH(B13,HS_MD!B:B,0),1),"")</f>
        <v>ACIDULANTS &amp; REGULATORS</v>
      </c>
      <c r="E13" s="17" t="str">
        <f>IFERROR(INDEX(HS_MD!E:E,MATCH(B13,HS_MD!B:B,0),1),"")</f>
        <v>Phosphoric Acid</v>
      </c>
      <c r="F13" s="17" t="str">
        <f>IFERROR(INDEX(HS_MD!#REF!,MATCH(B13,HS_MD!B:B,0),1),"")</f>
        <v/>
      </c>
      <c r="G13" s="17">
        <f>COUNTIFS(HS_DB[HS Code],HS_Summary[[#This Row],[HS Code]])</f>
        <v>12</v>
      </c>
      <c r="H13" s="17">
        <f>_xlfn.MAXIFS(HS_DB[HS Code Risk Score],HS_DB[HS Code],HS_Summary[[#This Row],[HS Code]])</f>
        <v>34</v>
      </c>
      <c r="I13" s="17" t="str">
        <f>INDEX(HS_DB[HS Code Risk Status],MATCH(HS_Summary[[#This Row],[HS Code]],HS_DB[HS Code],0))</f>
        <v>Medium</v>
      </c>
      <c r="J13" s="8">
        <f>SUMIFS(HS_DB[Net Weight -KG],HS_DB[HS Code],HS_Summary[[#This Row],[HS Code]])</f>
        <v>17237347.600000001</v>
      </c>
      <c r="K13" s="8">
        <f>SUMIFS(HS_DB[Trade Value - USD],HS_DB[HS Code],HS_Summary[[#This Row],[HS Code]])</f>
        <v>12946484</v>
      </c>
      <c r="L13" s="6">
        <f>_xlfn.MAXIFS(HS_DB[Origin Share%],HS_DB[HS Code],HS_Summary[[#This Row],[HS Code]])</f>
        <v>6.321329281187793E-2</v>
      </c>
      <c r="M13" s="17" t="str">
        <f>IF(HS_Summary[[#This Row],[Max Origin Share %]]&gt;0.8,"Single Source",
 IF(HS_Summary[[#This Row],[Max Origin Share %]]&gt;0.6,"High Dependency",
 "Diversified"))</f>
        <v>Diversified</v>
      </c>
      <c r="N13" s="8">
        <f>HS_Summary[[#This Row],[Annual Spend - USD]]*(HS_Summary[[#This Row],[HS Code Risk Score]]/100)</f>
        <v>4401804.5600000005</v>
      </c>
      <c r="O13" s="17">
        <f>RANK(HS_Summary[[#This Row],[Risk Exposure - USD]],HS_Summary[Risk Exposure - USD],0)</f>
        <v>7</v>
      </c>
      <c r="P13" s="17" t="str">
        <f>IF(HS_Summary[[#This Row],[Risk Exposure Rank]]&lt;=COUNT(HS_Summary[HS Code])*0.1,"High",
 IF(HS_Summary[[#This Row],[Risk Exposure Rank]]&lt;=COUNT(HS_Summary[HS Code])*0.3,"Medium",
 "Low"))</f>
        <v>Medium</v>
      </c>
      <c r="Q13" s="17" t="str">
        <f>IF(AND(HS_Summary[[#This Row],[HS Code Risk Score]]&gt;=85,HS_Summary[[#This Row],[Risk Exposure Rank]]&lt;=5),"Strategic Critical",
 IF(AND(HS_Summary[[#This Row],[HS Code Risk Score]]&gt;=70,HS_Summary[[#This Row],[Risk Exposure Rank]]&lt;=10),"High Priority",
 IF(AND(HS_Summary[[#This Row],[HS Code Risk Score]]&gt;=70,HS_Summary[[#This Row],[Max Origin Share %]]&gt;0.7),"Supply Risk Action",
 IF(HS_Summary[[#This Row],[Risk Exposure Rank]]&lt;=5,"Financial Control",
 IF(HS_Summary[[#This Row],[HS Code Risk Score]]&gt;=70,"Risk Monitoring",
 "Routine Control")))))</f>
        <v>Routine Control</v>
      </c>
      <c r="R13" s="8">
        <f>SUMIFS(HS_DB[Trade Value - USD],HS_DB[HS Code],HS_Summary[[#This Row],[HS Code]])</f>
        <v>12946484</v>
      </c>
      <c r="S13" s="6">
        <f>IFERROR(HS_Summary[[#This Row],[Annual Spend - USD]]/HS_Summary[[#This Row],[Total Market Size - USD]],0)</f>
        <v>1</v>
      </c>
      <c r="T13" s="17" cm="1">
        <f t="array" ref="T13">COUNTA(_xlfn.UNIQUE(_xlfn._xlws.FILTER(HS_DB[Partner],HS_DB[HS Code]=HS_Summary[[#This Row],[HS Code]])))</f>
        <v>1</v>
      </c>
      <c r="U13" s="17" t="str">
        <f>IF(HS_Summary[[#This Row],[Competition Intensity]]&lt;=2,"Highly Concentrated",
 IF(HS_Summary[[#This Row],[Competition Intensity]]&lt;=5,"Moderate",
 "Highly Competitive"))</f>
        <v>Highly Concentrated</v>
      </c>
    </row>
    <row r="14" spans="2:21" x14ac:dyDescent="0.3">
      <c r="B14" s="2">
        <v>291815</v>
      </c>
      <c r="C14" s="17" t="str">
        <f>IFERROR(INDEX(HS_MD!D:D,MATCH(B14,HS_MD!B:B,0),1),"")</f>
        <v>Citrates</v>
      </c>
      <c r="D14" s="17" t="str">
        <f>IFERROR(INDEX(HS_MD!F:F,MATCH(B14,HS_MD!B:B,0),1),"")</f>
        <v>ACIDULANTS &amp; REGULATORS</v>
      </c>
      <c r="E14" s="17" t="str">
        <f>IFERROR(INDEX(HS_MD!E:E,MATCH(B14,HS_MD!B:B,0),1),"")</f>
        <v>Sodium Citrate</v>
      </c>
      <c r="F14" s="17" t="str">
        <f>IFERROR(INDEX(HS_MD!#REF!,MATCH(B14,HS_MD!B:B,0),1),"")</f>
        <v/>
      </c>
      <c r="G14" s="17">
        <f>COUNTIFS(HS_DB[HS Code],HS_Summary[[#This Row],[HS Code]])</f>
        <v>14</v>
      </c>
      <c r="H14" s="17">
        <f>_xlfn.MAXIFS(HS_DB[HS Code Risk Score],HS_DB[HS Code],HS_Summary[[#This Row],[HS Code]])</f>
        <v>34</v>
      </c>
      <c r="I14" s="17" t="str">
        <f>INDEX(HS_DB[HS Code Risk Status],MATCH(HS_Summary[[#This Row],[HS Code]],HS_DB[HS Code],0))</f>
        <v>Medium</v>
      </c>
      <c r="J14" s="8">
        <f>SUMIFS(HS_DB[Net Weight -KG],HS_DB[HS Code],HS_Summary[[#This Row],[HS Code]])</f>
        <v>2777277.2</v>
      </c>
      <c r="K14" s="8">
        <f>SUMIFS(HS_DB[Trade Value - USD],HS_DB[HS Code],HS_Summary[[#This Row],[HS Code]])</f>
        <v>4056912</v>
      </c>
      <c r="L14" s="6">
        <f>_xlfn.MAXIFS(HS_DB[Origin Share%],HS_DB[HS Code],HS_Summary[[#This Row],[HS Code]])</f>
        <v>6.321329281187793E-2</v>
      </c>
      <c r="M14" s="17" t="str">
        <f>IF(HS_Summary[[#This Row],[Max Origin Share %]]&gt;0.8,"Single Source",
 IF(HS_Summary[[#This Row],[Max Origin Share %]]&gt;0.6,"High Dependency",
 "Diversified"))</f>
        <v>Diversified</v>
      </c>
      <c r="N14" s="8">
        <f>HS_Summary[[#This Row],[Annual Spend - USD]]*(HS_Summary[[#This Row],[HS Code Risk Score]]/100)</f>
        <v>1379350.08</v>
      </c>
      <c r="O14" s="17">
        <f>RANK(HS_Summary[[#This Row],[Risk Exposure - USD]],HS_Summary[Risk Exposure - USD],0)</f>
        <v>21</v>
      </c>
      <c r="P14" s="17" t="str">
        <f>IF(HS_Summary[[#This Row],[Risk Exposure Rank]]&lt;=COUNT(HS_Summary[HS Code])*0.1,"High",
 IF(HS_Summary[[#This Row],[Risk Exposure Rank]]&lt;=COUNT(HS_Summary[HS Code])*0.3,"Medium",
 "Low"))</f>
        <v>Low</v>
      </c>
      <c r="Q14" s="17" t="str">
        <f>IF(AND(HS_Summary[[#This Row],[HS Code Risk Score]]&gt;=85,HS_Summary[[#This Row],[Risk Exposure Rank]]&lt;=5),"Strategic Critical",
 IF(AND(HS_Summary[[#This Row],[HS Code Risk Score]]&gt;=70,HS_Summary[[#This Row],[Risk Exposure Rank]]&lt;=10),"High Priority",
 IF(AND(HS_Summary[[#This Row],[HS Code Risk Score]]&gt;=70,HS_Summary[[#This Row],[Max Origin Share %]]&gt;0.7),"Supply Risk Action",
 IF(HS_Summary[[#This Row],[Risk Exposure Rank]]&lt;=5,"Financial Control",
 IF(HS_Summary[[#This Row],[HS Code Risk Score]]&gt;=70,"Risk Monitoring",
 "Routine Control")))))</f>
        <v>Routine Control</v>
      </c>
      <c r="R14" s="8">
        <f>SUMIFS(HS_DB[Trade Value - USD],HS_DB[HS Code],HS_Summary[[#This Row],[HS Code]])</f>
        <v>4056912</v>
      </c>
      <c r="S14" s="6">
        <f>IFERROR(HS_Summary[[#This Row],[Annual Spend - USD]]/HS_Summary[[#This Row],[Total Market Size - USD]],0)</f>
        <v>1</v>
      </c>
      <c r="T14" s="17" cm="1">
        <f t="array" ref="T14">COUNTA(_xlfn.UNIQUE(_xlfn._xlws.FILTER(HS_DB[Partner],HS_DB[HS Code]=HS_Summary[[#This Row],[HS Code]])))</f>
        <v>1</v>
      </c>
      <c r="U14" s="17" t="str">
        <f>IF(HS_Summary[[#This Row],[Competition Intensity]]&lt;=2,"Highly Concentrated",
 IF(HS_Summary[[#This Row],[Competition Intensity]]&lt;=5,"Moderate",
 "Highly Competitive"))</f>
        <v>Highly Concentrated</v>
      </c>
    </row>
    <row r="15" spans="2:21" x14ac:dyDescent="0.3">
      <c r="B15" s="2">
        <v>291619</v>
      </c>
      <c r="C15" s="17" t="str">
        <f>IFERROR(INDEX(HS_MD!D:D,MATCH(B15,HS_MD!B:B,0),1),"")</f>
        <v>Unsaturated acyclic acids</v>
      </c>
      <c r="D15" s="17" t="str">
        <f>IFERROR(INDEX(HS_MD!F:F,MATCH(B15,HS_MD!B:B,0),1),"")</f>
        <v>PRESERVATIVES</v>
      </c>
      <c r="E15" s="17" t="str">
        <f>IFERROR(INDEX(HS_MD!E:E,MATCH(B15,HS_MD!B:B,0),1),"")</f>
        <v>Potassium Sorbate</v>
      </c>
      <c r="F15" s="17" t="str">
        <f>IFERROR(INDEX(HS_MD!#REF!,MATCH(B15,HS_MD!B:B,0),1),"")</f>
        <v/>
      </c>
      <c r="G15" s="17">
        <f>COUNTIFS(HS_DB[HS Code],HS_Summary[[#This Row],[HS Code]])</f>
        <v>14</v>
      </c>
      <c r="H15" s="17">
        <f>_xlfn.MAXIFS(HS_DB[HS Code Risk Score],HS_DB[HS Code],HS_Summary[[#This Row],[HS Code]])</f>
        <v>34</v>
      </c>
      <c r="I15" s="17" t="str">
        <f>INDEX(HS_DB[HS Code Risk Status],MATCH(HS_Summary[[#This Row],[HS Code]],HS_DB[HS Code],0))</f>
        <v>Medium</v>
      </c>
      <c r="J15" s="8">
        <f>SUMIFS(HS_DB[Net Weight -KG],HS_DB[HS Code],HS_Summary[[#This Row],[HS Code]])</f>
        <v>2033373.9000000001</v>
      </c>
      <c r="K15" s="8">
        <f>SUMIFS(HS_DB[Trade Value - USD],HS_DB[HS Code],HS_Summary[[#This Row],[HS Code]])</f>
        <v>8974067</v>
      </c>
      <c r="L15" s="6">
        <f>_xlfn.MAXIFS(HS_DB[Origin Share%],HS_DB[HS Code],HS_Summary[[#This Row],[HS Code]])</f>
        <v>6.321329281187793E-2</v>
      </c>
      <c r="M15" s="17" t="str">
        <f>IF(HS_Summary[[#This Row],[Max Origin Share %]]&gt;0.8,"Single Source",
 IF(HS_Summary[[#This Row],[Max Origin Share %]]&gt;0.6,"High Dependency",
 "Diversified"))</f>
        <v>Diversified</v>
      </c>
      <c r="N15" s="8">
        <f>HS_Summary[[#This Row],[Annual Spend - USD]]*(HS_Summary[[#This Row],[HS Code Risk Score]]/100)</f>
        <v>3051182.7800000003</v>
      </c>
      <c r="O15" s="17">
        <f>RANK(HS_Summary[[#This Row],[Risk Exposure - USD]],HS_Summary[Risk Exposure - USD],0)</f>
        <v>11</v>
      </c>
      <c r="P15" s="17" t="str">
        <f>IF(HS_Summary[[#This Row],[Risk Exposure Rank]]&lt;=COUNT(HS_Summary[HS Code])*0.1,"High",
 IF(HS_Summary[[#This Row],[Risk Exposure Rank]]&lt;=COUNT(HS_Summary[HS Code])*0.3,"Medium",
 "Low"))</f>
        <v>Low</v>
      </c>
      <c r="Q15" s="17" t="str">
        <f>IF(AND(HS_Summary[[#This Row],[HS Code Risk Score]]&gt;=85,HS_Summary[[#This Row],[Risk Exposure Rank]]&lt;=5),"Strategic Critical",
 IF(AND(HS_Summary[[#This Row],[HS Code Risk Score]]&gt;=70,HS_Summary[[#This Row],[Risk Exposure Rank]]&lt;=10),"High Priority",
 IF(AND(HS_Summary[[#This Row],[HS Code Risk Score]]&gt;=70,HS_Summary[[#This Row],[Max Origin Share %]]&gt;0.7),"Supply Risk Action",
 IF(HS_Summary[[#This Row],[Risk Exposure Rank]]&lt;=5,"Financial Control",
 IF(HS_Summary[[#This Row],[HS Code Risk Score]]&gt;=70,"Risk Monitoring",
 "Routine Control")))))</f>
        <v>Routine Control</v>
      </c>
      <c r="R15" s="8">
        <f>SUMIFS(HS_DB[Trade Value - USD],HS_DB[HS Code],HS_Summary[[#This Row],[HS Code]])</f>
        <v>8974067</v>
      </c>
      <c r="S15" s="6">
        <f>IFERROR(HS_Summary[[#This Row],[Annual Spend - USD]]/HS_Summary[[#This Row],[Total Market Size - USD]],0)</f>
        <v>1</v>
      </c>
      <c r="T15" s="17" cm="1">
        <f t="array" ref="T15">COUNTA(_xlfn.UNIQUE(_xlfn._xlws.FILTER(HS_DB[Partner],HS_DB[HS Code]=HS_Summary[[#This Row],[HS Code]])))</f>
        <v>1</v>
      </c>
      <c r="U15" s="17" t="str">
        <f>IF(HS_Summary[[#This Row],[Competition Intensity]]&lt;=2,"Highly Concentrated",
 IF(HS_Summary[[#This Row],[Competition Intensity]]&lt;=5,"Moderate",
 "Highly Competitive"))</f>
        <v>Highly Concentrated</v>
      </c>
    </row>
    <row r="16" spans="2:21" x14ac:dyDescent="0.3">
      <c r="B16" s="2">
        <v>291631</v>
      </c>
      <c r="C16" s="17" t="str">
        <f>IFERROR(INDEX(HS_MD!D:D,MATCH(B16,HS_MD!B:B,0),1),"")</f>
        <v>Benzoic acid and salts</v>
      </c>
      <c r="D16" s="17" t="str">
        <f>IFERROR(INDEX(HS_MD!F:F,MATCH(B16,HS_MD!B:B,0),1),"")</f>
        <v>PRESERVATIVES</v>
      </c>
      <c r="E16" s="17" t="str">
        <f>IFERROR(INDEX(HS_MD!E:E,MATCH(B16,HS_MD!B:B,0),1),"")</f>
        <v>Sodium Benzoate</v>
      </c>
      <c r="F16" s="17" t="str">
        <f>IFERROR(INDEX(HS_MD!#REF!,MATCH(B16,HS_MD!B:B,0),1),"")</f>
        <v/>
      </c>
      <c r="G16" s="17">
        <f>COUNTIFS(HS_DB[HS Code],HS_Summary[[#This Row],[HS Code]])</f>
        <v>14</v>
      </c>
      <c r="H16" s="17">
        <f>_xlfn.MAXIFS(HS_DB[HS Code Risk Score],HS_DB[HS Code],HS_Summary[[#This Row],[HS Code]])</f>
        <v>34</v>
      </c>
      <c r="I16" s="17" t="str">
        <f>INDEX(HS_DB[HS Code Risk Status],MATCH(HS_Summary[[#This Row],[HS Code]],HS_DB[HS Code],0))</f>
        <v>Medium</v>
      </c>
      <c r="J16" s="8">
        <f>SUMIFS(HS_DB[Net Weight -KG],HS_DB[HS Code],HS_Summary[[#This Row],[HS Code]])</f>
        <v>3013305.6999999997</v>
      </c>
      <c r="K16" s="8">
        <f>SUMIFS(HS_DB[Trade Value - USD],HS_DB[HS Code],HS_Summary[[#This Row],[HS Code]])</f>
        <v>7283426</v>
      </c>
      <c r="L16" s="6">
        <f>_xlfn.MAXIFS(HS_DB[Origin Share%],HS_DB[HS Code],HS_Summary[[#This Row],[HS Code]])</f>
        <v>6.321329281187793E-2</v>
      </c>
      <c r="M16" s="17" t="str">
        <f>IF(HS_Summary[[#This Row],[Max Origin Share %]]&gt;0.8,"Single Source",
 IF(HS_Summary[[#This Row],[Max Origin Share %]]&gt;0.6,"High Dependency",
 "Diversified"))</f>
        <v>Diversified</v>
      </c>
      <c r="N16" s="8">
        <f>HS_Summary[[#This Row],[Annual Spend - USD]]*(HS_Summary[[#This Row],[HS Code Risk Score]]/100)</f>
        <v>2476364.8400000003</v>
      </c>
      <c r="O16" s="17">
        <f>RANK(HS_Summary[[#This Row],[Risk Exposure - USD]],HS_Summary[Risk Exposure - USD],0)</f>
        <v>14</v>
      </c>
      <c r="P16" s="17" t="str">
        <f>IF(HS_Summary[[#This Row],[Risk Exposure Rank]]&lt;=COUNT(HS_Summary[HS Code])*0.1,"High",
 IF(HS_Summary[[#This Row],[Risk Exposure Rank]]&lt;=COUNT(HS_Summary[HS Code])*0.3,"Medium",
 "Low"))</f>
        <v>Low</v>
      </c>
      <c r="Q16" s="17" t="str">
        <f>IF(AND(HS_Summary[[#This Row],[HS Code Risk Score]]&gt;=85,HS_Summary[[#This Row],[Risk Exposure Rank]]&lt;=5),"Strategic Critical",
 IF(AND(HS_Summary[[#This Row],[HS Code Risk Score]]&gt;=70,HS_Summary[[#This Row],[Risk Exposure Rank]]&lt;=10),"High Priority",
 IF(AND(HS_Summary[[#This Row],[HS Code Risk Score]]&gt;=70,HS_Summary[[#This Row],[Max Origin Share %]]&gt;0.7),"Supply Risk Action",
 IF(HS_Summary[[#This Row],[Risk Exposure Rank]]&lt;=5,"Financial Control",
 IF(HS_Summary[[#This Row],[HS Code Risk Score]]&gt;=70,"Risk Monitoring",
 "Routine Control")))))</f>
        <v>Routine Control</v>
      </c>
      <c r="R16" s="8">
        <f>SUMIFS(HS_DB[Trade Value - USD],HS_DB[HS Code],HS_Summary[[#This Row],[HS Code]])</f>
        <v>7283426</v>
      </c>
      <c r="S16" s="6">
        <f>IFERROR(HS_Summary[[#This Row],[Annual Spend - USD]]/HS_Summary[[#This Row],[Total Market Size - USD]],0)</f>
        <v>1</v>
      </c>
      <c r="T16" s="17" cm="1">
        <f t="array" ref="T16">COUNTA(_xlfn.UNIQUE(_xlfn._xlws.FILTER(HS_DB[Partner],HS_DB[HS Code]=HS_Summary[[#This Row],[HS Code]])))</f>
        <v>1</v>
      </c>
      <c r="U16" s="17" t="str">
        <f>IF(HS_Summary[[#This Row],[Competition Intensity]]&lt;=2,"Highly Concentrated",
 IF(HS_Summary[[#This Row],[Competition Intensity]]&lt;=5,"Moderate",
 "Highly Competitive"))</f>
        <v>Highly Concentrated</v>
      </c>
    </row>
    <row r="17" spans="2:21" x14ac:dyDescent="0.3">
      <c r="B17" s="2">
        <v>291550</v>
      </c>
      <c r="C17" s="17" t="str">
        <f>IFERROR(INDEX(HS_MD!D:D,MATCH(B17,HS_MD!B:B,0),1),"")</f>
        <v>Propionic acid salts</v>
      </c>
      <c r="D17" s="17" t="str">
        <f>IFERROR(INDEX(HS_MD!F:F,MATCH(B17,HS_MD!B:B,0),1),"")</f>
        <v>PRESERVATIVES</v>
      </c>
      <c r="E17" s="17" t="str">
        <f>IFERROR(INDEX(HS_MD!E:E,MATCH(B17,HS_MD!B:B,0),1),"")</f>
        <v>Calcium Propionate</v>
      </c>
      <c r="F17" s="17" t="str">
        <f>IFERROR(INDEX(HS_MD!#REF!,MATCH(B17,HS_MD!B:B,0),1),"")</f>
        <v/>
      </c>
      <c r="G17" s="17">
        <f>COUNTIFS(HS_DB[HS Code],HS_Summary[[#This Row],[HS Code]])</f>
        <v>11</v>
      </c>
      <c r="H17" s="17">
        <f>_xlfn.MAXIFS(HS_DB[HS Code Risk Score],HS_DB[HS Code],HS_Summary[[#This Row],[HS Code]])</f>
        <v>34</v>
      </c>
      <c r="I17" s="17" t="str">
        <f>INDEX(HS_DB[HS Code Risk Status],MATCH(HS_Summary[[#This Row],[HS Code]],HS_DB[HS Code],0))</f>
        <v>Medium</v>
      </c>
      <c r="J17" s="8">
        <f>SUMIFS(HS_DB[Net Weight -KG],HS_DB[HS Code],HS_Summary[[#This Row],[HS Code]])</f>
        <v>1269954.4000000001</v>
      </c>
      <c r="K17" s="8">
        <f>SUMIFS(HS_DB[Trade Value - USD],HS_DB[HS Code],HS_Summary[[#This Row],[HS Code]])</f>
        <v>2145273</v>
      </c>
      <c r="L17" s="6">
        <f>_xlfn.MAXIFS(HS_DB[Origin Share%],HS_DB[HS Code],HS_Summary[[#This Row],[HS Code]])</f>
        <v>6.321329281187793E-2</v>
      </c>
      <c r="M17" s="17" t="str">
        <f>IF(HS_Summary[[#This Row],[Max Origin Share %]]&gt;0.8,"Single Source",
 IF(HS_Summary[[#This Row],[Max Origin Share %]]&gt;0.6,"High Dependency",
 "Diversified"))</f>
        <v>Diversified</v>
      </c>
      <c r="N17" s="8">
        <f>HS_Summary[[#This Row],[Annual Spend - USD]]*(HS_Summary[[#This Row],[HS Code Risk Score]]/100)</f>
        <v>729392.82000000007</v>
      </c>
      <c r="O17" s="17">
        <f>RANK(HS_Summary[[#This Row],[Risk Exposure - USD]],HS_Summary[Risk Exposure - USD],0)</f>
        <v>22</v>
      </c>
      <c r="P17" s="17" t="str">
        <f>IF(HS_Summary[[#This Row],[Risk Exposure Rank]]&lt;=COUNT(HS_Summary[HS Code])*0.1,"High",
 IF(HS_Summary[[#This Row],[Risk Exposure Rank]]&lt;=COUNT(HS_Summary[HS Code])*0.3,"Medium",
 "Low"))</f>
        <v>Low</v>
      </c>
      <c r="Q17" s="17" t="str">
        <f>IF(AND(HS_Summary[[#This Row],[HS Code Risk Score]]&gt;=85,HS_Summary[[#This Row],[Risk Exposure Rank]]&lt;=5),"Strategic Critical",
 IF(AND(HS_Summary[[#This Row],[HS Code Risk Score]]&gt;=70,HS_Summary[[#This Row],[Risk Exposure Rank]]&lt;=10),"High Priority",
 IF(AND(HS_Summary[[#This Row],[HS Code Risk Score]]&gt;=70,HS_Summary[[#This Row],[Max Origin Share %]]&gt;0.7),"Supply Risk Action",
 IF(HS_Summary[[#This Row],[Risk Exposure Rank]]&lt;=5,"Financial Control",
 IF(HS_Summary[[#This Row],[HS Code Risk Score]]&gt;=70,"Risk Monitoring",
 "Routine Control")))))</f>
        <v>Routine Control</v>
      </c>
      <c r="R17" s="8">
        <f>SUMIFS(HS_DB[Trade Value - USD],HS_DB[HS Code],HS_Summary[[#This Row],[HS Code]])</f>
        <v>2145273</v>
      </c>
      <c r="S17" s="6">
        <f>IFERROR(HS_Summary[[#This Row],[Annual Spend - USD]]/HS_Summary[[#This Row],[Total Market Size - USD]],0)</f>
        <v>1</v>
      </c>
      <c r="T17" s="17" cm="1">
        <f t="array" ref="T17">COUNTA(_xlfn.UNIQUE(_xlfn._xlws.FILTER(HS_DB[Partner],HS_DB[HS Code]=HS_Summary[[#This Row],[HS Code]])))</f>
        <v>1</v>
      </c>
      <c r="U17" s="17" t="str">
        <f>IF(HS_Summary[[#This Row],[Competition Intensity]]&lt;=2,"Highly Concentrated",
 IF(HS_Summary[[#This Row],[Competition Intensity]]&lt;=5,"Moderate",
 "Highly Competitive"))</f>
        <v>Highly Concentrated</v>
      </c>
    </row>
    <row r="18" spans="2:21" x14ac:dyDescent="0.3">
      <c r="B18" s="2">
        <v>283410</v>
      </c>
      <c r="C18" s="17" t="str">
        <f>IFERROR(INDEX(HS_MD!D:D,MATCH(B18,HS_MD!B:B,0),1),"")</f>
        <v>Nitrites</v>
      </c>
      <c r="D18" s="17" t="str">
        <f>IFERROR(INDEX(HS_MD!F:F,MATCH(B18,HS_MD!B:B,0),1),"")</f>
        <v>PRESERVATIVES</v>
      </c>
      <c r="E18" s="17" t="str">
        <f>IFERROR(INDEX(HS_MD!E:E,MATCH(B18,HS_MD!B:B,0),1),"")</f>
        <v>Sodium Nitrite</v>
      </c>
      <c r="F18" s="17" t="str">
        <f>IFERROR(INDEX(HS_MD!#REF!,MATCH(B18,HS_MD!B:B,0),1),"")</f>
        <v/>
      </c>
      <c r="G18" s="17">
        <f>COUNTIFS(HS_DB[HS Code],HS_Summary[[#This Row],[HS Code]])</f>
        <v>4</v>
      </c>
      <c r="H18" s="17">
        <f>_xlfn.MAXIFS(HS_DB[HS Code Risk Score],HS_DB[HS Code],HS_Summary[[#This Row],[HS Code]])</f>
        <v>39</v>
      </c>
      <c r="I18" s="17" t="str">
        <f>INDEX(HS_DB[HS Code Risk Status],MATCH(HS_Summary[[#This Row],[HS Code]],HS_DB[HS Code],0))</f>
        <v>Medium</v>
      </c>
      <c r="J18" s="8">
        <f>SUMIFS(HS_DB[Net Weight -KG],HS_DB[HS Code],HS_Summary[[#This Row],[HS Code]])</f>
        <v>215019</v>
      </c>
      <c r="K18" s="8">
        <f>SUMIFS(HS_DB[Trade Value - USD],HS_DB[HS Code],HS_Summary[[#This Row],[HS Code]])</f>
        <v>135066</v>
      </c>
      <c r="L18" s="6">
        <f>_xlfn.MAXIFS(HS_DB[Origin Share%],HS_DB[HS Code],HS_Summary[[#This Row],[HS Code]])</f>
        <v>6.321329281187793E-2</v>
      </c>
      <c r="M18" s="17" t="str">
        <f>IF(HS_Summary[[#This Row],[Max Origin Share %]]&gt;0.8,"Single Source",
 IF(HS_Summary[[#This Row],[Max Origin Share %]]&gt;0.6,"High Dependency",
 "Diversified"))</f>
        <v>Diversified</v>
      </c>
      <c r="N18" s="8">
        <f>HS_Summary[[#This Row],[Annual Spend - USD]]*(HS_Summary[[#This Row],[HS Code Risk Score]]/100)</f>
        <v>52675.740000000005</v>
      </c>
      <c r="O18" s="17">
        <f>RANK(HS_Summary[[#This Row],[Risk Exposure - USD]],HS_Summary[Risk Exposure - USD],0)</f>
        <v>26</v>
      </c>
      <c r="P18" s="17" t="str">
        <f>IF(HS_Summary[[#This Row],[Risk Exposure Rank]]&lt;=COUNT(HS_Summary[HS Code])*0.1,"High",
 IF(HS_Summary[[#This Row],[Risk Exposure Rank]]&lt;=COUNT(HS_Summary[HS Code])*0.3,"Medium",
 "Low"))</f>
        <v>Low</v>
      </c>
      <c r="Q18" s="17" t="str">
        <f>IF(AND(HS_Summary[[#This Row],[HS Code Risk Score]]&gt;=85,HS_Summary[[#This Row],[Risk Exposure Rank]]&lt;=5),"Strategic Critical",
 IF(AND(HS_Summary[[#This Row],[HS Code Risk Score]]&gt;=70,HS_Summary[[#This Row],[Risk Exposure Rank]]&lt;=10),"High Priority",
 IF(AND(HS_Summary[[#This Row],[HS Code Risk Score]]&gt;=70,HS_Summary[[#This Row],[Max Origin Share %]]&gt;0.7),"Supply Risk Action",
 IF(HS_Summary[[#This Row],[Risk Exposure Rank]]&lt;=5,"Financial Control",
 IF(HS_Summary[[#This Row],[HS Code Risk Score]]&gt;=70,"Risk Monitoring",
 "Routine Control")))))</f>
        <v>Routine Control</v>
      </c>
      <c r="R18" s="8">
        <f>SUMIFS(HS_DB[Trade Value - USD],HS_DB[HS Code],HS_Summary[[#This Row],[HS Code]])</f>
        <v>135066</v>
      </c>
      <c r="S18" s="6">
        <f>IFERROR(HS_Summary[[#This Row],[Annual Spend - USD]]/HS_Summary[[#This Row],[Total Market Size - USD]],0)</f>
        <v>1</v>
      </c>
      <c r="T18" s="17" cm="1">
        <f t="array" ref="T18">COUNTA(_xlfn.UNIQUE(_xlfn._xlws.FILTER(HS_DB[Partner],HS_DB[HS Code]=HS_Summary[[#This Row],[HS Code]])))</f>
        <v>1</v>
      </c>
      <c r="U18" s="17" t="str">
        <f>IF(HS_Summary[[#This Row],[Competition Intensity]]&lt;=2,"Highly Concentrated",
 IF(HS_Summary[[#This Row],[Competition Intensity]]&lt;=5,"Moderate",
 "Highly Competitive"))</f>
        <v>Highly Concentrated</v>
      </c>
    </row>
    <row r="19" spans="2:21" x14ac:dyDescent="0.3">
      <c r="B19" s="2">
        <v>283210</v>
      </c>
      <c r="C19" s="17" t="str">
        <f>IFERROR(INDEX(HS_MD!D:D,MATCH(B19,HS_MD!B:B,0),1),"")</f>
        <v>Sulfites</v>
      </c>
      <c r="D19" s="17" t="str">
        <f>IFERROR(INDEX(HS_MD!F:F,MATCH(B19,HS_MD!B:B,0),1),"")</f>
        <v>PRESERVATIVES</v>
      </c>
      <c r="E19" s="17" t="str">
        <f>IFERROR(INDEX(HS_MD!E:E,MATCH(B19,HS_MD!B:B,0),1),"")</f>
        <v>Sodium Metabisulfite</v>
      </c>
      <c r="F19" s="17" t="str">
        <f>IFERROR(INDEX(HS_MD!#REF!,MATCH(B19,HS_MD!B:B,0),1),"")</f>
        <v/>
      </c>
      <c r="G19" s="17">
        <f>COUNTIFS(HS_DB[HS Code],HS_Summary[[#This Row],[HS Code]])</f>
        <v>11</v>
      </c>
      <c r="H19" s="17">
        <f>_xlfn.MAXIFS(HS_DB[HS Code Risk Score],HS_DB[HS Code],HS_Summary[[#This Row],[HS Code]])</f>
        <v>34</v>
      </c>
      <c r="I19" s="17" t="str">
        <f>INDEX(HS_DB[HS Code Risk Status],MATCH(HS_Summary[[#This Row],[HS Code]],HS_DB[HS Code],0))</f>
        <v>Medium</v>
      </c>
      <c r="J19" s="8">
        <f>SUMIFS(HS_DB[Net Weight -KG],HS_DB[HS Code],HS_Summary[[#This Row],[HS Code]])</f>
        <v>13115268</v>
      </c>
      <c r="K19" s="8">
        <f>SUMIFS(HS_DB[Trade Value - USD],HS_DB[HS Code],HS_Summary[[#This Row],[HS Code]])</f>
        <v>5267552</v>
      </c>
      <c r="L19" s="6">
        <f>_xlfn.MAXIFS(HS_DB[Origin Share%],HS_DB[HS Code],HS_Summary[[#This Row],[HS Code]])</f>
        <v>6.321329281187793E-2</v>
      </c>
      <c r="M19" s="17" t="str">
        <f>IF(HS_Summary[[#This Row],[Max Origin Share %]]&gt;0.8,"Single Source",
 IF(HS_Summary[[#This Row],[Max Origin Share %]]&gt;0.6,"High Dependency",
 "Diversified"))</f>
        <v>Diversified</v>
      </c>
      <c r="N19" s="8">
        <f>HS_Summary[[#This Row],[Annual Spend - USD]]*(HS_Summary[[#This Row],[HS Code Risk Score]]/100)</f>
        <v>1790967.6800000002</v>
      </c>
      <c r="O19" s="17">
        <f>RANK(HS_Summary[[#This Row],[Risk Exposure - USD]],HS_Summary[Risk Exposure - USD],0)</f>
        <v>18</v>
      </c>
      <c r="P19" s="17" t="str">
        <f>IF(HS_Summary[[#This Row],[Risk Exposure Rank]]&lt;=COUNT(HS_Summary[HS Code])*0.1,"High",
 IF(HS_Summary[[#This Row],[Risk Exposure Rank]]&lt;=COUNT(HS_Summary[HS Code])*0.3,"Medium",
 "Low"))</f>
        <v>Low</v>
      </c>
      <c r="Q19" s="17" t="str">
        <f>IF(AND(HS_Summary[[#This Row],[HS Code Risk Score]]&gt;=85,HS_Summary[[#This Row],[Risk Exposure Rank]]&lt;=5),"Strategic Critical",
 IF(AND(HS_Summary[[#This Row],[HS Code Risk Score]]&gt;=70,HS_Summary[[#This Row],[Risk Exposure Rank]]&lt;=10),"High Priority",
 IF(AND(HS_Summary[[#This Row],[HS Code Risk Score]]&gt;=70,HS_Summary[[#This Row],[Max Origin Share %]]&gt;0.7),"Supply Risk Action",
 IF(HS_Summary[[#This Row],[Risk Exposure Rank]]&lt;=5,"Financial Control",
 IF(HS_Summary[[#This Row],[HS Code Risk Score]]&gt;=70,"Risk Monitoring",
 "Routine Control")))))</f>
        <v>Routine Control</v>
      </c>
      <c r="R19" s="8">
        <f>SUMIFS(HS_DB[Trade Value - USD],HS_DB[HS Code],HS_Summary[[#This Row],[HS Code]])</f>
        <v>5267552</v>
      </c>
      <c r="S19" s="6">
        <f>IFERROR(HS_Summary[[#This Row],[Annual Spend - USD]]/HS_Summary[[#This Row],[Total Market Size - USD]],0)</f>
        <v>1</v>
      </c>
      <c r="T19" s="17" cm="1">
        <f t="array" ref="T19">COUNTA(_xlfn.UNIQUE(_xlfn._xlws.FILTER(HS_DB[Partner],HS_DB[HS Code]=HS_Summary[[#This Row],[HS Code]])))</f>
        <v>1</v>
      </c>
      <c r="U19" s="17" t="str">
        <f>IF(HS_Summary[[#This Row],[Competition Intensity]]&lt;=2,"Highly Concentrated",
 IF(HS_Summary[[#This Row],[Competition Intensity]]&lt;=5,"Moderate",
 "Highly Competitive"))</f>
        <v>Highly Concentrated</v>
      </c>
    </row>
    <row r="20" spans="2:21" x14ac:dyDescent="0.3">
      <c r="B20" s="2">
        <v>350510</v>
      </c>
      <c r="C20" s="17" t="str">
        <f>IFERROR(INDEX(HS_MD!D:D,MATCH(B20,HS_MD!B:B,0),1),"")</f>
        <v>Dextrins and modified starches</v>
      </c>
      <c r="D20" s="17" t="str">
        <f>IFERROR(INDEX(HS_MD!F:F,MATCH(B20,HS_MD!B:B,0),1),"")</f>
        <v>FUNCTIONAL INGREDIENTS</v>
      </c>
      <c r="E20" s="17" t="str">
        <f>IFERROR(INDEX(HS_MD!E:E,MATCH(B20,HS_MD!B:B,0),1),"")</f>
        <v>Modified Starch (Cold/Hot)</v>
      </c>
      <c r="F20" s="17" t="str">
        <f>IFERROR(INDEX(HS_MD!#REF!,MATCH(B20,HS_MD!B:B,0),1),"")</f>
        <v/>
      </c>
      <c r="G20" s="17">
        <f>COUNTIFS(HS_DB[HS Code],HS_Summary[[#This Row],[HS Code]])</f>
        <v>23</v>
      </c>
      <c r="H20" s="17">
        <f>_xlfn.MAXIFS(HS_DB[HS Code Risk Score],HS_DB[HS Code],HS_Summary[[#This Row],[HS Code]])</f>
        <v>34</v>
      </c>
      <c r="I20" s="17" t="str">
        <f>INDEX(HS_DB[HS Code Risk Status],MATCH(HS_Summary[[#This Row],[HS Code]],HS_DB[HS Code],0))</f>
        <v>Medium</v>
      </c>
      <c r="J20" s="8">
        <f>SUMIFS(HS_DB[Net Weight -KG],HS_DB[HS Code],HS_Summary[[#This Row],[HS Code]])</f>
        <v>17243671.100000001</v>
      </c>
      <c r="K20" s="8">
        <f>SUMIFS(HS_DB[Trade Value - USD],HS_DB[HS Code],HS_Summary[[#This Row],[HS Code]])</f>
        <v>24442250</v>
      </c>
      <c r="L20" s="6">
        <f>_xlfn.MAXIFS(HS_DB[Origin Share%],HS_DB[HS Code],HS_Summary[[#This Row],[HS Code]])</f>
        <v>0.39900464236999494</v>
      </c>
      <c r="M20" s="17" t="str">
        <f>IF(HS_Summary[[#This Row],[Max Origin Share %]]&gt;0.8,"Single Source",
 IF(HS_Summary[[#This Row],[Max Origin Share %]]&gt;0.6,"High Dependency",
 "Diversified"))</f>
        <v>Diversified</v>
      </c>
      <c r="N20" s="8">
        <f>HS_Summary[[#This Row],[Annual Spend - USD]]*(HS_Summary[[#This Row],[HS Code Risk Score]]/100)</f>
        <v>8310365.0000000009</v>
      </c>
      <c r="O20" s="17">
        <f>RANK(HS_Summary[[#This Row],[Risk Exposure - USD]],HS_Summary[Risk Exposure - USD],0)</f>
        <v>2</v>
      </c>
      <c r="P20" s="17" t="str">
        <f>IF(HS_Summary[[#This Row],[Risk Exposure Rank]]&lt;=COUNT(HS_Summary[HS Code])*0.1,"High",
 IF(HS_Summary[[#This Row],[Risk Exposure Rank]]&lt;=COUNT(HS_Summary[HS Code])*0.3,"Medium",
 "Low"))</f>
        <v>High</v>
      </c>
      <c r="Q20" s="17" t="str">
        <f>IF(AND(HS_Summary[[#This Row],[HS Code Risk Score]]&gt;=85,HS_Summary[[#This Row],[Risk Exposure Rank]]&lt;=5),"Strategic Critical",
 IF(AND(HS_Summary[[#This Row],[HS Code Risk Score]]&gt;=70,HS_Summary[[#This Row],[Risk Exposure Rank]]&lt;=10),"High Priority",
 IF(AND(HS_Summary[[#This Row],[HS Code Risk Score]]&gt;=70,HS_Summary[[#This Row],[Max Origin Share %]]&gt;0.7),"Supply Risk Action",
 IF(HS_Summary[[#This Row],[Risk Exposure Rank]]&lt;=5,"Financial Control",
 IF(HS_Summary[[#This Row],[HS Code Risk Score]]&gt;=70,"Risk Monitoring",
 "Routine Control")))))</f>
        <v>Financial Control</v>
      </c>
      <c r="R20" s="8">
        <f>SUMIFS(HS_DB[Trade Value - USD],HS_DB[HS Code],HS_Summary[[#This Row],[HS Code]])</f>
        <v>24442250</v>
      </c>
      <c r="S20" s="6">
        <f>IFERROR(HS_Summary[[#This Row],[Annual Spend - USD]]/HS_Summary[[#This Row],[Total Market Size - USD]],0)</f>
        <v>1</v>
      </c>
      <c r="T20" s="17" cm="1">
        <f t="array" ref="T20">COUNTA(_xlfn.UNIQUE(_xlfn._xlws.FILTER(HS_DB[Partner],HS_DB[HS Code]=HS_Summary[[#This Row],[HS Code]])))</f>
        <v>1</v>
      </c>
      <c r="U20" s="17" t="str">
        <f>IF(HS_Summary[[#This Row],[Competition Intensity]]&lt;=2,"Highly Concentrated",
 IF(HS_Summary[[#This Row],[Competition Intensity]]&lt;=5,"Moderate",
 "Highly Competitive"))</f>
        <v>Highly Concentrated</v>
      </c>
    </row>
    <row r="21" spans="2:21" x14ac:dyDescent="0.3">
      <c r="B21" s="2">
        <v>292320</v>
      </c>
      <c r="C21" s="17" t="str">
        <f>IFERROR(INDEX(HS_MD!D:D,MATCH(B21,HS_MD!B:B,0),1),"")</f>
        <v>Lecithins</v>
      </c>
      <c r="D21" s="17" t="str">
        <f>IFERROR(INDEX(HS_MD!F:F,MATCH(B21,HS_MD!B:B,0),1),"")</f>
        <v>FUNCTIONAL INGREDIENTS</v>
      </c>
      <c r="E21" s="17" t="str">
        <f>IFERROR(INDEX(HS_MD!E:E,MATCH(B21,HS_MD!B:B,0),1),"")</f>
        <v>Lecithin</v>
      </c>
      <c r="F21" s="17" t="str">
        <f>IFERROR(INDEX(HS_MD!#REF!,MATCH(B21,HS_MD!B:B,0),1),"")</f>
        <v/>
      </c>
      <c r="G21" s="17">
        <f>COUNTIFS(HS_DB[HS Code],HS_Summary[[#This Row],[HS Code]])</f>
        <v>14</v>
      </c>
      <c r="H21" s="17">
        <f>_xlfn.MAXIFS(HS_DB[HS Code Risk Score],HS_DB[HS Code],HS_Summary[[#This Row],[HS Code]])</f>
        <v>34</v>
      </c>
      <c r="I21" s="17" t="str">
        <f>INDEX(HS_DB[HS Code Risk Status],MATCH(HS_Summary[[#This Row],[HS Code]],HS_DB[HS Code],0))</f>
        <v>Medium</v>
      </c>
      <c r="J21" s="8">
        <f>SUMIFS(HS_DB[Net Weight -KG],HS_DB[HS Code],HS_Summary[[#This Row],[HS Code]])</f>
        <v>4015418.8</v>
      </c>
      <c r="K21" s="8">
        <f>SUMIFS(HS_DB[Trade Value - USD],HS_DB[HS Code],HS_Summary[[#This Row],[HS Code]])</f>
        <v>5257621</v>
      </c>
      <c r="L21" s="6">
        <f>_xlfn.MAXIFS(HS_DB[Origin Share%],HS_DB[HS Code],HS_Summary[[#This Row],[HS Code]])</f>
        <v>6.321329281187793E-2</v>
      </c>
      <c r="M21" s="17" t="str">
        <f>IF(HS_Summary[[#This Row],[Max Origin Share %]]&gt;0.8,"Single Source",
 IF(HS_Summary[[#This Row],[Max Origin Share %]]&gt;0.6,"High Dependency",
 "Diversified"))</f>
        <v>Diversified</v>
      </c>
      <c r="N21" s="8">
        <f>HS_Summary[[#This Row],[Annual Spend - USD]]*(HS_Summary[[#This Row],[HS Code Risk Score]]/100)</f>
        <v>1787591.1400000001</v>
      </c>
      <c r="O21" s="17">
        <f>RANK(HS_Summary[[#This Row],[Risk Exposure - USD]],HS_Summary[Risk Exposure - USD],0)</f>
        <v>19</v>
      </c>
      <c r="P21" s="17" t="str">
        <f>IF(HS_Summary[[#This Row],[Risk Exposure Rank]]&lt;=COUNT(HS_Summary[HS Code])*0.1,"High",
 IF(HS_Summary[[#This Row],[Risk Exposure Rank]]&lt;=COUNT(HS_Summary[HS Code])*0.3,"Medium",
 "Low"))</f>
        <v>Low</v>
      </c>
      <c r="Q21" s="17" t="str">
        <f>IF(AND(HS_Summary[[#This Row],[HS Code Risk Score]]&gt;=85,HS_Summary[[#This Row],[Risk Exposure Rank]]&lt;=5),"Strategic Critical",
 IF(AND(HS_Summary[[#This Row],[HS Code Risk Score]]&gt;=70,HS_Summary[[#This Row],[Risk Exposure Rank]]&lt;=10),"High Priority",
 IF(AND(HS_Summary[[#This Row],[HS Code Risk Score]]&gt;=70,HS_Summary[[#This Row],[Max Origin Share %]]&gt;0.7),"Supply Risk Action",
 IF(HS_Summary[[#This Row],[Risk Exposure Rank]]&lt;=5,"Financial Control",
 IF(HS_Summary[[#This Row],[HS Code Risk Score]]&gt;=70,"Risk Monitoring",
 "Routine Control")))))</f>
        <v>Routine Control</v>
      </c>
      <c r="R21" s="8">
        <f>SUMIFS(HS_DB[Trade Value - USD],HS_DB[HS Code],HS_Summary[[#This Row],[HS Code]])</f>
        <v>5257621</v>
      </c>
      <c r="S21" s="6">
        <f>IFERROR(HS_Summary[[#This Row],[Annual Spend - USD]]/HS_Summary[[#This Row],[Total Market Size - USD]],0)</f>
        <v>1</v>
      </c>
      <c r="T21" s="17" cm="1">
        <f t="array" ref="T21">COUNTA(_xlfn.UNIQUE(_xlfn._xlws.FILTER(HS_DB[Partner],HS_DB[HS Code]=HS_Summary[[#This Row],[HS Code]])))</f>
        <v>1</v>
      </c>
      <c r="U21" s="17" t="str">
        <f>IF(HS_Summary[[#This Row],[Competition Intensity]]&lt;=2,"Highly Concentrated",
 IF(HS_Summary[[#This Row],[Competition Intensity]]&lt;=5,"Moderate",
 "Highly Competitive"))</f>
        <v>Highly Concentrated</v>
      </c>
    </row>
    <row r="22" spans="2:21" x14ac:dyDescent="0.3">
      <c r="B22" s="2">
        <v>291570</v>
      </c>
      <c r="C22" s="17" t="str">
        <f>IFERROR(INDEX(HS_MD!D:D,MATCH(B22,HS_MD!B:B,0),1),"")</f>
        <v>Fatty acid derivatives</v>
      </c>
      <c r="D22" s="17" t="str">
        <f>IFERROR(INDEX(HS_MD!F:F,MATCH(B22,HS_MD!B:B,0),1),"")</f>
        <v>FUNCTIONAL INGREDIENTS</v>
      </c>
      <c r="E22" s="17" t="str">
        <f>IFERROR(INDEX(HS_MD!E:E,MATCH(B22,HS_MD!B:B,0),1),"")</f>
        <v>Mono &amp; Diglycerides</v>
      </c>
      <c r="F22" s="17" t="str">
        <f>IFERROR(INDEX(HS_MD!#REF!,MATCH(B22,HS_MD!B:B,0),1),"")</f>
        <v/>
      </c>
      <c r="G22" s="17">
        <f>COUNTIFS(HS_DB[HS Code],HS_Summary[[#This Row],[HS Code]])</f>
        <v>17</v>
      </c>
      <c r="H22" s="17">
        <f>_xlfn.MAXIFS(HS_DB[HS Code Risk Score],HS_DB[HS Code],HS_Summary[[#This Row],[HS Code]])</f>
        <v>34</v>
      </c>
      <c r="I22" s="17" t="str">
        <f>INDEX(HS_DB[HS Code Risk Status],MATCH(HS_Summary[[#This Row],[HS Code]],HS_DB[HS Code],0))</f>
        <v>Medium</v>
      </c>
      <c r="J22" s="8">
        <f>SUMIFS(HS_DB[Net Weight -KG],HS_DB[HS Code],HS_Summary[[#This Row],[HS Code]])</f>
        <v>3811780.5999999996</v>
      </c>
      <c r="K22" s="8">
        <f>SUMIFS(HS_DB[Trade Value - USD],HS_DB[HS Code],HS_Summary[[#This Row],[HS Code]])</f>
        <v>8265160</v>
      </c>
      <c r="L22" s="6">
        <f>_xlfn.MAXIFS(HS_DB[Origin Share%],HS_DB[HS Code],HS_Summary[[#This Row],[HS Code]])</f>
        <v>0.39900464236999494</v>
      </c>
      <c r="M22" s="17" t="str">
        <f>IF(HS_Summary[[#This Row],[Max Origin Share %]]&gt;0.8,"Single Source",
 IF(HS_Summary[[#This Row],[Max Origin Share %]]&gt;0.6,"High Dependency",
 "Diversified"))</f>
        <v>Diversified</v>
      </c>
      <c r="N22" s="8">
        <f>HS_Summary[[#This Row],[Annual Spend - USD]]*(HS_Summary[[#This Row],[HS Code Risk Score]]/100)</f>
        <v>2810154.4000000004</v>
      </c>
      <c r="O22" s="17">
        <f>RANK(HS_Summary[[#This Row],[Risk Exposure - USD]],HS_Summary[Risk Exposure - USD],0)</f>
        <v>12</v>
      </c>
      <c r="P22" s="17" t="str">
        <f>IF(HS_Summary[[#This Row],[Risk Exposure Rank]]&lt;=COUNT(HS_Summary[HS Code])*0.1,"High",
 IF(HS_Summary[[#This Row],[Risk Exposure Rank]]&lt;=COUNT(HS_Summary[HS Code])*0.3,"Medium",
 "Low"))</f>
        <v>Low</v>
      </c>
      <c r="Q22" s="17" t="str">
        <f>IF(AND(HS_Summary[[#This Row],[HS Code Risk Score]]&gt;=85,HS_Summary[[#This Row],[Risk Exposure Rank]]&lt;=5),"Strategic Critical",
 IF(AND(HS_Summary[[#This Row],[HS Code Risk Score]]&gt;=70,HS_Summary[[#This Row],[Risk Exposure Rank]]&lt;=10),"High Priority",
 IF(AND(HS_Summary[[#This Row],[HS Code Risk Score]]&gt;=70,HS_Summary[[#This Row],[Max Origin Share %]]&gt;0.7),"Supply Risk Action",
 IF(HS_Summary[[#This Row],[Risk Exposure Rank]]&lt;=5,"Financial Control",
 IF(HS_Summary[[#This Row],[HS Code Risk Score]]&gt;=70,"Risk Monitoring",
 "Routine Control")))))</f>
        <v>Routine Control</v>
      </c>
      <c r="R22" s="8">
        <f>SUMIFS(HS_DB[Trade Value - USD],HS_DB[HS Code],HS_Summary[[#This Row],[HS Code]])</f>
        <v>8265160</v>
      </c>
      <c r="S22" s="6">
        <f>IFERROR(HS_Summary[[#This Row],[Annual Spend - USD]]/HS_Summary[[#This Row],[Total Market Size - USD]],0)</f>
        <v>1</v>
      </c>
      <c r="T22" s="17" cm="1">
        <f t="array" ref="T22">COUNTA(_xlfn.UNIQUE(_xlfn._xlws.FILTER(HS_DB[Partner],HS_DB[HS Code]=HS_Summary[[#This Row],[HS Code]])))</f>
        <v>1</v>
      </c>
      <c r="U22" s="17" t="str">
        <f>IF(HS_Summary[[#This Row],[Competition Intensity]]&lt;=2,"Highly Concentrated",
 IF(HS_Summary[[#This Row],[Competition Intensity]]&lt;=5,"Moderate",
 "Highly Competitive"))</f>
        <v>Highly Concentrated</v>
      </c>
    </row>
    <row r="23" spans="2:21" x14ac:dyDescent="0.3">
      <c r="B23" s="2">
        <v>290544</v>
      </c>
      <c r="C23" s="17" t="str">
        <f>IFERROR(INDEX(HS_MD!D:D,MATCH(B23,HS_MD!B:B,0),1),"")</f>
        <v>Sugar alcohols</v>
      </c>
      <c r="D23" s="17" t="str">
        <f>IFERROR(INDEX(HS_MD!F:F,MATCH(B23,HS_MD!B:B,0),1),"")</f>
        <v>SWEETENERS</v>
      </c>
      <c r="E23" s="17" t="str">
        <f>IFERROR(INDEX(HS_MD!E:E,MATCH(B23,HS_MD!B:B,0),1),"")</f>
        <v>Sorbitol</v>
      </c>
      <c r="F23" s="17" t="str">
        <f>IFERROR(INDEX(HS_MD!#REF!,MATCH(B23,HS_MD!B:B,0),1),"")</f>
        <v/>
      </c>
      <c r="G23" s="17">
        <f>COUNTIFS(HS_DB[HS Code],HS_Summary[[#This Row],[HS Code]])</f>
        <v>7</v>
      </c>
      <c r="H23" s="17">
        <f>_xlfn.MAXIFS(HS_DB[HS Code Risk Score],HS_DB[HS Code],HS_Summary[[#This Row],[HS Code]])</f>
        <v>34</v>
      </c>
      <c r="I23" s="17" t="str">
        <f>INDEX(HS_DB[HS Code Risk Status],MATCH(HS_Summary[[#This Row],[HS Code]],HS_DB[HS Code],0))</f>
        <v>Medium</v>
      </c>
      <c r="J23" s="8">
        <f>SUMIFS(HS_DB[Net Weight -KG],HS_DB[HS Code],HS_Summary[[#This Row],[HS Code]])</f>
        <v>6904613.2999999998</v>
      </c>
      <c r="K23" s="8">
        <f>SUMIFS(HS_DB[Trade Value - USD],HS_DB[HS Code],HS_Summary[[#This Row],[HS Code]])</f>
        <v>4856460</v>
      </c>
      <c r="L23" s="6">
        <f>_xlfn.MAXIFS(HS_DB[Origin Share%],HS_DB[HS Code],HS_Summary[[#This Row],[HS Code]])</f>
        <v>0.39900464236999494</v>
      </c>
      <c r="M23" s="17" t="str">
        <f>IF(HS_Summary[[#This Row],[Max Origin Share %]]&gt;0.8,"Single Source",
 IF(HS_Summary[[#This Row],[Max Origin Share %]]&gt;0.6,"High Dependency",
 "Diversified"))</f>
        <v>Diversified</v>
      </c>
      <c r="N23" s="8">
        <f>HS_Summary[[#This Row],[Annual Spend - USD]]*(HS_Summary[[#This Row],[HS Code Risk Score]]/100)</f>
        <v>1651196.4000000001</v>
      </c>
      <c r="O23" s="17">
        <f>RANK(HS_Summary[[#This Row],[Risk Exposure - USD]],HS_Summary[Risk Exposure - USD],0)</f>
        <v>20</v>
      </c>
      <c r="P23" s="17" t="str">
        <f>IF(HS_Summary[[#This Row],[Risk Exposure Rank]]&lt;=COUNT(HS_Summary[HS Code])*0.1,"High",
 IF(HS_Summary[[#This Row],[Risk Exposure Rank]]&lt;=COUNT(HS_Summary[HS Code])*0.3,"Medium",
 "Low"))</f>
        <v>Low</v>
      </c>
      <c r="Q23" s="17" t="str">
        <f>IF(AND(HS_Summary[[#This Row],[HS Code Risk Score]]&gt;=85,HS_Summary[[#This Row],[Risk Exposure Rank]]&lt;=5),"Strategic Critical",
 IF(AND(HS_Summary[[#This Row],[HS Code Risk Score]]&gt;=70,HS_Summary[[#This Row],[Risk Exposure Rank]]&lt;=10),"High Priority",
 IF(AND(HS_Summary[[#This Row],[HS Code Risk Score]]&gt;=70,HS_Summary[[#This Row],[Max Origin Share %]]&gt;0.7),"Supply Risk Action",
 IF(HS_Summary[[#This Row],[Risk Exposure Rank]]&lt;=5,"Financial Control",
 IF(HS_Summary[[#This Row],[HS Code Risk Score]]&gt;=70,"Risk Monitoring",
 "Routine Control")))))</f>
        <v>Routine Control</v>
      </c>
      <c r="R23" s="8">
        <f>SUMIFS(HS_DB[Trade Value - USD],HS_DB[HS Code],HS_Summary[[#This Row],[HS Code]])</f>
        <v>4856460</v>
      </c>
      <c r="S23" s="6">
        <f>IFERROR(HS_Summary[[#This Row],[Annual Spend - USD]]/HS_Summary[[#This Row],[Total Market Size - USD]],0)</f>
        <v>1</v>
      </c>
      <c r="T23" s="17" cm="1">
        <f t="array" ref="T23">COUNTA(_xlfn.UNIQUE(_xlfn._xlws.FILTER(HS_DB[Partner],HS_DB[HS Code]=HS_Summary[[#This Row],[HS Code]])))</f>
        <v>1</v>
      </c>
      <c r="U23" s="17" t="str">
        <f>IF(HS_Summary[[#This Row],[Competition Intensity]]&lt;=2,"Highly Concentrated",
 IF(HS_Summary[[#This Row],[Competition Intensity]]&lt;=5,"Moderate",
 "Highly Competitive"))</f>
        <v>Highly Concentrated</v>
      </c>
    </row>
    <row r="24" spans="2:21" x14ac:dyDescent="0.3">
      <c r="B24" s="2">
        <v>170230</v>
      </c>
      <c r="C24" s="17" t="str">
        <f>IFERROR(INDEX(HS_MD!D:D,MATCH(B24,HS_MD!B:B,0),1),"")</f>
        <v>Glucose and syrup</v>
      </c>
      <c r="D24" s="17" t="str">
        <f>IFERROR(INDEX(HS_MD!F:F,MATCH(B24,HS_MD!B:B,0),1),"")</f>
        <v>SWEETENERS</v>
      </c>
      <c r="E24" s="17" t="str">
        <f>IFERROR(INDEX(HS_MD!E:E,MATCH(B24,HS_MD!B:B,0),1),"")</f>
        <v>Glucose Syrup</v>
      </c>
      <c r="F24" s="17" t="str">
        <f>IFERROR(INDEX(HS_MD!#REF!,MATCH(B24,HS_MD!B:B,0),1),"")</f>
        <v/>
      </c>
      <c r="G24" s="17">
        <f>COUNTIFS(HS_DB[HS Code],HS_Summary[[#This Row],[HS Code]])</f>
        <v>9</v>
      </c>
      <c r="H24" s="17">
        <f>_xlfn.MAXIFS(HS_DB[HS Code Risk Score],HS_DB[HS Code],HS_Summary[[#This Row],[HS Code]])</f>
        <v>34</v>
      </c>
      <c r="I24" s="17" t="str">
        <f>INDEX(HS_DB[HS Code Risk Status],MATCH(HS_Summary[[#This Row],[HS Code]],HS_DB[HS Code],0))</f>
        <v>Medium</v>
      </c>
      <c r="J24" s="8">
        <f>SUMIFS(HS_DB[Net Weight -KG],HS_DB[HS Code],HS_Summary[[#This Row],[HS Code]])</f>
        <v>12795612.5</v>
      </c>
      <c r="K24" s="8">
        <f>SUMIFS(HS_DB[Trade Value - USD],HS_DB[HS Code],HS_Summary[[#This Row],[HS Code]])</f>
        <v>7932108</v>
      </c>
      <c r="L24" s="6">
        <f>_xlfn.MAXIFS(HS_DB[Origin Share%],HS_DB[HS Code],HS_Summary[[#This Row],[HS Code]])</f>
        <v>7.6648679233989533E-2</v>
      </c>
      <c r="M24" s="17" t="str">
        <f>IF(HS_Summary[[#This Row],[Max Origin Share %]]&gt;0.8,"Single Source",
 IF(HS_Summary[[#This Row],[Max Origin Share %]]&gt;0.6,"High Dependency",
 "Diversified"))</f>
        <v>Diversified</v>
      </c>
      <c r="N24" s="8">
        <f>HS_Summary[[#This Row],[Annual Spend - USD]]*(HS_Summary[[#This Row],[HS Code Risk Score]]/100)</f>
        <v>2696916.72</v>
      </c>
      <c r="O24" s="17">
        <f>RANK(HS_Summary[[#This Row],[Risk Exposure - USD]],HS_Summary[Risk Exposure - USD],0)</f>
        <v>13</v>
      </c>
      <c r="P24" s="17" t="str">
        <f>IF(HS_Summary[[#This Row],[Risk Exposure Rank]]&lt;=COUNT(HS_Summary[HS Code])*0.1,"High",
 IF(HS_Summary[[#This Row],[Risk Exposure Rank]]&lt;=COUNT(HS_Summary[HS Code])*0.3,"Medium",
 "Low"))</f>
        <v>Low</v>
      </c>
      <c r="Q24" s="17" t="str">
        <f>IF(AND(HS_Summary[[#This Row],[HS Code Risk Score]]&gt;=85,HS_Summary[[#This Row],[Risk Exposure Rank]]&lt;=5),"Strategic Critical",
 IF(AND(HS_Summary[[#This Row],[HS Code Risk Score]]&gt;=70,HS_Summary[[#This Row],[Risk Exposure Rank]]&lt;=10),"High Priority",
 IF(AND(HS_Summary[[#This Row],[HS Code Risk Score]]&gt;=70,HS_Summary[[#This Row],[Max Origin Share %]]&gt;0.7),"Supply Risk Action",
 IF(HS_Summary[[#This Row],[Risk Exposure Rank]]&lt;=5,"Financial Control",
 IF(HS_Summary[[#This Row],[HS Code Risk Score]]&gt;=70,"Risk Monitoring",
 "Routine Control")))))</f>
        <v>Routine Control</v>
      </c>
      <c r="R24" s="8">
        <f>SUMIFS(HS_DB[Trade Value - USD],HS_DB[HS Code],HS_Summary[[#This Row],[HS Code]])</f>
        <v>7932108</v>
      </c>
      <c r="S24" s="6">
        <f>IFERROR(HS_Summary[[#This Row],[Annual Spend - USD]]/HS_Summary[[#This Row],[Total Market Size - USD]],0)</f>
        <v>1</v>
      </c>
      <c r="T24" s="17" cm="1">
        <f t="array" ref="T24">COUNTA(_xlfn.UNIQUE(_xlfn._xlws.FILTER(HS_DB[Partner],HS_DB[HS Code]=HS_Summary[[#This Row],[HS Code]])))</f>
        <v>1</v>
      </c>
      <c r="U24" s="17" t="str">
        <f>IF(HS_Summary[[#This Row],[Competition Intensity]]&lt;=2,"Highly Concentrated",
 IF(HS_Summary[[#This Row],[Competition Intensity]]&lt;=5,"Moderate",
 "Highly Competitive"))</f>
        <v>Highly Concentrated</v>
      </c>
    </row>
    <row r="25" spans="2:21" x14ac:dyDescent="0.3">
      <c r="B25" s="2">
        <v>170260</v>
      </c>
      <c r="C25" s="17" t="str">
        <f>IFERROR(INDEX(HS_MD!D:D,MATCH(B25,HS_MD!B:B,0),1),"")</f>
        <v>Fructose syrups</v>
      </c>
      <c r="D25" s="17" t="str">
        <f>IFERROR(INDEX(HS_MD!F:F,MATCH(B25,HS_MD!B:B,0),1),"")</f>
        <v>SWEETENERS</v>
      </c>
      <c r="E25" s="17" t="str">
        <f>IFERROR(INDEX(HS_MD!E:E,MATCH(B25,HS_MD!B:B,0),1),"")</f>
        <v>Fructose</v>
      </c>
      <c r="F25" s="17" t="str">
        <f>IFERROR(INDEX(HS_MD!#REF!,MATCH(B25,HS_MD!B:B,0),1),"")</f>
        <v/>
      </c>
      <c r="G25" s="17">
        <f>COUNTIFS(HS_DB[HS Code],HS_Summary[[#This Row],[HS Code]])</f>
        <v>2</v>
      </c>
      <c r="H25" s="17">
        <f>_xlfn.MAXIFS(HS_DB[HS Code Risk Score],HS_DB[HS Code],HS_Summary[[#This Row],[HS Code]])</f>
        <v>47</v>
      </c>
      <c r="I25" s="17" t="str">
        <f>INDEX(HS_DB[HS Code Risk Status],MATCH(HS_Summary[[#This Row],[HS Code]],HS_DB[HS Code],0))</f>
        <v>High</v>
      </c>
      <c r="J25" s="8">
        <f>SUMIFS(HS_DB[Net Weight -KG],HS_DB[HS Code],HS_Summary[[#This Row],[HS Code]])</f>
        <v>70275</v>
      </c>
      <c r="K25" s="8">
        <f>SUMIFS(HS_DB[Trade Value - USD],HS_DB[HS Code],HS_Summary[[#This Row],[HS Code]])</f>
        <v>36237</v>
      </c>
      <c r="L25" s="6">
        <f>_xlfn.MAXIFS(HS_DB[Origin Share%],HS_DB[HS Code],HS_Summary[[#This Row],[HS Code]])</f>
        <v>4.7522902002533667E-2</v>
      </c>
      <c r="M25" s="17" t="str">
        <f>IF(HS_Summary[[#This Row],[Max Origin Share %]]&gt;0.8,"Single Source",
 IF(HS_Summary[[#This Row],[Max Origin Share %]]&gt;0.6,"High Dependency",
 "Diversified"))</f>
        <v>Diversified</v>
      </c>
      <c r="N25" s="8">
        <f>HS_Summary[[#This Row],[Annual Spend - USD]]*(HS_Summary[[#This Row],[HS Code Risk Score]]/100)</f>
        <v>17031.39</v>
      </c>
      <c r="O25" s="17">
        <f>RANK(HS_Summary[[#This Row],[Risk Exposure - USD]],HS_Summary[Risk Exposure - USD],0)</f>
        <v>27</v>
      </c>
      <c r="P25" s="17" t="str">
        <f>IF(HS_Summary[[#This Row],[Risk Exposure Rank]]&lt;=COUNT(HS_Summary[HS Code])*0.1,"High",
 IF(HS_Summary[[#This Row],[Risk Exposure Rank]]&lt;=COUNT(HS_Summary[HS Code])*0.3,"Medium",
 "Low"))</f>
        <v>Low</v>
      </c>
      <c r="Q25" s="17" t="str">
        <f>IF(AND(HS_Summary[[#This Row],[HS Code Risk Score]]&gt;=85,HS_Summary[[#This Row],[Risk Exposure Rank]]&lt;=5),"Strategic Critical",
 IF(AND(HS_Summary[[#This Row],[HS Code Risk Score]]&gt;=70,HS_Summary[[#This Row],[Risk Exposure Rank]]&lt;=10),"High Priority",
 IF(AND(HS_Summary[[#This Row],[HS Code Risk Score]]&gt;=70,HS_Summary[[#This Row],[Max Origin Share %]]&gt;0.7),"Supply Risk Action",
 IF(HS_Summary[[#This Row],[Risk Exposure Rank]]&lt;=5,"Financial Control",
 IF(HS_Summary[[#This Row],[HS Code Risk Score]]&gt;=70,"Risk Monitoring",
 "Routine Control")))))</f>
        <v>Routine Control</v>
      </c>
      <c r="R25" s="8">
        <f>SUMIFS(HS_DB[Trade Value - USD],HS_DB[HS Code],HS_Summary[[#This Row],[HS Code]])</f>
        <v>36237</v>
      </c>
      <c r="S25" s="6">
        <f>IFERROR(HS_Summary[[#This Row],[Annual Spend - USD]]/HS_Summary[[#This Row],[Total Market Size - USD]],0)</f>
        <v>1</v>
      </c>
      <c r="T25" s="17" cm="1">
        <f t="array" ref="T25">COUNTA(_xlfn.UNIQUE(_xlfn._xlws.FILTER(HS_DB[Partner],HS_DB[HS Code]=HS_Summary[[#This Row],[HS Code]])))</f>
        <v>1</v>
      </c>
      <c r="U25" s="17" t="str">
        <f>IF(HS_Summary[[#This Row],[Competition Intensity]]&lt;=2,"Highly Concentrated",
 IF(HS_Summary[[#This Row],[Competition Intensity]]&lt;=5,"Moderate",
 "Highly Competitive"))</f>
        <v>Highly Concentrated</v>
      </c>
    </row>
    <row r="26" spans="2:21" x14ac:dyDescent="0.3">
      <c r="B26" s="2">
        <v>292429</v>
      </c>
      <c r="C26" s="17" t="str">
        <f>IFERROR(INDEX(HS_MD!D:D,MATCH(B26,HS_MD!B:B,0),1),"")</f>
        <v>Amino compounds</v>
      </c>
      <c r="D26" s="17" t="str">
        <f>IFERROR(INDEX(HS_MD!F:F,MATCH(B26,HS_MD!B:B,0),1),"")</f>
        <v>SWEETENERS</v>
      </c>
      <c r="E26" s="17" t="str">
        <f>IFERROR(INDEX(HS_MD!E:E,MATCH(B26,HS_MD!B:B,0),1),"")</f>
        <v>Aspartame</v>
      </c>
      <c r="F26" s="17" t="str">
        <f>IFERROR(INDEX(HS_MD!#REF!,MATCH(B26,HS_MD!B:B,0),1),"")</f>
        <v/>
      </c>
      <c r="G26" s="17">
        <f>COUNTIFS(HS_DB[HS Code],HS_Summary[[#This Row],[HS Code]])</f>
        <v>16</v>
      </c>
      <c r="H26" s="17">
        <f>_xlfn.MAXIFS(HS_DB[HS Code Risk Score],HS_DB[HS Code],HS_Summary[[#This Row],[HS Code]])</f>
        <v>34</v>
      </c>
      <c r="I26" s="17" t="str">
        <f>INDEX(HS_DB[HS Code Risk Status],MATCH(HS_Summary[[#This Row],[HS Code]],HS_DB[HS Code],0))</f>
        <v>Medium</v>
      </c>
      <c r="J26" s="8">
        <f>SUMIFS(HS_DB[Net Weight -KG],HS_DB[HS Code],HS_Summary[[#This Row],[HS Code]])</f>
        <v>1740222.6</v>
      </c>
      <c r="K26" s="8">
        <f>SUMIFS(HS_DB[Trade Value - USD],HS_DB[HS Code],HS_Summary[[#This Row],[HS Code]])</f>
        <v>14532233</v>
      </c>
      <c r="L26" s="6">
        <f>_xlfn.MAXIFS(HS_DB[Origin Share%],HS_DB[HS Code],HS_Summary[[#This Row],[HS Code]])</f>
        <v>6.321329281187793E-2</v>
      </c>
      <c r="M26" s="17" t="str">
        <f>IF(HS_Summary[[#This Row],[Max Origin Share %]]&gt;0.8,"Single Source",
 IF(HS_Summary[[#This Row],[Max Origin Share %]]&gt;0.6,"High Dependency",
 "Diversified"))</f>
        <v>Diversified</v>
      </c>
      <c r="N26" s="8">
        <f>HS_Summary[[#This Row],[Annual Spend - USD]]*(HS_Summary[[#This Row],[HS Code Risk Score]]/100)</f>
        <v>4940959.2200000007</v>
      </c>
      <c r="O26" s="17">
        <f>RANK(HS_Summary[[#This Row],[Risk Exposure - USD]],HS_Summary[Risk Exposure - USD],0)</f>
        <v>6</v>
      </c>
      <c r="P26" s="17" t="str">
        <f>IF(HS_Summary[[#This Row],[Risk Exposure Rank]]&lt;=COUNT(HS_Summary[HS Code])*0.1,"High",
 IF(HS_Summary[[#This Row],[Risk Exposure Rank]]&lt;=COUNT(HS_Summary[HS Code])*0.3,"Medium",
 "Low"))</f>
        <v>Medium</v>
      </c>
      <c r="Q26" s="17" t="str">
        <f>IF(AND(HS_Summary[[#This Row],[HS Code Risk Score]]&gt;=85,HS_Summary[[#This Row],[Risk Exposure Rank]]&lt;=5),"Strategic Critical",
 IF(AND(HS_Summary[[#This Row],[HS Code Risk Score]]&gt;=70,HS_Summary[[#This Row],[Risk Exposure Rank]]&lt;=10),"High Priority",
 IF(AND(HS_Summary[[#This Row],[HS Code Risk Score]]&gt;=70,HS_Summary[[#This Row],[Max Origin Share %]]&gt;0.7),"Supply Risk Action",
 IF(HS_Summary[[#This Row],[Risk Exposure Rank]]&lt;=5,"Financial Control",
 IF(HS_Summary[[#This Row],[HS Code Risk Score]]&gt;=70,"Risk Monitoring",
 "Routine Control")))))</f>
        <v>Routine Control</v>
      </c>
      <c r="R26" s="8">
        <f>SUMIFS(HS_DB[Trade Value - USD],HS_DB[HS Code],HS_Summary[[#This Row],[HS Code]])</f>
        <v>14532233</v>
      </c>
      <c r="S26" s="6">
        <f>IFERROR(HS_Summary[[#This Row],[Annual Spend - USD]]/HS_Summary[[#This Row],[Total Market Size - USD]],0)</f>
        <v>1</v>
      </c>
      <c r="T26" s="17" cm="1">
        <f t="array" ref="T26">COUNTA(_xlfn.UNIQUE(_xlfn._xlws.FILTER(HS_DB[Partner],HS_DB[HS Code]=HS_Summary[[#This Row],[HS Code]])))</f>
        <v>1</v>
      </c>
      <c r="U26" s="17" t="str">
        <f>IF(HS_Summary[[#This Row],[Competition Intensity]]&lt;=2,"Highly Concentrated",
 IF(HS_Summary[[#This Row],[Competition Intensity]]&lt;=5,"Moderate",
 "Highly Competitive"))</f>
        <v>Highly Concentrated</v>
      </c>
    </row>
    <row r="27" spans="2:21" x14ac:dyDescent="0.3">
      <c r="B27" s="2">
        <v>293499</v>
      </c>
      <c r="C27" s="17" t="str">
        <f>IFERROR(INDEX(HS_MD!D:D,MATCH(B27,HS_MD!B:B,0),1),"")</f>
        <v>Heterocyclic compounds</v>
      </c>
      <c r="D27" s="17" t="str">
        <f>IFERROR(INDEX(HS_MD!F:F,MATCH(B27,HS_MD!B:B,0),1),"")</f>
        <v>SWEETENERS</v>
      </c>
      <c r="E27" s="17" t="str">
        <f>IFERROR(INDEX(HS_MD!E:E,MATCH(B27,HS_MD!B:B,0),1),"")</f>
        <v>Acesulfame-K</v>
      </c>
      <c r="F27" s="17" t="str">
        <f>IFERROR(INDEX(HS_MD!#REF!,MATCH(B27,HS_MD!B:B,0),1),"")</f>
        <v/>
      </c>
      <c r="G27" s="17">
        <f>COUNTIFS(HS_DB[HS Code],HS_Summary[[#This Row],[HS Code]])</f>
        <v>19</v>
      </c>
      <c r="H27" s="17">
        <f>_xlfn.MAXIFS(HS_DB[HS Code Risk Score],HS_DB[HS Code],HS_Summary[[#This Row],[HS Code]])</f>
        <v>34</v>
      </c>
      <c r="I27" s="17" t="str">
        <f>INDEX(HS_DB[HS Code Risk Status],MATCH(HS_Summary[[#This Row],[HS Code]],HS_DB[HS Code],0))</f>
        <v>Medium</v>
      </c>
      <c r="J27" s="8">
        <f>SUMIFS(HS_DB[Net Weight -KG],HS_DB[HS Code],HS_Summary[[#This Row],[HS Code]])</f>
        <v>1293070.0000000002</v>
      </c>
      <c r="K27" s="8">
        <f>SUMIFS(HS_DB[Trade Value - USD],HS_DB[HS Code],HS_Summary[[#This Row],[HS Code]])</f>
        <v>53776648</v>
      </c>
      <c r="L27" s="6">
        <f>_xlfn.MAXIFS(HS_DB[Origin Share%],HS_DB[HS Code],HS_Summary[[#This Row],[HS Code]])</f>
        <v>0.39900464236999494</v>
      </c>
      <c r="M27" s="17" t="str">
        <f>IF(HS_Summary[[#This Row],[Max Origin Share %]]&gt;0.8,"Single Source",
 IF(HS_Summary[[#This Row],[Max Origin Share %]]&gt;0.6,"High Dependency",
 "Diversified"))</f>
        <v>Diversified</v>
      </c>
      <c r="N27" s="8">
        <f>HS_Summary[[#This Row],[Annual Spend - USD]]*(HS_Summary[[#This Row],[HS Code Risk Score]]/100)</f>
        <v>18284060.32</v>
      </c>
      <c r="O27" s="17">
        <f>RANK(HS_Summary[[#This Row],[Risk Exposure - USD]],HS_Summary[Risk Exposure - USD],0)</f>
        <v>1</v>
      </c>
      <c r="P27" s="17" t="str">
        <f>IF(HS_Summary[[#This Row],[Risk Exposure Rank]]&lt;=COUNT(HS_Summary[HS Code])*0.1,"High",
 IF(HS_Summary[[#This Row],[Risk Exposure Rank]]&lt;=COUNT(HS_Summary[HS Code])*0.3,"Medium",
 "Low"))</f>
        <v>High</v>
      </c>
      <c r="Q27" s="17" t="str">
        <f>IF(AND(HS_Summary[[#This Row],[HS Code Risk Score]]&gt;=85,HS_Summary[[#This Row],[Risk Exposure Rank]]&lt;=5),"Strategic Critical",
 IF(AND(HS_Summary[[#This Row],[HS Code Risk Score]]&gt;=70,HS_Summary[[#This Row],[Risk Exposure Rank]]&lt;=10),"High Priority",
 IF(AND(HS_Summary[[#This Row],[HS Code Risk Score]]&gt;=70,HS_Summary[[#This Row],[Max Origin Share %]]&gt;0.7),"Supply Risk Action",
 IF(HS_Summary[[#This Row],[Risk Exposure Rank]]&lt;=5,"Financial Control",
 IF(HS_Summary[[#This Row],[HS Code Risk Score]]&gt;=70,"Risk Monitoring",
 "Routine Control")))))</f>
        <v>Financial Control</v>
      </c>
      <c r="R27" s="8">
        <f>SUMIFS(HS_DB[Trade Value - USD],HS_DB[HS Code],HS_Summary[[#This Row],[HS Code]])</f>
        <v>53776648</v>
      </c>
      <c r="S27" s="6">
        <f>IFERROR(HS_Summary[[#This Row],[Annual Spend - USD]]/HS_Summary[[#This Row],[Total Market Size - USD]],0)</f>
        <v>1</v>
      </c>
      <c r="T27" s="17" cm="1">
        <f t="array" ref="T27">COUNTA(_xlfn.UNIQUE(_xlfn._xlws.FILTER(HS_DB[Partner],HS_DB[HS Code]=HS_Summary[[#This Row],[HS Code]])))</f>
        <v>1</v>
      </c>
      <c r="U27" s="17" t="str">
        <f>IF(HS_Summary[[#This Row],[Competition Intensity]]&lt;=2,"Highly Concentrated",
 IF(HS_Summary[[#This Row],[Competition Intensity]]&lt;=5,"Moderate",
 "Highly Competitive"))</f>
        <v>Highly Concentrated</v>
      </c>
    </row>
    <row r="28" spans="2:21" x14ac:dyDescent="0.3">
      <c r="B28" s="2">
        <v>170290</v>
      </c>
      <c r="C28" s="17" t="str">
        <f>IFERROR(INDEX(HS_MD!D:D,MATCH(B28,HS_MD!B:B,0),1),"")</f>
        <v>Other sugars incl. caramel</v>
      </c>
      <c r="D28" s="17" t="str">
        <f>IFERROR(INDEX(HS_MD!F:F,MATCH(B28,HS_MD!B:B,0),1),"")</f>
        <v>Food Ingredients</v>
      </c>
      <c r="E28" s="17" t="str">
        <f>IFERROR(INDEX(HS_MD!E:E,MATCH(B28,HS_MD!B:B,0),1),"")</f>
        <v>Caramel Color</v>
      </c>
      <c r="F28" s="17" t="str">
        <f>IFERROR(INDEX(HS_MD!#REF!,MATCH(B28,HS_MD!B:B,0),1),"")</f>
        <v/>
      </c>
      <c r="G28" s="17">
        <f>COUNTIFS(HS_DB[HS Code],HS_Summary[[#This Row],[HS Code]])</f>
        <v>20</v>
      </c>
      <c r="H28" s="17">
        <f>_xlfn.MAXIFS(HS_DB[HS Code Risk Score],HS_DB[HS Code],HS_Summary[[#This Row],[HS Code]])</f>
        <v>34</v>
      </c>
      <c r="I28" s="17" t="str">
        <f>INDEX(HS_DB[HS Code Risk Status],MATCH(HS_Summary[[#This Row],[HS Code]],HS_DB[HS Code],0))</f>
        <v>Medium</v>
      </c>
      <c r="J28" s="8">
        <f>SUMIFS(HS_DB[Net Weight -KG],HS_DB[HS Code],HS_Summary[[#This Row],[HS Code]])</f>
        <v>12365742.6</v>
      </c>
      <c r="K28" s="8">
        <f>SUMIFS(HS_DB[Trade Value - USD],HS_DB[HS Code],HS_Summary[[#This Row],[HS Code]])</f>
        <v>11733206</v>
      </c>
      <c r="L28" s="6">
        <f>_xlfn.MAXIFS(HS_DB[Origin Share%],HS_DB[HS Code],HS_Summary[[#This Row],[HS Code]])</f>
        <v>0.25769345655074266</v>
      </c>
      <c r="M28" s="17" t="str">
        <f>IF(HS_Summary[[#This Row],[Max Origin Share %]]&gt;0.8,"Single Source",
 IF(HS_Summary[[#This Row],[Max Origin Share %]]&gt;0.6,"High Dependency",
 "Diversified"))</f>
        <v>Diversified</v>
      </c>
      <c r="N28" s="8">
        <f>HS_Summary[[#This Row],[Annual Spend - USD]]*(HS_Summary[[#This Row],[HS Code Risk Score]]/100)</f>
        <v>3989290.0400000005</v>
      </c>
      <c r="O28" s="17">
        <f>RANK(HS_Summary[[#This Row],[Risk Exposure - USD]],HS_Summary[Risk Exposure - USD],0)</f>
        <v>9</v>
      </c>
      <c r="P28" s="17" t="str">
        <f>IF(HS_Summary[[#This Row],[Risk Exposure Rank]]&lt;=COUNT(HS_Summary[HS Code])*0.1,"High",
 IF(HS_Summary[[#This Row],[Risk Exposure Rank]]&lt;=COUNT(HS_Summary[HS Code])*0.3,"Medium",
 "Low"))</f>
        <v>Low</v>
      </c>
      <c r="Q28" s="17" t="str">
        <f>IF(AND(HS_Summary[[#This Row],[HS Code Risk Score]]&gt;=85,HS_Summary[[#This Row],[Risk Exposure Rank]]&lt;=5),"Strategic Critical",
 IF(AND(HS_Summary[[#This Row],[HS Code Risk Score]]&gt;=70,HS_Summary[[#This Row],[Risk Exposure Rank]]&lt;=10),"High Priority",
 IF(AND(HS_Summary[[#This Row],[HS Code Risk Score]]&gt;=70,HS_Summary[[#This Row],[Max Origin Share %]]&gt;0.7),"Supply Risk Action",
 IF(HS_Summary[[#This Row],[Risk Exposure Rank]]&lt;=5,"Financial Control",
 IF(HS_Summary[[#This Row],[HS Code Risk Score]]&gt;=70,"Risk Monitoring",
 "Routine Control")))))</f>
        <v>Routine Control</v>
      </c>
      <c r="R28" s="8">
        <f>SUMIFS(HS_DB[Trade Value - USD],HS_DB[HS Code],HS_Summary[[#This Row],[HS Code]])</f>
        <v>11733206</v>
      </c>
      <c r="S28" s="6">
        <f>IFERROR(HS_Summary[[#This Row],[Annual Spend - USD]]/HS_Summary[[#This Row],[Total Market Size - USD]],0)</f>
        <v>1</v>
      </c>
      <c r="T28" s="17" cm="1">
        <f t="array" ref="T28">COUNTA(_xlfn.UNIQUE(_xlfn._xlws.FILTER(HS_DB[Partner],HS_DB[HS Code]=HS_Summary[[#This Row],[HS Code]])))</f>
        <v>1</v>
      </c>
      <c r="U28" s="17" t="str">
        <f>IF(HS_Summary[[#This Row],[Competition Intensity]]&lt;=2,"Highly Concentrated",
 IF(HS_Summary[[#This Row],[Competition Intensity]]&lt;=5,"Moderate",
 "Highly Competitive"))</f>
        <v>Highly Concentrated</v>
      </c>
    </row>
    <row r="29" spans="2:21" x14ac:dyDescent="0.3">
      <c r="B29" s="2">
        <v>320419</v>
      </c>
      <c r="C29" s="17" t="str">
        <f>IFERROR(INDEX(HS_MD!D:D,MATCH(B29,HS_MD!B:B,0),1),"")</f>
        <v>Synthetic organic coloring matter</v>
      </c>
      <c r="D29" s="17" t="str">
        <f>IFERROR(INDEX(HS_MD!F:F,MATCH(B29,HS_MD!B:B,0),1),"")</f>
        <v>Food Ingredients</v>
      </c>
      <c r="E29" s="17" t="str">
        <f>IFERROR(INDEX(HS_MD!E:E,MATCH(B29,HS_MD!B:B,0),1),"")</f>
        <v>Beta Carotene</v>
      </c>
      <c r="F29" s="17" t="str">
        <f>IFERROR(INDEX(HS_MD!#REF!,MATCH(B29,HS_MD!B:B,0),1),"")</f>
        <v/>
      </c>
      <c r="G29" s="17">
        <f>COUNTIFS(HS_DB[HS Code],HS_Summary[[#This Row],[HS Code]])</f>
        <v>20</v>
      </c>
      <c r="H29" s="17">
        <f>_xlfn.MAXIFS(HS_DB[HS Code Risk Score],HS_DB[HS Code],HS_Summary[[#This Row],[HS Code]])</f>
        <v>34</v>
      </c>
      <c r="I29" s="17" t="str">
        <f>INDEX(HS_DB[HS Code Risk Status],MATCH(HS_Summary[[#This Row],[HS Code]],HS_DB[HS Code],0))</f>
        <v>Medium</v>
      </c>
      <c r="J29" s="8">
        <f>SUMIFS(HS_DB[Net Weight -KG],HS_DB[HS Code],HS_Summary[[#This Row],[HS Code]])</f>
        <v>6791623.4000000004</v>
      </c>
      <c r="K29" s="8">
        <f>SUMIFS(HS_DB[Trade Value - USD],HS_DB[HS Code],HS_Summary[[#This Row],[HS Code]])</f>
        <v>14912609</v>
      </c>
      <c r="L29" s="6">
        <f>_xlfn.MAXIFS(HS_DB[Origin Share%],HS_DB[HS Code],HS_Summary[[#This Row],[HS Code]])</f>
        <v>6.321329281187793E-2</v>
      </c>
      <c r="M29" s="17" t="str">
        <f>IF(HS_Summary[[#This Row],[Max Origin Share %]]&gt;0.8,"Single Source",
 IF(HS_Summary[[#This Row],[Max Origin Share %]]&gt;0.6,"High Dependency",
 "Diversified"))</f>
        <v>Diversified</v>
      </c>
      <c r="N29" s="8">
        <f>HS_Summary[[#This Row],[Annual Spend - USD]]*(HS_Summary[[#This Row],[HS Code Risk Score]]/100)</f>
        <v>5070287.0600000005</v>
      </c>
      <c r="O29" s="17">
        <f>RANK(HS_Summary[[#This Row],[Risk Exposure - USD]],HS_Summary[Risk Exposure - USD],0)</f>
        <v>5</v>
      </c>
      <c r="P29" s="17" t="str">
        <f>IF(HS_Summary[[#This Row],[Risk Exposure Rank]]&lt;=COUNT(HS_Summary[HS Code])*0.1,"High",
 IF(HS_Summary[[#This Row],[Risk Exposure Rank]]&lt;=COUNT(HS_Summary[HS Code])*0.3,"Medium",
 "Low"))</f>
        <v>Medium</v>
      </c>
      <c r="Q29" s="17" t="str">
        <f>IF(AND(HS_Summary[[#This Row],[HS Code Risk Score]]&gt;=85,HS_Summary[[#This Row],[Risk Exposure Rank]]&lt;=5),"Strategic Critical",
 IF(AND(HS_Summary[[#This Row],[HS Code Risk Score]]&gt;=70,HS_Summary[[#This Row],[Risk Exposure Rank]]&lt;=10),"High Priority",
 IF(AND(HS_Summary[[#This Row],[HS Code Risk Score]]&gt;=70,HS_Summary[[#This Row],[Max Origin Share %]]&gt;0.7),"Supply Risk Action",
 IF(HS_Summary[[#This Row],[Risk Exposure Rank]]&lt;=5,"Financial Control",
 IF(HS_Summary[[#This Row],[HS Code Risk Score]]&gt;=70,"Risk Monitoring",
 "Routine Control")))))</f>
        <v>Financial Control</v>
      </c>
      <c r="R29" s="8">
        <f>SUMIFS(HS_DB[Trade Value - USD],HS_DB[HS Code],HS_Summary[[#This Row],[HS Code]])</f>
        <v>14912609</v>
      </c>
      <c r="S29" s="6">
        <f>IFERROR(HS_Summary[[#This Row],[Annual Spend - USD]]/HS_Summary[[#This Row],[Total Market Size - USD]],0)</f>
        <v>1</v>
      </c>
      <c r="T29" s="17" cm="1">
        <f t="array" ref="T29">COUNTA(_xlfn.UNIQUE(_xlfn._xlws.FILTER(HS_DB[Partner],HS_DB[HS Code]=HS_Summary[[#This Row],[HS Code]])))</f>
        <v>1</v>
      </c>
      <c r="U29" s="17" t="str">
        <f>IF(HS_Summary[[#This Row],[Competition Intensity]]&lt;=2,"Highly Concentrated",
 IF(HS_Summary[[#This Row],[Competition Intensity]]&lt;=5,"Moderate",
 "Highly Competitive"))</f>
        <v>Highly Concentrated</v>
      </c>
    </row>
    <row r="30" spans="2:21" x14ac:dyDescent="0.3">
      <c r="B30" s="2">
        <v>130219</v>
      </c>
      <c r="C30" s="17" t="str">
        <f>IFERROR(INDEX(HS_MD!D:D,MATCH(B30,HS_MD!B:B,0),1),"")</f>
        <v>Vegetable extracts</v>
      </c>
      <c r="D30" s="17" t="str">
        <f>IFERROR(INDEX(HS_MD!F:F,MATCH(B30,HS_MD!B:B,0),1),"")</f>
        <v>Food Ingredients</v>
      </c>
      <c r="E30" s="17" t="str">
        <f>IFERROR(INDEX(HS_MD!E:E,MATCH(B30,HS_MD!B:B,0),1),"")</f>
        <v>Natural Extract Colors</v>
      </c>
      <c r="F30" s="17" t="str">
        <f>IFERROR(INDEX(HS_MD!#REF!,MATCH(B30,HS_MD!B:B,0),1),"")</f>
        <v/>
      </c>
      <c r="G30" s="17">
        <f>COUNTIFS(HS_DB[HS Code],HS_Summary[[#This Row],[HS Code]])</f>
        <v>20</v>
      </c>
      <c r="H30" s="17">
        <f>_xlfn.MAXIFS(HS_DB[HS Code Risk Score],HS_DB[HS Code],HS_Summary[[#This Row],[HS Code]])</f>
        <v>34</v>
      </c>
      <c r="I30" s="17" t="str">
        <f>INDEX(HS_DB[HS Code Risk Status],MATCH(HS_Summary[[#This Row],[HS Code]],HS_DB[HS Code],0))</f>
        <v>Medium</v>
      </c>
      <c r="J30" s="8">
        <f>SUMIFS(HS_DB[Net Weight -KG],HS_DB[HS Code],HS_Summary[[#This Row],[HS Code]])</f>
        <v>502087.6</v>
      </c>
      <c r="K30" s="8">
        <f>SUMIFS(HS_DB[Trade Value - USD],HS_DB[HS Code],HS_Summary[[#This Row],[HS Code]])</f>
        <v>12452453</v>
      </c>
      <c r="L30" s="6">
        <f>_xlfn.MAXIFS(HS_DB[Origin Share%],HS_DB[HS Code],HS_Summary[[#This Row],[HS Code]])</f>
        <v>6.321329281187793E-2</v>
      </c>
      <c r="M30" s="17" t="str">
        <f>IF(HS_Summary[[#This Row],[Max Origin Share %]]&gt;0.8,"Single Source",
 IF(HS_Summary[[#This Row],[Max Origin Share %]]&gt;0.6,"High Dependency",
 "Diversified"))</f>
        <v>Diversified</v>
      </c>
      <c r="N30" s="8">
        <f>HS_Summary[[#This Row],[Annual Spend - USD]]*(HS_Summary[[#This Row],[HS Code Risk Score]]/100)</f>
        <v>4233834.0200000005</v>
      </c>
      <c r="O30" s="17">
        <f>RANK(HS_Summary[[#This Row],[Risk Exposure - USD]],HS_Summary[Risk Exposure - USD],0)</f>
        <v>8</v>
      </c>
      <c r="P30" s="17" t="str">
        <f>IF(HS_Summary[[#This Row],[Risk Exposure Rank]]&lt;=COUNT(HS_Summary[HS Code])*0.1,"High",
 IF(HS_Summary[[#This Row],[Risk Exposure Rank]]&lt;=COUNT(HS_Summary[HS Code])*0.3,"Medium",
 "Low"))</f>
        <v>Medium</v>
      </c>
      <c r="Q30" s="17" t="str">
        <f>IF(AND(HS_Summary[[#This Row],[HS Code Risk Score]]&gt;=85,HS_Summary[[#This Row],[Risk Exposure Rank]]&lt;=5),"Strategic Critical",
 IF(AND(HS_Summary[[#This Row],[HS Code Risk Score]]&gt;=70,HS_Summary[[#This Row],[Risk Exposure Rank]]&lt;=10),"High Priority",
 IF(AND(HS_Summary[[#This Row],[HS Code Risk Score]]&gt;=70,HS_Summary[[#This Row],[Max Origin Share %]]&gt;0.7),"Supply Risk Action",
 IF(HS_Summary[[#This Row],[Risk Exposure Rank]]&lt;=5,"Financial Control",
 IF(HS_Summary[[#This Row],[HS Code Risk Score]]&gt;=70,"Risk Monitoring",
 "Routine Control")))))</f>
        <v>Routine Control</v>
      </c>
      <c r="R30" s="8">
        <f>SUMIFS(HS_DB[Trade Value - USD],HS_DB[HS Code],HS_Summary[[#This Row],[HS Code]])</f>
        <v>12452453</v>
      </c>
      <c r="S30" s="6">
        <f>IFERROR(HS_Summary[[#This Row],[Annual Spend - USD]]/HS_Summary[[#This Row],[Total Market Size - USD]],0)</f>
        <v>1</v>
      </c>
      <c r="T30" s="17" cm="1">
        <f t="array" ref="T30">COUNTA(_xlfn.UNIQUE(_xlfn._xlws.FILTER(HS_DB[Partner],HS_DB[HS Code]=HS_Summary[[#This Row],[HS Code]])))</f>
        <v>1</v>
      </c>
      <c r="U30" s="17" t="str">
        <f>IF(HS_Summary[[#This Row],[Competition Intensity]]&lt;=2,"Highly Concentrated",
 IF(HS_Summary[[#This Row],[Competition Intensity]]&lt;=5,"Moderate",
 "Highly Competitive"))</f>
        <v>Highly Concentrated</v>
      </c>
    </row>
    <row r="31" spans="2:21" x14ac:dyDescent="0.3">
      <c r="B31" s="2">
        <v>290719</v>
      </c>
      <c r="C31" s="17" t="str">
        <f>IFERROR(INDEX(HS_MD!D:D,MATCH(B31,HS_MD!B:B,0),1),"")</f>
        <v>Other phenols</v>
      </c>
      <c r="D31" s="17" t="str">
        <f>IFERROR(INDEX(HS_MD!F:F,MATCH(B31,HS_MD!B:B,0),1),"")</f>
        <v>Food Ingredients</v>
      </c>
      <c r="E31" s="17" t="str">
        <f>IFERROR(INDEX(HS_MD!E:E,MATCH(B31,HS_MD!B:B,0),1),"")</f>
        <v>BHT / BHA</v>
      </c>
      <c r="F31" s="17" t="str">
        <f>IFERROR(INDEX(HS_MD!#REF!,MATCH(B31,HS_MD!B:B,0),1),"")</f>
        <v/>
      </c>
      <c r="G31" s="17">
        <f>COUNTIFS(HS_DB[HS Code],HS_Summary[[#This Row],[HS Code]])</f>
        <v>12</v>
      </c>
      <c r="H31" s="17">
        <f>_xlfn.MAXIFS(HS_DB[HS Code Risk Score],HS_DB[HS Code],HS_Summary[[#This Row],[HS Code]])</f>
        <v>34</v>
      </c>
      <c r="I31" s="17" t="str">
        <f>INDEX(HS_DB[HS Code Risk Status],MATCH(HS_Summary[[#This Row],[HS Code]],HS_DB[HS Code],0))</f>
        <v>Medium</v>
      </c>
      <c r="J31" s="8">
        <f>SUMIFS(HS_DB[Net Weight -KG],HS_DB[HS Code],HS_Summary[[#This Row],[HS Code]])</f>
        <v>219375.2</v>
      </c>
      <c r="K31" s="8">
        <f>SUMIFS(HS_DB[Trade Value - USD],HS_DB[HS Code],HS_Summary[[#This Row],[HS Code]])</f>
        <v>1231702</v>
      </c>
      <c r="L31" s="6">
        <f>_xlfn.MAXIFS(HS_DB[Origin Share%],HS_DB[HS Code],HS_Summary[[#This Row],[HS Code]])</f>
        <v>6.321329281187793E-2</v>
      </c>
      <c r="M31" s="17" t="str">
        <f>IF(HS_Summary[[#This Row],[Max Origin Share %]]&gt;0.8,"Single Source",
 IF(HS_Summary[[#This Row],[Max Origin Share %]]&gt;0.6,"High Dependency",
 "Diversified"))</f>
        <v>Diversified</v>
      </c>
      <c r="N31" s="8">
        <f>HS_Summary[[#This Row],[Annual Spend - USD]]*(HS_Summary[[#This Row],[HS Code Risk Score]]/100)</f>
        <v>418778.68000000005</v>
      </c>
      <c r="O31" s="17">
        <f>RANK(HS_Summary[[#This Row],[Risk Exposure - USD]],HS_Summary[Risk Exposure - USD],0)</f>
        <v>24</v>
      </c>
      <c r="P31" s="17" t="str">
        <f>IF(HS_Summary[[#This Row],[Risk Exposure Rank]]&lt;=COUNT(HS_Summary[HS Code])*0.1,"High",
 IF(HS_Summary[[#This Row],[Risk Exposure Rank]]&lt;=COUNT(HS_Summary[HS Code])*0.3,"Medium",
 "Low"))</f>
        <v>Low</v>
      </c>
      <c r="Q31" s="17" t="str">
        <f>IF(AND(HS_Summary[[#This Row],[HS Code Risk Score]]&gt;=85,HS_Summary[[#This Row],[Risk Exposure Rank]]&lt;=5),"Strategic Critical",
 IF(AND(HS_Summary[[#This Row],[HS Code Risk Score]]&gt;=70,HS_Summary[[#This Row],[Risk Exposure Rank]]&lt;=10),"High Priority",
 IF(AND(HS_Summary[[#This Row],[HS Code Risk Score]]&gt;=70,HS_Summary[[#This Row],[Max Origin Share %]]&gt;0.7),"Supply Risk Action",
 IF(HS_Summary[[#This Row],[Risk Exposure Rank]]&lt;=5,"Financial Control",
 IF(HS_Summary[[#This Row],[HS Code Risk Score]]&gt;=70,"Risk Monitoring",
 "Routine Control")))))</f>
        <v>Routine Control</v>
      </c>
      <c r="R31" s="8">
        <f>SUMIFS(HS_DB[Trade Value - USD],HS_DB[HS Code],HS_Summary[[#This Row],[HS Code]])</f>
        <v>1231702</v>
      </c>
      <c r="S31" s="6">
        <f>IFERROR(HS_Summary[[#This Row],[Annual Spend - USD]]/HS_Summary[[#This Row],[Total Market Size - USD]],0)</f>
        <v>1</v>
      </c>
      <c r="T31" s="17" cm="1">
        <f t="array" ref="T31">COUNTA(_xlfn.UNIQUE(_xlfn._xlws.FILTER(HS_DB[Partner],HS_DB[HS Code]=HS_Summary[[#This Row],[HS Code]])))</f>
        <v>1</v>
      </c>
      <c r="U31" s="17" t="str">
        <f>IF(HS_Summary[[#This Row],[Competition Intensity]]&lt;=2,"Highly Concentrated",
 IF(HS_Summary[[#This Row],[Competition Intensity]]&lt;=5,"Moderate",
 "Highly Competitive"))</f>
        <v>Highly Concentrated</v>
      </c>
    </row>
    <row r="32" spans="2:21" x14ac:dyDescent="0.3">
      <c r="B32" s="2">
        <v>120750</v>
      </c>
      <c r="C32" s="17" t="str">
        <f>IFERROR(INDEX(HS_MD!D:D,MATCH(B32,HS_MD!B:B,0),1),"")</f>
        <v>Mustard seeds</v>
      </c>
      <c r="D32" s="17" t="str">
        <f>IFERROR(INDEX(HS_MD!F:F,MATCH(B32,HS_MD!B:B,0),1),"")</f>
        <v>Agricultural Raw Materials</v>
      </c>
      <c r="E32" s="17" t="str">
        <f>IFERROR(INDEX(HS_MD!E:E,MATCH(B32,HS_MD!B:B,0),1),"")</f>
        <v>Mustard Seeds</v>
      </c>
      <c r="F32" s="17" t="str">
        <f>IFERROR(INDEX(HS_MD!#REF!,MATCH(B32,HS_MD!B:B,0),1),"")</f>
        <v/>
      </c>
      <c r="G32" s="17">
        <f>COUNTIFS(HS_DB[HS Code],HS_Summary[[#This Row],[HS Code]])</f>
        <v>1</v>
      </c>
      <c r="H32" s="17">
        <f>_xlfn.MAXIFS(HS_DB[HS Code Risk Score],HS_DB[HS Code],HS_Summary[[#This Row],[HS Code]])</f>
        <v>34</v>
      </c>
      <c r="I32" s="17" t="str">
        <f>INDEX(HS_DB[HS Code Risk Status],MATCH(HS_Summary[[#This Row],[HS Code]],HS_DB[HS Code],0))</f>
        <v>Medium</v>
      </c>
      <c r="J32" s="8">
        <f>SUMIFS(HS_DB[Net Weight -KG],HS_DB[HS Code],HS_Summary[[#This Row],[HS Code]])</f>
        <v>42000</v>
      </c>
      <c r="K32" s="8">
        <f>SUMIFS(HS_DB[Trade Value - USD],HS_DB[HS Code],HS_Summary[[#This Row],[HS Code]])</f>
        <v>35178</v>
      </c>
      <c r="L32" s="6">
        <f>_xlfn.MAXIFS(HS_DB[Origin Share%],HS_DB[HS Code],HS_Summary[[#This Row],[HS Code]])</f>
        <v>2.2441761060335613E-2</v>
      </c>
      <c r="M32" s="17" t="str">
        <f>IF(HS_Summary[[#This Row],[Max Origin Share %]]&gt;0.8,"Single Source",
 IF(HS_Summary[[#This Row],[Max Origin Share %]]&gt;0.6,"High Dependency",
 "Diversified"))</f>
        <v>Diversified</v>
      </c>
      <c r="N32" s="8">
        <f>HS_Summary[[#This Row],[Annual Spend - USD]]*(HS_Summary[[#This Row],[HS Code Risk Score]]/100)</f>
        <v>11960.52</v>
      </c>
      <c r="O32" s="17">
        <f>RANK(HS_Summary[[#This Row],[Risk Exposure - USD]],HS_Summary[Risk Exposure - USD],0)</f>
        <v>28</v>
      </c>
      <c r="P32" s="17" t="str">
        <f>IF(HS_Summary[[#This Row],[Risk Exposure Rank]]&lt;=COUNT(HS_Summary[HS Code])*0.1,"High",
 IF(HS_Summary[[#This Row],[Risk Exposure Rank]]&lt;=COUNT(HS_Summary[HS Code])*0.3,"Medium",
 "Low"))</f>
        <v>Low</v>
      </c>
      <c r="Q32" s="17" t="str">
        <f>IF(AND(HS_Summary[[#This Row],[HS Code Risk Score]]&gt;=85,HS_Summary[[#This Row],[Risk Exposure Rank]]&lt;=5),"Strategic Critical",
 IF(AND(HS_Summary[[#This Row],[HS Code Risk Score]]&gt;=70,HS_Summary[[#This Row],[Risk Exposure Rank]]&lt;=10),"High Priority",
 IF(AND(HS_Summary[[#This Row],[HS Code Risk Score]]&gt;=70,HS_Summary[[#This Row],[Max Origin Share %]]&gt;0.7),"Supply Risk Action",
 IF(HS_Summary[[#This Row],[Risk Exposure Rank]]&lt;=5,"Financial Control",
 IF(HS_Summary[[#This Row],[HS Code Risk Score]]&gt;=70,"Risk Monitoring",
 "Routine Control")))))</f>
        <v>Routine Control</v>
      </c>
      <c r="R32" s="8">
        <f>SUMIFS(HS_DB[Trade Value - USD],HS_DB[HS Code],HS_Summary[[#This Row],[HS Code]])</f>
        <v>35178</v>
      </c>
      <c r="S32" s="6">
        <f>IFERROR(HS_Summary[[#This Row],[Annual Spend - USD]]/HS_Summary[[#This Row],[Total Market Size - USD]],0)</f>
        <v>1</v>
      </c>
      <c r="T32" s="17" cm="1">
        <f t="array" ref="T32">COUNTA(_xlfn.UNIQUE(_xlfn._xlws.FILTER(HS_DB[Partner],HS_DB[HS Code]=HS_Summary[[#This Row],[HS Code]])))</f>
        <v>1</v>
      </c>
      <c r="U32" s="17" t="str">
        <f>IF(HS_Summary[[#This Row],[Competition Intensity]]&lt;=2,"Highly Concentrated",
 IF(HS_Summary[[#This Row],[Competition Intensity]]&lt;=5,"Moderate",
 "Highly Competitive"))</f>
        <v>Highly Concentrated</v>
      </c>
    </row>
    <row r="33" spans="2:21" x14ac:dyDescent="0.3">
      <c r="B33" s="2">
        <v>110630</v>
      </c>
      <c r="C33" s="17" t="str">
        <f>IFERROR(INDEX(HS_MD!D:D,MATCH(B33,HS_MD!B:B,0),1),"")</f>
        <v>Flour of dried vegetables</v>
      </c>
      <c r="D33" s="17" t="str">
        <f>IFERROR(INDEX(HS_MD!F:F,MATCH(B33,HS_MD!B:B,0),1),"")</f>
        <v>Agricultural Raw Materials</v>
      </c>
      <c r="E33" s="17" t="str">
        <f>IFERROR(INDEX(HS_MD!E:E,MATCH(B33,HS_MD!B:B,0),1),"")</f>
        <v>Mustard Flour</v>
      </c>
      <c r="F33" s="17" t="str">
        <f>IFERROR(INDEX(HS_MD!#REF!,MATCH(B33,HS_MD!B:B,0),1),"")</f>
        <v/>
      </c>
      <c r="G33" s="17">
        <f>COUNTIFS(HS_DB[HS Code],HS_Summary[[#This Row],[HS Code]])</f>
        <v>7</v>
      </c>
      <c r="H33" s="17">
        <f>_xlfn.MAXIFS(HS_DB[HS Code Risk Score],HS_DB[HS Code],HS_Summary[[#This Row],[HS Code]])</f>
        <v>34</v>
      </c>
      <c r="I33" s="17" t="str">
        <f>INDEX(HS_DB[HS Code Risk Status],MATCH(HS_Summary[[#This Row],[HS Code]],HS_DB[HS Code],0))</f>
        <v>Medium</v>
      </c>
      <c r="J33" s="8">
        <f>SUMIFS(HS_DB[Net Weight -KG],HS_DB[HS Code],HS_Summary[[#This Row],[HS Code]])</f>
        <v>61902</v>
      </c>
      <c r="K33" s="8">
        <f>SUMIFS(HS_DB[Trade Value - USD],HS_DB[HS Code],HS_Summary[[#This Row],[HS Code]])</f>
        <v>308085</v>
      </c>
      <c r="L33" s="6">
        <f>_xlfn.MAXIFS(HS_DB[Origin Share%],HS_DB[HS Code],HS_Summary[[#This Row],[HS Code]])</f>
        <v>2.2441761060335613E-2</v>
      </c>
      <c r="M33" s="17" t="str">
        <f>IF(HS_Summary[[#This Row],[Max Origin Share %]]&gt;0.8,"Single Source",
 IF(HS_Summary[[#This Row],[Max Origin Share %]]&gt;0.6,"High Dependency",
 "Diversified"))</f>
        <v>Diversified</v>
      </c>
      <c r="N33" s="8">
        <f>HS_Summary[[#This Row],[Annual Spend - USD]]*(HS_Summary[[#This Row],[HS Code Risk Score]]/100)</f>
        <v>104748.90000000001</v>
      </c>
      <c r="O33" s="17">
        <f>RANK(HS_Summary[[#This Row],[Risk Exposure - USD]],HS_Summary[Risk Exposure - USD],0)</f>
        <v>25</v>
      </c>
      <c r="P33" s="17" t="str">
        <f>IF(HS_Summary[[#This Row],[Risk Exposure Rank]]&lt;=COUNT(HS_Summary[HS Code])*0.1,"High",
 IF(HS_Summary[[#This Row],[Risk Exposure Rank]]&lt;=COUNT(HS_Summary[HS Code])*0.3,"Medium",
 "Low"))</f>
        <v>Low</v>
      </c>
      <c r="Q33" s="17" t="str">
        <f>IF(AND(HS_Summary[[#This Row],[HS Code Risk Score]]&gt;=85,HS_Summary[[#This Row],[Risk Exposure Rank]]&lt;=5),"Strategic Critical",
 IF(AND(HS_Summary[[#This Row],[HS Code Risk Score]]&gt;=70,HS_Summary[[#This Row],[Risk Exposure Rank]]&lt;=10),"High Priority",
 IF(AND(HS_Summary[[#This Row],[HS Code Risk Score]]&gt;=70,HS_Summary[[#This Row],[Max Origin Share %]]&gt;0.7),"Supply Risk Action",
 IF(HS_Summary[[#This Row],[Risk Exposure Rank]]&lt;=5,"Financial Control",
 IF(HS_Summary[[#This Row],[HS Code Risk Score]]&gt;=70,"Risk Monitoring",
 "Routine Control")))))</f>
        <v>Routine Control</v>
      </c>
      <c r="R33" s="8">
        <f>SUMIFS(HS_DB[Trade Value - USD],HS_DB[HS Code],HS_Summary[[#This Row],[HS Code]])</f>
        <v>308085</v>
      </c>
      <c r="S33" s="6">
        <f>IFERROR(HS_Summary[[#This Row],[Annual Spend - USD]]/HS_Summary[[#This Row],[Total Market Size - USD]],0)</f>
        <v>1</v>
      </c>
      <c r="T33" s="17" cm="1">
        <f t="array" ref="T33">COUNTA(_xlfn.UNIQUE(_xlfn._xlws.FILTER(HS_DB[Partner],HS_DB[HS Code]=HS_Summary[[#This Row],[HS Code]])))</f>
        <v>1</v>
      </c>
      <c r="U33" s="17" t="str">
        <f>IF(HS_Summary[[#This Row],[Competition Intensity]]&lt;=2,"Highly Concentrated",
 IF(HS_Summary[[#This Row],[Competition Intensity]]&lt;=5,"Moderate",
 "Highly Competitive"))</f>
        <v>Highly Concentrated</v>
      </c>
    </row>
  </sheetData>
  <mergeCells count="1">
    <mergeCell ref="B2:D3"/>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FC4E9E-E631-477B-87C6-E86C6308AD54}">
  <sheetPr codeName="Sheet10">
    <tabColor theme="0" tint="-0.14999847407452621"/>
  </sheetPr>
  <dimension ref="A1:I10"/>
  <sheetViews>
    <sheetView showGridLines="0" workbookViewId="0">
      <pane ySplit="5" topLeftCell="A6" activePane="bottomLeft" state="frozen"/>
      <selection sqref="A1:HO5"/>
      <selection pane="bottomLeft" sqref="A1:HO5"/>
    </sheetView>
  </sheetViews>
  <sheetFormatPr defaultColWidth="0" defaultRowHeight="14.4" x14ac:dyDescent="0.3"/>
  <cols>
    <col min="1" max="1" width="0.88671875" customWidth="1"/>
    <col min="2" max="2" width="11.6640625" customWidth="1"/>
    <col min="3" max="3" width="16.21875" style="25" bestFit="1" customWidth="1"/>
    <col min="4" max="8" width="15" style="25" bestFit="1" customWidth="1"/>
    <col min="9" max="9" width="0.88671875" customWidth="1"/>
    <col min="10" max="16384" width="8.88671875" hidden="1"/>
  </cols>
  <sheetData>
    <row r="1" spans="2:8" ht="4.95" customHeight="1" x14ac:dyDescent="0.3"/>
    <row r="2" spans="2:8" x14ac:dyDescent="0.3">
      <c r="B2" s="47" t="s">
        <v>383</v>
      </c>
      <c r="C2" s="47"/>
      <c r="D2" s="47"/>
    </row>
    <row r="3" spans="2:8" x14ac:dyDescent="0.3">
      <c r="B3" s="47"/>
      <c r="C3" s="47"/>
      <c r="D3" s="47"/>
    </row>
    <row r="4" spans="2:8" ht="4.95" customHeight="1" x14ac:dyDescent="0.3"/>
    <row r="5" spans="2:8" x14ac:dyDescent="0.3">
      <c r="B5" s="26" t="s">
        <v>383</v>
      </c>
      <c r="C5" s="28" t="s">
        <v>384</v>
      </c>
      <c r="D5" s="28" t="s">
        <v>389</v>
      </c>
      <c r="E5" s="28" t="s">
        <v>390</v>
      </c>
      <c r="F5" s="28" t="s">
        <v>391</v>
      </c>
      <c r="G5" s="28" t="s">
        <v>392</v>
      </c>
      <c r="H5" s="28" t="s">
        <v>393</v>
      </c>
    </row>
    <row r="6" spans="2:8" x14ac:dyDescent="0.3">
      <c r="B6" s="27" t="s">
        <v>382</v>
      </c>
      <c r="C6" s="29">
        <v>0.6</v>
      </c>
      <c r="D6" s="29">
        <v>0.15</v>
      </c>
      <c r="E6" s="29">
        <v>0.3</v>
      </c>
      <c r="F6" s="29">
        <v>0.5</v>
      </c>
      <c r="G6" s="29">
        <v>0.75</v>
      </c>
      <c r="H6" s="29">
        <v>1</v>
      </c>
    </row>
    <row r="7" spans="2:8" x14ac:dyDescent="0.3">
      <c r="B7" s="27" t="s">
        <v>385</v>
      </c>
      <c r="C7" s="29">
        <v>0.4</v>
      </c>
      <c r="D7" s="29">
        <v>0.1</v>
      </c>
      <c r="E7" s="29">
        <v>0.25</v>
      </c>
      <c r="F7" s="29">
        <v>0.45</v>
      </c>
      <c r="G7" s="29">
        <v>0.65</v>
      </c>
      <c r="H7" s="29">
        <v>0.85</v>
      </c>
    </row>
    <row r="8" spans="2:8" x14ac:dyDescent="0.3">
      <c r="B8" s="27" t="s">
        <v>386</v>
      </c>
      <c r="C8" s="29">
        <v>0.5</v>
      </c>
      <c r="D8" s="29">
        <v>0.12</v>
      </c>
      <c r="E8" s="29">
        <v>0.28000000000000003</v>
      </c>
      <c r="F8" s="29">
        <v>0.48</v>
      </c>
      <c r="G8" s="29">
        <v>0.7</v>
      </c>
      <c r="H8" s="29">
        <v>0.9</v>
      </c>
    </row>
    <row r="9" spans="2:8" x14ac:dyDescent="0.3">
      <c r="B9" s="27" t="s">
        <v>387</v>
      </c>
      <c r="C9" s="29">
        <v>0.3</v>
      </c>
      <c r="D9" s="29">
        <v>0.08</v>
      </c>
      <c r="E9" s="29">
        <v>0.2</v>
      </c>
      <c r="F9" s="29">
        <v>0.35</v>
      </c>
      <c r="G9" s="29">
        <v>0.55000000000000004</v>
      </c>
      <c r="H9" s="29">
        <v>0.75</v>
      </c>
    </row>
    <row r="10" spans="2:8" x14ac:dyDescent="0.3">
      <c r="B10" s="27" t="s">
        <v>388</v>
      </c>
      <c r="C10" s="29">
        <v>0.35</v>
      </c>
      <c r="D10" s="29">
        <v>0.09</v>
      </c>
      <c r="E10" s="29">
        <v>0.22</v>
      </c>
      <c r="F10" s="29">
        <v>0.4</v>
      </c>
      <c r="G10" s="29">
        <v>0.6</v>
      </c>
      <c r="H10" s="29">
        <v>0.8</v>
      </c>
    </row>
  </sheetData>
  <mergeCells count="1">
    <mergeCell ref="B2:D3"/>
  </mergeCell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3902-7EE2-4F87-82EA-07C5FD4EFCB1}">
  <sheetPr codeName="Sheet7">
    <tabColor theme="0" tint="-0.14999847407452621"/>
  </sheetPr>
  <dimension ref="B1:I211"/>
  <sheetViews>
    <sheetView showGridLines="0" workbookViewId="0">
      <pane ySplit="7" topLeftCell="A43" activePane="bottomLeft" state="frozen"/>
      <selection sqref="A1:HO5"/>
      <selection pane="bottomLeft" sqref="A1:HO5"/>
    </sheetView>
  </sheetViews>
  <sheetFormatPr defaultColWidth="0" defaultRowHeight="14.4" x14ac:dyDescent="0.3"/>
  <cols>
    <col min="1" max="1" width="0.88671875" customWidth="1"/>
    <col min="2" max="2" width="10.77734375" bestFit="1" customWidth="1"/>
    <col min="3" max="3" width="28.109375" bestFit="1" customWidth="1"/>
    <col min="4" max="4" width="33.33203125" customWidth="1"/>
    <col min="5" max="5" width="10.77734375" bestFit="1" customWidth="1"/>
    <col min="6" max="6" width="16.21875" bestFit="1" customWidth="1"/>
    <col min="7" max="7" width="13.5546875" style="25" bestFit="1" customWidth="1"/>
    <col min="8" max="8" width="18" style="25" bestFit="1" customWidth="1"/>
    <col min="9" max="9" width="0.88671875" customWidth="1"/>
    <col min="10" max="16384" width="8.88671875" hidden="1"/>
  </cols>
  <sheetData>
    <row r="1" spans="2:8" ht="4.95" customHeight="1" x14ac:dyDescent="0.3">
      <c r="F1" s="25"/>
      <c r="H1" s="30"/>
    </row>
    <row r="2" spans="2:8" ht="14.4" customHeight="1" x14ac:dyDescent="0.3">
      <c r="B2" s="46" t="s">
        <v>381</v>
      </c>
      <c r="C2" s="46"/>
      <c r="F2" s="25"/>
      <c r="H2" s="30"/>
    </row>
    <row r="3" spans="2:8" ht="14.4" customHeight="1" x14ac:dyDescent="0.3">
      <c r="B3" s="46"/>
      <c r="C3" s="46"/>
      <c r="F3" s="25"/>
      <c r="H3" s="30"/>
    </row>
    <row r="4" spans="2:8" ht="4.95" customHeight="1" x14ac:dyDescent="0.3">
      <c r="F4" s="25"/>
      <c r="H4" s="30"/>
    </row>
    <row r="5" spans="2:8" x14ac:dyDescent="0.3">
      <c r="B5" s="64" t="s">
        <v>590</v>
      </c>
      <c r="C5" s="65">
        <v>46054</v>
      </c>
      <c r="F5" s="25"/>
      <c r="H5" s="30"/>
    </row>
    <row r="6" spans="2:8" ht="4.95" customHeight="1" x14ac:dyDescent="0.3">
      <c r="F6" s="25"/>
      <c r="H6" s="30"/>
    </row>
    <row r="7" spans="2:8" x14ac:dyDescent="0.3">
      <c r="B7" s="26" t="s">
        <v>565</v>
      </c>
      <c r="C7" s="26" t="s">
        <v>233</v>
      </c>
      <c r="D7" s="26" t="s">
        <v>591</v>
      </c>
      <c r="E7" s="26" t="s">
        <v>380</v>
      </c>
      <c r="F7" s="28" t="s">
        <v>384</v>
      </c>
      <c r="G7" s="28" t="s">
        <v>394</v>
      </c>
      <c r="H7" s="31" t="s">
        <v>395</v>
      </c>
    </row>
    <row r="8" spans="2:8" hidden="1" x14ac:dyDescent="0.3">
      <c r="B8" s="2" cm="1">
        <f t="array" ref="B8">ROW()-ROW(Heat_Map[#Headers])</f>
        <v>1</v>
      </c>
      <c r="C8" s="27" t="s">
        <v>239</v>
      </c>
      <c r="D8" s="27"/>
      <c r="E8" s="27"/>
      <c r="F8" s="29" t="str">
        <f>IFERROR(_xlfn.XLOOKUP(Heat_Map[[#This Row],[Crisis]], Crisis_Type[Crisis Type], Crisis_Type[Shock Factor]),"")</f>
        <v/>
      </c>
      <c r="G8" s="29"/>
      <c r="H8" s="32" cm="1">
        <f t="array" ref="H8">IFERROR(
Heat_Map[[#This Row],[Shock Factor]] *
INDEX(
Crisis_Type[[Risk Level 1]:[Risk Level 5]],
MATCH(Heat_Map[[#This Row],[Crisis]],Crisis_Type[Crisis Type],0),
Heat_Map[[#This Row],[Risk Level]]
),0)</f>
        <v>0</v>
      </c>
    </row>
    <row r="9" spans="2:8" hidden="1" x14ac:dyDescent="0.3">
      <c r="B9" s="2" cm="1">
        <f t="array" ref="B9">ROW()-ROW(Heat_Map[#Headers])</f>
        <v>2</v>
      </c>
      <c r="C9" s="27" t="s">
        <v>240</v>
      </c>
      <c r="D9" s="27"/>
      <c r="E9" s="27"/>
      <c r="F9" s="29" t="str">
        <f>IFERROR(_xlfn.XLOOKUP(Heat_Map[[#This Row],[Crisis]], Crisis_Type[Crisis Type], Crisis_Type[Shock Factor]),"")</f>
        <v/>
      </c>
      <c r="G9" s="29"/>
      <c r="H9" s="32" cm="1">
        <f t="array" ref="H9">IFERROR(
Heat_Map[[#This Row],[Shock Factor]] *
INDEX(
Crisis_Type[[Risk Level 1]:[Risk Level 5]],
MATCH(Heat_Map[[#This Row],[Crisis]],Crisis_Type[Crisis Type],0),
Heat_Map[[#This Row],[Risk Level]]
),0)</f>
        <v>0</v>
      </c>
    </row>
    <row r="10" spans="2:8" hidden="1" x14ac:dyDescent="0.3">
      <c r="B10" s="2" cm="1">
        <f t="array" ref="B10">ROW()-ROW(Heat_Map[#Headers])</f>
        <v>3</v>
      </c>
      <c r="C10" s="27" t="s">
        <v>241</v>
      </c>
      <c r="D10" s="27"/>
      <c r="E10" s="27"/>
      <c r="F10" s="29" t="str">
        <f>IFERROR(_xlfn.XLOOKUP(Heat_Map[[#This Row],[Crisis]], Crisis_Type[Crisis Type], Crisis_Type[Shock Factor]),"")</f>
        <v/>
      </c>
      <c r="G10" s="29"/>
      <c r="H10" s="32" cm="1">
        <f t="array" ref="H10">IFERROR(
Heat_Map[[#This Row],[Shock Factor]] *
INDEX(
Crisis_Type[[Risk Level 1]:[Risk Level 5]],
MATCH(Heat_Map[[#This Row],[Crisis]],Crisis_Type[Crisis Type],0),
Heat_Map[[#This Row],[Risk Level]]
),0)</f>
        <v>0</v>
      </c>
    </row>
    <row r="11" spans="2:8" hidden="1" x14ac:dyDescent="0.3">
      <c r="B11" s="2" cm="1">
        <f t="array" ref="B11">ROW()-ROW(Heat_Map[#Headers])</f>
        <v>4</v>
      </c>
      <c r="C11" s="27" t="s">
        <v>242</v>
      </c>
      <c r="D11" s="27"/>
      <c r="E11" s="27"/>
      <c r="F11" s="29" t="str">
        <f>IFERROR(_xlfn.XLOOKUP(Heat_Map[[#This Row],[Crisis]], Crisis_Type[Crisis Type], Crisis_Type[Shock Factor]),"")</f>
        <v/>
      </c>
      <c r="G11" s="29"/>
      <c r="H11" s="32" cm="1">
        <f t="array" ref="H11">IFERROR(
Heat_Map[[#This Row],[Shock Factor]] *
INDEX(
Crisis_Type[[Risk Level 1]:[Risk Level 5]],
MATCH(Heat_Map[[#This Row],[Crisis]],Crisis_Type[Crisis Type],0),
Heat_Map[[#This Row],[Risk Level]]
),0)</f>
        <v>0</v>
      </c>
    </row>
    <row r="12" spans="2:8" hidden="1" x14ac:dyDescent="0.3">
      <c r="B12" s="2" cm="1">
        <f t="array" ref="B12">ROW()-ROW(Heat_Map[#Headers])</f>
        <v>5</v>
      </c>
      <c r="C12" s="27" t="s">
        <v>243</v>
      </c>
      <c r="D12" s="27"/>
      <c r="E12" s="27"/>
      <c r="F12" s="29" t="str">
        <f>IFERROR(_xlfn.XLOOKUP(Heat_Map[[#This Row],[Crisis]], Crisis_Type[Crisis Type], Crisis_Type[Shock Factor]),"")</f>
        <v/>
      </c>
      <c r="G12" s="29"/>
      <c r="H12" s="32" cm="1">
        <f t="array" ref="H12">IFERROR(
Heat_Map[[#This Row],[Shock Factor]] *
INDEX(
Crisis_Type[[Risk Level 1]:[Risk Level 5]],
MATCH(Heat_Map[[#This Row],[Crisis]],Crisis_Type[Crisis Type],0),
Heat_Map[[#This Row],[Risk Level]]
),0)</f>
        <v>0</v>
      </c>
    </row>
    <row r="13" spans="2:8" hidden="1" x14ac:dyDescent="0.3">
      <c r="B13" s="2" cm="1">
        <f t="array" ref="B13">ROW()-ROW(Heat_Map[#Headers])</f>
        <v>6</v>
      </c>
      <c r="C13" s="27" t="s">
        <v>244</v>
      </c>
      <c r="D13" s="27"/>
      <c r="E13" s="27"/>
      <c r="F13" s="29" t="str">
        <f>IFERROR(_xlfn.XLOOKUP(Heat_Map[[#This Row],[Crisis]], Crisis_Type[Crisis Type], Crisis_Type[Shock Factor]),"")</f>
        <v/>
      </c>
      <c r="G13" s="29"/>
      <c r="H13" s="32" cm="1">
        <f t="array" ref="H13">IFERROR(
Heat_Map[[#This Row],[Shock Factor]] *
INDEX(
Crisis_Type[[Risk Level 1]:[Risk Level 5]],
MATCH(Heat_Map[[#This Row],[Crisis]],Crisis_Type[Crisis Type],0),
Heat_Map[[#This Row],[Risk Level]]
),0)</f>
        <v>0</v>
      </c>
    </row>
    <row r="14" spans="2:8" hidden="1" x14ac:dyDescent="0.3">
      <c r="B14" s="2" cm="1">
        <f t="array" ref="B14">ROW()-ROW(Heat_Map[#Headers])</f>
        <v>7</v>
      </c>
      <c r="C14" s="27" t="s">
        <v>245</v>
      </c>
      <c r="D14" s="27"/>
      <c r="E14" s="27"/>
      <c r="F14" s="29" t="str">
        <f>IFERROR(_xlfn.XLOOKUP(Heat_Map[[#This Row],[Crisis]], Crisis_Type[Crisis Type], Crisis_Type[Shock Factor]),"")</f>
        <v/>
      </c>
      <c r="G14" s="29"/>
      <c r="H14" s="32" cm="1">
        <f t="array" ref="H14">IFERROR(
Heat_Map[[#This Row],[Shock Factor]] *
INDEX(
Crisis_Type[[Risk Level 1]:[Risk Level 5]],
MATCH(Heat_Map[[#This Row],[Crisis]],Crisis_Type[Crisis Type],0),
Heat_Map[[#This Row],[Risk Level]]
),0)</f>
        <v>0</v>
      </c>
    </row>
    <row r="15" spans="2:8" hidden="1" x14ac:dyDescent="0.3">
      <c r="B15" s="2" cm="1">
        <f t="array" ref="B15">ROW()-ROW(Heat_Map[#Headers])</f>
        <v>8</v>
      </c>
      <c r="C15" s="27" t="s">
        <v>246</v>
      </c>
      <c r="D15" s="27"/>
      <c r="E15" s="27"/>
      <c r="F15" s="29" t="str">
        <f>IFERROR(_xlfn.XLOOKUP(Heat_Map[[#This Row],[Crisis]], Crisis_Type[Crisis Type], Crisis_Type[Shock Factor]),"")</f>
        <v/>
      </c>
      <c r="G15" s="29"/>
      <c r="H15" s="32" cm="1">
        <f t="array" ref="H15">IFERROR(
Heat_Map[[#This Row],[Shock Factor]] *
INDEX(
Crisis_Type[[Risk Level 1]:[Risk Level 5]],
MATCH(Heat_Map[[#This Row],[Crisis]],Crisis_Type[Crisis Type],0),
Heat_Map[[#This Row],[Risk Level]]
),0)</f>
        <v>0</v>
      </c>
    </row>
    <row r="16" spans="2:8" hidden="1" x14ac:dyDescent="0.3">
      <c r="B16" s="2" cm="1">
        <f t="array" ref="B16">ROW()-ROW(Heat_Map[#Headers])</f>
        <v>9</v>
      </c>
      <c r="C16" s="27" t="s">
        <v>37</v>
      </c>
      <c r="D16" s="27"/>
      <c r="E16" s="27"/>
      <c r="F16" s="29" t="str">
        <f>IFERROR(_xlfn.XLOOKUP(Heat_Map[[#This Row],[Crisis]], Crisis_Type[Crisis Type], Crisis_Type[Shock Factor]),"")</f>
        <v/>
      </c>
      <c r="G16" s="29"/>
      <c r="H16" s="32" cm="1">
        <f t="array" ref="H16">IFERROR(
Heat_Map[[#This Row],[Shock Factor]] *
INDEX(
Crisis_Type[[Risk Level 1]:[Risk Level 5]],
MATCH(Heat_Map[[#This Row],[Crisis]],Crisis_Type[Crisis Type],0),
Heat_Map[[#This Row],[Risk Level]]
),0)</f>
        <v>0</v>
      </c>
    </row>
    <row r="17" spans="2:8" hidden="1" x14ac:dyDescent="0.3">
      <c r="B17" s="2" cm="1">
        <f t="array" ref="B17">ROW()-ROW(Heat_Map[#Headers])</f>
        <v>10</v>
      </c>
      <c r="C17" s="27" t="s">
        <v>148</v>
      </c>
      <c r="D17" s="27"/>
      <c r="E17" s="27"/>
      <c r="F17" s="29" t="str">
        <f>IFERROR(_xlfn.XLOOKUP(Heat_Map[[#This Row],[Crisis]], Crisis_Type[Crisis Type], Crisis_Type[Shock Factor]),"")</f>
        <v/>
      </c>
      <c r="G17" s="29"/>
      <c r="H17" s="32" cm="1">
        <f t="array" ref="H17">IFERROR(
Heat_Map[[#This Row],[Shock Factor]] *
INDEX(
Crisis_Type[[Risk Level 1]:[Risk Level 5]],
MATCH(Heat_Map[[#This Row],[Crisis]],Crisis_Type[Crisis Type],0),
Heat_Map[[#This Row],[Risk Level]]
),0)</f>
        <v>0</v>
      </c>
    </row>
    <row r="18" spans="2:8" hidden="1" x14ac:dyDescent="0.3">
      <c r="B18" s="2" cm="1">
        <f t="array" ref="B18">ROW()-ROW(Heat_Map[#Headers])</f>
        <v>11</v>
      </c>
      <c r="C18" s="27" t="s">
        <v>247</v>
      </c>
      <c r="D18" s="27"/>
      <c r="E18" s="27"/>
      <c r="F18" s="29" t="str">
        <f>IFERROR(_xlfn.XLOOKUP(Heat_Map[[#This Row],[Crisis]], Crisis_Type[Crisis Type], Crisis_Type[Shock Factor]),"")</f>
        <v/>
      </c>
      <c r="G18" s="29"/>
      <c r="H18" s="32" cm="1">
        <f t="array" ref="H18">IFERROR(
Heat_Map[[#This Row],[Shock Factor]] *
INDEX(
Crisis_Type[[Risk Level 1]:[Risk Level 5]],
MATCH(Heat_Map[[#This Row],[Crisis]],Crisis_Type[Crisis Type],0),
Heat_Map[[#This Row],[Risk Level]]
),0)</f>
        <v>0</v>
      </c>
    </row>
    <row r="19" spans="2:8" hidden="1" x14ac:dyDescent="0.3">
      <c r="B19" s="2" cm="1">
        <f t="array" ref="B19">ROW()-ROW(Heat_Map[#Headers])</f>
        <v>12</v>
      </c>
      <c r="C19" s="27" t="s">
        <v>248</v>
      </c>
      <c r="D19" s="27"/>
      <c r="E19" s="27"/>
      <c r="F19" s="29" t="str">
        <f>IFERROR(_xlfn.XLOOKUP(Heat_Map[[#This Row],[Crisis]], Crisis_Type[Crisis Type], Crisis_Type[Shock Factor]),"")</f>
        <v/>
      </c>
      <c r="G19" s="29"/>
      <c r="H19" s="32" cm="1">
        <f t="array" ref="H19">IFERROR(
Heat_Map[[#This Row],[Shock Factor]] *
INDEX(
Crisis_Type[[Risk Level 1]:[Risk Level 5]],
MATCH(Heat_Map[[#This Row],[Crisis]],Crisis_Type[Crisis Type],0),
Heat_Map[[#This Row],[Risk Level]]
),0)</f>
        <v>0</v>
      </c>
    </row>
    <row r="20" spans="2:8" hidden="1" x14ac:dyDescent="0.3">
      <c r="B20" s="2" cm="1">
        <f t="array" ref="B20">ROW()-ROW(Heat_Map[#Headers])</f>
        <v>13</v>
      </c>
      <c r="C20" s="27" t="s">
        <v>152</v>
      </c>
      <c r="D20" s="27"/>
      <c r="E20" s="27"/>
      <c r="F20" s="29" t="str">
        <f>IFERROR(_xlfn.XLOOKUP(Heat_Map[[#This Row],[Crisis]], Crisis_Type[Crisis Type], Crisis_Type[Shock Factor]),"")</f>
        <v/>
      </c>
      <c r="G20" s="29"/>
      <c r="H20" s="32" cm="1">
        <f t="array" ref="H20">IFERROR(
Heat_Map[[#This Row],[Shock Factor]] *
INDEX(
Crisis_Type[[Risk Level 1]:[Risk Level 5]],
MATCH(Heat_Map[[#This Row],[Crisis]],Crisis_Type[Crisis Type],0),
Heat_Map[[#This Row],[Risk Level]]
),0)</f>
        <v>0</v>
      </c>
    </row>
    <row r="21" spans="2:8" hidden="1" x14ac:dyDescent="0.3">
      <c r="B21" s="2" cm="1">
        <f t="array" ref="B21">ROW()-ROW(Heat_Map[#Headers])</f>
        <v>14</v>
      </c>
      <c r="C21" s="27" t="s">
        <v>249</v>
      </c>
      <c r="D21" s="27"/>
      <c r="E21" s="27"/>
      <c r="F21" s="29" t="str">
        <f>IFERROR(_xlfn.XLOOKUP(Heat_Map[[#This Row],[Crisis]], Crisis_Type[Crisis Type], Crisis_Type[Shock Factor]),"")</f>
        <v/>
      </c>
      <c r="G21" s="29"/>
      <c r="H21" s="32" cm="1">
        <f t="array" ref="H21">IFERROR(
Heat_Map[[#This Row],[Shock Factor]] *
INDEX(
Crisis_Type[[Risk Level 1]:[Risk Level 5]],
MATCH(Heat_Map[[#This Row],[Crisis]],Crisis_Type[Crisis Type],0),
Heat_Map[[#This Row],[Risk Level]]
),0)</f>
        <v>0</v>
      </c>
    </row>
    <row r="22" spans="2:8" hidden="1" x14ac:dyDescent="0.3">
      <c r="B22" s="2" cm="1">
        <f t="array" ref="B22">ROW()-ROW(Heat_Map[#Headers])</f>
        <v>15</v>
      </c>
      <c r="C22" s="27" t="s">
        <v>250</v>
      </c>
      <c r="D22" s="27"/>
      <c r="E22" s="27"/>
      <c r="F22" s="29" t="str">
        <f>IFERROR(_xlfn.XLOOKUP(Heat_Map[[#This Row],[Crisis]], Crisis_Type[Crisis Type], Crisis_Type[Shock Factor]),"")</f>
        <v/>
      </c>
      <c r="G22" s="29"/>
      <c r="H22" s="32" cm="1">
        <f t="array" ref="H22">IFERROR(
Heat_Map[[#This Row],[Shock Factor]] *
INDEX(
Crisis_Type[[Risk Level 1]:[Risk Level 5]],
MATCH(Heat_Map[[#This Row],[Crisis]],Crisis_Type[Crisis Type],0),
Heat_Map[[#This Row],[Risk Level]]
),0)</f>
        <v>0</v>
      </c>
    </row>
    <row r="23" spans="2:8" hidden="1" x14ac:dyDescent="0.3">
      <c r="B23" s="2" cm="1">
        <f t="array" ref="B23">ROW()-ROW(Heat_Map[#Headers])</f>
        <v>16</v>
      </c>
      <c r="C23" s="27" t="s">
        <v>251</v>
      </c>
      <c r="D23" s="27"/>
      <c r="E23" s="27"/>
      <c r="F23" s="29" t="str">
        <f>IFERROR(_xlfn.XLOOKUP(Heat_Map[[#This Row],[Crisis]], Crisis_Type[Crisis Type], Crisis_Type[Shock Factor]),"")</f>
        <v/>
      </c>
      <c r="G23" s="29"/>
      <c r="H23" s="32" cm="1">
        <f t="array" ref="H23">IFERROR(
Heat_Map[[#This Row],[Shock Factor]] *
INDEX(
Crisis_Type[[Risk Level 1]:[Risk Level 5]],
MATCH(Heat_Map[[#This Row],[Crisis]],Crisis_Type[Crisis Type],0),
Heat_Map[[#This Row],[Risk Level]]
),0)</f>
        <v>0</v>
      </c>
    </row>
    <row r="24" spans="2:8" hidden="1" x14ac:dyDescent="0.3">
      <c r="B24" s="2" cm="1">
        <f t="array" ref="B24">ROW()-ROW(Heat_Map[#Headers])</f>
        <v>17</v>
      </c>
      <c r="C24" s="27" t="s">
        <v>5</v>
      </c>
      <c r="D24" s="27"/>
      <c r="E24" s="27"/>
      <c r="F24" s="29" t="str">
        <f>IFERROR(_xlfn.XLOOKUP(Heat_Map[[#This Row],[Crisis]], Crisis_Type[Crisis Type], Crisis_Type[Shock Factor]),"")</f>
        <v/>
      </c>
      <c r="G24" s="29"/>
      <c r="H24" s="32" cm="1">
        <f t="array" ref="H24">IFERROR(
Heat_Map[[#This Row],[Shock Factor]] *
INDEX(
Crisis_Type[[Risk Level 1]:[Risk Level 5]],
MATCH(Heat_Map[[#This Row],[Crisis]],Crisis_Type[Crisis Type],0),
Heat_Map[[#This Row],[Risk Level]]
),0)</f>
        <v>0</v>
      </c>
    </row>
    <row r="25" spans="2:8" hidden="1" x14ac:dyDescent="0.3">
      <c r="B25" s="2" cm="1">
        <f t="array" ref="B25">ROW()-ROW(Heat_Map[#Headers])</f>
        <v>18</v>
      </c>
      <c r="C25" s="27" t="s">
        <v>252</v>
      </c>
      <c r="D25" s="27"/>
      <c r="E25" s="27"/>
      <c r="F25" s="29" t="str">
        <f>IFERROR(_xlfn.XLOOKUP(Heat_Map[[#This Row],[Crisis]], Crisis_Type[Crisis Type], Crisis_Type[Shock Factor]),"")</f>
        <v/>
      </c>
      <c r="G25" s="29"/>
      <c r="H25" s="32" cm="1">
        <f t="array" ref="H25">IFERROR(
Heat_Map[[#This Row],[Shock Factor]] *
INDEX(
Crisis_Type[[Risk Level 1]:[Risk Level 5]],
MATCH(Heat_Map[[#This Row],[Crisis]],Crisis_Type[Crisis Type],0),
Heat_Map[[#This Row],[Risk Level]]
),0)</f>
        <v>0</v>
      </c>
    </row>
    <row r="26" spans="2:8" hidden="1" x14ac:dyDescent="0.3">
      <c r="B26" s="2" cm="1">
        <f t="array" ref="B26">ROW()-ROW(Heat_Map[#Headers])</f>
        <v>19</v>
      </c>
      <c r="C26" s="27" t="s">
        <v>253</v>
      </c>
      <c r="D26" s="27"/>
      <c r="E26" s="27"/>
      <c r="F26" s="29" t="str">
        <f>IFERROR(_xlfn.XLOOKUP(Heat_Map[[#This Row],[Crisis]], Crisis_Type[Crisis Type], Crisis_Type[Shock Factor]),"")</f>
        <v/>
      </c>
      <c r="G26" s="29"/>
      <c r="H26" s="32" cm="1">
        <f t="array" ref="H26">IFERROR(
Heat_Map[[#This Row],[Shock Factor]] *
INDEX(
Crisis_Type[[Risk Level 1]:[Risk Level 5]],
MATCH(Heat_Map[[#This Row],[Crisis]],Crisis_Type[Crisis Type],0),
Heat_Map[[#This Row],[Risk Level]]
),0)</f>
        <v>0</v>
      </c>
    </row>
    <row r="27" spans="2:8" hidden="1" x14ac:dyDescent="0.3">
      <c r="B27" s="2" cm="1">
        <f t="array" ref="B27">ROW()-ROW(Heat_Map[#Headers])</f>
        <v>20</v>
      </c>
      <c r="C27" s="27" t="s">
        <v>254</v>
      </c>
      <c r="D27" s="27"/>
      <c r="E27" s="27"/>
      <c r="F27" s="29" t="str">
        <f>IFERROR(_xlfn.XLOOKUP(Heat_Map[[#This Row],[Crisis]], Crisis_Type[Crisis Type], Crisis_Type[Shock Factor]),"")</f>
        <v/>
      </c>
      <c r="G27" s="29"/>
      <c r="H27" s="32" cm="1">
        <f t="array" ref="H27">IFERROR(
Heat_Map[[#This Row],[Shock Factor]] *
INDEX(
Crisis_Type[[Risk Level 1]:[Risk Level 5]],
MATCH(Heat_Map[[#This Row],[Crisis]],Crisis_Type[Crisis Type],0),
Heat_Map[[#This Row],[Risk Level]]
),0)</f>
        <v>0</v>
      </c>
    </row>
    <row r="28" spans="2:8" hidden="1" x14ac:dyDescent="0.3">
      <c r="B28" s="2" cm="1">
        <f t="array" ref="B28">ROW()-ROW(Heat_Map[#Headers])</f>
        <v>21</v>
      </c>
      <c r="C28" s="27" t="s">
        <v>255</v>
      </c>
      <c r="D28" s="27"/>
      <c r="E28" s="27"/>
      <c r="F28" s="29" t="str">
        <f>IFERROR(_xlfn.XLOOKUP(Heat_Map[[#This Row],[Crisis]], Crisis_Type[Crisis Type], Crisis_Type[Shock Factor]),"")</f>
        <v/>
      </c>
      <c r="G28" s="29"/>
      <c r="H28" s="32" cm="1">
        <f t="array" ref="H28">IFERROR(
Heat_Map[[#This Row],[Shock Factor]] *
INDEX(
Crisis_Type[[Risk Level 1]:[Risk Level 5]],
MATCH(Heat_Map[[#This Row],[Crisis]],Crisis_Type[Crisis Type],0),
Heat_Map[[#This Row],[Risk Level]]
),0)</f>
        <v>0</v>
      </c>
    </row>
    <row r="29" spans="2:8" hidden="1" x14ac:dyDescent="0.3">
      <c r="B29" s="2" cm="1">
        <f t="array" ref="B29">ROW()-ROW(Heat_Map[#Headers])</f>
        <v>22</v>
      </c>
      <c r="C29" s="27" t="s">
        <v>256</v>
      </c>
      <c r="D29" s="27"/>
      <c r="E29" s="27"/>
      <c r="F29" s="29" t="str">
        <f>IFERROR(_xlfn.XLOOKUP(Heat_Map[[#This Row],[Crisis]], Crisis_Type[Crisis Type], Crisis_Type[Shock Factor]),"")</f>
        <v/>
      </c>
      <c r="G29" s="29"/>
      <c r="H29" s="32" cm="1">
        <f t="array" ref="H29">IFERROR(
Heat_Map[[#This Row],[Shock Factor]] *
INDEX(
Crisis_Type[[Risk Level 1]:[Risk Level 5]],
MATCH(Heat_Map[[#This Row],[Crisis]],Crisis_Type[Crisis Type],0),
Heat_Map[[#This Row],[Risk Level]]
),0)</f>
        <v>0</v>
      </c>
    </row>
    <row r="30" spans="2:8" hidden="1" x14ac:dyDescent="0.3">
      <c r="B30" s="2" cm="1">
        <f t="array" ref="B30">ROW()-ROW(Heat_Map[#Headers])</f>
        <v>23</v>
      </c>
      <c r="C30" s="27" t="s">
        <v>257</v>
      </c>
      <c r="D30" s="27"/>
      <c r="E30" s="27"/>
      <c r="F30" s="29" t="str">
        <f>IFERROR(_xlfn.XLOOKUP(Heat_Map[[#This Row],[Crisis]], Crisis_Type[Crisis Type], Crisis_Type[Shock Factor]),"")</f>
        <v/>
      </c>
      <c r="G30" s="29"/>
      <c r="H30" s="32" cm="1">
        <f t="array" ref="H30">IFERROR(
Heat_Map[[#This Row],[Shock Factor]] *
INDEX(
Crisis_Type[[Risk Level 1]:[Risk Level 5]],
MATCH(Heat_Map[[#This Row],[Crisis]],Crisis_Type[Crisis Type],0),
Heat_Map[[#This Row],[Risk Level]]
),0)</f>
        <v>0</v>
      </c>
    </row>
    <row r="31" spans="2:8" hidden="1" x14ac:dyDescent="0.3">
      <c r="B31" s="2" cm="1">
        <f t="array" ref="B31">ROW()-ROW(Heat_Map[#Headers])</f>
        <v>24</v>
      </c>
      <c r="C31" s="27" t="s">
        <v>38</v>
      </c>
      <c r="D31" s="27"/>
      <c r="E31" s="27"/>
      <c r="F31" s="29" t="str">
        <f>IFERROR(_xlfn.XLOOKUP(Heat_Map[[#This Row],[Crisis]], Crisis_Type[Crisis Type], Crisis_Type[Shock Factor]),"")</f>
        <v/>
      </c>
      <c r="G31" s="29"/>
      <c r="H31" s="32" cm="1">
        <f t="array" ref="H31">IFERROR(
Heat_Map[[#This Row],[Shock Factor]] *
INDEX(
Crisis_Type[[Risk Level 1]:[Risk Level 5]],
MATCH(Heat_Map[[#This Row],[Crisis]],Crisis_Type[Crisis Type],0),
Heat_Map[[#This Row],[Risk Level]]
),0)</f>
        <v>0</v>
      </c>
    </row>
    <row r="32" spans="2:8" hidden="1" x14ac:dyDescent="0.3">
      <c r="B32" s="2" cm="1">
        <f t="array" ref="B32">ROW()-ROW(Heat_Map[#Headers])</f>
        <v>25</v>
      </c>
      <c r="C32" s="27" t="s">
        <v>258</v>
      </c>
      <c r="D32" s="27"/>
      <c r="E32" s="27"/>
      <c r="F32" s="29" t="str">
        <f>IFERROR(_xlfn.XLOOKUP(Heat_Map[[#This Row],[Crisis]], Crisis_Type[Crisis Type], Crisis_Type[Shock Factor]),"")</f>
        <v/>
      </c>
      <c r="G32" s="29"/>
      <c r="H32" s="32" cm="1">
        <f t="array" ref="H32">IFERROR(
Heat_Map[[#This Row],[Shock Factor]] *
INDEX(
Crisis_Type[[Risk Level 1]:[Risk Level 5]],
MATCH(Heat_Map[[#This Row],[Crisis]],Crisis_Type[Crisis Type],0),
Heat_Map[[#This Row],[Risk Level]]
),0)</f>
        <v>0</v>
      </c>
    </row>
    <row r="33" spans="2:8" hidden="1" x14ac:dyDescent="0.3">
      <c r="B33" s="2" cm="1">
        <f t="array" ref="B33">ROW()-ROW(Heat_Map[#Headers])</f>
        <v>26</v>
      </c>
      <c r="C33" s="27" t="s">
        <v>141</v>
      </c>
      <c r="D33" s="27"/>
      <c r="E33" s="27"/>
      <c r="F33" s="29" t="str">
        <f>IFERROR(_xlfn.XLOOKUP(Heat_Map[[#This Row],[Crisis]], Crisis_Type[Crisis Type], Crisis_Type[Shock Factor]),"")</f>
        <v/>
      </c>
      <c r="G33" s="29"/>
      <c r="H33" s="32" cm="1">
        <f t="array" ref="H33">IFERROR(
Heat_Map[[#This Row],[Shock Factor]] *
INDEX(
Crisis_Type[[Risk Level 1]:[Risk Level 5]],
MATCH(Heat_Map[[#This Row],[Crisis]],Crisis_Type[Crisis Type],0),
Heat_Map[[#This Row],[Risk Level]]
),0)</f>
        <v>0</v>
      </c>
    </row>
    <row r="34" spans="2:8" hidden="1" x14ac:dyDescent="0.3">
      <c r="B34" s="2" cm="1">
        <f t="array" ref="B34">ROW()-ROW(Heat_Map[#Headers])</f>
        <v>27</v>
      </c>
      <c r="C34" s="27" t="s">
        <v>259</v>
      </c>
      <c r="D34" s="27"/>
      <c r="E34" s="27"/>
      <c r="F34" s="29" t="str">
        <f>IFERROR(_xlfn.XLOOKUP(Heat_Map[[#This Row],[Crisis]], Crisis_Type[Crisis Type], Crisis_Type[Shock Factor]),"")</f>
        <v/>
      </c>
      <c r="G34" s="29"/>
      <c r="H34" s="32" cm="1">
        <f t="array" ref="H34">IFERROR(
Heat_Map[[#This Row],[Shock Factor]] *
INDEX(
Crisis_Type[[Risk Level 1]:[Risk Level 5]],
MATCH(Heat_Map[[#This Row],[Crisis]],Crisis_Type[Crisis Type],0),
Heat_Map[[#This Row],[Risk Level]]
),0)</f>
        <v>0</v>
      </c>
    </row>
    <row r="35" spans="2:8" hidden="1" x14ac:dyDescent="0.3">
      <c r="B35" s="2" cm="1">
        <f t="array" ref="B35">ROW()-ROW(Heat_Map[#Headers])</f>
        <v>28</v>
      </c>
      <c r="C35" s="27" t="s">
        <v>260</v>
      </c>
      <c r="D35" s="27"/>
      <c r="E35" s="27"/>
      <c r="F35" s="29" t="str">
        <f>IFERROR(_xlfn.XLOOKUP(Heat_Map[[#This Row],[Crisis]], Crisis_Type[Crisis Type], Crisis_Type[Shock Factor]),"")</f>
        <v/>
      </c>
      <c r="G35" s="29"/>
      <c r="H35" s="32" cm="1">
        <f t="array" ref="H35">IFERROR(
Heat_Map[[#This Row],[Shock Factor]] *
INDEX(
Crisis_Type[[Risk Level 1]:[Risk Level 5]],
MATCH(Heat_Map[[#This Row],[Crisis]],Crisis_Type[Crisis Type],0),
Heat_Map[[#This Row],[Risk Level]]
),0)</f>
        <v>0</v>
      </c>
    </row>
    <row r="36" spans="2:8" hidden="1" x14ac:dyDescent="0.3">
      <c r="B36" s="2" cm="1">
        <f t="array" ref="B36">ROW()-ROW(Heat_Map[#Headers])</f>
        <v>29</v>
      </c>
      <c r="C36" s="27" t="s">
        <v>261</v>
      </c>
      <c r="D36" s="27"/>
      <c r="E36" s="27"/>
      <c r="F36" s="29" t="str">
        <f>IFERROR(_xlfn.XLOOKUP(Heat_Map[[#This Row],[Crisis]], Crisis_Type[Crisis Type], Crisis_Type[Shock Factor]),"")</f>
        <v/>
      </c>
      <c r="G36" s="29"/>
      <c r="H36" s="32" cm="1">
        <f t="array" ref="H36">IFERROR(
Heat_Map[[#This Row],[Shock Factor]] *
INDEX(
Crisis_Type[[Risk Level 1]:[Risk Level 5]],
MATCH(Heat_Map[[#This Row],[Crisis]],Crisis_Type[Crisis Type],0),
Heat_Map[[#This Row],[Risk Level]]
),0)</f>
        <v>0</v>
      </c>
    </row>
    <row r="37" spans="2:8" hidden="1" x14ac:dyDescent="0.3">
      <c r="B37" s="2" cm="1">
        <f t="array" ref="B37">ROW()-ROW(Heat_Map[#Headers])</f>
        <v>30</v>
      </c>
      <c r="C37" s="27" t="s">
        <v>262</v>
      </c>
      <c r="D37" s="27"/>
      <c r="E37" s="27"/>
      <c r="F37" s="29" t="str">
        <f>IFERROR(_xlfn.XLOOKUP(Heat_Map[[#This Row],[Crisis]], Crisis_Type[Crisis Type], Crisis_Type[Shock Factor]),"")</f>
        <v/>
      </c>
      <c r="G37" s="29"/>
      <c r="H37" s="32" cm="1">
        <f t="array" ref="H37">IFERROR(
Heat_Map[[#This Row],[Shock Factor]] *
INDEX(
Crisis_Type[[Risk Level 1]:[Risk Level 5]],
MATCH(Heat_Map[[#This Row],[Crisis]],Crisis_Type[Crisis Type],0),
Heat_Map[[#This Row],[Risk Level]]
),0)</f>
        <v>0</v>
      </c>
    </row>
    <row r="38" spans="2:8" hidden="1" x14ac:dyDescent="0.3">
      <c r="B38" s="2" cm="1">
        <f t="array" ref="B38">ROW()-ROW(Heat_Map[#Headers])</f>
        <v>31</v>
      </c>
      <c r="C38" s="27" t="s">
        <v>263</v>
      </c>
      <c r="D38" s="27"/>
      <c r="E38" s="27"/>
      <c r="F38" s="29" t="str">
        <f>IFERROR(_xlfn.XLOOKUP(Heat_Map[[#This Row],[Crisis]], Crisis_Type[Crisis Type], Crisis_Type[Shock Factor]),"")</f>
        <v/>
      </c>
      <c r="G38" s="29"/>
      <c r="H38" s="32" cm="1">
        <f t="array" ref="H38">IFERROR(
Heat_Map[[#This Row],[Shock Factor]] *
INDEX(
Crisis_Type[[Risk Level 1]:[Risk Level 5]],
MATCH(Heat_Map[[#This Row],[Crisis]],Crisis_Type[Crisis Type],0),
Heat_Map[[#This Row],[Risk Level]]
),0)</f>
        <v>0</v>
      </c>
    </row>
    <row r="39" spans="2:8" hidden="1" x14ac:dyDescent="0.3">
      <c r="B39" s="2" cm="1">
        <f t="array" ref="B39">ROW()-ROW(Heat_Map[#Headers])</f>
        <v>32</v>
      </c>
      <c r="C39" s="27" t="s">
        <v>39</v>
      </c>
      <c r="D39" s="27"/>
      <c r="E39" s="27"/>
      <c r="F39" s="29" t="str">
        <f>IFERROR(_xlfn.XLOOKUP(Heat_Map[[#This Row],[Crisis]], Crisis_Type[Crisis Type], Crisis_Type[Shock Factor]),"")</f>
        <v/>
      </c>
      <c r="G39" s="29"/>
      <c r="H39" s="32" cm="1">
        <f t="array" ref="H39">IFERROR(
Heat_Map[[#This Row],[Shock Factor]] *
INDEX(
Crisis_Type[[Risk Level 1]:[Risk Level 5]],
MATCH(Heat_Map[[#This Row],[Crisis]],Crisis_Type[Crisis Type],0),
Heat_Map[[#This Row],[Risk Level]]
),0)</f>
        <v>0</v>
      </c>
    </row>
    <row r="40" spans="2:8" hidden="1" x14ac:dyDescent="0.3">
      <c r="B40" s="2" cm="1">
        <f t="array" ref="B40">ROW()-ROW(Heat_Map[#Headers])</f>
        <v>33</v>
      </c>
      <c r="C40" s="27" t="s">
        <v>264</v>
      </c>
      <c r="D40" s="27"/>
      <c r="E40" s="27"/>
      <c r="F40" s="29" t="str">
        <f>IFERROR(_xlfn.XLOOKUP(Heat_Map[[#This Row],[Crisis]], Crisis_Type[Crisis Type], Crisis_Type[Shock Factor]),"")</f>
        <v/>
      </c>
      <c r="G40" s="29"/>
      <c r="H40" s="32" cm="1">
        <f t="array" ref="H40">IFERROR(
Heat_Map[[#This Row],[Shock Factor]] *
INDEX(
Crisis_Type[[Risk Level 1]:[Risk Level 5]],
MATCH(Heat_Map[[#This Row],[Crisis]],Crisis_Type[Crisis Type],0),
Heat_Map[[#This Row],[Risk Level]]
),0)</f>
        <v>0</v>
      </c>
    </row>
    <row r="41" spans="2:8" hidden="1" x14ac:dyDescent="0.3">
      <c r="B41" s="2" cm="1">
        <f t="array" ref="B41">ROW()-ROW(Heat_Map[#Headers])</f>
        <v>34</v>
      </c>
      <c r="C41" s="27" t="s">
        <v>265</v>
      </c>
      <c r="D41" s="27"/>
      <c r="E41" s="27"/>
      <c r="F41" s="29" t="str">
        <f>IFERROR(_xlfn.XLOOKUP(Heat_Map[[#This Row],[Crisis]], Crisis_Type[Crisis Type], Crisis_Type[Shock Factor]),"")</f>
        <v/>
      </c>
      <c r="G41" s="29"/>
      <c r="H41" s="32" cm="1">
        <f t="array" ref="H41">IFERROR(
Heat_Map[[#This Row],[Shock Factor]] *
INDEX(
Crisis_Type[[Risk Level 1]:[Risk Level 5]],
MATCH(Heat_Map[[#This Row],[Crisis]],Crisis_Type[Crisis Type],0),
Heat_Map[[#This Row],[Risk Level]]
),0)</f>
        <v>0</v>
      </c>
    </row>
    <row r="42" spans="2:8" hidden="1" x14ac:dyDescent="0.3">
      <c r="B42" s="2" cm="1">
        <f t="array" ref="B42">ROW()-ROW(Heat_Map[#Headers])</f>
        <v>35</v>
      </c>
      <c r="C42" s="27" t="s">
        <v>145</v>
      </c>
      <c r="D42" s="27"/>
      <c r="E42" s="27"/>
      <c r="F42" s="29" t="str">
        <f>IFERROR(_xlfn.XLOOKUP(Heat_Map[[#This Row],[Crisis]], Crisis_Type[Crisis Type], Crisis_Type[Shock Factor]),"")</f>
        <v/>
      </c>
      <c r="G42" s="29"/>
      <c r="H42" s="32" cm="1">
        <f t="array" ref="H42">IFERROR(
Heat_Map[[#This Row],[Shock Factor]] *
INDEX(
Crisis_Type[[Risk Level 1]:[Risk Level 5]],
MATCH(Heat_Map[[#This Row],[Crisis]],Crisis_Type[Crisis Type],0),
Heat_Map[[#This Row],[Risk Level]]
),0)</f>
        <v>0</v>
      </c>
    </row>
    <row r="43" spans="2:8" ht="57.6" x14ac:dyDescent="0.3">
      <c r="B43" s="67" cm="1">
        <f t="array" ref="B43">ROW()-ROW(Heat_Map[#Headers])</f>
        <v>36</v>
      </c>
      <c r="C43" s="67" t="s">
        <v>1</v>
      </c>
      <c r="D43" s="70" t="s">
        <v>592</v>
      </c>
      <c r="E43" s="67" t="s">
        <v>386</v>
      </c>
      <c r="F43" s="68">
        <f>IFERROR(_xlfn.XLOOKUP(Heat_Map[[#This Row],[Crisis]], Crisis_Type[Crisis Type], Crisis_Type[Shock Factor]),"")</f>
        <v>0.5</v>
      </c>
      <c r="G43" s="68">
        <v>2</v>
      </c>
      <c r="H43" s="69" cm="1">
        <f t="array" ref="H43">IFERROR(
Heat_Map[[#This Row],[Shock Factor]] *
INDEX(
Crisis_Type[[Risk Level 1]:[Risk Level 5]],
MATCH(Heat_Map[[#This Row],[Crisis]],Crisis_Type[Crisis Type],0),
Heat_Map[[#This Row],[Risk Level]]
),0)</f>
        <v>0.14000000000000001</v>
      </c>
    </row>
    <row r="44" spans="2:8" hidden="1" x14ac:dyDescent="0.3">
      <c r="B44" s="2" cm="1">
        <f t="array" ref="B44">ROW()-ROW(Heat_Map[#Headers])</f>
        <v>37</v>
      </c>
      <c r="C44" s="27" t="s">
        <v>40</v>
      </c>
      <c r="D44" s="27"/>
      <c r="E44" s="27"/>
      <c r="F44" s="29" t="str">
        <f>IFERROR(_xlfn.XLOOKUP(Heat_Map[[#This Row],[Crisis]], Crisis_Type[Crisis Type], Crisis_Type[Shock Factor]),"")</f>
        <v/>
      </c>
      <c r="G44" s="29"/>
      <c r="H44" s="32" cm="1">
        <f t="array" ref="H44">IFERROR(
Heat_Map[[#This Row],[Shock Factor]] *
INDEX(
Crisis_Type[[Risk Level 1]:[Risk Level 5]],
MATCH(Heat_Map[[#This Row],[Crisis]],Crisis_Type[Crisis Type],0),
Heat_Map[[#This Row],[Risk Level]]
),0)</f>
        <v>0</v>
      </c>
    </row>
    <row r="45" spans="2:8" hidden="1" x14ac:dyDescent="0.3">
      <c r="B45" s="2" cm="1">
        <f t="array" ref="B45">ROW()-ROW(Heat_Map[#Headers])</f>
        <v>38</v>
      </c>
      <c r="C45" s="27" t="s">
        <v>266</v>
      </c>
      <c r="D45" s="27"/>
      <c r="E45" s="27"/>
      <c r="F45" s="29" t="str">
        <f>IFERROR(_xlfn.XLOOKUP(Heat_Map[[#This Row],[Crisis]], Crisis_Type[Crisis Type], Crisis_Type[Shock Factor]),"")</f>
        <v/>
      </c>
      <c r="G45" s="29"/>
      <c r="H45" s="32" cm="1">
        <f t="array" ref="H45">IFERROR(
Heat_Map[[#This Row],[Shock Factor]] *
INDEX(
Crisis_Type[[Risk Level 1]:[Risk Level 5]],
MATCH(Heat_Map[[#This Row],[Crisis]],Crisis_Type[Crisis Type],0),
Heat_Map[[#This Row],[Risk Level]]
),0)</f>
        <v>0</v>
      </c>
    </row>
    <row r="46" spans="2:8" hidden="1" x14ac:dyDescent="0.3">
      <c r="B46" s="2" cm="1">
        <f t="array" ref="B46">ROW()-ROW(Heat_Map[#Headers])</f>
        <v>39</v>
      </c>
      <c r="C46" s="27" t="s">
        <v>267</v>
      </c>
      <c r="D46" s="27"/>
      <c r="E46" s="27"/>
      <c r="F46" s="29" t="str">
        <f>IFERROR(_xlfn.XLOOKUP(Heat_Map[[#This Row],[Crisis]], Crisis_Type[Crisis Type], Crisis_Type[Shock Factor]),"")</f>
        <v/>
      </c>
      <c r="G46" s="29"/>
      <c r="H46" s="32" cm="1">
        <f t="array" ref="H46">IFERROR(
Heat_Map[[#This Row],[Shock Factor]] *
INDEX(
Crisis_Type[[Risk Level 1]:[Risk Level 5]],
MATCH(Heat_Map[[#This Row],[Crisis]],Crisis_Type[Crisis Type],0),
Heat_Map[[#This Row],[Risk Level]]
),0)</f>
        <v>0</v>
      </c>
    </row>
    <row r="47" spans="2:8" hidden="1" x14ac:dyDescent="0.3">
      <c r="B47" s="2" cm="1">
        <f t="array" ref="B47">ROW()-ROW(Heat_Map[#Headers])</f>
        <v>40</v>
      </c>
      <c r="C47" s="27" t="s">
        <v>268</v>
      </c>
      <c r="D47" s="27"/>
      <c r="E47" s="27"/>
      <c r="F47" s="29" t="str">
        <f>IFERROR(_xlfn.XLOOKUP(Heat_Map[[#This Row],[Crisis]], Crisis_Type[Crisis Type], Crisis_Type[Shock Factor]),"")</f>
        <v/>
      </c>
      <c r="G47" s="29"/>
      <c r="H47" s="32" cm="1">
        <f t="array" ref="H47">IFERROR(
Heat_Map[[#This Row],[Shock Factor]] *
INDEX(
Crisis_Type[[Risk Level 1]:[Risk Level 5]],
MATCH(Heat_Map[[#This Row],[Crisis]],Crisis_Type[Crisis Type],0),
Heat_Map[[#This Row],[Risk Level]]
),0)</f>
        <v>0</v>
      </c>
    </row>
    <row r="48" spans="2:8" hidden="1" x14ac:dyDescent="0.3">
      <c r="B48" s="2" cm="1">
        <f t="array" ref="B48">ROW()-ROW(Heat_Map[#Headers])</f>
        <v>41</v>
      </c>
      <c r="C48" s="27" t="s">
        <v>269</v>
      </c>
      <c r="D48" s="27"/>
      <c r="E48" s="27"/>
      <c r="F48" s="29" t="str">
        <f>IFERROR(_xlfn.XLOOKUP(Heat_Map[[#This Row],[Crisis]], Crisis_Type[Crisis Type], Crisis_Type[Shock Factor]),"")</f>
        <v/>
      </c>
      <c r="G48" s="29"/>
      <c r="H48" s="32" cm="1">
        <f t="array" ref="H48">IFERROR(
Heat_Map[[#This Row],[Shock Factor]] *
INDEX(
Crisis_Type[[Risk Level 1]:[Risk Level 5]],
MATCH(Heat_Map[[#This Row],[Crisis]],Crisis_Type[Crisis Type],0),
Heat_Map[[#This Row],[Risk Level]]
),0)</f>
        <v>0</v>
      </c>
    </row>
    <row r="49" spans="2:8" hidden="1" x14ac:dyDescent="0.3">
      <c r="B49" s="2" cm="1">
        <f t="array" ref="B49">ROW()-ROW(Heat_Map[#Headers])</f>
        <v>42</v>
      </c>
      <c r="C49" s="27" t="s">
        <v>270</v>
      </c>
      <c r="D49" s="27"/>
      <c r="E49" s="27"/>
      <c r="F49" s="29" t="str">
        <f>IFERROR(_xlfn.XLOOKUP(Heat_Map[[#This Row],[Crisis]], Crisis_Type[Crisis Type], Crisis_Type[Shock Factor]),"")</f>
        <v/>
      </c>
      <c r="G49" s="29"/>
      <c r="H49" s="32" cm="1">
        <f t="array" ref="H49">IFERROR(
Heat_Map[[#This Row],[Shock Factor]] *
INDEX(
Crisis_Type[[Risk Level 1]:[Risk Level 5]],
MATCH(Heat_Map[[#This Row],[Crisis]],Crisis_Type[Crisis Type],0),
Heat_Map[[#This Row],[Risk Level]]
),0)</f>
        <v>0</v>
      </c>
    </row>
    <row r="50" spans="2:8" hidden="1" x14ac:dyDescent="0.3">
      <c r="B50" s="2" cm="1">
        <f t="array" ref="B50">ROW()-ROW(Heat_Map[#Headers])</f>
        <v>43</v>
      </c>
      <c r="C50" s="27" t="s">
        <v>271</v>
      </c>
      <c r="D50" s="27"/>
      <c r="E50" s="27"/>
      <c r="F50" s="29" t="str">
        <f>IFERROR(_xlfn.XLOOKUP(Heat_Map[[#This Row],[Crisis]], Crisis_Type[Crisis Type], Crisis_Type[Shock Factor]),"")</f>
        <v/>
      </c>
      <c r="G50" s="29"/>
      <c r="H50" s="32" cm="1">
        <f t="array" ref="H50">IFERROR(
Heat_Map[[#This Row],[Shock Factor]] *
INDEX(
Crisis_Type[[Risk Level 1]:[Risk Level 5]],
MATCH(Heat_Map[[#This Row],[Crisis]],Crisis_Type[Crisis Type],0),
Heat_Map[[#This Row],[Risk Level]]
),0)</f>
        <v>0</v>
      </c>
    </row>
    <row r="51" spans="2:8" hidden="1" x14ac:dyDescent="0.3">
      <c r="B51" s="2" cm="1">
        <f t="array" ref="B51">ROW()-ROW(Heat_Map[#Headers])</f>
        <v>44</v>
      </c>
      <c r="C51" s="27" t="s">
        <v>41</v>
      </c>
      <c r="D51" s="27"/>
      <c r="E51" s="27"/>
      <c r="F51" s="29" t="str">
        <f>IFERROR(_xlfn.XLOOKUP(Heat_Map[[#This Row],[Crisis]], Crisis_Type[Crisis Type], Crisis_Type[Shock Factor]),"")</f>
        <v/>
      </c>
      <c r="G51" s="29"/>
      <c r="H51" s="32" cm="1">
        <f t="array" ref="H51">IFERROR(
Heat_Map[[#This Row],[Shock Factor]] *
INDEX(
Crisis_Type[[Risk Level 1]:[Risk Level 5]],
MATCH(Heat_Map[[#This Row],[Crisis]],Crisis_Type[Crisis Type],0),
Heat_Map[[#This Row],[Risk Level]]
),0)</f>
        <v>0</v>
      </c>
    </row>
    <row r="52" spans="2:8" hidden="1" x14ac:dyDescent="0.3">
      <c r="B52" s="2" cm="1">
        <f t="array" ref="B52">ROW()-ROW(Heat_Map[#Headers])</f>
        <v>45</v>
      </c>
      <c r="C52" s="27" t="s">
        <v>42</v>
      </c>
      <c r="D52" s="27"/>
      <c r="E52" s="27"/>
      <c r="F52" s="29" t="str">
        <f>IFERROR(_xlfn.XLOOKUP(Heat_Map[[#This Row],[Crisis]], Crisis_Type[Crisis Type], Crisis_Type[Shock Factor]),"")</f>
        <v/>
      </c>
      <c r="G52" s="29"/>
      <c r="H52" s="32" cm="1">
        <f t="array" ref="H52">IFERROR(
Heat_Map[[#This Row],[Shock Factor]] *
INDEX(
Crisis_Type[[Risk Level 1]:[Risk Level 5]],
MATCH(Heat_Map[[#This Row],[Crisis]],Crisis_Type[Crisis Type],0),
Heat_Map[[#This Row],[Risk Level]]
),0)</f>
        <v>0</v>
      </c>
    </row>
    <row r="53" spans="2:8" hidden="1" x14ac:dyDescent="0.3">
      <c r="B53" s="2" cm="1">
        <f t="array" ref="B53">ROW()-ROW(Heat_Map[#Headers])</f>
        <v>46</v>
      </c>
      <c r="C53" s="27" t="s">
        <v>272</v>
      </c>
      <c r="D53" s="27"/>
      <c r="E53" s="27"/>
      <c r="F53" s="29" t="str">
        <f>IFERROR(_xlfn.XLOOKUP(Heat_Map[[#This Row],[Crisis]], Crisis_Type[Crisis Type], Crisis_Type[Shock Factor]),"")</f>
        <v/>
      </c>
      <c r="G53" s="29"/>
      <c r="H53" s="32" cm="1">
        <f t="array" ref="H53">IFERROR(
Heat_Map[[#This Row],[Shock Factor]] *
INDEX(
Crisis_Type[[Risk Level 1]:[Risk Level 5]],
MATCH(Heat_Map[[#This Row],[Crisis]],Crisis_Type[Crisis Type],0),
Heat_Map[[#This Row],[Risk Level]]
),0)</f>
        <v>0</v>
      </c>
    </row>
    <row r="54" spans="2:8" hidden="1" x14ac:dyDescent="0.3">
      <c r="B54" s="2" cm="1">
        <f t="array" ref="B54">ROW()-ROW(Heat_Map[#Headers])</f>
        <v>47</v>
      </c>
      <c r="C54" s="27" t="s">
        <v>273</v>
      </c>
      <c r="D54" s="27"/>
      <c r="E54" s="27"/>
      <c r="F54" s="29" t="str">
        <f>IFERROR(_xlfn.XLOOKUP(Heat_Map[[#This Row],[Crisis]], Crisis_Type[Crisis Type], Crisis_Type[Shock Factor]),"")</f>
        <v/>
      </c>
      <c r="G54" s="29"/>
      <c r="H54" s="32" cm="1">
        <f t="array" ref="H54">IFERROR(
Heat_Map[[#This Row],[Shock Factor]] *
INDEX(
Crisis_Type[[Risk Level 1]:[Risk Level 5]],
MATCH(Heat_Map[[#This Row],[Crisis]],Crisis_Type[Crisis Type],0),
Heat_Map[[#This Row],[Risk Level]]
),0)</f>
        <v>0</v>
      </c>
    </row>
    <row r="55" spans="2:8" hidden="1" x14ac:dyDescent="0.3">
      <c r="B55" s="2" cm="1">
        <f t="array" ref="B55">ROW()-ROW(Heat_Map[#Headers])</f>
        <v>48</v>
      </c>
      <c r="C55" s="27" t="s">
        <v>274</v>
      </c>
      <c r="D55" s="27"/>
      <c r="E55" s="27"/>
      <c r="F55" s="29" t="str">
        <f>IFERROR(_xlfn.XLOOKUP(Heat_Map[[#This Row],[Crisis]], Crisis_Type[Crisis Type], Crisis_Type[Shock Factor]),"")</f>
        <v/>
      </c>
      <c r="G55" s="29"/>
      <c r="H55" s="32" cm="1">
        <f t="array" ref="H55">IFERROR(
Heat_Map[[#This Row],[Shock Factor]] *
INDEX(
Crisis_Type[[Risk Level 1]:[Risk Level 5]],
MATCH(Heat_Map[[#This Row],[Crisis]],Crisis_Type[Crisis Type],0),
Heat_Map[[#This Row],[Risk Level]]
),0)</f>
        <v>0</v>
      </c>
    </row>
    <row r="56" spans="2:8" hidden="1" x14ac:dyDescent="0.3">
      <c r="B56" s="2" cm="1">
        <f t="array" ref="B56">ROW()-ROW(Heat_Map[#Headers])</f>
        <v>49</v>
      </c>
      <c r="C56" s="27" t="s">
        <v>275</v>
      </c>
      <c r="D56" s="27"/>
      <c r="E56" s="27"/>
      <c r="F56" s="29" t="str">
        <f>IFERROR(_xlfn.XLOOKUP(Heat_Map[[#This Row],[Crisis]], Crisis_Type[Crisis Type], Crisis_Type[Shock Factor]),"")</f>
        <v/>
      </c>
      <c r="G56" s="29"/>
      <c r="H56" s="32" cm="1">
        <f t="array" ref="H56">IFERROR(
Heat_Map[[#This Row],[Shock Factor]] *
INDEX(
Crisis_Type[[Risk Level 1]:[Risk Level 5]],
MATCH(Heat_Map[[#This Row],[Crisis]],Crisis_Type[Crisis Type],0),
Heat_Map[[#This Row],[Risk Level]]
),0)</f>
        <v>0</v>
      </c>
    </row>
    <row r="57" spans="2:8" hidden="1" x14ac:dyDescent="0.3">
      <c r="B57" s="2" cm="1">
        <f t="array" ref="B57">ROW()-ROW(Heat_Map[#Headers])</f>
        <v>50</v>
      </c>
      <c r="C57" s="27" t="s">
        <v>22</v>
      </c>
      <c r="D57" s="27"/>
      <c r="E57" s="27"/>
      <c r="F57" s="29" t="str">
        <f>IFERROR(_xlfn.XLOOKUP(Heat_Map[[#This Row],[Crisis]], Crisis_Type[Crisis Type], Crisis_Type[Shock Factor]),"")</f>
        <v/>
      </c>
      <c r="G57" s="29"/>
      <c r="H57" s="32" cm="1">
        <f t="array" ref="H57">IFERROR(
Heat_Map[[#This Row],[Shock Factor]] *
INDEX(
Crisis_Type[[Risk Level 1]:[Risk Level 5]],
MATCH(Heat_Map[[#This Row],[Crisis]],Crisis_Type[Crisis Type],0),
Heat_Map[[#This Row],[Risk Level]]
),0)</f>
        <v>0</v>
      </c>
    </row>
    <row r="58" spans="2:8" hidden="1" x14ac:dyDescent="0.3">
      <c r="B58" s="2" cm="1">
        <f t="array" ref="B58">ROW()-ROW(Heat_Map[#Headers])</f>
        <v>51</v>
      </c>
      <c r="C58" s="27" t="s">
        <v>276</v>
      </c>
      <c r="D58" s="27"/>
      <c r="E58" s="27"/>
      <c r="F58" s="29" t="str">
        <f>IFERROR(_xlfn.XLOOKUP(Heat_Map[[#This Row],[Crisis]], Crisis_Type[Crisis Type], Crisis_Type[Shock Factor]),"")</f>
        <v/>
      </c>
      <c r="G58" s="29"/>
      <c r="H58" s="32" cm="1">
        <f t="array" ref="H58">IFERROR(
Heat_Map[[#This Row],[Shock Factor]] *
INDEX(
Crisis_Type[[Risk Level 1]:[Risk Level 5]],
MATCH(Heat_Map[[#This Row],[Crisis]],Crisis_Type[Crisis Type],0),
Heat_Map[[#This Row],[Risk Level]]
),0)</f>
        <v>0</v>
      </c>
    </row>
    <row r="59" spans="2:8" hidden="1" x14ac:dyDescent="0.3">
      <c r="B59" s="2" cm="1">
        <f t="array" ref="B59">ROW()-ROW(Heat_Map[#Headers])</f>
        <v>52</v>
      </c>
      <c r="C59" s="27" t="s">
        <v>277</v>
      </c>
      <c r="D59" s="27"/>
      <c r="E59" s="27"/>
      <c r="F59" s="29" t="str">
        <f>IFERROR(_xlfn.XLOOKUP(Heat_Map[[#This Row],[Crisis]], Crisis_Type[Crisis Type], Crisis_Type[Shock Factor]),"")</f>
        <v/>
      </c>
      <c r="G59" s="29"/>
      <c r="H59" s="32" cm="1">
        <f t="array" ref="H59">IFERROR(
Heat_Map[[#This Row],[Shock Factor]] *
INDEX(
Crisis_Type[[Risk Level 1]:[Risk Level 5]],
MATCH(Heat_Map[[#This Row],[Crisis]],Crisis_Type[Crisis Type],0),
Heat_Map[[#This Row],[Risk Level]]
),0)</f>
        <v>0</v>
      </c>
    </row>
    <row r="60" spans="2:8" hidden="1" x14ac:dyDescent="0.3">
      <c r="B60" s="2" cm="1">
        <f t="array" ref="B60">ROW()-ROW(Heat_Map[#Headers])</f>
        <v>53</v>
      </c>
      <c r="C60" s="27" t="s">
        <v>278</v>
      </c>
      <c r="D60" s="27"/>
      <c r="E60" s="27"/>
      <c r="F60" s="29" t="str">
        <f>IFERROR(_xlfn.XLOOKUP(Heat_Map[[#This Row],[Crisis]], Crisis_Type[Crisis Type], Crisis_Type[Shock Factor]),"")</f>
        <v/>
      </c>
      <c r="G60" s="29"/>
      <c r="H60" s="32" cm="1">
        <f t="array" ref="H60">IFERROR(
Heat_Map[[#This Row],[Shock Factor]] *
INDEX(
Crisis_Type[[Risk Level 1]:[Risk Level 5]],
MATCH(Heat_Map[[#This Row],[Crisis]],Crisis_Type[Crisis Type],0),
Heat_Map[[#This Row],[Risk Level]]
),0)</f>
        <v>0</v>
      </c>
    </row>
    <row r="61" spans="2:8" hidden="1" x14ac:dyDescent="0.3">
      <c r="B61" s="2" cm="1">
        <f t="array" ref="B61">ROW()-ROW(Heat_Map[#Headers])</f>
        <v>54</v>
      </c>
      <c r="C61" s="27" t="s">
        <v>43</v>
      </c>
      <c r="D61" s="27"/>
      <c r="E61" s="27"/>
      <c r="F61" s="29" t="str">
        <f>IFERROR(_xlfn.XLOOKUP(Heat_Map[[#This Row],[Crisis]], Crisis_Type[Crisis Type], Crisis_Type[Shock Factor]),"")</f>
        <v/>
      </c>
      <c r="G61" s="29"/>
      <c r="H61" s="32" cm="1">
        <f t="array" ref="H61">IFERROR(
Heat_Map[[#This Row],[Shock Factor]] *
INDEX(
Crisis_Type[[Risk Level 1]:[Risk Level 5]],
MATCH(Heat_Map[[#This Row],[Crisis]],Crisis_Type[Crisis Type],0),
Heat_Map[[#This Row],[Risk Level]]
),0)</f>
        <v>0</v>
      </c>
    </row>
    <row r="62" spans="2:8" hidden="1" x14ac:dyDescent="0.3">
      <c r="B62" s="2" cm="1">
        <f t="array" ref="B62">ROW()-ROW(Heat_Map[#Headers])</f>
        <v>55</v>
      </c>
      <c r="C62" s="27" t="s">
        <v>279</v>
      </c>
      <c r="D62" s="27"/>
      <c r="E62" s="27"/>
      <c r="F62" s="29" t="str">
        <f>IFERROR(_xlfn.XLOOKUP(Heat_Map[[#This Row],[Crisis]], Crisis_Type[Crisis Type], Crisis_Type[Shock Factor]),"")</f>
        <v/>
      </c>
      <c r="G62" s="29"/>
      <c r="H62" s="32" cm="1">
        <f t="array" ref="H62">IFERROR(
Heat_Map[[#This Row],[Shock Factor]] *
INDEX(
Crisis_Type[[Risk Level 1]:[Risk Level 5]],
MATCH(Heat_Map[[#This Row],[Crisis]],Crisis_Type[Crisis Type],0),
Heat_Map[[#This Row],[Risk Level]]
),0)</f>
        <v>0</v>
      </c>
    </row>
    <row r="63" spans="2:8" hidden="1" x14ac:dyDescent="0.3">
      <c r="B63" s="2" cm="1">
        <f t="array" ref="B63">ROW()-ROW(Heat_Map[#Headers])</f>
        <v>56</v>
      </c>
      <c r="C63" s="27" t="s">
        <v>280</v>
      </c>
      <c r="D63" s="27"/>
      <c r="E63" s="27"/>
      <c r="F63" s="29" t="str">
        <f>IFERROR(_xlfn.XLOOKUP(Heat_Map[[#This Row],[Crisis]], Crisis_Type[Crisis Type], Crisis_Type[Shock Factor]),"")</f>
        <v/>
      </c>
      <c r="G63" s="29"/>
      <c r="H63" s="32" cm="1">
        <f t="array" ref="H63">IFERROR(
Heat_Map[[#This Row],[Shock Factor]] *
INDEX(
Crisis_Type[[Risk Level 1]:[Risk Level 5]],
MATCH(Heat_Map[[#This Row],[Crisis]],Crisis_Type[Crisis Type],0),
Heat_Map[[#This Row],[Risk Level]]
),0)</f>
        <v>0</v>
      </c>
    </row>
    <row r="64" spans="2:8" hidden="1" x14ac:dyDescent="0.3">
      <c r="B64" s="2" cm="1">
        <f t="array" ref="B64">ROW()-ROW(Heat_Map[#Headers])</f>
        <v>57</v>
      </c>
      <c r="C64" s="27" t="s">
        <v>281</v>
      </c>
      <c r="D64" s="27"/>
      <c r="E64" s="27"/>
      <c r="F64" s="29" t="str">
        <f>IFERROR(_xlfn.XLOOKUP(Heat_Map[[#This Row],[Crisis]], Crisis_Type[Crisis Type], Crisis_Type[Shock Factor]),"")</f>
        <v/>
      </c>
      <c r="G64" s="29"/>
      <c r="H64" s="32" cm="1">
        <f t="array" ref="H64">IFERROR(
Heat_Map[[#This Row],[Shock Factor]] *
INDEX(
Crisis_Type[[Risk Level 1]:[Risk Level 5]],
MATCH(Heat_Map[[#This Row],[Crisis]],Crisis_Type[Crisis Type],0),
Heat_Map[[#This Row],[Risk Level]]
),0)</f>
        <v>0</v>
      </c>
    </row>
    <row r="65" spans="2:8" hidden="1" x14ac:dyDescent="0.3">
      <c r="B65" s="2" cm="1">
        <f t="array" ref="B65">ROW()-ROW(Heat_Map[#Headers])</f>
        <v>58</v>
      </c>
      <c r="C65" s="27" t="s">
        <v>142</v>
      </c>
      <c r="D65" s="27"/>
      <c r="E65" s="27"/>
      <c r="F65" s="29" t="str">
        <f>IFERROR(_xlfn.XLOOKUP(Heat_Map[[#This Row],[Crisis]], Crisis_Type[Crisis Type], Crisis_Type[Shock Factor]),"")</f>
        <v/>
      </c>
      <c r="G65" s="29"/>
      <c r="H65" s="32" cm="1">
        <f t="array" ref="H65">IFERROR(
Heat_Map[[#This Row],[Shock Factor]] *
INDEX(
Crisis_Type[[Risk Level 1]:[Risk Level 5]],
MATCH(Heat_Map[[#This Row],[Crisis]],Crisis_Type[Crisis Type],0),
Heat_Map[[#This Row],[Risk Level]]
),0)</f>
        <v>0</v>
      </c>
    </row>
    <row r="66" spans="2:8" hidden="1" x14ac:dyDescent="0.3">
      <c r="B66" s="2" cm="1">
        <f t="array" ref="B66">ROW()-ROW(Heat_Map[#Headers])</f>
        <v>59</v>
      </c>
      <c r="C66" s="27" t="s">
        <v>44</v>
      </c>
      <c r="D66" s="27"/>
      <c r="E66" s="27"/>
      <c r="F66" s="29" t="str">
        <f>IFERROR(_xlfn.XLOOKUP(Heat_Map[[#This Row],[Crisis]], Crisis_Type[Crisis Type], Crisis_Type[Shock Factor]),"")</f>
        <v/>
      </c>
      <c r="G66" s="29"/>
      <c r="H66" s="32" cm="1">
        <f t="array" ref="H66">IFERROR(
Heat_Map[[#This Row],[Shock Factor]] *
INDEX(
Crisis_Type[[Risk Level 1]:[Risk Level 5]],
MATCH(Heat_Map[[#This Row],[Crisis]],Crisis_Type[Crisis Type],0),
Heat_Map[[#This Row],[Risk Level]]
),0)</f>
        <v>0</v>
      </c>
    </row>
    <row r="67" spans="2:8" hidden="1" x14ac:dyDescent="0.3">
      <c r="B67" s="2" cm="1">
        <f t="array" ref="B67">ROW()-ROW(Heat_Map[#Headers])</f>
        <v>60</v>
      </c>
      <c r="C67" s="27" t="s">
        <v>282</v>
      </c>
      <c r="D67" s="27"/>
      <c r="E67" s="27"/>
      <c r="F67" s="29" t="str">
        <f>IFERROR(_xlfn.XLOOKUP(Heat_Map[[#This Row],[Crisis]], Crisis_Type[Crisis Type], Crisis_Type[Shock Factor]),"")</f>
        <v/>
      </c>
      <c r="G67" s="29"/>
      <c r="H67" s="32" cm="1">
        <f t="array" ref="H67">IFERROR(
Heat_Map[[#This Row],[Shock Factor]] *
INDEX(
Crisis_Type[[Risk Level 1]:[Risk Level 5]],
MATCH(Heat_Map[[#This Row],[Crisis]],Crisis_Type[Crisis Type],0),
Heat_Map[[#This Row],[Risk Level]]
),0)</f>
        <v>0</v>
      </c>
    </row>
    <row r="68" spans="2:8" hidden="1" x14ac:dyDescent="0.3">
      <c r="B68" s="2" cm="1">
        <f t="array" ref="B68">ROW()-ROW(Heat_Map[#Headers])</f>
        <v>61</v>
      </c>
      <c r="C68" s="27" t="s">
        <v>283</v>
      </c>
      <c r="D68" s="27"/>
      <c r="E68" s="27"/>
      <c r="F68" s="29" t="str">
        <f>IFERROR(_xlfn.XLOOKUP(Heat_Map[[#This Row],[Crisis]], Crisis_Type[Crisis Type], Crisis_Type[Shock Factor]),"")</f>
        <v/>
      </c>
      <c r="G68" s="29"/>
      <c r="H68" s="32" cm="1">
        <f t="array" ref="H68">IFERROR(
Heat_Map[[#This Row],[Shock Factor]] *
INDEX(
Crisis_Type[[Risk Level 1]:[Risk Level 5]],
MATCH(Heat_Map[[#This Row],[Crisis]],Crisis_Type[Crisis Type],0),
Heat_Map[[#This Row],[Risk Level]]
),0)</f>
        <v>0</v>
      </c>
    </row>
    <row r="69" spans="2:8" hidden="1" x14ac:dyDescent="0.3">
      <c r="B69" s="2" cm="1">
        <f t="array" ref="B69">ROW()-ROW(Heat_Map[#Headers])</f>
        <v>62</v>
      </c>
      <c r="C69" s="27" t="s">
        <v>284</v>
      </c>
      <c r="D69" s="27"/>
      <c r="E69" s="27"/>
      <c r="F69" s="29" t="str">
        <f>IFERROR(_xlfn.XLOOKUP(Heat_Map[[#This Row],[Crisis]], Crisis_Type[Crisis Type], Crisis_Type[Shock Factor]),"")</f>
        <v/>
      </c>
      <c r="G69" s="29"/>
      <c r="H69" s="32" cm="1">
        <f t="array" ref="H69">IFERROR(
Heat_Map[[#This Row],[Shock Factor]] *
INDEX(
Crisis_Type[[Risk Level 1]:[Risk Level 5]],
MATCH(Heat_Map[[#This Row],[Crisis]],Crisis_Type[Crisis Type],0),
Heat_Map[[#This Row],[Risk Level]]
),0)</f>
        <v>0</v>
      </c>
    </row>
    <row r="70" spans="2:8" hidden="1" x14ac:dyDescent="0.3">
      <c r="B70" s="2" cm="1">
        <f t="array" ref="B70">ROW()-ROW(Heat_Map[#Headers])</f>
        <v>63</v>
      </c>
      <c r="C70" s="27" t="s">
        <v>2</v>
      </c>
      <c r="D70" s="27"/>
      <c r="E70" s="27"/>
      <c r="F70" s="29" t="str">
        <f>IFERROR(_xlfn.XLOOKUP(Heat_Map[[#This Row],[Crisis]], Crisis_Type[Crisis Type], Crisis_Type[Shock Factor]),"")</f>
        <v/>
      </c>
      <c r="G70" s="29"/>
      <c r="H70" s="32" cm="1">
        <f t="array" ref="H70">IFERROR(
Heat_Map[[#This Row],[Shock Factor]] *
INDEX(
Crisis_Type[[Risk Level 1]:[Risk Level 5]],
MATCH(Heat_Map[[#This Row],[Crisis]],Crisis_Type[Crisis Type],0),
Heat_Map[[#This Row],[Risk Level]]
),0)</f>
        <v>0</v>
      </c>
    </row>
    <row r="71" spans="2:8" hidden="1" x14ac:dyDescent="0.3">
      <c r="B71" s="2" cm="1">
        <f t="array" ref="B71">ROW()-ROW(Heat_Map[#Headers])</f>
        <v>64</v>
      </c>
      <c r="C71" s="27" t="s">
        <v>285</v>
      </c>
      <c r="D71" s="27"/>
      <c r="E71" s="27"/>
      <c r="F71" s="29" t="str">
        <f>IFERROR(_xlfn.XLOOKUP(Heat_Map[[#This Row],[Crisis]], Crisis_Type[Crisis Type], Crisis_Type[Shock Factor]),"")</f>
        <v/>
      </c>
      <c r="G71" s="29"/>
      <c r="H71" s="32" cm="1">
        <f t="array" ref="H71">IFERROR(
Heat_Map[[#This Row],[Shock Factor]] *
INDEX(
Crisis_Type[[Risk Level 1]:[Risk Level 5]],
MATCH(Heat_Map[[#This Row],[Crisis]],Crisis_Type[Crisis Type],0),
Heat_Map[[#This Row],[Risk Level]]
),0)</f>
        <v>0</v>
      </c>
    </row>
    <row r="72" spans="2:8" hidden="1" x14ac:dyDescent="0.3">
      <c r="B72" s="2" cm="1">
        <f t="array" ref="B72">ROW()-ROW(Heat_Map[#Headers])</f>
        <v>65</v>
      </c>
      <c r="C72" s="27" t="s">
        <v>45</v>
      </c>
      <c r="D72" s="27"/>
      <c r="E72" s="27"/>
      <c r="F72" s="29" t="str">
        <f>IFERROR(_xlfn.XLOOKUP(Heat_Map[[#This Row],[Crisis]], Crisis_Type[Crisis Type], Crisis_Type[Shock Factor]),"")</f>
        <v/>
      </c>
      <c r="G72" s="29"/>
      <c r="H72" s="32" cm="1">
        <f t="array" ref="H72">IFERROR(
Heat_Map[[#This Row],[Shock Factor]] *
INDEX(
Crisis_Type[[Risk Level 1]:[Risk Level 5]],
MATCH(Heat_Map[[#This Row],[Crisis]],Crisis_Type[Crisis Type],0),
Heat_Map[[#This Row],[Risk Level]]
),0)</f>
        <v>0</v>
      </c>
    </row>
    <row r="73" spans="2:8" hidden="1" x14ac:dyDescent="0.3">
      <c r="B73" s="2" cm="1">
        <f t="array" ref="B73">ROW()-ROW(Heat_Map[#Headers])</f>
        <v>66</v>
      </c>
      <c r="C73" s="27" t="s">
        <v>286</v>
      </c>
      <c r="D73" s="27"/>
      <c r="E73" s="27"/>
      <c r="F73" s="29" t="str">
        <f>IFERROR(_xlfn.XLOOKUP(Heat_Map[[#This Row],[Crisis]], Crisis_Type[Crisis Type], Crisis_Type[Shock Factor]),"")</f>
        <v/>
      </c>
      <c r="G73" s="29"/>
      <c r="H73" s="32" cm="1">
        <f t="array" ref="H73">IFERROR(
Heat_Map[[#This Row],[Shock Factor]] *
INDEX(
Crisis_Type[[Risk Level 1]:[Risk Level 5]],
MATCH(Heat_Map[[#This Row],[Crisis]],Crisis_Type[Crisis Type],0),
Heat_Map[[#This Row],[Risk Level]]
),0)</f>
        <v>0</v>
      </c>
    </row>
    <row r="74" spans="2:8" hidden="1" x14ac:dyDescent="0.3">
      <c r="B74" s="2" cm="1">
        <f t="array" ref="B74">ROW()-ROW(Heat_Map[#Headers])</f>
        <v>67</v>
      </c>
      <c r="C74" s="27" t="s">
        <v>287</v>
      </c>
      <c r="D74" s="27"/>
      <c r="E74" s="27"/>
      <c r="F74" s="29" t="str">
        <f>IFERROR(_xlfn.XLOOKUP(Heat_Map[[#This Row],[Crisis]], Crisis_Type[Crisis Type], Crisis_Type[Shock Factor]),"")</f>
        <v/>
      </c>
      <c r="G74" s="29"/>
      <c r="H74" s="32" cm="1">
        <f t="array" ref="H74">IFERROR(
Heat_Map[[#This Row],[Shock Factor]] *
INDEX(
Crisis_Type[[Risk Level 1]:[Risk Level 5]],
MATCH(Heat_Map[[#This Row],[Crisis]],Crisis_Type[Crisis Type],0),
Heat_Map[[#This Row],[Risk Level]]
),0)</f>
        <v>0</v>
      </c>
    </row>
    <row r="75" spans="2:8" hidden="1" x14ac:dyDescent="0.3">
      <c r="B75" s="2" cm="1">
        <f t="array" ref="B75">ROW()-ROW(Heat_Map[#Headers])</f>
        <v>68</v>
      </c>
      <c r="C75" s="27" t="s">
        <v>288</v>
      </c>
      <c r="D75" s="27"/>
      <c r="E75" s="27"/>
      <c r="F75" s="29" t="str">
        <f>IFERROR(_xlfn.XLOOKUP(Heat_Map[[#This Row],[Crisis]], Crisis_Type[Crisis Type], Crisis_Type[Shock Factor]),"")</f>
        <v/>
      </c>
      <c r="G75" s="29"/>
      <c r="H75" s="32" cm="1">
        <f t="array" ref="H75">IFERROR(
Heat_Map[[#This Row],[Shock Factor]] *
INDEX(
Crisis_Type[[Risk Level 1]:[Risk Level 5]],
MATCH(Heat_Map[[#This Row],[Crisis]],Crisis_Type[Crisis Type],0),
Heat_Map[[#This Row],[Risk Level]]
),0)</f>
        <v>0</v>
      </c>
    </row>
    <row r="76" spans="2:8" hidden="1" x14ac:dyDescent="0.3">
      <c r="B76" s="2" cm="1">
        <f t="array" ref="B76">ROW()-ROW(Heat_Map[#Headers])</f>
        <v>69</v>
      </c>
      <c r="C76" s="27" t="s">
        <v>289</v>
      </c>
      <c r="D76" s="27"/>
      <c r="E76" s="27"/>
      <c r="F76" s="29" t="str">
        <f>IFERROR(_xlfn.XLOOKUP(Heat_Map[[#This Row],[Crisis]], Crisis_Type[Crisis Type], Crisis_Type[Shock Factor]),"")</f>
        <v/>
      </c>
      <c r="G76" s="29"/>
      <c r="H76" s="32" cm="1">
        <f t="array" ref="H76">IFERROR(
Heat_Map[[#This Row],[Shock Factor]] *
INDEX(
Crisis_Type[[Risk Level 1]:[Risk Level 5]],
MATCH(Heat_Map[[#This Row],[Crisis]],Crisis_Type[Crisis Type],0),
Heat_Map[[#This Row],[Risk Level]]
),0)</f>
        <v>0</v>
      </c>
    </row>
    <row r="77" spans="2:8" hidden="1" x14ac:dyDescent="0.3">
      <c r="B77" s="2" cm="1">
        <f t="array" ref="B77">ROW()-ROW(Heat_Map[#Headers])</f>
        <v>70</v>
      </c>
      <c r="C77" s="27" t="s">
        <v>290</v>
      </c>
      <c r="D77" s="27"/>
      <c r="E77" s="27"/>
      <c r="F77" s="29" t="str">
        <f>IFERROR(_xlfn.XLOOKUP(Heat_Map[[#This Row],[Crisis]], Crisis_Type[Crisis Type], Crisis_Type[Shock Factor]),"")</f>
        <v/>
      </c>
      <c r="G77" s="29"/>
      <c r="H77" s="32" cm="1">
        <f t="array" ref="H77">IFERROR(
Heat_Map[[#This Row],[Shock Factor]] *
INDEX(
Crisis_Type[[Risk Level 1]:[Risk Level 5]],
MATCH(Heat_Map[[#This Row],[Crisis]],Crisis_Type[Crisis Type],0),
Heat_Map[[#This Row],[Risk Level]]
),0)</f>
        <v>0</v>
      </c>
    </row>
    <row r="78" spans="2:8" hidden="1" x14ac:dyDescent="0.3">
      <c r="B78" s="2" cm="1">
        <f t="array" ref="B78">ROW()-ROW(Heat_Map[#Headers])</f>
        <v>71</v>
      </c>
      <c r="C78" s="27" t="s">
        <v>291</v>
      </c>
      <c r="D78" s="27"/>
      <c r="E78" s="27"/>
      <c r="F78" s="29" t="str">
        <f>IFERROR(_xlfn.XLOOKUP(Heat_Map[[#This Row],[Crisis]], Crisis_Type[Crisis Type], Crisis_Type[Shock Factor]),"")</f>
        <v/>
      </c>
      <c r="G78" s="29"/>
      <c r="H78" s="32" cm="1">
        <f t="array" ref="H78">IFERROR(
Heat_Map[[#This Row],[Shock Factor]] *
INDEX(
Crisis_Type[[Risk Level 1]:[Risk Level 5]],
MATCH(Heat_Map[[#This Row],[Crisis]],Crisis_Type[Crisis Type],0),
Heat_Map[[#This Row],[Risk Level]]
),0)</f>
        <v>0</v>
      </c>
    </row>
    <row r="79" spans="2:8" hidden="1" x14ac:dyDescent="0.3">
      <c r="B79" s="2" cm="1">
        <f t="array" ref="B79">ROW()-ROW(Heat_Map[#Headers])</f>
        <v>72</v>
      </c>
      <c r="C79" s="27" t="s">
        <v>292</v>
      </c>
      <c r="D79" s="27"/>
      <c r="E79" s="27"/>
      <c r="F79" s="29" t="str">
        <f>IFERROR(_xlfn.XLOOKUP(Heat_Map[[#This Row],[Crisis]], Crisis_Type[Crisis Type], Crisis_Type[Shock Factor]),"")</f>
        <v/>
      </c>
      <c r="G79" s="29"/>
      <c r="H79" s="32" cm="1">
        <f t="array" ref="H79">IFERROR(
Heat_Map[[#This Row],[Shock Factor]] *
INDEX(
Crisis_Type[[Risk Level 1]:[Risk Level 5]],
MATCH(Heat_Map[[#This Row],[Crisis]],Crisis_Type[Crisis Type],0),
Heat_Map[[#This Row],[Risk Level]]
),0)</f>
        <v>0</v>
      </c>
    </row>
    <row r="80" spans="2:8" hidden="1" x14ac:dyDescent="0.3">
      <c r="B80" s="2" cm="1">
        <f t="array" ref="B80">ROW()-ROW(Heat_Map[#Headers])</f>
        <v>73</v>
      </c>
      <c r="C80" s="27" t="s">
        <v>46</v>
      </c>
      <c r="D80" s="27"/>
      <c r="E80" s="27"/>
      <c r="F80" s="29" t="str">
        <f>IFERROR(_xlfn.XLOOKUP(Heat_Map[[#This Row],[Crisis]], Crisis_Type[Crisis Type], Crisis_Type[Shock Factor]),"")</f>
        <v/>
      </c>
      <c r="G80" s="29"/>
      <c r="H80" s="32" cm="1">
        <f t="array" ref="H80">IFERROR(
Heat_Map[[#This Row],[Shock Factor]] *
INDEX(
Crisis_Type[[Risk Level 1]:[Risk Level 5]],
MATCH(Heat_Map[[#This Row],[Crisis]],Crisis_Type[Crisis Type],0),
Heat_Map[[#This Row],[Risk Level]]
),0)</f>
        <v>0</v>
      </c>
    </row>
    <row r="81" spans="2:8" hidden="1" x14ac:dyDescent="0.3">
      <c r="B81" s="2" cm="1">
        <f t="array" ref="B81">ROW()-ROW(Heat_Map[#Headers])</f>
        <v>74</v>
      </c>
      <c r="C81" s="27" t="s">
        <v>293</v>
      </c>
      <c r="D81" s="27"/>
      <c r="E81" s="27"/>
      <c r="F81" s="29" t="str">
        <f>IFERROR(_xlfn.XLOOKUP(Heat_Map[[#This Row],[Crisis]], Crisis_Type[Crisis Type], Crisis_Type[Shock Factor]),"")</f>
        <v/>
      </c>
      <c r="G81" s="29"/>
      <c r="H81" s="32" cm="1">
        <f t="array" ref="H81">IFERROR(
Heat_Map[[#This Row],[Shock Factor]] *
INDEX(
Crisis_Type[[Risk Level 1]:[Risk Level 5]],
MATCH(Heat_Map[[#This Row],[Crisis]],Crisis_Type[Crisis Type],0),
Heat_Map[[#This Row],[Risk Level]]
),0)</f>
        <v>0</v>
      </c>
    </row>
    <row r="82" spans="2:8" hidden="1" x14ac:dyDescent="0.3">
      <c r="B82" s="2" cm="1">
        <f t="array" ref="B82">ROW()-ROW(Heat_Map[#Headers])</f>
        <v>75</v>
      </c>
      <c r="C82" s="27" t="s">
        <v>8</v>
      </c>
      <c r="D82" s="27"/>
      <c r="E82" s="27"/>
      <c r="F82" s="29" t="str">
        <f>IFERROR(_xlfn.XLOOKUP(Heat_Map[[#This Row],[Crisis]], Crisis_Type[Crisis Type], Crisis_Type[Shock Factor]),"")</f>
        <v/>
      </c>
      <c r="G82" s="29"/>
      <c r="H82" s="32" cm="1">
        <f t="array" ref="H82">IFERROR(
Heat_Map[[#This Row],[Shock Factor]] *
INDEX(
Crisis_Type[[Risk Level 1]:[Risk Level 5]],
MATCH(Heat_Map[[#This Row],[Crisis]],Crisis_Type[Crisis Type],0),
Heat_Map[[#This Row],[Risk Level]]
),0)</f>
        <v>0</v>
      </c>
    </row>
    <row r="83" spans="2:8" ht="43.2" x14ac:dyDescent="0.3">
      <c r="B83" s="67" cm="1">
        <f t="array" ref="B83">ROW()-ROW(Heat_Map[#Headers])</f>
        <v>76</v>
      </c>
      <c r="C83" s="67" t="s">
        <v>47</v>
      </c>
      <c r="D83" s="70" t="s">
        <v>593</v>
      </c>
      <c r="E83" s="67" t="s">
        <v>388</v>
      </c>
      <c r="F83" s="68">
        <f>IFERROR(_xlfn.XLOOKUP(Heat_Map[[#This Row],[Crisis]], Crisis_Type[Crisis Type], Crisis_Type[Shock Factor]),"")</f>
        <v>0.35</v>
      </c>
      <c r="G83" s="68">
        <v>4</v>
      </c>
      <c r="H83" s="69" cm="1">
        <f t="array" ref="H83">IFERROR(
Heat_Map[[#This Row],[Shock Factor]] *
INDEX(
Crisis_Type[[Risk Level 1]:[Risk Level 5]],
MATCH(Heat_Map[[#This Row],[Crisis]],Crisis_Type[Crisis Type],0),
Heat_Map[[#This Row],[Risk Level]]
),0)</f>
        <v>0.21</v>
      </c>
    </row>
    <row r="84" spans="2:8" ht="43.2" x14ac:dyDescent="0.3">
      <c r="B84" s="67" cm="1">
        <f t="array" ref="B84">ROW()-ROW(Heat_Map[#Headers])</f>
        <v>77</v>
      </c>
      <c r="C84" s="67" t="s">
        <v>294</v>
      </c>
      <c r="D84" s="70" t="s">
        <v>594</v>
      </c>
      <c r="E84" s="67" t="s">
        <v>382</v>
      </c>
      <c r="F84" s="68">
        <f>IFERROR(_xlfn.XLOOKUP(Heat_Map[[#This Row],[Crisis]], Crisis_Type[Crisis Type], Crisis_Type[Shock Factor]),"")</f>
        <v>0.6</v>
      </c>
      <c r="G84" s="68">
        <v>4</v>
      </c>
      <c r="H84" s="69" cm="1">
        <f t="array" ref="H84">IFERROR(
Heat_Map[[#This Row],[Shock Factor]] *
INDEX(
Crisis_Type[[Risk Level 1]:[Risk Level 5]],
MATCH(Heat_Map[[#This Row],[Crisis]],Crisis_Type[Crisis Type],0),
Heat_Map[[#This Row],[Risk Level]]
),0)</f>
        <v>0.44999999999999996</v>
      </c>
    </row>
    <row r="85" spans="2:8" hidden="1" x14ac:dyDescent="0.3">
      <c r="B85" s="2" cm="1">
        <f t="array" ref="B85">ROW()-ROW(Heat_Map[#Headers])</f>
        <v>78</v>
      </c>
      <c r="C85" s="27" t="s">
        <v>295</v>
      </c>
      <c r="D85" s="27"/>
      <c r="E85" s="27"/>
      <c r="F85" s="29" t="str">
        <f>IFERROR(_xlfn.XLOOKUP(Heat_Map[[#This Row],[Crisis]], Crisis_Type[Crisis Type], Crisis_Type[Shock Factor]),"")</f>
        <v/>
      </c>
      <c r="G85" s="29"/>
      <c r="H85" s="32" cm="1">
        <f t="array" ref="H85">IFERROR(
Heat_Map[[#This Row],[Shock Factor]] *
INDEX(
Crisis_Type[[Risk Level 1]:[Risk Level 5]],
MATCH(Heat_Map[[#This Row],[Crisis]],Crisis_Type[Crisis Type],0),
Heat_Map[[#This Row],[Risk Level]]
),0)</f>
        <v>0</v>
      </c>
    </row>
    <row r="86" spans="2:8" hidden="1" x14ac:dyDescent="0.3">
      <c r="B86" s="2" cm="1">
        <f t="array" ref="B86">ROW()-ROW(Heat_Map[#Headers])</f>
        <v>79</v>
      </c>
      <c r="C86" s="27" t="s">
        <v>48</v>
      </c>
      <c r="D86" s="27"/>
      <c r="E86" s="27"/>
      <c r="F86" s="29" t="str">
        <f>IFERROR(_xlfn.XLOOKUP(Heat_Map[[#This Row],[Crisis]], Crisis_Type[Crisis Type], Crisis_Type[Shock Factor]),"")</f>
        <v/>
      </c>
      <c r="G86" s="29"/>
      <c r="H86" s="32" cm="1">
        <f t="array" ref="H86">IFERROR(
Heat_Map[[#This Row],[Shock Factor]] *
INDEX(
Crisis_Type[[Risk Level 1]:[Risk Level 5]],
MATCH(Heat_Map[[#This Row],[Crisis]],Crisis_Type[Crisis Type],0),
Heat_Map[[#This Row],[Risk Level]]
),0)</f>
        <v>0</v>
      </c>
    </row>
    <row r="87" spans="2:8" ht="43.2" x14ac:dyDescent="0.3">
      <c r="B87" s="67" cm="1">
        <f t="array" ref="B87">ROW()-ROW(Heat_Map[#Headers])</f>
        <v>80</v>
      </c>
      <c r="C87" s="67" t="s">
        <v>296</v>
      </c>
      <c r="D87" s="70" t="s">
        <v>595</v>
      </c>
      <c r="E87" s="67" t="s">
        <v>382</v>
      </c>
      <c r="F87" s="68">
        <f>IFERROR(_xlfn.XLOOKUP(Heat_Map[[#This Row],[Crisis]], Crisis_Type[Crisis Type], Crisis_Type[Shock Factor]),"")</f>
        <v>0.6</v>
      </c>
      <c r="G87" s="68">
        <v>4</v>
      </c>
      <c r="H87" s="69" cm="1">
        <f t="array" ref="H87">IFERROR(
Heat_Map[[#This Row],[Shock Factor]] *
INDEX(
Crisis_Type[[Risk Level 1]:[Risk Level 5]],
MATCH(Heat_Map[[#This Row],[Crisis]],Crisis_Type[Crisis Type],0),
Heat_Map[[#This Row],[Risk Level]]
),0)</f>
        <v>0.44999999999999996</v>
      </c>
    </row>
    <row r="88" spans="2:8" hidden="1" x14ac:dyDescent="0.3">
      <c r="B88" s="2" cm="1">
        <f t="array" ref="B88">ROW()-ROW(Heat_Map[#Headers])</f>
        <v>81</v>
      </c>
      <c r="C88" s="27" t="s">
        <v>49</v>
      </c>
      <c r="D88" s="27"/>
      <c r="E88" s="27"/>
      <c r="F88" s="29" t="str">
        <f>IFERROR(_xlfn.XLOOKUP(Heat_Map[[#This Row],[Crisis]], Crisis_Type[Crisis Type], Crisis_Type[Shock Factor]),"")</f>
        <v/>
      </c>
      <c r="G88" s="29"/>
      <c r="H88" s="32" cm="1">
        <f t="array" ref="H88">IFERROR(
Heat_Map[[#This Row],[Shock Factor]] *
INDEX(
Crisis_Type[[Risk Level 1]:[Risk Level 5]],
MATCH(Heat_Map[[#This Row],[Crisis]],Crisis_Type[Crisis Type],0),
Heat_Map[[#This Row],[Risk Level]]
),0)</f>
        <v>0</v>
      </c>
    </row>
    <row r="89" spans="2:8" hidden="1" x14ac:dyDescent="0.3">
      <c r="B89" s="2" cm="1">
        <f t="array" ref="B89">ROW()-ROW(Heat_Map[#Headers])</f>
        <v>82</v>
      </c>
      <c r="C89" s="27" t="s">
        <v>297</v>
      </c>
      <c r="D89" s="27"/>
      <c r="E89" s="27"/>
      <c r="F89" s="29" t="str">
        <f>IFERROR(_xlfn.XLOOKUP(Heat_Map[[#This Row],[Crisis]], Crisis_Type[Crisis Type], Crisis_Type[Shock Factor]),"")</f>
        <v/>
      </c>
      <c r="G89" s="29"/>
      <c r="H89" s="32" cm="1">
        <f t="array" ref="H89">IFERROR(
Heat_Map[[#This Row],[Shock Factor]] *
INDEX(
Crisis_Type[[Risk Level 1]:[Risk Level 5]],
MATCH(Heat_Map[[#This Row],[Crisis]],Crisis_Type[Crisis Type],0),
Heat_Map[[#This Row],[Risk Level]]
),0)</f>
        <v>0</v>
      </c>
    </row>
    <row r="90" spans="2:8" hidden="1" x14ac:dyDescent="0.3">
      <c r="B90" s="2" cm="1">
        <f t="array" ref="B90">ROW()-ROW(Heat_Map[#Headers])</f>
        <v>83</v>
      </c>
      <c r="C90" s="27" t="s">
        <v>143</v>
      </c>
      <c r="D90" s="27"/>
      <c r="E90" s="27"/>
      <c r="F90" s="29" t="str">
        <f>IFERROR(_xlfn.XLOOKUP(Heat_Map[[#This Row],[Crisis]], Crisis_Type[Crisis Type], Crisis_Type[Shock Factor]),"")</f>
        <v/>
      </c>
      <c r="G90" s="29"/>
      <c r="H90" s="32" cm="1">
        <f t="array" ref="H90">IFERROR(
Heat_Map[[#This Row],[Shock Factor]] *
INDEX(
Crisis_Type[[Risk Level 1]:[Risk Level 5]],
MATCH(Heat_Map[[#This Row],[Crisis]],Crisis_Type[Crisis Type],0),
Heat_Map[[#This Row],[Risk Level]]
),0)</f>
        <v>0</v>
      </c>
    </row>
    <row r="91" spans="2:8" hidden="1" x14ac:dyDescent="0.3">
      <c r="B91" s="2" cm="1">
        <f t="array" ref="B91">ROW()-ROW(Heat_Map[#Headers])</f>
        <v>84</v>
      </c>
      <c r="C91" s="27" t="s">
        <v>150</v>
      </c>
      <c r="D91" s="27"/>
      <c r="E91" s="27"/>
      <c r="F91" s="29" t="str">
        <f>IFERROR(_xlfn.XLOOKUP(Heat_Map[[#This Row],[Crisis]], Crisis_Type[Crisis Type], Crisis_Type[Shock Factor]),"")</f>
        <v/>
      </c>
      <c r="G91" s="29"/>
      <c r="H91" s="32" cm="1">
        <f t="array" ref="H91">IFERROR(
Heat_Map[[#This Row],[Shock Factor]] *
INDEX(
Crisis_Type[[Risk Level 1]:[Risk Level 5]],
MATCH(Heat_Map[[#This Row],[Crisis]],Crisis_Type[Crisis Type],0),
Heat_Map[[#This Row],[Risk Level]]
),0)</f>
        <v>0</v>
      </c>
    </row>
    <row r="92" spans="2:8" hidden="1" x14ac:dyDescent="0.3">
      <c r="B92" s="2" cm="1">
        <f t="array" ref="B92">ROW()-ROW(Heat_Map[#Headers])</f>
        <v>85</v>
      </c>
      <c r="C92" s="27" t="s">
        <v>298</v>
      </c>
      <c r="D92" s="27"/>
      <c r="E92" s="27"/>
      <c r="F92" s="29" t="str">
        <f>IFERROR(_xlfn.XLOOKUP(Heat_Map[[#This Row],[Crisis]], Crisis_Type[Crisis Type], Crisis_Type[Shock Factor]),"")</f>
        <v/>
      </c>
      <c r="G92" s="29"/>
      <c r="H92" s="32" cm="1">
        <f t="array" ref="H92">IFERROR(
Heat_Map[[#This Row],[Shock Factor]] *
INDEX(
Crisis_Type[[Risk Level 1]:[Risk Level 5]],
MATCH(Heat_Map[[#This Row],[Crisis]],Crisis_Type[Crisis Type],0),
Heat_Map[[#This Row],[Risk Level]]
),0)</f>
        <v>0</v>
      </c>
    </row>
    <row r="93" spans="2:8" hidden="1" x14ac:dyDescent="0.3">
      <c r="B93" s="2" cm="1">
        <f t="array" ref="B93">ROW()-ROW(Heat_Map[#Headers])</f>
        <v>86</v>
      </c>
      <c r="C93" s="27" t="s">
        <v>299</v>
      </c>
      <c r="D93" s="27"/>
      <c r="E93" s="27"/>
      <c r="F93" s="29" t="str">
        <f>IFERROR(_xlfn.XLOOKUP(Heat_Map[[#This Row],[Crisis]], Crisis_Type[Crisis Type], Crisis_Type[Shock Factor]),"")</f>
        <v/>
      </c>
      <c r="G93" s="29"/>
      <c r="H93" s="32" cm="1">
        <f t="array" ref="H93">IFERROR(
Heat_Map[[#This Row],[Shock Factor]] *
INDEX(
Crisis_Type[[Risk Level 1]:[Risk Level 5]],
MATCH(Heat_Map[[#This Row],[Crisis]],Crisis_Type[Crisis Type],0),
Heat_Map[[#This Row],[Risk Level]]
),0)</f>
        <v>0</v>
      </c>
    </row>
    <row r="94" spans="2:8" hidden="1" x14ac:dyDescent="0.3">
      <c r="B94" s="2" cm="1">
        <f t="array" ref="B94">ROW()-ROW(Heat_Map[#Headers])</f>
        <v>87</v>
      </c>
      <c r="C94" s="27" t="s">
        <v>300</v>
      </c>
      <c r="D94" s="27"/>
      <c r="E94" s="27"/>
      <c r="F94" s="29" t="str">
        <f>IFERROR(_xlfn.XLOOKUP(Heat_Map[[#This Row],[Crisis]], Crisis_Type[Crisis Type], Crisis_Type[Shock Factor]),"")</f>
        <v/>
      </c>
      <c r="G94" s="29"/>
      <c r="H94" s="32" cm="1">
        <f t="array" ref="H94">IFERROR(
Heat_Map[[#This Row],[Shock Factor]] *
INDEX(
Crisis_Type[[Risk Level 1]:[Risk Level 5]],
MATCH(Heat_Map[[#This Row],[Crisis]],Crisis_Type[Crisis Type],0),
Heat_Map[[#This Row],[Risk Level]]
),0)</f>
        <v>0</v>
      </c>
    </row>
    <row r="95" spans="2:8" hidden="1" x14ac:dyDescent="0.3">
      <c r="B95" s="2" cm="1">
        <f t="array" ref="B95">ROW()-ROW(Heat_Map[#Headers])</f>
        <v>88</v>
      </c>
      <c r="C95" s="27" t="s">
        <v>157</v>
      </c>
      <c r="D95" s="27"/>
      <c r="E95" s="27"/>
      <c r="F95" s="29" t="str">
        <f>IFERROR(_xlfn.XLOOKUP(Heat_Map[[#This Row],[Crisis]], Crisis_Type[Crisis Type], Crisis_Type[Shock Factor]),"")</f>
        <v/>
      </c>
      <c r="G95" s="29"/>
      <c r="H95" s="32" cm="1">
        <f t="array" ref="H95">IFERROR(
Heat_Map[[#This Row],[Shock Factor]] *
INDEX(
Crisis_Type[[Risk Level 1]:[Risk Level 5]],
MATCH(Heat_Map[[#This Row],[Crisis]],Crisis_Type[Crisis Type],0),
Heat_Map[[#This Row],[Risk Level]]
),0)</f>
        <v>0</v>
      </c>
    </row>
    <row r="96" spans="2:8" hidden="1" x14ac:dyDescent="0.3">
      <c r="B96" s="2" cm="1">
        <f t="array" ref="B96">ROW()-ROW(Heat_Map[#Headers])</f>
        <v>89</v>
      </c>
      <c r="C96" s="27" t="s">
        <v>301</v>
      </c>
      <c r="D96" s="27"/>
      <c r="E96" s="27"/>
      <c r="F96" s="29" t="str">
        <f>IFERROR(_xlfn.XLOOKUP(Heat_Map[[#This Row],[Crisis]], Crisis_Type[Crisis Type], Crisis_Type[Shock Factor]),"")</f>
        <v/>
      </c>
      <c r="G96" s="29"/>
      <c r="H96" s="32" cm="1">
        <f t="array" ref="H96">IFERROR(
Heat_Map[[#This Row],[Shock Factor]] *
INDEX(
Crisis_Type[[Risk Level 1]:[Risk Level 5]],
MATCH(Heat_Map[[#This Row],[Crisis]],Crisis_Type[Crisis Type],0),
Heat_Map[[#This Row],[Risk Level]]
),0)</f>
        <v>0</v>
      </c>
    </row>
    <row r="97" spans="2:8" hidden="1" x14ac:dyDescent="0.3">
      <c r="B97" s="2" cm="1">
        <f t="array" ref="B97">ROW()-ROW(Heat_Map[#Headers])</f>
        <v>90</v>
      </c>
      <c r="C97" s="27" t="s">
        <v>302</v>
      </c>
      <c r="D97" s="27"/>
      <c r="E97" s="27"/>
      <c r="F97" s="29" t="str">
        <f>IFERROR(_xlfn.XLOOKUP(Heat_Map[[#This Row],[Crisis]], Crisis_Type[Crisis Type], Crisis_Type[Shock Factor]),"")</f>
        <v/>
      </c>
      <c r="G97" s="29"/>
      <c r="H97" s="32" cm="1">
        <f t="array" ref="H97">IFERROR(
Heat_Map[[#This Row],[Shock Factor]] *
INDEX(
Crisis_Type[[Risk Level 1]:[Risk Level 5]],
MATCH(Heat_Map[[#This Row],[Crisis]],Crisis_Type[Crisis Type],0),
Heat_Map[[#This Row],[Risk Level]]
),0)</f>
        <v>0</v>
      </c>
    </row>
    <row r="98" spans="2:8" hidden="1" x14ac:dyDescent="0.3">
      <c r="B98" s="2" cm="1">
        <f t="array" ref="B98">ROW()-ROW(Heat_Map[#Headers])</f>
        <v>91</v>
      </c>
      <c r="C98" s="27" t="s">
        <v>303</v>
      </c>
      <c r="D98" s="27"/>
      <c r="E98" s="27"/>
      <c r="F98" s="29" t="str">
        <f>IFERROR(_xlfn.XLOOKUP(Heat_Map[[#This Row],[Crisis]], Crisis_Type[Crisis Type], Crisis_Type[Shock Factor]),"")</f>
        <v/>
      </c>
      <c r="G98" s="29"/>
      <c r="H98" s="32" cm="1">
        <f t="array" ref="H98">IFERROR(
Heat_Map[[#This Row],[Shock Factor]] *
INDEX(
Crisis_Type[[Risk Level 1]:[Risk Level 5]],
MATCH(Heat_Map[[#This Row],[Crisis]],Crisis_Type[Crisis Type],0),
Heat_Map[[#This Row],[Risk Level]]
),0)</f>
        <v>0</v>
      </c>
    </row>
    <row r="99" spans="2:8" hidden="1" x14ac:dyDescent="0.3">
      <c r="B99" s="2" cm="1">
        <f t="array" ref="B99">ROW()-ROW(Heat_Map[#Headers])</f>
        <v>92</v>
      </c>
      <c r="C99" s="27" t="s">
        <v>50</v>
      </c>
      <c r="D99" s="27"/>
      <c r="E99" s="27"/>
      <c r="F99" s="29" t="str">
        <f>IFERROR(_xlfn.XLOOKUP(Heat_Map[[#This Row],[Crisis]], Crisis_Type[Crisis Type], Crisis_Type[Shock Factor]),"")</f>
        <v/>
      </c>
      <c r="G99" s="29"/>
      <c r="H99" s="32" cm="1">
        <f t="array" ref="H99">IFERROR(
Heat_Map[[#This Row],[Shock Factor]] *
INDEX(
Crisis_Type[[Risk Level 1]:[Risk Level 5]],
MATCH(Heat_Map[[#This Row],[Crisis]],Crisis_Type[Crisis Type],0),
Heat_Map[[#This Row],[Risk Level]]
),0)</f>
        <v>0</v>
      </c>
    </row>
    <row r="100" spans="2:8" hidden="1" x14ac:dyDescent="0.3">
      <c r="B100" s="2" cm="1">
        <f t="array" ref="B100">ROW()-ROW(Heat_Map[#Headers])</f>
        <v>93</v>
      </c>
      <c r="C100" s="27" t="s">
        <v>304</v>
      </c>
      <c r="D100" s="27"/>
      <c r="E100" s="27"/>
      <c r="F100" s="29" t="str">
        <f>IFERROR(_xlfn.XLOOKUP(Heat_Map[[#This Row],[Crisis]], Crisis_Type[Crisis Type], Crisis_Type[Shock Factor]),"")</f>
        <v/>
      </c>
      <c r="G100" s="29"/>
      <c r="H100" s="32" cm="1">
        <f t="array" ref="H100">IFERROR(
Heat_Map[[#This Row],[Shock Factor]] *
INDEX(
Crisis_Type[[Risk Level 1]:[Risk Level 5]],
MATCH(Heat_Map[[#This Row],[Crisis]],Crisis_Type[Crisis Type],0),
Heat_Map[[#This Row],[Risk Level]]
),0)</f>
        <v>0</v>
      </c>
    </row>
    <row r="101" spans="2:8" hidden="1" x14ac:dyDescent="0.3">
      <c r="B101" s="2" cm="1">
        <f t="array" ref="B101">ROW()-ROW(Heat_Map[#Headers])</f>
        <v>94</v>
      </c>
      <c r="C101" s="27" t="s">
        <v>305</v>
      </c>
      <c r="D101" s="27"/>
      <c r="E101" s="27"/>
      <c r="F101" s="29" t="str">
        <f>IFERROR(_xlfn.XLOOKUP(Heat_Map[[#This Row],[Crisis]], Crisis_Type[Crisis Type], Crisis_Type[Shock Factor]),"")</f>
        <v/>
      </c>
      <c r="G101" s="29"/>
      <c r="H101" s="32" cm="1">
        <f t="array" ref="H101">IFERROR(
Heat_Map[[#This Row],[Shock Factor]] *
INDEX(
Crisis_Type[[Risk Level 1]:[Risk Level 5]],
MATCH(Heat_Map[[#This Row],[Crisis]],Crisis_Type[Crisis Type],0),
Heat_Map[[#This Row],[Risk Level]]
),0)</f>
        <v>0</v>
      </c>
    </row>
    <row r="102" spans="2:8" hidden="1" x14ac:dyDescent="0.3">
      <c r="B102" s="2" cm="1">
        <f t="array" ref="B102">ROW()-ROW(Heat_Map[#Headers])</f>
        <v>95</v>
      </c>
      <c r="C102" s="27" t="s">
        <v>306</v>
      </c>
      <c r="D102" s="27"/>
      <c r="E102" s="27"/>
      <c r="F102" s="29" t="str">
        <f>IFERROR(_xlfn.XLOOKUP(Heat_Map[[#This Row],[Crisis]], Crisis_Type[Crisis Type], Crisis_Type[Shock Factor]),"")</f>
        <v/>
      </c>
      <c r="G102" s="29"/>
      <c r="H102" s="32" cm="1">
        <f t="array" ref="H102">IFERROR(
Heat_Map[[#This Row],[Shock Factor]] *
INDEX(
Crisis_Type[[Risk Level 1]:[Risk Level 5]],
MATCH(Heat_Map[[#This Row],[Crisis]],Crisis_Type[Crisis Type],0),
Heat_Map[[#This Row],[Risk Level]]
),0)</f>
        <v>0</v>
      </c>
    </row>
    <row r="103" spans="2:8" hidden="1" x14ac:dyDescent="0.3">
      <c r="B103" s="2" cm="1">
        <f t="array" ref="B103">ROW()-ROW(Heat_Map[#Headers])</f>
        <v>96</v>
      </c>
      <c r="C103" s="27" t="s">
        <v>307</v>
      </c>
      <c r="D103" s="27"/>
      <c r="E103" s="27"/>
      <c r="F103" s="29" t="str">
        <f>IFERROR(_xlfn.XLOOKUP(Heat_Map[[#This Row],[Crisis]], Crisis_Type[Crisis Type], Crisis_Type[Shock Factor]),"")</f>
        <v/>
      </c>
      <c r="G103" s="29"/>
      <c r="H103" s="32" cm="1">
        <f t="array" ref="H103">IFERROR(
Heat_Map[[#This Row],[Shock Factor]] *
INDEX(
Crisis_Type[[Risk Level 1]:[Risk Level 5]],
MATCH(Heat_Map[[#This Row],[Crisis]],Crisis_Type[Crisis Type],0),
Heat_Map[[#This Row],[Risk Level]]
),0)</f>
        <v>0</v>
      </c>
    </row>
    <row r="104" spans="2:8" hidden="1" x14ac:dyDescent="0.3">
      <c r="B104" s="2" cm="1">
        <f t="array" ref="B104">ROW()-ROW(Heat_Map[#Headers])</f>
        <v>97</v>
      </c>
      <c r="C104" s="27" t="s">
        <v>308</v>
      </c>
      <c r="D104" s="27"/>
      <c r="E104" s="27"/>
      <c r="F104" s="29" t="str">
        <f>IFERROR(_xlfn.XLOOKUP(Heat_Map[[#This Row],[Crisis]], Crisis_Type[Crisis Type], Crisis_Type[Shock Factor]),"")</f>
        <v/>
      </c>
      <c r="G104" s="29"/>
      <c r="H104" s="32" cm="1">
        <f t="array" ref="H104">IFERROR(
Heat_Map[[#This Row],[Shock Factor]] *
INDEX(
Crisis_Type[[Risk Level 1]:[Risk Level 5]],
MATCH(Heat_Map[[#This Row],[Crisis]],Crisis_Type[Crisis Type],0),
Heat_Map[[#This Row],[Risk Level]]
),0)</f>
        <v>0</v>
      </c>
    </row>
    <row r="105" spans="2:8" hidden="1" x14ac:dyDescent="0.3">
      <c r="B105" s="2" cm="1">
        <f t="array" ref="B105">ROW()-ROW(Heat_Map[#Headers])</f>
        <v>98</v>
      </c>
      <c r="C105" s="27" t="s">
        <v>309</v>
      </c>
      <c r="D105" s="27"/>
      <c r="E105" s="27"/>
      <c r="F105" s="29" t="str">
        <f>IFERROR(_xlfn.XLOOKUP(Heat_Map[[#This Row],[Crisis]], Crisis_Type[Crisis Type], Crisis_Type[Shock Factor]),"")</f>
        <v/>
      </c>
      <c r="G105" s="29"/>
      <c r="H105" s="32" cm="1">
        <f t="array" ref="H105">IFERROR(
Heat_Map[[#This Row],[Shock Factor]] *
INDEX(
Crisis_Type[[Risk Level 1]:[Risk Level 5]],
MATCH(Heat_Map[[#This Row],[Crisis]],Crisis_Type[Crisis Type],0),
Heat_Map[[#This Row],[Risk Level]]
),0)</f>
        <v>0</v>
      </c>
    </row>
    <row r="106" spans="2:8" hidden="1" x14ac:dyDescent="0.3">
      <c r="B106" s="2" cm="1">
        <f t="array" ref="B106">ROW()-ROW(Heat_Map[#Headers])</f>
        <v>99</v>
      </c>
      <c r="C106" s="27" t="s">
        <v>310</v>
      </c>
      <c r="D106" s="27"/>
      <c r="E106" s="27"/>
      <c r="F106" s="29" t="str">
        <f>IFERROR(_xlfn.XLOOKUP(Heat_Map[[#This Row],[Crisis]], Crisis_Type[Crisis Type], Crisis_Type[Shock Factor]),"")</f>
        <v/>
      </c>
      <c r="G106" s="29"/>
      <c r="H106" s="32" cm="1">
        <f t="array" ref="H106">IFERROR(
Heat_Map[[#This Row],[Shock Factor]] *
INDEX(
Crisis_Type[[Risk Level 1]:[Risk Level 5]],
MATCH(Heat_Map[[#This Row],[Crisis]],Crisis_Type[Crisis Type],0),
Heat_Map[[#This Row],[Risk Level]]
),0)</f>
        <v>0</v>
      </c>
    </row>
    <row r="107" spans="2:8" hidden="1" x14ac:dyDescent="0.3">
      <c r="B107" s="2" cm="1">
        <f t="array" ref="B107">ROW()-ROW(Heat_Map[#Headers])</f>
        <v>100</v>
      </c>
      <c r="C107" s="27" t="s">
        <v>51</v>
      </c>
      <c r="D107" s="27"/>
      <c r="E107" s="27"/>
      <c r="F107" s="29" t="str">
        <f>IFERROR(_xlfn.XLOOKUP(Heat_Map[[#This Row],[Crisis]], Crisis_Type[Crisis Type], Crisis_Type[Shock Factor]),"")</f>
        <v/>
      </c>
      <c r="G107" s="29"/>
      <c r="H107" s="32" cm="1">
        <f t="array" ref="H107">IFERROR(
Heat_Map[[#This Row],[Shock Factor]] *
INDEX(
Crisis_Type[[Risk Level 1]:[Risk Level 5]],
MATCH(Heat_Map[[#This Row],[Crisis]],Crisis_Type[Crisis Type],0),
Heat_Map[[#This Row],[Risk Level]]
),0)</f>
        <v>0</v>
      </c>
    </row>
    <row r="108" spans="2:8" hidden="1" x14ac:dyDescent="0.3">
      <c r="B108" s="2" cm="1">
        <f t="array" ref="B108">ROW()-ROW(Heat_Map[#Headers])</f>
        <v>101</v>
      </c>
      <c r="C108" s="27" t="s">
        <v>311</v>
      </c>
      <c r="D108" s="27"/>
      <c r="E108" s="27"/>
      <c r="F108" s="29" t="str">
        <f>IFERROR(_xlfn.XLOOKUP(Heat_Map[[#This Row],[Crisis]], Crisis_Type[Crisis Type], Crisis_Type[Shock Factor]),"")</f>
        <v/>
      </c>
      <c r="G108" s="29"/>
      <c r="H108" s="32" cm="1">
        <f t="array" ref="H108">IFERROR(
Heat_Map[[#This Row],[Shock Factor]] *
INDEX(
Crisis_Type[[Risk Level 1]:[Risk Level 5]],
MATCH(Heat_Map[[#This Row],[Crisis]],Crisis_Type[Crisis Type],0),
Heat_Map[[#This Row],[Risk Level]]
),0)</f>
        <v>0</v>
      </c>
    </row>
    <row r="109" spans="2:8" hidden="1" x14ac:dyDescent="0.3">
      <c r="B109" s="2" cm="1">
        <f t="array" ref="B109">ROW()-ROW(Heat_Map[#Headers])</f>
        <v>102</v>
      </c>
      <c r="C109" s="27" t="s">
        <v>312</v>
      </c>
      <c r="D109" s="27"/>
      <c r="E109" s="27"/>
      <c r="F109" s="29" t="str">
        <f>IFERROR(_xlfn.XLOOKUP(Heat_Map[[#This Row],[Crisis]], Crisis_Type[Crisis Type], Crisis_Type[Shock Factor]),"")</f>
        <v/>
      </c>
      <c r="G109" s="29"/>
      <c r="H109" s="32" cm="1">
        <f t="array" ref="H109">IFERROR(
Heat_Map[[#This Row],[Shock Factor]] *
INDEX(
Crisis_Type[[Risk Level 1]:[Risk Level 5]],
MATCH(Heat_Map[[#This Row],[Crisis]],Crisis_Type[Crisis Type],0),
Heat_Map[[#This Row],[Risk Level]]
),0)</f>
        <v>0</v>
      </c>
    </row>
    <row r="110" spans="2:8" hidden="1" x14ac:dyDescent="0.3">
      <c r="B110" s="2" cm="1">
        <f t="array" ref="B110">ROW()-ROW(Heat_Map[#Headers])</f>
        <v>103</v>
      </c>
      <c r="C110" s="27" t="s">
        <v>154</v>
      </c>
      <c r="D110" s="27"/>
      <c r="E110" s="27"/>
      <c r="F110" s="29" t="str">
        <f>IFERROR(_xlfn.XLOOKUP(Heat_Map[[#This Row],[Crisis]], Crisis_Type[Crisis Type], Crisis_Type[Shock Factor]),"")</f>
        <v/>
      </c>
      <c r="G110" s="29"/>
      <c r="H110" s="32" cm="1">
        <f t="array" ref="H110">IFERROR(
Heat_Map[[#This Row],[Shock Factor]] *
INDEX(
Crisis_Type[[Risk Level 1]:[Risk Level 5]],
MATCH(Heat_Map[[#This Row],[Crisis]],Crisis_Type[Crisis Type],0),
Heat_Map[[#This Row],[Risk Level]]
),0)</f>
        <v>0</v>
      </c>
    </row>
    <row r="111" spans="2:8" hidden="1" x14ac:dyDescent="0.3">
      <c r="B111" s="2" cm="1">
        <f t="array" ref="B111">ROW()-ROW(Heat_Map[#Headers])</f>
        <v>104</v>
      </c>
      <c r="C111" s="27" t="s">
        <v>313</v>
      </c>
      <c r="D111" s="27"/>
      <c r="E111" s="27"/>
      <c r="F111" s="29" t="str">
        <f>IFERROR(_xlfn.XLOOKUP(Heat_Map[[#This Row],[Crisis]], Crisis_Type[Crisis Type], Crisis_Type[Shock Factor]),"")</f>
        <v/>
      </c>
      <c r="G111" s="29"/>
      <c r="H111" s="32" cm="1">
        <f t="array" ref="H111">IFERROR(
Heat_Map[[#This Row],[Shock Factor]] *
INDEX(
Crisis_Type[[Risk Level 1]:[Risk Level 5]],
MATCH(Heat_Map[[#This Row],[Crisis]],Crisis_Type[Crisis Type],0),
Heat_Map[[#This Row],[Risk Level]]
),0)</f>
        <v>0</v>
      </c>
    </row>
    <row r="112" spans="2:8" hidden="1" x14ac:dyDescent="0.3">
      <c r="B112" s="2" cm="1">
        <f t="array" ref="B112">ROW()-ROW(Heat_Map[#Headers])</f>
        <v>105</v>
      </c>
      <c r="C112" s="27" t="s">
        <v>314</v>
      </c>
      <c r="D112" s="27"/>
      <c r="E112" s="27"/>
      <c r="F112" s="29" t="str">
        <f>IFERROR(_xlfn.XLOOKUP(Heat_Map[[#This Row],[Crisis]], Crisis_Type[Crisis Type], Crisis_Type[Shock Factor]),"")</f>
        <v/>
      </c>
      <c r="G112" s="29"/>
      <c r="H112" s="32" cm="1">
        <f t="array" ref="H112">IFERROR(
Heat_Map[[#This Row],[Shock Factor]] *
INDEX(
Crisis_Type[[Risk Level 1]:[Risk Level 5]],
MATCH(Heat_Map[[#This Row],[Crisis]],Crisis_Type[Crisis Type],0),
Heat_Map[[#This Row],[Risk Level]]
),0)</f>
        <v>0</v>
      </c>
    </row>
    <row r="113" spans="2:8" hidden="1" x14ac:dyDescent="0.3">
      <c r="B113" s="2" cm="1">
        <f t="array" ref="B113">ROW()-ROW(Heat_Map[#Headers])</f>
        <v>106</v>
      </c>
      <c r="C113" s="27" t="s">
        <v>315</v>
      </c>
      <c r="D113" s="27"/>
      <c r="E113" s="27"/>
      <c r="F113" s="29" t="str">
        <f>IFERROR(_xlfn.XLOOKUP(Heat_Map[[#This Row],[Crisis]], Crisis_Type[Crisis Type], Crisis_Type[Shock Factor]),"")</f>
        <v/>
      </c>
      <c r="G113" s="29"/>
      <c r="H113" s="32" cm="1">
        <f t="array" ref="H113">IFERROR(
Heat_Map[[#This Row],[Shock Factor]] *
INDEX(
Crisis_Type[[Risk Level 1]:[Risk Level 5]],
MATCH(Heat_Map[[#This Row],[Crisis]],Crisis_Type[Crisis Type],0),
Heat_Map[[#This Row],[Risk Level]]
),0)</f>
        <v>0</v>
      </c>
    </row>
    <row r="114" spans="2:8" hidden="1" x14ac:dyDescent="0.3">
      <c r="B114" s="2" cm="1">
        <f t="array" ref="B114">ROW()-ROW(Heat_Map[#Headers])</f>
        <v>107</v>
      </c>
      <c r="C114" s="27" t="s">
        <v>316</v>
      </c>
      <c r="D114" s="27"/>
      <c r="E114" s="27"/>
      <c r="F114" s="29" t="str">
        <f>IFERROR(_xlfn.XLOOKUP(Heat_Map[[#This Row],[Crisis]], Crisis_Type[Crisis Type], Crisis_Type[Shock Factor]),"")</f>
        <v/>
      </c>
      <c r="G114" s="29"/>
      <c r="H114" s="32" cm="1">
        <f t="array" ref="H114">IFERROR(
Heat_Map[[#This Row],[Shock Factor]] *
INDEX(
Crisis_Type[[Risk Level 1]:[Risk Level 5]],
MATCH(Heat_Map[[#This Row],[Crisis]],Crisis_Type[Crisis Type],0),
Heat_Map[[#This Row],[Risk Level]]
),0)</f>
        <v>0</v>
      </c>
    </row>
    <row r="115" spans="2:8" hidden="1" x14ac:dyDescent="0.3">
      <c r="B115" s="2" cm="1">
        <f t="array" ref="B115">ROW()-ROW(Heat_Map[#Headers])</f>
        <v>108</v>
      </c>
      <c r="C115" s="27" t="s">
        <v>317</v>
      </c>
      <c r="D115" s="27"/>
      <c r="E115" s="27"/>
      <c r="F115" s="29" t="str">
        <f>IFERROR(_xlfn.XLOOKUP(Heat_Map[[#This Row],[Crisis]], Crisis_Type[Crisis Type], Crisis_Type[Shock Factor]),"")</f>
        <v/>
      </c>
      <c r="G115" s="29"/>
      <c r="H115" s="32" cm="1">
        <f t="array" ref="H115">IFERROR(
Heat_Map[[#This Row],[Shock Factor]] *
INDEX(
Crisis_Type[[Risk Level 1]:[Risk Level 5]],
MATCH(Heat_Map[[#This Row],[Crisis]],Crisis_Type[Crisis Type],0),
Heat_Map[[#This Row],[Risk Level]]
),0)</f>
        <v>0</v>
      </c>
    </row>
    <row r="116" spans="2:8" hidden="1" x14ac:dyDescent="0.3">
      <c r="B116" s="2" cm="1">
        <f t="array" ref="B116">ROW()-ROW(Heat_Map[#Headers])</f>
        <v>109</v>
      </c>
      <c r="C116" s="27" t="s">
        <v>318</v>
      </c>
      <c r="D116" s="27"/>
      <c r="E116" s="27"/>
      <c r="F116" s="29" t="str">
        <f>IFERROR(_xlfn.XLOOKUP(Heat_Map[[#This Row],[Crisis]], Crisis_Type[Crisis Type], Crisis_Type[Shock Factor]),"")</f>
        <v/>
      </c>
      <c r="G116" s="29"/>
      <c r="H116" s="32" cm="1">
        <f t="array" ref="H116">IFERROR(
Heat_Map[[#This Row],[Shock Factor]] *
INDEX(
Crisis_Type[[Risk Level 1]:[Risk Level 5]],
MATCH(Heat_Map[[#This Row],[Crisis]],Crisis_Type[Crisis Type],0),
Heat_Map[[#This Row],[Risk Level]]
),0)</f>
        <v>0</v>
      </c>
    </row>
    <row r="117" spans="2:8" hidden="1" x14ac:dyDescent="0.3">
      <c r="B117" s="2" cm="1">
        <f t="array" ref="B117">ROW()-ROW(Heat_Map[#Headers])</f>
        <v>110</v>
      </c>
      <c r="C117" s="27" t="s">
        <v>319</v>
      </c>
      <c r="D117" s="27"/>
      <c r="E117" s="27"/>
      <c r="F117" s="29" t="str">
        <f>IFERROR(_xlfn.XLOOKUP(Heat_Map[[#This Row],[Crisis]], Crisis_Type[Crisis Type], Crisis_Type[Shock Factor]),"")</f>
        <v/>
      </c>
      <c r="G117" s="29"/>
      <c r="H117" s="32" cm="1">
        <f t="array" ref="H117">IFERROR(
Heat_Map[[#This Row],[Shock Factor]] *
INDEX(
Crisis_Type[[Risk Level 1]:[Risk Level 5]],
MATCH(Heat_Map[[#This Row],[Crisis]],Crisis_Type[Crisis Type],0),
Heat_Map[[#This Row],[Risk Level]]
),0)</f>
        <v>0</v>
      </c>
    </row>
    <row r="118" spans="2:8" hidden="1" x14ac:dyDescent="0.3">
      <c r="B118" s="2" cm="1">
        <f t="array" ref="B118">ROW()-ROW(Heat_Map[#Headers])</f>
        <v>111</v>
      </c>
      <c r="C118" s="27" t="s">
        <v>320</v>
      </c>
      <c r="D118" s="27"/>
      <c r="E118" s="27"/>
      <c r="F118" s="29" t="str">
        <f>IFERROR(_xlfn.XLOOKUP(Heat_Map[[#This Row],[Crisis]], Crisis_Type[Crisis Type], Crisis_Type[Shock Factor]),"")</f>
        <v/>
      </c>
      <c r="G118" s="29"/>
      <c r="H118" s="32" cm="1">
        <f t="array" ref="H118">IFERROR(
Heat_Map[[#This Row],[Shock Factor]] *
INDEX(
Crisis_Type[[Risk Level 1]:[Risk Level 5]],
MATCH(Heat_Map[[#This Row],[Crisis]],Crisis_Type[Crisis Type],0),
Heat_Map[[#This Row],[Risk Level]]
),0)</f>
        <v>0</v>
      </c>
    </row>
    <row r="119" spans="2:8" hidden="1" x14ac:dyDescent="0.3">
      <c r="B119" s="2" cm="1">
        <f t="array" ref="B119">ROW()-ROW(Heat_Map[#Headers])</f>
        <v>112</v>
      </c>
      <c r="C119" s="27" t="s">
        <v>52</v>
      </c>
      <c r="D119" s="27"/>
      <c r="E119" s="27"/>
      <c r="F119" s="29" t="str">
        <f>IFERROR(_xlfn.XLOOKUP(Heat_Map[[#This Row],[Crisis]], Crisis_Type[Crisis Type], Crisis_Type[Shock Factor]),"")</f>
        <v/>
      </c>
      <c r="G119" s="29"/>
      <c r="H119" s="32" cm="1">
        <f t="array" ref="H119">IFERROR(
Heat_Map[[#This Row],[Shock Factor]] *
INDEX(
Crisis_Type[[Risk Level 1]:[Risk Level 5]],
MATCH(Heat_Map[[#This Row],[Crisis]],Crisis_Type[Crisis Type],0),
Heat_Map[[#This Row],[Risk Level]]
),0)</f>
        <v>0</v>
      </c>
    </row>
    <row r="120" spans="2:8" hidden="1" x14ac:dyDescent="0.3">
      <c r="B120" s="2" cm="1">
        <f t="array" ref="B120">ROW()-ROW(Heat_Map[#Headers])</f>
        <v>113</v>
      </c>
      <c r="C120" s="27" t="s">
        <v>321</v>
      </c>
      <c r="D120" s="27"/>
      <c r="E120" s="27"/>
      <c r="F120" s="29" t="str">
        <f>IFERROR(_xlfn.XLOOKUP(Heat_Map[[#This Row],[Crisis]], Crisis_Type[Crisis Type], Crisis_Type[Shock Factor]),"")</f>
        <v/>
      </c>
      <c r="G120" s="29"/>
      <c r="H120" s="32" cm="1">
        <f t="array" ref="H120">IFERROR(
Heat_Map[[#This Row],[Shock Factor]] *
INDEX(
Crisis_Type[[Risk Level 1]:[Risk Level 5]],
MATCH(Heat_Map[[#This Row],[Crisis]],Crisis_Type[Crisis Type],0),
Heat_Map[[#This Row],[Risk Level]]
),0)</f>
        <v>0</v>
      </c>
    </row>
    <row r="121" spans="2:8" hidden="1" x14ac:dyDescent="0.3">
      <c r="B121" s="2" cm="1">
        <f t="array" ref="B121">ROW()-ROW(Heat_Map[#Headers])</f>
        <v>114</v>
      </c>
      <c r="C121" s="27" t="s">
        <v>322</v>
      </c>
      <c r="D121" s="27"/>
      <c r="E121" s="27"/>
      <c r="F121" s="29" t="str">
        <f>IFERROR(_xlfn.XLOOKUP(Heat_Map[[#This Row],[Crisis]], Crisis_Type[Crisis Type], Crisis_Type[Shock Factor]),"")</f>
        <v/>
      </c>
      <c r="G121" s="29"/>
      <c r="H121" s="32" cm="1">
        <f t="array" ref="H121">IFERROR(
Heat_Map[[#This Row],[Shock Factor]] *
INDEX(
Crisis_Type[[Risk Level 1]:[Risk Level 5]],
MATCH(Heat_Map[[#This Row],[Crisis]],Crisis_Type[Crisis Type],0),
Heat_Map[[#This Row],[Risk Level]]
),0)</f>
        <v>0</v>
      </c>
    </row>
    <row r="122" spans="2:8" hidden="1" x14ac:dyDescent="0.3">
      <c r="B122" s="2" cm="1">
        <f t="array" ref="B122">ROW()-ROW(Heat_Map[#Headers])</f>
        <v>115</v>
      </c>
      <c r="C122" s="27" t="s">
        <v>323</v>
      </c>
      <c r="D122" s="27"/>
      <c r="E122" s="27"/>
      <c r="F122" s="29" t="str">
        <f>IFERROR(_xlfn.XLOOKUP(Heat_Map[[#This Row],[Crisis]], Crisis_Type[Crisis Type], Crisis_Type[Shock Factor]),"")</f>
        <v/>
      </c>
      <c r="G122" s="29"/>
      <c r="H122" s="32" cm="1">
        <f t="array" ref="H122">IFERROR(
Heat_Map[[#This Row],[Shock Factor]] *
INDEX(
Crisis_Type[[Risk Level 1]:[Risk Level 5]],
MATCH(Heat_Map[[#This Row],[Crisis]],Crisis_Type[Crisis Type],0),
Heat_Map[[#This Row],[Risk Level]]
),0)</f>
        <v>0</v>
      </c>
    </row>
    <row r="123" spans="2:8" hidden="1" x14ac:dyDescent="0.3">
      <c r="B123" s="2" cm="1">
        <f t="array" ref="B123">ROW()-ROW(Heat_Map[#Headers])</f>
        <v>116</v>
      </c>
      <c r="C123" s="27" t="s">
        <v>324</v>
      </c>
      <c r="D123" s="27"/>
      <c r="E123" s="27"/>
      <c r="F123" s="29" t="str">
        <f>IFERROR(_xlfn.XLOOKUP(Heat_Map[[#This Row],[Crisis]], Crisis_Type[Crisis Type], Crisis_Type[Shock Factor]),"")</f>
        <v/>
      </c>
      <c r="G123" s="29"/>
      <c r="H123" s="32" cm="1">
        <f t="array" ref="H123">IFERROR(
Heat_Map[[#This Row],[Shock Factor]] *
INDEX(
Crisis_Type[[Risk Level 1]:[Risk Level 5]],
MATCH(Heat_Map[[#This Row],[Crisis]],Crisis_Type[Crisis Type],0),
Heat_Map[[#This Row],[Risk Level]]
),0)</f>
        <v>0</v>
      </c>
    </row>
    <row r="124" spans="2:8" hidden="1" x14ac:dyDescent="0.3">
      <c r="B124" s="2" cm="1">
        <f t="array" ref="B124">ROW()-ROW(Heat_Map[#Headers])</f>
        <v>117</v>
      </c>
      <c r="C124" s="27" t="s">
        <v>325</v>
      </c>
      <c r="D124" s="27"/>
      <c r="E124" s="27"/>
      <c r="F124" s="29" t="str">
        <f>IFERROR(_xlfn.XLOOKUP(Heat_Map[[#This Row],[Crisis]], Crisis_Type[Crisis Type], Crisis_Type[Shock Factor]),"")</f>
        <v/>
      </c>
      <c r="G124" s="29"/>
      <c r="H124" s="32" cm="1">
        <f t="array" ref="H124">IFERROR(
Heat_Map[[#This Row],[Shock Factor]] *
INDEX(
Crisis_Type[[Risk Level 1]:[Risk Level 5]],
MATCH(Heat_Map[[#This Row],[Crisis]],Crisis_Type[Crisis Type],0),
Heat_Map[[#This Row],[Risk Level]]
),0)</f>
        <v>0</v>
      </c>
    </row>
    <row r="125" spans="2:8" hidden="1" x14ac:dyDescent="0.3">
      <c r="B125" s="2" cm="1">
        <f t="array" ref="B125">ROW()-ROW(Heat_Map[#Headers])</f>
        <v>118</v>
      </c>
      <c r="C125" s="27" t="s">
        <v>53</v>
      </c>
      <c r="D125" s="27"/>
      <c r="E125" s="27"/>
      <c r="F125" s="29" t="str">
        <f>IFERROR(_xlfn.XLOOKUP(Heat_Map[[#This Row],[Crisis]], Crisis_Type[Crisis Type], Crisis_Type[Shock Factor]),"")</f>
        <v/>
      </c>
      <c r="G125" s="29"/>
      <c r="H125" s="32" cm="1">
        <f t="array" ref="H125">IFERROR(
Heat_Map[[#This Row],[Shock Factor]] *
INDEX(
Crisis_Type[[Risk Level 1]:[Risk Level 5]],
MATCH(Heat_Map[[#This Row],[Crisis]],Crisis_Type[Crisis Type],0),
Heat_Map[[#This Row],[Risk Level]]
),0)</f>
        <v>0</v>
      </c>
    </row>
    <row r="126" spans="2:8" hidden="1" x14ac:dyDescent="0.3">
      <c r="B126" s="2" cm="1">
        <f t="array" ref="B126">ROW()-ROW(Heat_Map[#Headers])</f>
        <v>119</v>
      </c>
      <c r="C126" s="27" t="s">
        <v>326</v>
      </c>
      <c r="D126" s="27"/>
      <c r="E126" s="27"/>
      <c r="F126" s="29" t="str">
        <f>IFERROR(_xlfn.XLOOKUP(Heat_Map[[#This Row],[Crisis]], Crisis_Type[Crisis Type], Crisis_Type[Shock Factor]),"")</f>
        <v/>
      </c>
      <c r="G126" s="29"/>
      <c r="H126" s="32" cm="1">
        <f t="array" ref="H126">IFERROR(
Heat_Map[[#This Row],[Shock Factor]] *
INDEX(
Crisis_Type[[Risk Level 1]:[Risk Level 5]],
MATCH(Heat_Map[[#This Row],[Crisis]],Crisis_Type[Crisis Type],0),
Heat_Map[[#This Row],[Risk Level]]
),0)</f>
        <v>0</v>
      </c>
    </row>
    <row r="127" spans="2:8" hidden="1" x14ac:dyDescent="0.3">
      <c r="B127" s="2" cm="1">
        <f t="array" ref="B127">ROW()-ROW(Heat_Map[#Headers])</f>
        <v>120</v>
      </c>
      <c r="C127" s="27" t="s">
        <v>327</v>
      </c>
      <c r="D127" s="27"/>
      <c r="E127" s="27"/>
      <c r="F127" s="29" t="str">
        <f>IFERROR(_xlfn.XLOOKUP(Heat_Map[[#This Row],[Crisis]], Crisis_Type[Crisis Type], Crisis_Type[Shock Factor]),"")</f>
        <v/>
      </c>
      <c r="G127" s="29"/>
      <c r="H127" s="32" cm="1">
        <f t="array" ref="H127">IFERROR(
Heat_Map[[#This Row],[Shock Factor]] *
INDEX(
Crisis_Type[[Risk Level 1]:[Risk Level 5]],
MATCH(Heat_Map[[#This Row],[Crisis]],Crisis_Type[Crisis Type],0),
Heat_Map[[#This Row],[Risk Level]]
),0)</f>
        <v>0</v>
      </c>
    </row>
    <row r="128" spans="2:8" hidden="1" x14ac:dyDescent="0.3">
      <c r="B128" s="2" cm="1">
        <f t="array" ref="B128">ROW()-ROW(Heat_Map[#Headers])</f>
        <v>121</v>
      </c>
      <c r="C128" s="27" t="s">
        <v>328</v>
      </c>
      <c r="D128" s="27"/>
      <c r="E128" s="27"/>
      <c r="F128" s="29" t="str">
        <f>IFERROR(_xlfn.XLOOKUP(Heat_Map[[#This Row],[Crisis]], Crisis_Type[Crisis Type], Crisis_Type[Shock Factor]),"")</f>
        <v/>
      </c>
      <c r="G128" s="29"/>
      <c r="H128" s="32" cm="1">
        <f t="array" ref="H128">IFERROR(
Heat_Map[[#This Row],[Shock Factor]] *
INDEX(
Crisis_Type[[Risk Level 1]:[Risk Level 5]],
MATCH(Heat_Map[[#This Row],[Crisis]],Crisis_Type[Crisis Type],0),
Heat_Map[[#This Row],[Risk Level]]
),0)</f>
        <v>0</v>
      </c>
    </row>
    <row r="129" spans="2:8" hidden="1" x14ac:dyDescent="0.3">
      <c r="B129" s="2" cm="1">
        <f t="array" ref="B129">ROW()-ROW(Heat_Map[#Headers])</f>
        <v>122</v>
      </c>
      <c r="C129" s="27" t="s">
        <v>329</v>
      </c>
      <c r="D129" s="27"/>
      <c r="E129" s="27"/>
      <c r="F129" s="29" t="str">
        <f>IFERROR(_xlfn.XLOOKUP(Heat_Map[[#This Row],[Crisis]], Crisis_Type[Crisis Type], Crisis_Type[Shock Factor]),"")</f>
        <v/>
      </c>
      <c r="G129" s="29"/>
      <c r="H129" s="32" cm="1">
        <f t="array" ref="H129">IFERROR(
Heat_Map[[#This Row],[Shock Factor]] *
INDEX(
Crisis_Type[[Risk Level 1]:[Risk Level 5]],
MATCH(Heat_Map[[#This Row],[Crisis]],Crisis_Type[Crisis Type],0),
Heat_Map[[#This Row],[Risk Level]]
),0)</f>
        <v>0</v>
      </c>
    </row>
    <row r="130" spans="2:8" hidden="1" x14ac:dyDescent="0.3">
      <c r="B130" s="2" cm="1">
        <f t="array" ref="B130">ROW()-ROW(Heat_Map[#Headers])</f>
        <v>123</v>
      </c>
      <c r="C130" s="27" t="s">
        <v>330</v>
      </c>
      <c r="D130" s="27"/>
      <c r="E130" s="27"/>
      <c r="F130" s="29" t="str">
        <f>IFERROR(_xlfn.XLOOKUP(Heat_Map[[#This Row],[Crisis]], Crisis_Type[Crisis Type], Crisis_Type[Shock Factor]),"")</f>
        <v/>
      </c>
      <c r="G130" s="29"/>
      <c r="H130" s="32" cm="1">
        <f t="array" ref="H130">IFERROR(
Heat_Map[[#This Row],[Shock Factor]] *
INDEX(
Crisis_Type[[Risk Level 1]:[Risk Level 5]],
MATCH(Heat_Map[[#This Row],[Crisis]],Crisis_Type[Crisis Type],0),
Heat_Map[[#This Row],[Risk Level]]
),0)</f>
        <v>0</v>
      </c>
    </row>
    <row r="131" spans="2:8" hidden="1" x14ac:dyDescent="0.3">
      <c r="B131" s="2" cm="1">
        <f t="array" ref="B131">ROW()-ROW(Heat_Map[#Headers])</f>
        <v>124</v>
      </c>
      <c r="C131" s="27" t="s">
        <v>331</v>
      </c>
      <c r="D131" s="27"/>
      <c r="E131" s="27"/>
      <c r="F131" s="29" t="str">
        <f>IFERROR(_xlfn.XLOOKUP(Heat_Map[[#This Row],[Crisis]], Crisis_Type[Crisis Type], Crisis_Type[Shock Factor]),"")</f>
        <v/>
      </c>
      <c r="G131" s="29"/>
      <c r="H131" s="32" cm="1">
        <f t="array" ref="H131">IFERROR(
Heat_Map[[#This Row],[Shock Factor]] *
INDEX(
Crisis_Type[[Risk Level 1]:[Risk Level 5]],
MATCH(Heat_Map[[#This Row],[Crisis]],Crisis_Type[Crisis Type],0),
Heat_Map[[#This Row],[Risk Level]]
),0)</f>
        <v>0</v>
      </c>
    </row>
    <row r="132" spans="2:8" hidden="1" x14ac:dyDescent="0.3">
      <c r="B132" s="2" cm="1">
        <f t="array" ref="B132">ROW()-ROW(Heat_Map[#Headers])</f>
        <v>125</v>
      </c>
      <c r="C132" s="27" t="s">
        <v>332</v>
      </c>
      <c r="D132" s="27"/>
      <c r="E132" s="27"/>
      <c r="F132" s="29" t="str">
        <f>IFERROR(_xlfn.XLOOKUP(Heat_Map[[#This Row],[Crisis]], Crisis_Type[Crisis Type], Crisis_Type[Shock Factor]),"")</f>
        <v/>
      </c>
      <c r="G132" s="29"/>
      <c r="H132" s="32" cm="1">
        <f t="array" ref="H132">IFERROR(
Heat_Map[[#This Row],[Shock Factor]] *
INDEX(
Crisis_Type[[Risk Level 1]:[Risk Level 5]],
MATCH(Heat_Map[[#This Row],[Crisis]],Crisis_Type[Crisis Type],0),
Heat_Map[[#This Row],[Risk Level]]
),0)</f>
        <v>0</v>
      </c>
    </row>
    <row r="133" spans="2:8" hidden="1" x14ac:dyDescent="0.3">
      <c r="B133" s="2" cm="1">
        <f t="array" ref="B133">ROW()-ROW(Heat_Map[#Headers])</f>
        <v>126</v>
      </c>
      <c r="C133" s="27" t="s">
        <v>333</v>
      </c>
      <c r="D133" s="27"/>
      <c r="E133" s="27"/>
      <c r="F133" s="29" t="str">
        <f>IFERROR(_xlfn.XLOOKUP(Heat_Map[[#This Row],[Crisis]], Crisis_Type[Crisis Type], Crisis_Type[Shock Factor]),"")</f>
        <v/>
      </c>
      <c r="G133" s="29"/>
      <c r="H133" s="32" cm="1">
        <f t="array" ref="H133">IFERROR(
Heat_Map[[#This Row],[Shock Factor]] *
INDEX(
Crisis_Type[[Risk Level 1]:[Risk Level 5]],
MATCH(Heat_Map[[#This Row],[Crisis]],Crisis_Type[Crisis Type],0),
Heat_Map[[#This Row],[Risk Level]]
),0)</f>
        <v>0</v>
      </c>
    </row>
    <row r="134" spans="2:8" hidden="1" x14ac:dyDescent="0.3">
      <c r="B134" s="2" cm="1">
        <f t="array" ref="B134">ROW()-ROW(Heat_Map[#Headers])</f>
        <v>127</v>
      </c>
      <c r="C134" s="27" t="s">
        <v>54</v>
      </c>
      <c r="D134" s="27"/>
      <c r="E134" s="27"/>
      <c r="F134" s="29" t="str">
        <f>IFERROR(_xlfn.XLOOKUP(Heat_Map[[#This Row],[Crisis]], Crisis_Type[Crisis Type], Crisis_Type[Shock Factor]),"")</f>
        <v/>
      </c>
      <c r="G134" s="29"/>
      <c r="H134" s="32" cm="1">
        <f t="array" ref="H134">IFERROR(
Heat_Map[[#This Row],[Shock Factor]] *
INDEX(
Crisis_Type[[Risk Level 1]:[Risk Level 5]],
MATCH(Heat_Map[[#This Row],[Crisis]],Crisis_Type[Crisis Type],0),
Heat_Map[[#This Row],[Risk Level]]
),0)</f>
        <v>0</v>
      </c>
    </row>
    <row r="135" spans="2:8" hidden="1" x14ac:dyDescent="0.3">
      <c r="B135" s="2" cm="1">
        <f t="array" ref="B135">ROW()-ROW(Heat_Map[#Headers])</f>
        <v>128</v>
      </c>
      <c r="C135" s="27" t="s">
        <v>334</v>
      </c>
      <c r="D135" s="27"/>
      <c r="E135" s="27"/>
      <c r="F135" s="29" t="str">
        <f>IFERROR(_xlfn.XLOOKUP(Heat_Map[[#This Row],[Crisis]], Crisis_Type[Crisis Type], Crisis_Type[Shock Factor]),"")</f>
        <v/>
      </c>
      <c r="G135" s="29"/>
      <c r="H135" s="32" cm="1">
        <f t="array" ref="H135">IFERROR(
Heat_Map[[#This Row],[Shock Factor]] *
INDEX(
Crisis_Type[[Risk Level 1]:[Risk Level 5]],
MATCH(Heat_Map[[#This Row],[Crisis]],Crisis_Type[Crisis Type],0),
Heat_Map[[#This Row],[Risk Level]]
),0)</f>
        <v>0</v>
      </c>
    </row>
    <row r="136" spans="2:8" hidden="1" x14ac:dyDescent="0.3">
      <c r="B136" s="2" cm="1">
        <f t="array" ref="B136">ROW()-ROW(Heat_Map[#Headers])</f>
        <v>129</v>
      </c>
      <c r="C136" s="27" t="s">
        <v>335</v>
      </c>
      <c r="D136" s="27"/>
      <c r="E136" s="27"/>
      <c r="F136" s="29" t="str">
        <f>IFERROR(_xlfn.XLOOKUP(Heat_Map[[#This Row],[Crisis]], Crisis_Type[Crisis Type], Crisis_Type[Shock Factor]),"")</f>
        <v/>
      </c>
      <c r="G136" s="29"/>
      <c r="H136" s="32" cm="1">
        <f t="array" ref="H136">IFERROR(
Heat_Map[[#This Row],[Shock Factor]] *
INDEX(
Crisis_Type[[Risk Level 1]:[Risk Level 5]],
MATCH(Heat_Map[[#This Row],[Crisis]],Crisis_Type[Crisis Type],0),
Heat_Map[[#This Row],[Risk Level]]
),0)</f>
        <v>0</v>
      </c>
    </row>
    <row r="137" spans="2:8" hidden="1" x14ac:dyDescent="0.3">
      <c r="B137" s="2" cm="1">
        <f t="array" ref="B137">ROW()-ROW(Heat_Map[#Headers])</f>
        <v>130</v>
      </c>
      <c r="C137" s="27" t="s">
        <v>336</v>
      </c>
      <c r="D137" s="27"/>
      <c r="E137" s="27"/>
      <c r="F137" s="29" t="str">
        <f>IFERROR(_xlfn.XLOOKUP(Heat_Map[[#This Row],[Crisis]], Crisis_Type[Crisis Type], Crisis_Type[Shock Factor]),"")</f>
        <v/>
      </c>
      <c r="G137" s="29"/>
      <c r="H137" s="32" cm="1">
        <f t="array" ref="H137">IFERROR(
Heat_Map[[#This Row],[Shock Factor]] *
INDEX(
Crisis_Type[[Risk Level 1]:[Risk Level 5]],
MATCH(Heat_Map[[#This Row],[Crisis]],Crisis_Type[Crisis Type],0),
Heat_Map[[#This Row],[Risk Level]]
),0)</f>
        <v>0</v>
      </c>
    </row>
    <row r="138" spans="2:8" hidden="1" x14ac:dyDescent="0.3">
      <c r="B138" s="2" cm="1">
        <f t="array" ref="B138">ROW()-ROW(Heat_Map[#Headers])</f>
        <v>131</v>
      </c>
      <c r="C138" s="27" t="s">
        <v>337</v>
      </c>
      <c r="D138" s="27"/>
      <c r="E138" s="27"/>
      <c r="F138" s="29" t="str">
        <f>IFERROR(_xlfn.XLOOKUP(Heat_Map[[#This Row],[Crisis]], Crisis_Type[Crisis Type], Crisis_Type[Shock Factor]),"")</f>
        <v/>
      </c>
      <c r="G138" s="29"/>
      <c r="H138" s="32" cm="1">
        <f t="array" ref="H138">IFERROR(
Heat_Map[[#This Row],[Shock Factor]] *
INDEX(
Crisis_Type[[Risk Level 1]:[Risk Level 5]],
MATCH(Heat_Map[[#This Row],[Crisis]],Crisis_Type[Crisis Type],0),
Heat_Map[[#This Row],[Risk Level]]
),0)</f>
        <v>0</v>
      </c>
    </row>
    <row r="139" spans="2:8" hidden="1" x14ac:dyDescent="0.3">
      <c r="B139" s="2" cm="1">
        <f t="array" ref="B139">ROW()-ROW(Heat_Map[#Headers])</f>
        <v>132</v>
      </c>
      <c r="C139" s="27" t="s">
        <v>146</v>
      </c>
      <c r="D139" s="27"/>
      <c r="E139" s="27"/>
      <c r="F139" s="29" t="str">
        <f>IFERROR(_xlfn.XLOOKUP(Heat_Map[[#This Row],[Crisis]], Crisis_Type[Crisis Type], Crisis_Type[Shock Factor]),"")</f>
        <v/>
      </c>
      <c r="G139" s="29"/>
      <c r="H139" s="32" cm="1">
        <f t="array" ref="H139">IFERROR(
Heat_Map[[#This Row],[Shock Factor]] *
INDEX(
Crisis_Type[[Risk Level 1]:[Risk Level 5]],
MATCH(Heat_Map[[#This Row],[Crisis]],Crisis_Type[Crisis Type],0),
Heat_Map[[#This Row],[Risk Level]]
),0)</f>
        <v>0</v>
      </c>
    </row>
    <row r="140" spans="2:8" hidden="1" x14ac:dyDescent="0.3">
      <c r="B140" s="2" cm="1">
        <f t="array" ref="B140">ROW()-ROW(Heat_Map[#Headers])</f>
        <v>133</v>
      </c>
      <c r="C140" s="27" t="s">
        <v>147</v>
      </c>
      <c r="D140" s="27"/>
      <c r="E140" s="27"/>
      <c r="F140" s="29" t="str">
        <f>IFERROR(_xlfn.XLOOKUP(Heat_Map[[#This Row],[Crisis]], Crisis_Type[Crisis Type], Crisis_Type[Shock Factor]),"")</f>
        <v/>
      </c>
      <c r="G140" s="29"/>
      <c r="H140" s="32" cm="1">
        <f t="array" ref="H140">IFERROR(
Heat_Map[[#This Row],[Shock Factor]] *
INDEX(
Crisis_Type[[Risk Level 1]:[Risk Level 5]],
MATCH(Heat_Map[[#This Row],[Crisis]],Crisis_Type[Crisis Type],0),
Heat_Map[[#This Row],[Risk Level]]
),0)</f>
        <v>0</v>
      </c>
    </row>
    <row r="141" spans="2:8" ht="28.8" x14ac:dyDescent="0.3">
      <c r="B141" s="67" cm="1">
        <f t="array" ref="B141">ROW()-ROW(Heat_Map[#Headers])</f>
        <v>134</v>
      </c>
      <c r="C141" s="67" t="s">
        <v>55</v>
      </c>
      <c r="D141" s="70" t="s">
        <v>596</v>
      </c>
      <c r="E141" s="67" t="s">
        <v>386</v>
      </c>
      <c r="F141" s="68">
        <f>IFERROR(_xlfn.XLOOKUP(Heat_Map[[#This Row],[Crisis]], Crisis_Type[Crisis Type], Crisis_Type[Shock Factor]),"")</f>
        <v>0.5</v>
      </c>
      <c r="G141" s="68">
        <v>1</v>
      </c>
      <c r="H141" s="69" cm="1">
        <f t="array" ref="H141">IFERROR(
Heat_Map[[#This Row],[Shock Factor]] *
INDEX(
Crisis_Type[[Risk Level 1]:[Risk Level 5]],
MATCH(Heat_Map[[#This Row],[Crisis]],Crisis_Type[Crisis Type],0),
Heat_Map[[#This Row],[Risk Level]]
),0)</f>
        <v>0.06</v>
      </c>
    </row>
    <row r="142" spans="2:8" hidden="1" x14ac:dyDescent="0.3">
      <c r="B142" s="2" cm="1">
        <f t="array" ref="B142">ROW()-ROW(Heat_Map[#Headers])</f>
        <v>135</v>
      </c>
      <c r="C142" s="27" t="s">
        <v>338</v>
      </c>
      <c r="D142" s="27"/>
      <c r="E142" s="27"/>
      <c r="F142" s="29" t="str">
        <f>IFERROR(_xlfn.XLOOKUP(Heat_Map[[#This Row],[Crisis]], Crisis_Type[Crisis Type], Crisis_Type[Shock Factor]),"")</f>
        <v/>
      </c>
      <c r="G142" s="29"/>
      <c r="H142" s="32" cm="1">
        <f t="array" ref="H142">IFERROR(
Heat_Map[[#This Row],[Shock Factor]] *
INDEX(
Crisis_Type[[Risk Level 1]:[Risk Level 5]],
MATCH(Heat_Map[[#This Row],[Crisis]],Crisis_Type[Crisis Type],0),
Heat_Map[[#This Row],[Risk Level]]
),0)</f>
        <v>0</v>
      </c>
    </row>
    <row r="143" spans="2:8" hidden="1" x14ac:dyDescent="0.3">
      <c r="B143" s="2" cm="1">
        <f t="array" ref="B143">ROW()-ROW(Heat_Map[#Headers])</f>
        <v>136</v>
      </c>
      <c r="C143" s="27" t="s">
        <v>339</v>
      </c>
      <c r="D143" s="27"/>
      <c r="E143" s="27"/>
      <c r="F143" s="29" t="str">
        <f>IFERROR(_xlfn.XLOOKUP(Heat_Map[[#This Row],[Crisis]], Crisis_Type[Crisis Type], Crisis_Type[Shock Factor]),"")</f>
        <v/>
      </c>
      <c r="G143" s="29"/>
      <c r="H143" s="32" cm="1">
        <f t="array" ref="H143">IFERROR(
Heat_Map[[#This Row],[Shock Factor]] *
INDEX(
Crisis_Type[[Risk Level 1]:[Risk Level 5]],
MATCH(Heat_Map[[#This Row],[Crisis]],Crisis_Type[Crisis Type],0),
Heat_Map[[#This Row],[Risk Level]]
),0)</f>
        <v>0</v>
      </c>
    </row>
    <row r="144" spans="2:8" hidden="1" x14ac:dyDescent="0.3">
      <c r="B144" s="2" cm="1">
        <f t="array" ref="B144">ROW()-ROW(Heat_Map[#Headers])</f>
        <v>137</v>
      </c>
      <c r="C144" s="27" t="s">
        <v>340</v>
      </c>
      <c r="D144" s="27"/>
      <c r="E144" s="27"/>
      <c r="F144" s="29" t="str">
        <f>IFERROR(_xlfn.XLOOKUP(Heat_Map[[#This Row],[Crisis]], Crisis_Type[Crisis Type], Crisis_Type[Shock Factor]),"")</f>
        <v/>
      </c>
      <c r="G144" s="29"/>
      <c r="H144" s="32" cm="1">
        <f t="array" ref="H144">IFERROR(
Heat_Map[[#This Row],[Shock Factor]] *
INDEX(
Crisis_Type[[Risk Level 1]:[Risk Level 5]],
MATCH(Heat_Map[[#This Row],[Crisis]],Crisis_Type[Crisis Type],0),
Heat_Map[[#This Row],[Risk Level]]
),0)</f>
        <v>0</v>
      </c>
    </row>
    <row r="145" spans="2:8" ht="43.2" x14ac:dyDescent="0.3">
      <c r="B145" s="67" cm="1">
        <f t="array" ref="B145">ROW()-ROW(Heat_Map[#Headers])</f>
        <v>138</v>
      </c>
      <c r="C145" s="67" t="s">
        <v>341</v>
      </c>
      <c r="D145" s="70" t="s">
        <v>597</v>
      </c>
      <c r="E145" s="67" t="s">
        <v>382</v>
      </c>
      <c r="F145" s="68">
        <f>IFERROR(_xlfn.XLOOKUP(Heat_Map[[#This Row],[Crisis]], Crisis_Type[Crisis Type], Crisis_Type[Shock Factor]),"")</f>
        <v>0.6</v>
      </c>
      <c r="G145" s="68">
        <v>4</v>
      </c>
      <c r="H145" s="69" cm="1">
        <f t="array" ref="H145">IFERROR(
Heat_Map[[#This Row],[Shock Factor]] *
INDEX(
Crisis_Type[[Risk Level 1]:[Risk Level 5]],
MATCH(Heat_Map[[#This Row],[Crisis]],Crisis_Type[Crisis Type],0),
Heat_Map[[#This Row],[Risk Level]]
),0)</f>
        <v>0.44999999999999996</v>
      </c>
    </row>
    <row r="146" spans="2:8" hidden="1" x14ac:dyDescent="0.3">
      <c r="B146" s="2" cm="1">
        <f t="array" ref="B146">ROW()-ROW(Heat_Map[#Headers])</f>
        <v>139</v>
      </c>
      <c r="C146" s="27" t="s">
        <v>342</v>
      </c>
      <c r="D146" s="27"/>
      <c r="E146" s="27"/>
      <c r="F146" s="29" t="str">
        <f>IFERROR(_xlfn.XLOOKUP(Heat_Map[[#This Row],[Crisis]], Crisis_Type[Crisis Type], Crisis_Type[Shock Factor]),"")</f>
        <v/>
      </c>
      <c r="G146" s="29"/>
      <c r="H146" s="32" cm="1">
        <f t="array" ref="H146">IFERROR(
Heat_Map[[#This Row],[Shock Factor]] *
INDEX(
Crisis_Type[[Risk Level 1]:[Risk Level 5]],
MATCH(Heat_Map[[#This Row],[Crisis]],Crisis_Type[Crisis Type],0),
Heat_Map[[#This Row],[Risk Level]]
),0)</f>
        <v>0</v>
      </c>
    </row>
    <row r="147" spans="2:8" hidden="1" x14ac:dyDescent="0.3">
      <c r="B147" s="2" cm="1">
        <f t="array" ref="B147">ROW()-ROW(Heat_Map[#Headers])</f>
        <v>140</v>
      </c>
      <c r="C147" s="27" t="s">
        <v>343</v>
      </c>
      <c r="D147" s="27"/>
      <c r="E147" s="27"/>
      <c r="F147" s="29" t="str">
        <f>IFERROR(_xlfn.XLOOKUP(Heat_Map[[#This Row],[Crisis]], Crisis_Type[Crisis Type], Crisis_Type[Shock Factor]),"")</f>
        <v/>
      </c>
      <c r="G147" s="29"/>
      <c r="H147" s="32" cm="1">
        <f t="array" ref="H147">IFERROR(
Heat_Map[[#This Row],[Shock Factor]] *
INDEX(
Crisis_Type[[Risk Level 1]:[Risk Level 5]],
MATCH(Heat_Map[[#This Row],[Crisis]],Crisis_Type[Crisis Type],0),
Heat_Map[[#This Row],[Risk Level]]
),0)</f>
        <v>0</v>
      </c>
    </row>
    <row r="148" spans="2:8" hidden="1" x14ac:dyDescent="0.3">
      <c r="B148" s="2" cm="1">
        <f t="array" ref="B148">ROW()-ROW(Heat_Map[#Headers])</f>
        <v>141</v>
      </c>
      <c r="C148" s="27" t="s">
        <v>344</v>
      </c>
      <c r="D148" s="27"/>
      <c r="E148" s="27"/>
      <c r="F148" s="29" t="str">
        <f>IFERROR(_xlfn.XLOOKUP(Heat_Map[[#This Row],[Crisis]], Crisis_Type[Crisis Type], Crisis_Type[Shock Factor]),"")</f>
        <v/>
      </c>
      <c r="G148" s="29"/>
      <c r="H148" s="32" cm="1">
        <f t="array" ref="H148">IFERROR(
Heat_Map[[#This Row],[Shock Factor]] *
INDEX(
Crisis_Type[[Risk Level 1]:[Risk Level 5]],
MATCH(Heat_Map[[#This Row],[Crisis]],Crisis_Type[Crisis Type],0),
Heat_Map[[#This Row],[Risk Level]]
),0)</f>
        <v>0</v>
      </c>
    </row>
    <row r="149" spans="2:8" hidden="1" x14ac:dyDescent="0.3">
      <c r="B149" s="2" cm="1">
        <f t="array" ref="B149">ROW()-ROW(Heat_Map[#Headers])</f>
        <v>142</v>
      </c>
      <c r="C149" s="27" t="s">
        <v>345</v>
      </c>
      <c r="D149" s="27"/>
      <c r="E149" s="27"/>
      <c r="F149" s="29" t="str">
        <f>IFERROR(_xlfn.XLOOKUP(Heat_Map[[#This Row],[Crisis]], Crisis_Type[Crisis Type], Crisis_Type[Shock Factor]),"")</f>
        <v/>
      </c>
      <c r="G149" s="29"/>
      <c r="H149" s="32" cm="1">
        <f t="array" ref="H149">IFERROR(
Heat_Map[[#This Row],[Shock Factor]] *
INDEX(
Crisis_Type[[Risk Level 1]:[Risk Level 5]],
MATCH(Heat_Map[[#This Row],[Crisis]],Crisis_Type[Crisis Type],0),
Heat_Map[[#This Row],[Risk Level]]
),0)</f>
        <v>0</v>
      </c>
    </row>
    <row r="150" spans="2:8" hidden="1" x14ac:dyDescent="0.3">
      <c r="B150" s="2" cm="1">
        <f t="array" ref="B150">ROW()-ROW(Heat_Map[#Headers])</f>
        <v>143</v>
      </c>
      <c r="C150" s="27" t="s">
        <v>346</v>
      </c>
      <c r="D150" s="27"/>
      <c r="E150" s="27"/>
      <c r="F150" s="29" t="str">
        <f>IFERROR(_xlfn.XLOOKUP(Heat_Map[[#This Row],[Crisis]], Crisis_Type[Crisis Type], Crisis_Type[Shock Factor]),"")</f>
        <v/>
      </c>
      <c r="G150" s="29"/>
      <c r="H150" s="32" cm="1">
        <f t="array" ref="H150">IFERROR(
Heat_Map[[#This Row],[Shock Factor]] *
INDEX(
Crisis_Type[[Risk Level 1]:[Risk Level 5]],
MATCH(Heat_Map[[#This Row],[Crisis]],Crisis_Type[Crisis Type],0),
Heat_Map[[#This Row],[Risk Level]]
),0)</f>
        <v>0</v>
      </c>
    </row>
    <row r="151" spans="2:8" hidden="1" x14ac:dyDescent="0.3">
      <c r="B151" s="2" cm="1">
        <f t="array" ref="B151">ROW()-ROW(Heat_Map[#Headers])</f>
        <v>144</v>
      </c>
      <c r="C151" s="27" t="s">
        <v>347</v>
      </c>
      <c r="D151" s="27"/>
      <c r="E151" s="27"/>
      <c r="F151" s="29" t="str">
        <f>IFERROR(_xlfn.XLOOKUP(Heat_Map[[#This Row],[Crisis]], Crisis_Type[Crisis Type], Crisis_Type[Shock Factor]),"")</f>
        <v/>
      </c>
      <c r="G151" s="29"/>
      <c r="H151" s="32" cm="1">
        <f t="array" ref="H151">IFERROR(
Heat_Map[[#This Row],[Shock Factor]] *
INDEX(
Crisis_Type[[Risk Level 1]:[Risk Level 5]],
MATCH(Heat_Map[[#This Row],[Crisis]],Crisis_Type[Crisis Type],0),
Heat_Map[[#This Row],[Risk Level]]
),0)</f>
        <v>0</v>
      </c>
    </row>
    <row r="152" spans="2:8" hidden="1" x14ac:dyDescent="0.3">
      <c r="B152" s="2" cm="1">
        <f t="array" ref="B152">ROW()-ROW(Heat_Map[#Headers])</f>
        <v>145</v>
      </c>
      <c r="C152" s="27" t="s">
        <v>348</v>
      </c>
      <c r="D152" s="27"/>
      <c r="E152" s="27"/>
      <c r="F152" s="29" t="str">
        <f>IFERROR(_xlfn.XLOOKUP(Heat_Map[[#This Row],[Crisis]], Crisis_Type[Crisis Type], Crisis_Type[Shock Factor]),"")</f>
        <v/>
      </c>
      <c r="G152" s="29"/>
      <c r="H152" s="32" cm="1">
        <f t="array" ref="H152">IFERROR(
Heat_Map[[#This Row],[Shock Factor]] *
INDEX(
Crisis_Type[[Risk Level 1]:[Risk Level 5]],
MATCH(Heat_Map[[#This Row],[Crisis]],Crisis_Type[Crisis Type],0),
Heat_Map[[#This Row],[Risk Level]]
),0)</f>
        <v>0</v>
      </c>
    </row>
    <row r="153" spans="2:8" hidden="1" x14ac:dyDescent="0.3">
      <c r="B153" s="2" cm="1">
        <f t="array" ref="B153">ROW()-ROW(Heat_Map[#Headers])</f>
        <v>146</v>
      </c>
      <c r="C153" s="27" t="s">
        <v>27</v>
      </c>
      <c r="D153" s="27"/>
      <c r="E153" s="27"/>
      <c r="F153" s="29" t="str">
        <f>IFERROR(_xlfn.XLOOKUP(Heat_Map[[#This Row],[Crisis]], Crisis_Type[Crisis Type], Crisis_Type[Shock Factor]),"")</f>
        <v/>
      </c>
      <c r="G153" s="29"/>
      <c r="H153" s="32" cm="1">
        <f t="array" ref="H153">IFERROR(
Heat_Map[[#This Row],[Shock Factor]] *
INDEX(
Crisis_Type[[Risk Level 1]:[Risk Level 5]],
MATCH(Heat_Map[[#This Row],[Crisis]],Crisis_Type[Crisis Type],0),
Heat_Map[[#This Row],[Risk Level]]
),0)</f>
        <v>0</v>
      </c>
    </row>
    <row r="154" spans="2:8" hidden="1" x14ac:dyDescent="0.3">
      <c r="B154" s="2" cm="1">
        <f t="array" ref="B154">ROW()-ROW(Heat_Map[#Headers])</f>
        <v>147</v>
      </c>
      <c r="C154" s="27" t="s">
        <v>349</v>
      </c>
      <c r="D154" s="27"/>
      <c r="E154" s="27"/>
      <c r="F154" s="29" t="str">
        <f>IFERROR(_xlfn.XLOOKUP(Heat_Map[[#This Row],[Crisis]], Crisis_Type[Crisis Type], Crisis_Type[Shock Factor]),"")</f>
        <v/>
      </c>
      <c r="G154" s="29"/>
      <c r="H154" s="32" cm="1">
        <f t="array" ref="H154">IFERROR(
Heat_Map[[#This Row],[Shock Factor]] *
INDEX(
Crisis_Type[[Risk Level 1]:[Risk Level 5]],
MATCH(Heat_Map[[#This Row],[Crisis]],Crisis_Type[Crisis Type],0),
Heat_Map[[#This Row],[Risk Level]]
),0)</f>
        <v>0</v>
      </c>
    </row>
    <row r="155" spans="2:8" hidden="1" x14ac:dyDescent="0.3">
      <c r="B155" s="2" cm="1">
        <f t="array" ref="B155">ROW()-ROW(Heat_Map[#Headers])</f>
        <v>148</v>
      </c>
      <c r="C155" s="27" t="s">
        <v>155</v>
      </c>
      <c r="D155" s="27"/>
      <c r="E155" s="27"/>
      <c r="F155" s="29" t="str">
        <f>IFERROR(_xlfn.XLOOKUP(Heat_Map[[#This Row],[Crisis]], Crisis_Type[Crisis Type], Crisis_Type[Shock Factor]),"")</f>
        <v/>
      </c>
      <c r="G155" s="29"/>
      <c r="H155" s="32" cm="1">
        <f t="array" ref="H155">IFERROR(
Heat_Map[[#This Row],[Shock Factor]] *
INDEX(
Crisis_Type[[Risk Level 1]:[Risk Level 5]],
MATCH(Heat_Map[[#This Row],[Crisis]],Crisis_Type[Crisis Type],0),
Heat_Map[[#This Row],[Risk Level]]
),0)</f>
        <v>0</v>
      </c>
    </row>
    <row r="156" spans="2:8" hidden="1" x14ac:dyDescent="0.3">
      <c r="B156" s="2" cm="1">
        <f t="array" ref="B156">ROW()-ROW(Heat_Map[#Headers])</f>
        <v>149</v>
      </c>
      <c r="C156" s="27" t="s">
        <v>350</v>
      </c>
      <c r="D156" s="27"/>
      <c r="E156" s="27"/>
      <c r="F156" s="29" t="str">
        <f>IFERROR(_xlfn.XLOOKUP(Heat_Map[[#This Row],[Crisis]], Crisis_Type[Crisis Type], Crisis_Type[Shock Factor]),"")</f>
        <v/>
      </c>
      <c r="G156" s="29"/>
      <c r="H156" s="32" cm="1">
        <f t="array" ref="H156">IFERROR(
Heat_Map[[#This Row],[Shock Factor]] *
INDEX(
Crisis_Type[[Risk Level 1]:[Risk Level 5]],
MATCH(Heat_Map[[#This Row],[Crisis]],Crisis_Type[Crisis Type],0),
Heat_Map[[#This Row],[Risk Level]]
),0)</f>
        <v>0</v>
      </c>
    </row>
    <row r="157" spans="2:8" hidden="1" x14ac:dyDescent="0.3">
      <c r="B157" s="2" cm="1">
        <f t="array" ref="B157">ROW()-ROW(Heat_Map[#Headers])</f>
        <v>150</v>
      </c>
      <c r="C157" s="27" t="s">
        <v>351</v>
      </c>
      <c r="D157" s="27"/>
      <c r="E157" s="27"/>
      <c r="F157" s="29" t="str">
        <f>IFERROR(_xlfn.XLOOKUP(Heat_Map[[#This Row],[Crisis]], Crisis_Type[Crisis Type], Crisis_Type[Shock Factor]),"")</f>
        <v/>
      </c>
      <c r="G157" s="29"/>
      <c r="H157" s="32" cm="1">
        <f t="array" ref="H157">IFERROR(
Heat_Map[[#This Row],[Shock Factor]] *
INDEX(
Crisis_Type[[Risk Level 1]:[Risk Level 5]],
MATCH(Heat_Map[[#This Row],[Crisis]],Crisis_Type[Crisis Type],0),
Heat_Map[[#This Row],[Risk Level]]
),0)</f>
        <v>0</v>
      </c>
    </row>
    <row r="158" spans="2:8" ht="28.8" x14ac:dyDescent="0.3">
      <c r="B158" s="67" cm="1">
        <f t="array" ref="B158">ROW()-ROW(Heat_Map[#Headers])</f>
        <v>151</v>
      </c>
      <c r="C158" s="67" t="s">
        <v>28</v>
      </c>
      <c r="D158" s="70" t="s">
        <v>598</v>
      </c>
      <c r="E158" s="67" t="s">
        <v>386</v>
      </c>
      <c r="F158" s="68">
        <f>IFERROR(_xlfn.XLOOKUP(Heat_Map[[#This Row],[Crisis]], Crisis_Type[Crisis Type], Crisis_Type[Shock Factor]),"")</f>
        <v>0.5</v>
      </c>
      <c r="G158" s="68">
        <v>1</v>
      </c>
      <c r="H158" s="69" cm="1">
        <f t="array" ref="H158">IFERROR(
Heat_Map[[#This Row],[Shock Factor]] *
INDEX(
Crisis_Type[[Risk Level 1]:[Risk Level 5]],
MATCH(Heat_Map[[#This Row],[Crisis]],Crisis_Type[Crisis Type],0),
Heat_Map[[#This Row],[Risk Level]]
),0)</f>
        <v>0.06</v>
      </c>
    </row>
    <row r="159" spans="2:8" hidden="1" x14ac:dyDescent="0.3">
      <c r="B159" s="2" cm="1">
        <f t="array" ref="B159">ROW()-ROW(Heat_Map[#Headers])</f>
        <v>152</v>
      </c>
      <c r="C159" s="27" t="s">
        <v>153</v>
      </c>
      <c r="D159" s="27"/>
      <c r="E159" s="27"/>
      <c r="F159" s="29" t="str">
        <f>IFERROR(_xlfn.XLOOKUP(Heat_Map[[#This Row],[Crisis]], Crisis_Type[Crisis Type], Crisis_Type[Shock Factor]),"")</f>
        <v/>
      </c>
      <c r="G159" s="29"/>
      <c r="H159" s="32" cm="1">
        <f t="array" ref="H159">IFERROR(
Heat_Map[[#This Row],[Shock Factor]] *
INDEX(
Crisis_Type[[Risk Level 1]:[Risk Level 5]],
MATCH(Heat_Map[[#This Row],[Crisis]],Crisis_Type[Crisis Type],0),
Heat_Map[[#This Row],[Risk Level]]
),0)</f>
        <v>0</v>
      </c>
    </row>
    <row r="160" spans="2:8" hidden="1" x14ac:dyDescent="0.3">
      <c r="B160" s="2" cm="1">
        <f t="array" ref="B160">ROW()-ROW(Heat_Map[#Headers])</f>
        <v>153</v>
      </c>
      <c r="C160" s="27" t="s">
        <v>151</v>
      </c>
      <c r="D160" s="27"/>
      <c r="E160" s="27"/>
      <c r="F160" s="29" t="str">
        <f>IFERROR(_xlfn.XLOOKUP(Heat_Map[[#This Row],[Crisis]], Crisis_Type[Crisis Type], Crisis_Type[Shock Factor]),"")</f>
        <v/>
      </c>
      <c r="G160" s="29"/>
      <c r="H160" s="32" cm="1">
        <f t="array" ref="H160">IFERROR(
Heat_Map[[#This Row],[Shock Factor]] *
INDEX(
Crisis_Type[[Risk Level 1]:[Risk Level 5]],
MATCH(Heat_Map[[#This Row],[Crisis]],Crisis_Type[Crisis Type],0),
Heat_Map[[#This Row],[Risk Level]]
),0)</f>
        <v>0</v>
      </c>
    </row>
    <row r="161" spans="2:8" hidden="1" x14ac:dyDescent="0.3">
      <c r="B161" s="2" cm="1">
        <f t="array" ref="B161">ROW()-ROW(Heat_Map[#Headers])</f>
        <v>154</v>
      </c>
      <c r="C161" s="27" t="s">
        <v>352</v>
      </c>
      <c r="D161" s="27"/>
      <c r="E161" s="27"/>
      <c r="F161" s="29" t="str">
        <f>IFERROR(_xlfn.XLOOKUP(Heat_Map[[#This Row],[Crisis]], Crisis_Type[Crisis Type], Crisis_Type[Shock Factor]),"")</f>
        <v/>
      </c>
      <c r="G161" s="29"/>
      <c r="H161" s="32" cm="1">
        <f t="array" ref="H161">IFERROR(
Heat_Map[[#This Row],[Shock Factor]] *
INDEX(
Crisis_Type[[Risk Level 1]:[Risk Level 5]],
MATCH(Heat_Map[[#This Row],[Crisis]],Crisis_Type[Crisis Type],0),
Heat_Map[[#This Row],[Risk Level]]
),0)</f>
        <v>0</v>
      </c>
    </row>
    <row r="162" spans="2:8" hidden="1" x14ac:dyDescent="0.3">
      <c r="B162" s="2" cm="1">
        <f t="array" ref="B162">ROW()-ROW(Heat_Map[#Headers])</f>
        <v>155</v>
      </c>
      <c r="C162" s="27" t="s">
        <v>353</v>
      </c>
      <c r="D162" s="27"/>
      <c r="E162" s="27"/>
      <c r="F162" s="29" t="str">
        <f>IFERROR(_xlfn.XLOOKUP(Heat_Map[[#This Row],[Crisis]], Crisis_Type[Crisis Type], Crisis_Type[Shock Factor]),"")</f>
        <v/>
      </c>
      <c r="G162" s="29"/>
      <c r="H162" s="32" cm="1">
        <f t="array" ref="H162">IFERROR(
Heat_Map[[#This Row],[Shock Factor]] *
INDEX(
Crisis_Type[[Risk Level 1]:[Risk Level 5]],
MATCH(Heat_Map[[#This Row],[Crisis]],Crisis_Type[Crisis Type],0),
Heat_Map[[#This Row],[Risk Level]]
),0)</f>
        <v>0</v>
      </c>
    </row>
    <row r="163" spans="2:8" hidden="1" x14ac:dyDescent="0.3">
      <c r="B163" s="2" cm="1">
        <f t="array" ref="B163">ROW()-ROW(Heat_Map[#Headers])</f>
        <v>156</v>
      </c>
      <c r="C163" s="27" t="s">
        <v>29</v>
      </c>
      <c r="D163" s="27"/>
      <c r="E163" s="27"/>
      <c r="F163" s="29" t="str">
        <f>IFERROR(_xlfn.XLOOKUP(Heat_Map[[#This Row],[Crisis]], Crisis_Type[Crisis Type], Crisis_Type[Shock Factor]),"")</f>
        <v/>
      </c>
      <c r="G163" s="29"/>
      <c r="H163" s="32" cm="1">
        <f t="array" ref="H163">IFERROR(
Heat_Map[[#This Row],[Shock Factor]] *
INDEX(
Crisis_Type[[Risk Level 1]:[Risk Level 5]],
MATCH(Heat_Map[[#This Row],[Crisis]],Crisis_Type[Crisis Type],0),
Heat_Map[[#This Row],[Risk Level]]
),0)</f>
        <v>0</v>
      </c>
    </row>
    <row r="164" spans="2:8" hidden="1" x14ac:dyDescent="0.3">
      <c r="B164" s="2" cm="1">
        <f t="array" ref="B164">ROW()-ROW(Heat_Map[#Headers])</f>
        <v>157</v>
      </c>
      <c r="C164" s="27" t="s">
        <v>354</v>
      </c>
      <c r="D164" s="27"/>
      <c r="E164" s="27"/>
      <c r="F164" s="29" t="str">
        <f>IFERROR(_xlfn.XLOOKUP(Heat_Map[[#This Row],[Crisis]], Crisis_Type[Crisis Type], Crisis_Type[Shock Factor]),"")</f>
        <v/>
      </c>
      <c r="G164" s="29"/>
      <c r="H164" s="32" cm="1">
        <f t="array" ref="H164">IFERROR(
Heat_Map[[#This Row],[Shock Factor]] *
INDEX(
Crisis_Type[[Risk Level 1]:[Risk Level 5]],
MATCH(Heat_Map[[#This Row],[Crisis]],Crisis_Type[Crisis Type],0),
Heat_Map[[#This Row],[Risk Level]]
),0)</f>
        <v>0</v>
      </c>
    </row>
    <row r="165" spans="2:8" hidden="1" x14ac:dyDescent="0.3">
      <c r="B165" s="2" cm="1">
        <f t="array" ref="B165">ROW()-ROW(Heat_Map[#Headers])</f>
        <v>158</v>
      </c>
      <c r="C165" s="27" t="s">
        <v>355</v>
      </c>
      <c r="D165" s="27"/>
      <c r="E165" s="27"/>
      <c r="F165" s="29" t="str">
        <f>IFERROR(_xlfn.XLOOKUP(Heat_Map[[#This Row],[Crisis]], Crisis_Type[Crisis Type], Crisis_Type[Shock Factor]),"")</f>
        <v/>
      </c>
      <c r="G165" s="29"/>
      <c r="H165" s="32" cm="1">
        <f t="array" ref="H165">IFERROR(
Heat_Map[[#This Row],[Shock Factor]] *
INDEX(
Crisis_Type[[Risk Level 1]:[Risk Level 5]],
MATCH(Heat_Map[[#This Row],[Crisis]],Crisis_Type[Crisis Type],0),
Heat_Map[[#This Row],[Risk Level]]
),0)</f>
        <v>0</v>
      </c>
    </row>
    <row r="166" spans="2:8" hidden="1" x14ac:dyDescent="0.3">
      <c r="B166" s="2" cm="1">
        <f t="array" ref="B166">ROW()-ROW(Heat_Map[#Headers])</f>
        <v>159</v>
      </c>
      <c r="C166" s="27" t="s">
        <v>30</v>
      </c>
      <c r="D166" s="27"/>
      <c r="E166" s="27"/>
      <c r="F166" s="29" t="str">
        <f>IFERROR(_xlfn.XLOOKUP(Heat_Map[[#This Row],[Crisis]], Crisis_Type[Crisis Type], Crisis_Type[Shock Factor]),"")</f>
        <v/>
      </c>
      <c r="G166" s="29"/>
      <c r="H166" s="32" cm="1">
        <f t="array" ref="H166">IFERROR(
Heat_Map[[#This Row],[Shock Factor]] *
INDEX(
Crisis_Type[[Risk Level 1]:[Risk Level 5]],
MATCH(Heat_Map[[#This Row],[Crisis]],Crisis_Type[Crisis Type],0),
Heat_Map[[#This Row],[Risk Level]]
),0)</f>
        <v>0</v>
      </c>
    </row>
    <row r="167" spans="2:8" hidden="1" x14ac:dyDescent="0.3">
      <c r="B167" s="2" cm="1">
        <f t="array" ref="B167">ROW()-ROW(Heat_Map[#Headers])</f>
        <v>160</v>
      </c>
      <c r="C167" s="27" t="s">
        <v>156</v>
      </c>
      <c r="D167" s="27"/>
      <c r="E167" s="27"/>
      <c r="F167" s="29" t="str">
        <f>IFERROR(_xlfn.XLOOKUP(Heat_Map[[#This Row],[Crisis]], Crisis_Type[Crisis Type], Crisis_Type[Shock Factor]),"")</f>
        <v/>
      </c>
      <c r="G167" s="29"/>
      <c r="H167" s="32" cm="1">
        <f t="array" ref="H167">IFERROR(
Heat_Map[[#This Row],[Shock Factor]] *
INDEX(
Crisis_Type[[Risk Level 1]:[Risk Level 5]],
MATCH(Heat_Map[[#This Row],[Crisis]],Crisis_Type[Crisis Type],0),
Heat_Map[[#This Row],[Risk Level]]
),0)</f>
        <v>0</v>
      </c>
    </row>
    <row r="168" spans="2:8" hidden="1" x14ac:dyDescent="0.3">
      <c r="B168" s="2" cm="1">
        <f t="array" ref="B168">ROW()-ROW(Heat_Map[#Headers])</f>
        <v>161</v>
      </c>
      <c r="C168" s="27" t="s">
        <v>356</v>
      </c>
      <c r="D168" s="27"/>
      <c r="E168" s="27"/>
      <c r="F168" s="29" t="str">
        <f>IFERROR(_xlfn.XLOOKUP(Heat_Map[[#This Row],[Crisis]], Crisis_Type[Crisis Type], Crisis_Type[Shock Factor]),"")</f>
        <v/>
      </c>
      <c r="G168" s="29"/>
      <c r="H168" s="32" cm="1">
        <f t="array" ref="H168">IFERROR(
Heat_Map[[#This Row],[Shock Factor]] *
INDEX(
Crisis_Type[[Risk Level 1]:[Risk Level 5]],
MATCH(Heat_Map[[#This Row],[Crisis]],Crisis_Type[Crisis Type],0),
Heat_Map[[#This Row],[Risk Level]]
),0)</f>
        <v>0</v>
      </c>
    </row>
    <row r="169" spans="2:8" hidden="1" x14ac:dyDescent="0.3">
      <c r="B169" s="2" cm="1">
        <f t="array" ref="B169">ROW()-ROW(Heat_Map[#Headers])</f>
        <v>162</v>
      </c>
      <c r="C169" s="27" t="s">
        <v>357</v>
      </c>
      <c r="D169" s="27"/>
      <c r="E169" s="27"/>
      <c r="F169" s="29" t="str">
        <f>IFERROR(_xlfn.XLOOKUP(Heat_Map[[#This Row],[Crisis]], Crisis_Type[Crisis Type], Crisis_Type[Shock Factor]),"")</f>
        <v/>
      </c>
      <c r="G169" s="29"/>
      <c r="H169" s="32" cm="1">
        <f t="array" ref="H169">IFERROR(
Heat_Map[[#This Row],[Shock Factor]] *
INDEX(
Crisis_Type[[Risk Level 1]:[Risk Level 5]],
MATCH(Heat_Map[[#This Row],[Crisis]],Crisis_Type[Crisis Type],0),
Heat_Map[[#This Row],[Risk Level]]
),0)</f>
        <v>0</v>
      </c>
    </row>
    <row r="170" spans="2:8" hidden="1" x14ac:dyDescent="0.3">
      <c r="B170" s="2" cm="1">
        <f t="array" ref="B170">ROW()-ROW(Heat_Map[#Headers])</f>
        <v>163</v>
      </c>
      <c r="C170" s="27" t="s">
        <v>31</v>
      </c>
      <c r="D170" s="27"/>
      <c r="E170" s="27"/>
      <c r="F170" s="29" t="str">
        <f>IFERROR(_xlfn.XLOOKUP(Heat_Map[[#This Row],[Crisis]], Crisis_Type[Crisis Type], Crisis_Type[Shock Factor]),"")</f>
        <v/>
      </c>
      <c r="G170" s="29"/>
      <c r="H170" s="32" cm="1">
        <f t="array" ref="H170">IFERROR(
Heat_Map[[#This Row],[Shock Factor]] *
INDEX(
Crisis_Type[[Risk Level 1]:[Risk Level 5]],
MATCH(Heat_Map[[#This Row],[Crisis]],Crisis_Type[Crisis Type],0),
Heat_Map[[#This Row],[Risk Level]]
),0)</f>
        <v>0</v>
      </c>
    </row>
    <row r="171" spans="2:8" hidden="1" x14ac:dyDescent="0.3">
      <c r="B171" s="2" cm="1">
        <f t="array" ref="B171">ROW()-ROW(Heat_Map[#Headers])</f>
        <v>164</v>
      </c>
      <c r="C171" s="27" t="s">
        <v>32</v>
      </c>
      <c r="D171" s="27"/>
      <c r="E171" s="27"/>
      <c r="F171" s="29" t="str">
        <f>IFERROR(_xlfn.XLOOKUP(Heat_Map[[#This Row],[Crisis]], Crisis_Type[Crisis Type], Crisis_Type[Shock Factor]),"")</f>
        <v/>
      </c>
      <c r="G171" s="29"/>
      <c r="H171" s="32" cm="1">
        <f t="array" ref="H171">IFERROR(
Heat_Map[[#This Row],[Shock Factor]] *
INDEX(
Crisis_Type[[Risk Level 1]:[Risk Level 5]],
MATCH(Heat_Map[[#This Row],[Crisis]],Crisis_Type[Crisis Type],0),
Heat_Map[[#This Row],[Risk Level]]
),0)</f>
        <v>0</v>
      </c>
    </row>
    <row r="172" spans="2:8" hidden="1" x14ac:dyDescent="0.3">
      <c r="B172" s="2" cm="1">
        <f t="array" ref="B172">ROW()-ROW(Heat_Map[#Headers])</f>
        <v>165</v>
      </c>
      <c r="C172" s="27" t="s">
        <v>358</v>
      </c>
      <c r="D172" s="27"/>
      <c r="E172" s="27"/>
      <c r="F172" s="29" t="str">
        <f>IFERROR(_xlfn.XLOOKUP(Heat_Map[[#This Row],[Crisis]], Crisis_Type[Crisis Type], Crisis_Type[Shock Factor]),"")</f>
        <v/>
      </c>
      <c r="G172" s="29"/>
      <c r="H172" s="32" cm="1">
        <f t="array" ref="H172">IFERROR(
Heat_Map[[#This Row],[Shock Factor]] *
INDEX(
Crisis_Type[[Risk Level 1]:[Risk Level 5]],
MATCH(Heat_Map[[#This Row],[Crisis]],Crisis_Type[Crisis Type],0),
Heat_Map[[#This Row],[Risk Level]]
),0)</f>
        <v>0</v>
      </c>
    </row>
    <row r="173" spans="2:8" ht="43.2" x14ac:dyDescent="0.3">
      <c r="B173" s="67" cm="1">
        <f t="array" ref="B173">ROW()-ROW(Heat_Map[#Headers])</f>
        <v>166</v>
      </c>
      <c r="C173" s="67" t="s">
        <v>359</v>
      </c>
      <c r="D173" s="70" t="s">
        <v>599</v>
      </c>
      <c r="E173" s="67" t="s">
        <v>382</v>
      </c>
      <c r="F173" s="68">
        <f>IFERROR(_xlfn.XLOOKUP(Heat_Map[[#This Row],[Crisis]], Crisis_Type[Crisis Type], Crisis_Type[Shock Factor]),"")</f>
        <v>0.6</v>
      </c>
      <c r="G173" s="68">
        <v>3</v>
      </c>
      <c r="H173" s="69" cm="1">
        <f t="array" ref="H173">IFERROR(
Heat_Map[[#This Row],[Shock Factor]] *
INDEX(
Crisis_Type[[Risk Level 1]:[Risk Level 5]],
MATCH(Heat_Map[[#This Row],[Crisis]],Crisis_Type[Crisis Type],0),
Heat_Map[[#This Row],[Risk Level]]
),0)</f>
        <v>0.3</v>
      </c>
    </row>
    <row r="174" spans="2:8" hidden="1" x14ac:dyDescent="0.3">
      <c r="B174" s="2" cm="1">
        <f t="array" ref="B174">ROW()-ROW(Heat_Map[#Headers])</f>
        <v>167</v>
      </c>
      <c r="C174" s="27" t="s">
        <v>360</v>
      </c>
      <c r="D174" s="27"/>
      <c r="E174" s="27"/>
      <c r="F174" s="29" t="str">
        <f>IFERROR(_xlfn.XLOOKUP(Heat_Map[[#This Row],[Crisis]], Crisis_Type[Crisis Type], Crisis_Type[Shock Factor]),"")</f>
        <v/>
      </c>
      <c r="G174" s="29"/>
      <c r="H174" s="32" cm="1">
        <f t="array" ref="H174">IFERROR(
Heat_Map[[#This Row],[Shock Factor]] *
INDEX(
Crisis_Type[[Risk Level 1]:[Risk Level 5]],
MATCH(Heat_Map[[#This Row],[Crisis]],Crisis_Type[Crisis Type],0),
Heat_Map[[#This Row],[Risk Level]]
),0)</f>
        <v>0</v>
      </c>
    </row>
    <row r="175" spans="2:8" hidden="1" x14ac:dyDescent="0.3">
      <c r="B175" s="2" cm="1">
        <f t="array" ref="B175">ROW()-ROW(Heat_Map[#Headers])</f>
        <v>168</v>
      </c>
      <c r="C175" s="27" t="s">
        <v>361</v>
      </c>
      <c r="D175" s="27"/>
      <c r="E175" s="27"/>
      <c r="F175" s="29" t="str">
        <f>IFERROR(_xlfn.XLOOKUP(Heat_Map[[#This Row],[Crisis]], Crisis_Type[Crisis Type], Crisis_Type[Shock Factor]),"")</f>
        <v/>
      </c>
      <c r="G175" s="29"/>
      <c r="H175" s="32" cm="1">
        <f t="array" ref="H175">IFERROR(
Heat_Map[[#This Row],[Shock Factor]] *
INDEX(
Crisis_Type[[Risk Level 1]:[Risk Level 5]],
MATCH(Heat_Map[[#This Row],[Crisis]],Crisis_Type[Crisis Type],0),
Heat_Map[[#This Row],[Risk Level]]
),0)</f>
        <v>0</v>
      </c>
    </row>
    <row r="176" spans="2:8" hidden="1" x14ac:dyDescent="0.3">
      <c r="B176" s="2" cm="1">
        <f t="array" ref="B176">ROW()-ROW(Heat_Map[#Headers])</f>
        <v>169</v>
      </c>
      <c r="C176" s="27" t="s">
        <v>33</v>
      </c>
      <c r="D176" s="27"/>
      <c r="E176" s="27"/>
      <c r="F176" s="29" t="str">
        <f>IFERROR(_xlfn.XLOOKUP(Heat_Map[[#This Row],[Crisis]], Crisis_Type[Crisis Type], Crisis_Type[Shock Factor]),"")</f>
        <v/>
      </c>
      <c r="G176" s="29"/>
      <c r="H176" s="32" cm="1">
        <f t="array" ref="H176">IFERROR(
Heat_Map[[#This Row],[Shock Factor]] *
INDEX(
Crisis_Type[[Risk Level 1]:[Risk Level 5]],
MATCH(Heat_Map[[#This Row],[Crisis]],Crisis_Type[Crisis Type],0),
Heat_Map[[#This Row],[Risk Level]]
),0)</f>
        <v>0</v>
      </c>
    </row>
    <row r="177" spans="2:8" hidden="1" x14ac:dyDescent="0.3">
      <c r="B177" s="2" cm="1">
        <f t="array" ref="B177">ROW()-ROW(Heat_Map[#Headers])</f>
        <v>170</v>
      </c>
      <c r="C177" s="27" t="s">
        <v>362</v>
      </c>
      <c r="D177" s="27"/>
      <c r="E177" s="27"/>
      <c r="F177" s="29" t="str">
        <f>IFERROR(_xlfn.XLOOKUP(Heat_Map[[#This Row],[Crisis]], Crisis_Type[Crisis Type], Crisis_Type[Shock Factor]),"")</f>
        <v/>
      </c>
      <c r="G177" s="29"/>
      <c r="H177" s="32" cm="1">
        <f t="array" ref="H177">IFERROR(
Heat_Map[[#This Row],[Shock Factor]] *
INDEX(
Crisis_Type[[Risk Level 1]:[Risk Level 5]],
MATCH(Heat_Map[[#This Row],[Crisis]],Crisis_Type[Crisis Type],0),
Heat_Map[[#This Row],[Risk Level]]
),0)</f>
        <v>0</v>
      </c>
    </row>
    <row r="178" spans="2:8" hidden="1" x14ac:dyDescent="0.3">
      <c r="B178" s="2" cm="1">
        <f t="array" ref="B178">ROW()-ROW(Heat_Map[#Headers])</f>
        <v>171</v>
      </c>
      <c r="C178" s="27" t="s">
        <v>363</v>
      </c>
      <c r="D178" s="27"/>
      <c r="E178" s="27"/>
      <c r="F178" s="29" t="str">
        <f>IFERROR(_xlfn.XLOOKUP(Heat_Map[[#This Row],[Crisis]], Crisis_Type[Crisis Type], Crisis_Type[Shock Factor]),"")</f>
        <v/>
      </c>
      <c r="G178" s="29"/>
      <c r="H178" s="32" cm="1">
        <f t="array" ref="H178">IFERROR(
Heat_Map[[#This Row],[Shock Factor]] *
INDEX(
Crisis_Type[[Risk Level 1]:[Risk Level 5]],
MATCH(Heat_Map[[#This Row],[Crisis]],Crisis_Type[Crisis Type],0),
Heat_Map[[#This Row],[Risk Level]]
),0)</f>
        <v>0</v>
      </c>
    </row>
    <row r="179" spans="2:8" hidden="1" x14ac:dyDescent="0.3">
      <c r="B179" s="2" cm="1">
        <f t="array" ref="B179">ROW()-ROW(Heat_Map[#Headers])</f>
        <v>172</v>
      </c>
      <c r="C179" s="27" t="s">
        <v>364</v>
      </c>
      <c r="D179" s="27"/>
      <c r="E179" s="27"/>
      <c r="F179" s="29" t="str">
        <f>IFERROR(_xlfn.XLOOKUP(Heat_Map[[#This Row],[Crisis]], Crisis_Type[Crisis Type], Crisis_Type[Shock Factor]),"")</f>
        <v/>
      </c>
      <c r="G179" s="29"/>
      <c r="H179" s="32" cm="1">
        <f t="array" ref="H179">IFERROR(
Heat_Map[[#This Row],[Shock Factor]] *
INDEX(
Crisis_Type[[Risk Level 1]:[Risk Level 5]],
MATCH(Heat_Map[[#This Row],[Crisis]],Crisis_Type[Crisis Type],0),
Heat_Map[[#This Row],[Risk Level]]
),0)</f>
        <v>0</v>
      </c>
    </row>
    <row r="180" spans="2:8" hidden="1" x14ac:dyDescent="0.3">
      <c r="B180" s="2" cm="1">
        <f t="array" ref="B180">ROW()-ROW(Heat_Map[#Headers])</f>
        <v>173</v>
      </c>
      <c r="C180" s="27" t="s">
        <v>365</v>
      </c>
      <c r="D180" s="27"/>
      <c r="E180" s="27"/>
      <c r="F180" s="29" t="str">
        <f>IFERROR(_xlfn.XLOOKUP(Heat_Map[[#This Row],[Crisis]], Crisis_Type[Crisis Type], Crisis_Type[Shock Factor]),"")</f>
        <v/>
      </c>
      <c r="G180" s="29"/>
      <c r="H180" s="32" cm="1">
        <f t="array" ref="H180">IFERROR(
Heat_Map[[#This Row],[Shock Factor]] *
INDEX(
Crisis_Type[[Risk Level 1]:[Risk Level 5]],
MATCH(Heat_Map[[#This Row],[Crisis]],Crisis_Type[Crisis Type],0),
Heat_Map[[#This Row],[Risk Level]]
),0)</f>
        <v>0</v>
      </c>
    </row>
    <row r="181" spans="2:8" hidden="1" x14ac:dyDescent="0.3">
      <c r="B181" s="2" cm="1">
        <f t="array" ref="B181">ROW()-ROW(Heat_Map[#Headers])</f>
        <v>174</v>
      </c>
      <c r="C181" s="27" t="s">
        <v>366</v>
      </c>
      <c r="D181" s="27"/>
      <c r="E181" s="27"/>
      <c r="F181" s="29" t="str">
        <f>IFERROR(_xlfn.XLOOKUP(Heat_Map[[#This Row],[Crisis]], Crisis_Type[Crisis Type], Crisis_Type[Shock Factor]),"")</f>
        <v/>
      </c>
      <c r="G181" s="29"/>
      <c r="H181" s="32" cm="1">
        <f t="array" ref="H181">IFERROR(
Heat_Map[[#This Row],[Shock Factor]] *
INDEX(
Crisis_Type[[Risk Level 1]:[Risk Level 5]],
MATCH(Heat_Map[[#This Row],[Crisis]],Crisis_Type[Crisis Type],0),
Heat_Map[[#This Row],[Risk Level]]
),0)</f>
        <v>0</v>
      </c>
    </row>
    <row r="182" spans="2:8" ht="43.2" x14ac:dyDescent="0.3">
      <c r="B182" s="67" cm="1">
        <f t="array" ref="B182">ROW()-ROW(Heat_Map[#Headers])</f>
        <v>175</v>
      </c>
      <c r="C182" s="67" t="s">
        <v>34</v>
      </c>
      <c r="D182" s="70" t="s">
        <v>600</v>
      </c>
      <c r="E182" s="67" t="s">
        <v>385</v>
      </c>
      <c r="F182" s="68">
        <f>IFERROR(_xlfn.XLOOKUP(Heat_Map[[#This Row],[Crisis]], Crisis_Type[Crisis Type], Crisis_Type[Shock Factor]),"")</f>
        <v>0.4</v>
      </c>
      <c r="G182" s="68">
        <v>2</v>
      </c>
      <c r="H182" s="69" cm="1">
        <f t="array" ref="H182">IFERROR(
Heat_Map[[#This Row],[Shock Factor]] *
INDEX(
Crisis_Type[[Risk Level 1]:[Risk Level 5]],
MATCH(Heat_Map[[#This Row],[Crisis]],Crisis_Type[Crisis Type],0),
Heat_Map[[#This Row],[Risk Level]]
),0)</f>
        <v>0.1</v>
      </c>
    </row>
    <row r="183" spans="2:8" hidden="1" x14ac:dyDescent="0.3">
      <c r="B183" s="2" cm="1">
        <f t="array" ref="B183">ROW()-ROW(Heat_Map[#Headers])</f>
        <v>176</v>
      </c>
      <c r="C183" s="27" t="s">
        <v>367</v>
      </c>
      <c r="D183" s="27"/>
      <c r="E183" s="27"/>
      <c r="F183" s="29" t="str">
        <f>IFERROR(_xlfn.XLOOKUP(Heat_Map[[#This Row],[Crisis]], Crisis_Type[Crisis Type], Crisis_Type[Shock Factor]),"")</f>
        <v/>
      </c>
      <c r="G183" s="29"/>
      <c r="H183" s="32" cm="1">
        <f t="array" ref="H183">IFERROR(
Heat_Map[[#This Row],[Shock Factor]] *
INDEX(
Crisis_Type[[Risk Level 1]:[Risk Level 5]],
MATCH(Heat_Map[[#This Row],[Crisis]],Crisis_Type[Crisis Type],0),
Heat_Map[[#This Row],[Risk Level]]
),0)</f>
        <v>0</v>
      </c>
    </row>
    <row r="184" spans="2:8" hidden="1" x14ac:dyDescent="0.3">
      <c r="B184" s="2" cm="1">
        <f t="array" ref="B184">ROW()-ROW(Heat_Map[#Headers])</f>
        <v>177</v>
      </c>
      <c r="C184" s="27" t="s">
        <v>368</v>
      </c>
      <c r="D184" s="27"/>
      <c r="E184" s="27"/>
      <c r="F184" s="29" t="str">
        <f>IFERROR(_xlfn.XLOOKUP(Heat_Map[[#This Row],[Crisis]], Crisis_Type[Crisis Type], Crisis_Type[Shock Factor]),"")</f>
        <v/>
      </c>
      <c r="G184" s="29"/>
      <c r="H184" s="32" cm="1">
        <f t="array" ref="H184">IFERROR(
Heat_Map[[#This Row],[Shock Factor]] *
INDEX(
Crisis_Type[[Risk Level 1]:[Risk Level 5]],
MATCH(Heat_Map[[#This Row],[Crisis]],Crisis_Type[Crisis Type],0),
Heat_Map[[#This Row],[Risk Level]]
),0)</f>
        <v>0</v>
      </c>
    </row>
    <row r="185" spans="2:8" hidden="1" x14ac:dyDescent="0.3">
      <c r="B185" s="2" cm="1">
        <f t="array" ref="B185">ROW()-ROW(Heat_Map[#Headers])</f>
        <v>178</v>
      </c>
      <c r="C185" s="27" t="s">
        <v>369</v>
      </c>
      <c r="D185" s="27"/>
      <c r="E185" s="27"/>
      <c r="F185" s="29" t="str">
        <f>IFERROR(_xlfn.XLOOKUP(Heat_Map[[#This Row],[Crisis]], Crisis_Type[Crisis Type], Crisis_Type[Shock Factor]),"")</f>
        <v/>
      </c>
      <c r="G185" s="29"/>
      <c r="H185" s="32" cm="1">
        <f t="array" ref="H185">IFERROR(
Heat_Map[[#This Row],[Shock Factor]] *
INDEX(
Crisis_Type[[Risk Level 1]:[Risk Level 5]],
MATCH(Heat_Map[[#This Row],[Crisis]],Crisis_Type[Crisis Type],0),
Heat_Map[[#This Row],[Risk Level]]
),0)</f>
        <v>0</v>
      </c>
    </row>
    <row r="186" spans="2:8" ht="43.2" x14ac:dyDescent="0.3">
      <c r="B186" s="67" cm="1">
        <f t="array" ref="B186">ROW()-ROW(Heat_Map[#Headers])</f>
        <v>179</v>
      </c>
      <c r="C186" s="67" t="s">
        <v>35</v>
      </c>
      <c r="D186" s="70" t="s">
        <v>601</v>
      </c>
      <c r="E186" s="67" t="s">
        <v>382</v>
      </c>
      <c r="F186" s="68">
        <f>IFERROR(_xlfn.XLOOKUP(Heat_Map[[#This Row],[Crisis]], Crisis_Type[Crisis Type], Crisis_Type[Shock Factor]),"")</f>
        <v>0.6</v>
      </c>
      <c r="G186" s="68">
        <v>4</v>
      </c>
      <c r="H186" s="69" cm="1">
        <f t="array" ref="H186">IFERROR(
Heat_Map[[#This Row],[Shock Factor]] *
INDEX(
Crisis_Type[[Risk Level 1]:[Risk Level 5]],
MATCH(Heat_Map[[#This Row],[Crisis]],Crisis_Type[Crisis Type],0),
Heat_Map[[#This Row],[Risk Level]]
),0)</f>
        <v>0.44999999999999996</v>
      </c>
    </row>
    <row r="187" spans="2:8" hidden="1" x14ac:dyDescent="0.3">
      <c r="B187" s="2" cm="1">
        <f t="array" ref="B187">ROW()-ROW(Heat_Map[#Headers])</f>
        <v>180</v>
      </c>
      <c r="C187" s="27" t="s">
        <v>370</v>
      </c>
      <c r="D187" s="27"/>
      <c r="E187" s="27"/>
      <c r="F187" s="29" t="str">
        <f>IFERROR(_xlfn.XLOOKUP(Heat_Map[[#This Row],[Crisis]], Crisis_Type[Crisis Type], Crisis_Type[Shock Factor]),"")</f>
        <v/>
      </c>
      <c r="G187" s="29"/>
      <c r="H187" s="32" cm="1">
        <f t="array" ref="H187">IFERROR(
Heat_Map[[#This Row],[Shock Factor]] *
INDEX(
Crisis_Type[[Risk Level 1]:[Risk Level 5]],
MATCH(Heat_Map[[#This Row],[Crisis]],Crisis_Type[Crisis Type],0),
Heat_Map[[#This Row],[Risk Level]]
),0)</f>
        <v>0</v>
      </c>
    </row>
    <row r="188" spans="2:8" hidden="1" x14ac:dyDescent="0.3">
      <c r="B188" s="2" cm="1">
        <f t="array" ref="B188">ROW()-ROW(Heat_Map[#Headers])</f>
        <v>181</v>
      </c>
      <c r="C188" s="27" t="s">
        <v>36</v>
      </c>
      <c r="D188" s="27"/>
      <c r="E188" s="27"/>
      <c r="F188" s="29" t="str">
        <f>IFERROR(_xlfn.XLOOKUP(Heat_Map[[#This Row],[Crisis]], Crisis_Type[Crisis Type], Crisis_Type[Shock Factor]),"")</f>
        <v/>
      </c>
      <c r="G188" s="29"/>
      <c r="H188" s="32" cm="1">
        <f t="array" ref="H188">IFERROR(
Heat_Map[[#This Row],[Shock Factor]] *
INDEX(
Crisis_Type[[Risk Level 1]:[Risk Level 5]],
MATCH(Heat_Map[[#This Row],[Crisis]],Crisis_Type[Crisis Type],0),
Heat_Map[[#This Row],[Risk Level]]
),0)</f>
        <v>0</v>
      </c>
    </row>
    <row r="189" spans="2:8" ht="43.2" x14ac:dyDescent="0.3">
      <c r="B189" s="67" cm="1">
        <f t="array" ref="B189">ROW()-ROW(Heat_Map[#Headers])</f>
        <v>182</v>
      </c>
      <c r="C189" s="67" t="s">
        <v>56</v>
      </c>
      <c r="D189" s="70" t="s">
        <v>602</v>
      </c>
      <c r="E189" s="67" t="s">
        <v>385</v>
      </c>
      <c r="F189" s="68">
        <f>IFERROR(_xlfn.XLOOKUP(Heat_Map[[#This Row],[Crisis]], Crisis_Type[Crisis Type], Crisis_Type[Shock Factor]),"")</f>
        <v>0.4</v>
      </c>
      <c r="G189" s="68">
        <v>1</v>
      </c>
      <c r="H189" s="69" cm="1">
        <f t="array" ref="H189">IFERROR(
Heat_Map[[#This Row],[Shock Factor]] *
INDEX(
Crisis_Type[[Risk Level 1]:[Risk Level 5]],
MATCH(Heat_Map[[#This Row],[Crisis]],Crisis_Type[Crisis Type],0),
Heat_Map[[#This Row],[Risk Level]]
),0)</f>
        <v>4.0000000000000008E-2</v>
      </c>
    </row>
    <row r="190" spans="2:8" hidden="1" x14ac:dyDescent="0.3">
      <c r="B190" s="2" cm="1">
        <f t="array" ref="B190">ROW()-ROW(Heat_Map[#Headers])</f>
        <v>183</v>
      </c>
      <c r="C190" s="27" t="s">
        <v>371</v>
      </c>
      <c r="D190" s="27"/>
      <c r="E190" s="27"/>
      <c r="F190" s="29" t="str">
        <f>IFERROR(_xlfn.XLOOKUP(Heat_Map[[#This Row],[Crisis]], Crisis_Type[Crisis Type], Crisis_Type[Shock Factor]),"")</f>
        <v/>
      </c>
      <c r="G190" s="29"/>
      <c r="H190" s="32" cm="1">
        <f t="array" ref="H190">IFERROR(
Heat_Map[[#This Row],[Shock Factor]] *
INDEX(
Crisis_Type[[Risk Level 1]:[Risk Level 5]],
MATCH(Heat_Map[[#This Row],[Crisis]],Crisis_Type[Crisis Type],0),
Heat_Map[[#This Row],[Risk Level]]
),0)</f>
        <v>0</v>
      </c>
    </row>
    <row r="191" spans="2:8" hidden="1" x14ac:dyDescent="0.3">
      <c r="B191" s="2" cm="1">
        <f t="array" ref="B191">ROW()-ROW(Heat_Map[#Headers])</f>
        <v>184</v>
      </c>
      <c r="C191" s="27" t="s">
        <v>372</v>
      </c>
      <c r="D191" s="27"/>
      <c r="E191" s="27"/>
      <c r="F191" s="29" t="str">
        <f>IFERROR(_xlfn.XLOOKUP(Heat_Map[[#This Row],[Crisis]], Crisis_Type[Crisis Type], Crisis_Type[Shock Factor]),"")</f>
        <v/>
      </c>
      <c r="G191" s="29"/>
      <c r="H191" s="32" cm="1">
        <f t="array" ref="H191">IFERROR(
Heat_Map[[#This Row],[Shock Factor]] *
INDEX(
Crisis_Type[[Risk Level 1]:[Risk Level 5]],
MATCH(Heat_Map[[#This Row],[Crisis]],Crisis_Type[Crisis Type],0),
Heat_Map[[#This Row],[Risk Level]]
),0)</f>
        <v>0</v>
      </c>
    </row>
    <row r="192" spans="2:8" hidden="1" x14ac:dyDescent="0.3">
      <c r="B192" s="2" cm="1">
        <f t="array" ref="B192">ROW()-ROW(Heat_Map[#Headers])</f>
        <v>185</v>
      </c>
      <c r="C192" s="27" t="s">
        <v>373</v>
      </c>
      <c r="D192" s="27"/>
      <c r="E192" s="27"/>
      <c r="F192" s="29" t="str">
        <f>IFERROR(_xlfn.XLOOKUP(Heat_Map[[#This Row],[Crisis]], Crisis_Type[Crisis Type], Crisis_Type[Shock Factor]),"")</f>
        <v/>
      </c>
      <c r="G192" s="29"/>
      <c r="H192" s="32" cm="1">
        <f t="array" ref="H192">IFERROR(
Heat_Map[[#This Row],[Shock Factor]] *
INDEX(
Crisis_Type[[Risk Level 1]:[Risk Level 5]],
MATCH(Heat_Map[[#This Row],[Crisis]],Crisis_Type[Crisis Type],0),
Heat_Map[[#This Row],[Risk Level]]
),0)</f>
        <v>0</v>
      </c>
    </row>
    <row r="193" spans="2:8" hidden="1" x14ac:dyDescent="0.3">
      <c r="B193" s="2" cm="1">
        <f t="array" ref="B193">ROW()-ROW(Heat_Map[#Headers])</f>
        <v>186</v>
      </c>
      <c r="C193" s="27" t="s">
        <v>374</v>
      </c>
      <c r="D193" s="27"/>
      <c r="E193" s="27"/>
      <c r="F193" s="29" t="str">
        <f>IFERROR(_xlfn.XLOOKUP(Heat_Map[[#This Row],[Crisis]], Crisis_Type[Crisis Type], Crisis_Type[Shock Factor]),"")</f>
        <v/>
      </c>
      <c r="G193" s="29"/>
      <c r="H193" s="32" cm="1">
        <f t="array" ref="H193">IFERROR(
Heat_Map[[#This Row],[Shock Factor]] *
INDEX(
Crisis_Type[[Risk Level 1]:[Risk Level 5]],
MATCH(Heat_Map[[#This Row],[Crisis]],Crisis_Type[Crisis Type],0),
Heat_Map[[#This Row],[Risk Level]]
),0)</f>
        <v>0</v>
      </c>
    </row>
    <row r="194" spans="2:8" hidden="1" x14ac:dyDescent="0.3">
      <c r="B194" s="2" cm="1">
        <f t="array" ref="B194">ROW()-ROW(Heat_Map[#Headers])</f>
        <v>187</v>
      </c>
      <c r="C194" s="27" t="s">
        <v>375</v>
      </c>
      <c r="D194" s="27"/>
      <c r="E194" s="27"/>
      <c r="F194" s="29" t="str">
        <f>IFERROR(_xlfn.XLOOKUP(Heat_Map[[#This Row],[Crisis]], Crisis_Type[Crisis Type], Crisis_Type[Shock Factor]),"")</f>
        <v/>
      </c>
      <c r="G194" s="29"/>
      <c r="H194" s="32" cm="1">
        <f t="array" ref="H194">IFERROR(
Heat_Map[[#This Row],[Shock Factor]] *
INDEX(
Crisis_Type[[Risk Level 1]:[Risk Level 5]],
MATCH(Heat_Map[[#This Row],[Crisis]],Crisis_Type[Crisis Type],0),
Heat_Map[[#This Row],[Risk Level]]
),0)</f>
        <v>0</v>
      </c>
    </row>
    <row r="195" spans="2:8" hidden="1" x14ac:dyDescent="0.3">
      <c r="B195" s="2" cm="1">
        <f t="array" ref="B195">ROW()-ROW(Heat_Map[#Headers])</f>
        <v>188</v>
      </c>
      <c r="C195" s="27" t="s">
        <v>376</v>
      </c>
      <c r="D195" s="27"/>
      <c r="E195" s="27"/>
      <c r="F195" s="29" t="str">
        <f>IFERROR(_xlfn.XLOOKUP(Heat_Map[[#This Row],[Crisis]], Crisis_Type[Crisis Type], Crisis_Type[Shock Factor]),"")</f>
        <v/>
      </c>
      <c r="G195" s="29"/>
      <c r="H195" s="32" cm="1">
        <f t="array" ref="H195">IFERROR(
Heat_Map[[#This Row],[Shock Factor]] *
INDEX(
Crisis_Type[[Risk Level 1]:[Risk Level 5]],
MATCH(Heat_Map[[#This Row],[Crisis]],Crisis_Type[Crisis Type],0),
Heat_Map[[#This Row],[Risk Level]]
),0)</f>
        <v>0</v>
      </c>
    </row>
    <row r="196" spans="2:8" hidden="1" x14ac:dyDescent="0.3">
      <c r="B196" s="2" cm="1">
        <f t="array" ref="B196">ROW()-ROW(Heat_Map[#Headers])</f>
        <v>189</v>
      </c>
      <c r="C196" s="27" t="s">
        <v>377</v>
      </c>
      <c r="D196" s="27"/>
      <c r="E196" s="27"/>
      <c r="F196" s="29" t="str">
        <f>IFERROR(_xlfn.XLOOKUP(Heat_Map[[#This Row],[Crisis]], Crisis_Type[Crisis Type], Crisis_Type[Shock Factor]),"")</f>
        <v/>
      </c>
      <c r="G196" s="29"/>
      <c r="H196" s="32" cm="1">
        <f t="array" ref="H196">IFERROR(
Heat_Map[[#This Row],[Shock Factor]] *
INDEX(
Crisis_Type[[Risk Level 1]:[Risk Level 5]],
MATCH(Heat_Map[[#This Row],[Crisis]],Crisis_Type[Crisis Type],0),
Heat_Map[[#This Row],[Risk Level]]
),0)</f>
        <v>0</v>
      </c>
    </row>
    <row r="197" spans="2:8" hidden="1" x14ac:dyDescent="0.3">
      <c r="B197" s="2" cm="1">
        <f t="array" ref="B197">ROW()-ROW(Heat_Map[#Headers])</f>
        <v>190</v>
      </c>
      <c r="C197" s="27" t="s">
        <v>378</v>
      </c>
      <c r="D197" s="27"/>
      <c r="E197" s="27"/>
      <c r="F197" s="29" t="str">
        <f>IFERROR(_xlfn.XLOOKUP(Heat_Map[[#This Row],[Crisis]], Crisis_Type[Crisis Type], Crisis_Type[Shock Factor]),"")</f>
        <v/>
      </c>
      <c r="G197" s="29"/>
      <c r="H197" s="32" cm="1">
        <f t="array" ref="H197">IFERROR(
Heat_Map[[#This Row],[Shock Factor]] *
INDEX(
Crisis_Type[[Risk Level 1]:[Risk Level 5]],
MATCH(Heat_Map[[#This Row],[Crisis]],Crisis_Type[Crisis Type],0),
Heat_Map[[#This Row],[Risk Level]]
),0)</f>
        <v>0</v>
      </c>
    </row>
    <row r="198" spans="2:8" hidden="1" x14ac:dyDescent="0.3">
      <c r="B198" s="2" cm="1">
        <f t="array" ref="B198">ROW()-ROW(Heat_Map[#Headers])</f>
        <v>191</v>
      </c>
      <c r="C198" s="27" t="s">
        <v>379</v>
      </c>
      <c r="D198" s="27"/>
      <c r="E198" s="27"/>
      <c r="F198" s="29" t="str">
        <f>IFERROR(_xlfn.XLOOKUP(Heat_Map[[#This Row],[Crisis]], Crisis_Type[Crisis Type], Crisis_Type[Shock Factor]),"")</f>
        <v/>
      </c>
      <c r="G198" s="29"/>
      <c r="H198" s="32" cm="1">
        <f t="array" ref="H198">IFERROR(
Heat_Map[[#This Row],[Shock Factor]] *
INDEX(
Crisis_Type[[Risk Level 1]:[Risk Level 5]],
MATCH(Heat_Map[[#This Row],[Crisis]],Crisis_Type[Crisis Type],0),
Heat_Map[[#This Row],[Risk Level]]
),0)</f>
        <v>0</v>
      </c>
    </row>
    <row r="200" spans="2:8" x14ac:dyDescent="0.3">
      <c r="B200" s="71"/>
      <c r="C200" s="71"/>
      <c r="D200" s="71"/>
      <c r="E200" s="71"/>
      <c r="F200" s="71"/>
      <c r="G200" s="71"/>
      <c r="H200" s="71"/>
    </row>
    <row r="201" spans="2:8" x14ac:dyDescent="0.3">
      <c r="B201" s="72"/>
      <c r="C201" s="72"/>
      <c r="D201" s="72"/>
      <c r="E201" s="72"/>
      <c r="F201" s="72"/>
      <c r="G201" s="72"/>
      <c r="H201" s="73"/>
    </row>
    <row r="202" spans="2:8" x14ac:dyDescent="0.3">
      <c r="B202" s="72"/>
      <c r="C202" s="72"/>
      <c r="D202" s="72"/>
      <c r="E202" s="72"/>
      <c r="F202" s="72"/>
      <c r="G202" s="72"/>
      <c r="H202" s="73"/>
    </row>
    <row r="203" spans="2:8" x14ac:dyDescent="0.3">
      <c r="B203" s="72"/>
      <c r="C203" s="72"/>
      <c r="D203" s="72"/>
      <c r="E203" s="72"/>
      <c r="F203" s="72"/>
      <c r="G203" s="72"/>
      <c r="H203" s="73"/>
    </row>
    <row r="204" spans="2:8" x14ac:dyDescent="0.3">
      <c r="B204" s="72"/>
      <c r="C204" s="72"/>
      <c r="D204" s="72"/>
      <c r="E204" s="72"/>
      <c r="F204" s="72"/>
      <c r="G204" s="72"/>
      <c r="H204" s="73"/>
    </row>
    <row r="205" spans="2:8" x14ac:dyDescent="0.3">
      <c r="B205" s="72"/>
      <c r="C205" s="72"/>
      <c r="D205" s="72"/>
      <c r="E205" s="72"/>
      <c r="F205" s="72"/>
      <c r="G205" s="72"/>
      <c r="H205" s="73"/>
    </row>
    <row r="206" spans="2:8" x14ac:dyDescent="0.3">
      <c r="B206" s="72"/>
      <c r="C206" s="72"/>
      <c r="D206" s="72"/>
      <c r="E206" s="72"/>
      <c r="F206" s="72"/>
      <c r="G206" s="72"/>
      <c r="H206" s="73"/>
    </row>
    <row r="207" spans="2:8" x14ac:dyDescent="0.3">
      <c r="B207" s="72"/>
      <c r="C207" s="72"/>
      <c r="D207" s="72"/>
      <c r="E207" s="72"/>
      <c r="F207" s="72"/>
      <c r="G207" s="72"/>
      <c r="H207" s="73"/>
    </row>
    <row r="208" spans="2:8" x14ac:dyDescent="0.3">
      <c r="B208" s="72"/>
      <c r="C208" s="72"/>
      <c r="D208" s="72"/>
      <c r="E208" s="72"/>
      <c r="F208" s="72"/>
      <c r="G208" s="72"/>
      <c r="H208" s="73"/>
    </row>
    <row r="209" spans="2:8" x14ac:dyDescent="0.3">
      <c r="B209" s="72"/>
      <c r="C209" s="72"/>
      <c r="D209" s="72"/>
      <c r="E209" s="72"/>
      <c r="F209" s="72"/>
      <c r="G209" s="72"/>
      <c r="H209" s="73"/>
    </row>
    <row r="210" spans="2:8" x14ac:dyDescent="0.3">
      <c r="B210" s="72"/>
      <c r="C210" s="72"/>
      <c r="D210" s="72"/>
      <c r="E210" s="72"/>
      <c r="F210" s="72"/>
      <c r="G210" s="72"/>
      <c r="H210" s="73"/>
    </row>
    <row r="211" spans="2:8" x14ac:dyDescent="0.3">
      <c r="B211" s="72"/>
      <c r="C211" s="72"/>
      <c r="D211" s="72"/>
      <c r="E211" s="72"/>
      <c r="F211" s="72"/>
      <c r="G211" s="72"/>
      <c r="H211" s="73"/>
    </row>
  </sheetData>
  <mergeCells count="1">
    <mergeCell ref="B2:C3"/>
  </mergeCells>
  <dataValidations disablePrompts="1" count="1">
    <dataValidation type="list" allowBlank="1" showInputMessage="1" showErrorMessage="1" sqref="E8:E198" xr:uid="{75A3F491-6301-46E7-8744-2D8F26417EBE}">
      <formula1>"Geopolitical,Financial,Logistics,Natural,Regulatory"</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50330-2F97-4171-A2BA-8755B1637F09}">
  <sheetPr codeName="Sheet4">
    <tabColor rgb="FFFF0000"/>
  </sheetPr>
  <dimension ref="A1:IA46"/>
  <sheetViews>
    <sheetView showGridLines="0" showRowColHeaders="0" tabSelected="1" zoomScale="85" zoomScaleNormal="85" workbookViewId="0">
      <selection activeCell="AQ8" sqref="AQ8:HN42"/>
    </sheetView>
  </sheetViews>
  <sheetFormatPr defaultColWidth="0" defaultRowHeight="14.4" zeroHeight="1" x14ac:dyDescent="0.3"/>
  <cols>
    <col min="1" max="223" width="0.77734375" customWidth="1"/>
    <col min="224" max="235" width="0" hidden="1" customWidth="1"/>
    <col min="236" max="16384" width="8.77734375" hidden="1"/>
  </cols>
  <sheetData>
    <row r="1" spans="1:223" ht="4.95" customHeight="1" x14ac:dyDescent="0.3">
      <c r="A1" s="63"/>
      <c r="B1" s="63"/>
      <c r="C1" s="63"/>
      <c r="D1" s="63"/>
      <c r="E1" s="63"/>
      <c r="F1" s="63"/>
      <c r="G1" s="63"/>
      <c r="H1" s="63"/>
      <c r="I1" s="63"/>
      <c r="J1" s="63"/>
      <c r="K1" s="63"/>
      <c r="L1" s="63"/>
      <c r="M1" s="63"/>
      <c r="N1" s="63"/>
      <c r="O1" s="63"/>
      <c r="P1" s="63"/>
      <c r="Q1" s="63"/>
      <c r="R1" s="63"/>
      <c r="S1" s="63"/>
      <c r="T1" s="63"/>
      <c r="U1" s="63"/>
      <c r="V1" s="63"/>
      <c r="W1" s="63"/>
      <c r="X1" s="63"/>
      <c r="Y1" s="63"/>
      <c r="Z1" s="63"/>
      <c r="AA1" s="63"/>
      <c r="AB1" s="63"/>
      <c r="AC1" s="63"/>
      <c r="AD1" s="63"/>
      <c r="AE1" s="63"/>
      <c r="AF1" s="63"/>
      <c r="AG1" s="63"/>
      <c r="AH1" s="63"/>
      <c r="AI1" s="63"/>
      <c r="AJ1" s="63"/>
      <c r="AK1" s="63"/>
      <c r="AL1" s="63"/>
      <c r="AM1" s="63"/>
      <c r="AN1" s="63"/>
      <c r="AO1" s="63"/>
      <c r="AP1" s="63"/>
      <c r="AQ1" s="63"/>
      <c r="AR1" s="63"/>
      <c r="AS1" s="63"/>
      <c r="AT1" s="63"/>
      <c r="AU1" s="63"/>
      <c r="AV1" s="63"/>
      <c r="AW1" s="63"/>
      <c r="AX1" s="63"/>
      <c r="AY1" s="63"/>
      <c r="AZ1" s="63"/>
      <c r="BA1" s="63"/>
      <c r="BB1" s="63"/>
      <c r="BC1" s="63"/>
      <c r="BD1" s="63"/>
      <c r="BE1" s="63"/>
      <c r="BF1" s="63"/>
      <c r="BG1" s="63"/>
      <c r="BH1" s="63"/>
      <c r="BI1" s="63"/>
      <c r="BJ1" s="63"/>
      <c r="BK1" s="63"/>
      <c r="BL1" s="63"/>
      <c r="BM1" s="63"/>
      <c r="BN1" s="63"/>
      <c r="BO1" s="63"/>
      <c r="BP1" s="63"/>
      <c r="BQ1" s="63"/>
      <c r="BR1" s="63"/>
      <c r="BS1" s="63"/>
      <c r="BT1" s="63"/>
      <c r="BU1" s="63"/>
      <c r="BV1" s="63"/>
      <c r="BW1" s="63"/>
      <c r="BX1" s="63"/>
      <c r="BY1" s="63"/>
      <c r="BZ1" s="63"/>
      <c r="CA1" s="63"/>
      <c r="CB1" s="63"/>
      <c r="CC1" s="63"/>
      <c r="CD1" s="63"/>
      <c r="CE1" s="63"/>
      <c r="CF1" s="63"/>
      <c r="CG1" s="63"/>
      <c r="CH1" s="63"/>
      <c r="CI1" s="63"/>
      <c r="CJ1" s="63"/>
      <c r="CK1" s="63"/>
      <c r="CL1" s="63"/>
      <c r="CM1" s="63"/>
      <c r="CN1" s="63"/>
      <c r="CO1" s="63"/>
      <c r="CP1" s="63"/>
      <c r="CQ1" s="63"/>
      <c r="CR1" s="63"/>
      <c r="CS1" s="63"/>
      <c r="CT1" s="63"/>
      <c r="CU1" s="63"/>
      <c r="CV1" s="63"/>
      <c r="CW1" s="63"/>
      <c r="CX1" s="63"/>
      <c r="CY1" s="63"/>
      <c r="CZ1" s="63"/>
      <c r="DA1" s="63"/>
      <c r="DB1" s="63"/>
      <c r="DC1" s="63"/>
      <c r="DD1" s="63"/>
      <c r="DE1" s="63"/>
      <c r="DF1" s="63"/>
      <c r="DG1" s="63"/>
      <c r="DH1" s="63"/>
      <c r="DI1" s="63"/>
      <c r="DJ1" s="63"/>
      <c r="DK1" s="63"/>
      <c r="DL1" s="63"/>
      <c r="DM1" s="63"/>
      <c r="DN1" s="63"/>
      <c r="DO1" s="63"/>
      <c r="DP1" s="63"/>
      <c r="DQ1" s="63"/>
      <c r="DR1" s="63"/>
      <c r="DS1" s="63"/>
      <c r="DT1" s="63"/>
      <c r="DU1" s="63"/>
      <c r="DV1" s="63"/>
      <c r="DW1" s="63"/>
      <c r="DX1" s="63"/>
      <c r="DY1" s="63"/>
      <c r="DZ1" s="63"/>
      <c r="EA1" s="63"/>
      <c r="EB1" s="63"/>
      <c r="EC1" s="63"/>
      <c r="ED1" s="63"/>
      <c r="EE1" s="63"/>
      <c r="EF1" s="63"/>
      <c r="EG1" s="63"/>
      <c r="EH1" s="63"/>
      <c r="EI1" s="63"/>
      <c r="EJ1" s="63"/>
      <c r="EK1" s="63"/>
      <c r="EL1" s="63"/>
      <c r="EM1" s="63"/>
      <c r="EN1" s="63"/>
      <c r="EO1" s="63"/>
      <c r="EP1" s="63"/>
      <c r="EQ1" s="63"/>
      <c r="ER1" s="63"/>
      <c r="ES1" s="63"/>
      <c r="ET1" s="63"/>
      <c r="EU1" s="63"/>
      <c r="EV1" s="63"/>
      <c r="EW1" s="63"/>
      <c r="EX1" s="63"/>
      <c r="EY1" s="63"/>
      <c r="EZ1" s="63"/>
      <c r="FA1" s="63"/>
      <c r="FB1" s="63"/>
      <c r="FC1" s="63"/>
      <c r="FD1" s="63"/>
      <c r="FE1" s="63"/>
      <c r="FF1" s="63"/>
      <c r="FG1" s="63"/>
      <c r="FH1" s="63"/>
      <c r="FI1" s="63"/>
      <c r="FJ1" s="63"/>
      <c r="FK1" s="63"/>
      <c r="FL1" s="63"/>
      <c r="FM1" s="63"/>
      <c r="FN1" s="63"/>
      <c r="FO1" s="63"/>
      <c r="FP1" s="63"/>
      <c r="FQ1" s="63"/>
      <c r="FR1" s="63"/>
      <c r="FS1" s="63"/>
      <c r="FT1" s="63"/>
      <c r="FU1" s="63"/>
      <c r="FV1" s="63"/>
      <c r="FW1" s="63"/>
      <c r="FX1" s="63"/>
      <c r="FY1" s="63"/>
      <c r="FZ1" s="63"/>
      <c r="GA1" s="63"/>
      <c r="GB1" s="63"/>
      <c r="GC1" s="63"/>
      <c r="GD1" s="63"/>
      <c r="GE1" s="63"/>
      <c r="GF1" s="63"/>
      <c r="GG1" s="63"/>
      <c r="GH1" s="63"/>
      <c r="GI1" s="63"/>
      <c r="GJ1" s="63"/>
      <c r="GK1" s="63"/>
      <c r="GL1" s="63"/>
      <c r="GM1" s="63"/>
      <c r="GN1" s="63"/>
      <c r="GO1" s="63"/>
      <c r="GP1" s="63"/>
      <c r="GQ1" s="63"/>
      <c r="GR1" s="63"/>
      <c r="GS1" s="63"/>
      <c r="GT1" s="63"/>
      <c r="GU1" s="63"/>
      <c r="GV1" s="63"/>
      <c r="GW1" s="63"/>
      <c r="GX1" s="63"/>
      <c r="GY1" s="63"/>
      <c r="GZ1" s="63"/>
      <c r="HA1" s="63"/>
      <c r="HB1" s="63"/>
      <c r="HC1" s="63"/>
      <c r="HD1" s="63"/>
      <c r="HE1" s="63"/>
      <c r="HF1" s="63"/>
      <c r="HG1" s="63"/>
      <c r="HH1" s="63"/>
      <c r="HI1" s="63"/>
      <c r="HJ1" s="63"/>
      <c r="HK1" s="63"/>
      <c r="HL1" s="63"/>
      <c r="HM1" s="63"/>
      <c r="HN1" s="63"/>
      <c r="HO1" s="63"/>
    </row>
    <row r="2" spans="1:223" x14ac:dyDescent="0.3">
      <c r="A2" s="63"/>
      <c r="B2" s="63"/>
      <c r="C2" s="63"/>
      <c r="D2" s="63"/>
      <c r="E2" s="63"/>
      <c r="F2" s="63"/>
      <c r="G2" s="63"/>
      <c r="H2" s="63"/>
      <c r="I2" s="63"/>
      <c r="J2" s="63"/>
      <c r="K2" s="63"/>
      <c r="L2" s="63"/>
      <c r="M2" s="63"/>
      <c r="N2" s="63"/>
      <c r="O2" s="63"/>
      <c r="P2" s="63"/>
      <c r="Q2" s="63"/>
      <c r="R2" s="63"/>
      <c r="S2" s="63"/>
      <c r="T2" s="63"/>
      <c r="U2" s="63"/>
      <c r="V2" s="63"/>
      <c r="W2" s="63"/>
      <c r="X2" s="63"/>
      <c r="Y2" s="63"/>
      <c r="Z2" s="63"/>
      <c r="AA2" s="63"/>
      <c r="AB2" s="63"/>
      <c r="AC2" s="63"/>
      <c r="AD2" s="63"/>
      <c r="AE2" s="63"/>
      <c r="AF2" s="63"/>
      <c r="AG2" s="63"/>
      <c r="AH2" s="63"/>
      <c r="AI2" s="63"/>
      <c r="AJ2" s="63"/>
      <c r="AK2" s="63"/>
      <c r="AL2" s="63"/>
      <c r="AM2" s="63"/>
      <c r="AN2" s="63"/>
      <c r="AO2" s="63"/>
      <c r="AP2" s="63"/>
      <c r="AQ2" s="63"/>
      <c r="AR2" s="63"/>
      <c r="AS2" s="63"/>
      <c r="AT2" s="63"/>
      <c r="AU2" s="63"/>
      <c r="AV2" s="63"/>
      <c r="AW2" s="63"/>
      <c r="AX2" s="63"/>
      <c r="AY2" s="63"/>
      <c r="AZ2" s="63"/>
      <c r="BA2" s="63"/>
      <c r="BB2" s="63"/>
      <c r="BC2" s="63"/>
      <c r="BD2" s="63"/>
      <c r="BE2" s="63"/>
      <c r="BF2" s="63"/>
      <c r="BG2" s="63"/>
      <c r="BH2" s="63"/>
      <c r="BI2" s="63"/>
      <c r="BJ2" s="63"/>
      <c r="BK2" s="63"/>
      <c r="BL2" s="63"/>
      <c r="BM2" s="63"/>
      <c r="BN2" s="63"/>
      <c r="BO2" s="63"/>
      <c r="BP2" s="63"/>
      <c r="BQ2" s="63"/>
      <c r="BR2" s="63"/>
      <c r="BS2" s="63"/>
      <c r="BT2" s="63"/>
      <c r="BU2" s="63"/>
      <c r="BV2" s="63"/>
      <c r="BW2" s="63"/>
      <c r="BX2" s="63"/>
      <c r="BY2" s="63"/>
      <c r="BZ2" s="63"/>
      <c r="CA2" s="63"/>
      <c r="CB2" s="63"/>
      <c r="CC2" s="63"/>
      <c r="CD2" s="63"/>
      <c r="CE2" s="63"/>
      <c r="CF2" s="63"/>
      <c r="CG2" s="63"/>
      <c r="CH2" s="63"/>
      <c r="CI2" s="63"/>
      <c r="CJ2" s="63"/>
      <c r="CK2" s="63"/>
      <c r="CL2" s="63"/>
      <c r="CM2" s="63"/>
      <c r="CN2" s="63"/>
      <c r="CO2" s="63"/>
      <c r="CP2" s="63"/>
      <c r="CQ2" s="63"/>
      <c r="CR2" s="63"/>
      <c r="CS2" s="63"/>
      <c r="CT2" s="63"/>
      <c r="CU2" s="63"/>
      <c r="CV2" s="63"/>
      <c r="CW2" s="63"/>
      <c r="CX2" s="63"/>
      <c r="CY2" s="63"/>
      <c r="CZ2" s="63"/>
      <c r="DA2" s="63"/>
      <c r="DB2" s="63"/>
      <c r="DC2" s="63"/>
      <c r="DD2" s="63"/>
      <c r="DE2" s="63"/>
      <c r="DF2" s="63"/>
      <c r="DG2" s="63"/>
      <c r="DH2" s="63"/>
      <c r="DI2" s="63"/>
      <c r="DJ2" s="63"/>
      <c r="DK2" s="63"/>
      <c r="DL2" s="63"/>
      <c r="DM2" s="63"/>
      <c r="DN2" s="63"/>
      <c r="DO2" s="63"/>
      <c r="DP2" s="63"/>
      <c r="DQ2" s="63"/>
      <c r="DR2" s="63"/>
      <c r="DS2" s="63"/>
      <c r="DT2" s="63"/>
      <c r="DU2" s="63"/>
      <c r="DV2" s="63"/>
      <c r="DW2" s="63"/>
      <c r="DX2" s="63"/>
      <c r="DY2" s="63"/>
      <c r="DZ2" s="63"/>
      <c r="EA2" s="63"/>
      <c r="EB2" s="63"/>
      <c r="EC2" s="63"/>
      <c r="ED2" s="63"/>
      <c r="EE2" s="63"/>
      <c r="EF2" s="63"/>
      <c r="EG2" s="63"/>
      <c r="EH2" s="63"/>
      <c r="EI2" s="63"/>
      <c r="EJ2" s="63"/>
      <c r="EK2" s="63"/>
      <c r="EL2" s="63"/>
      <c r="EM2" s="63"/>
      <c r="EN2" s="63"/>
      <c r="EO2" s="63"/>
      <c r="EP2" s="63"/>
      <c r="EQ2" s="63"/>
      <c r="ER2" s="63"/>
      <c r="ES2" s="63"/>
      <c r="ET2" s="63"/>
      <c r="EU2" s="63"/>
      <c r="EV2" s="63"/>
      <c r="EW2" s="63"/>
      <c r="EX2" s="63"/>
      <c r="EY2" s="63"/>
      <c r="EZ2" s="63"/>
      <c r="FA2" s="63"/>
      <c r="FB2" s="63"/>
      <c r="FC2" s="63"/>
      <c r="FD2" s="63"/>
      <c r="FE2" s="63"/>
      <c r="FF2" s="63"/>
      <c r="FG2" s="63"/>
      <c r="FH2" s="63"/>
      <c r="FI2" s="63"/>
      <c r="FJ2" s="63"/>
      <c r="FK2" s="63"/>
      <c r="FL2" s="63"/>
      <c r="FM2" s="63"/>
      <c r="FN2" s="63"/>
      <c r="FO2" s="63"/>
      <c r="FP2" s="63"/>
      <c r="FQ2" s="63"/>
      <c r="FR2" s="63"/>
      <c r="FS2" s="63"/>
      <c r="FT2" s="63"/>
      <c r="FU2" s="63"/>
      <c r="FV2" s="63"/>
      <c r="FW2" s="63"/>
      <c r="FX2" s="63"/>
      <c r="FY2" s="63"/>
      <c r="FZ2" s="63"/>
      <c r="GA2" s="63"/>
      <c r="GB2" s="63"/>
      <c r="GC2" s="63"/>
      <c r="GD2" s="63"/>
      <c r="GE2" s="63"/>
      <c r="GF2" s="63"/>
      <c r="GG2" s="63"/>
      <c r="GH2" s="63"/>
      <c r="GI2" s="63"/>
      <c r="GJ2" s="63"/>
      <c r="GK2" s="63"/>
      <c r="GL2" s="63"/>
      <c r="GM2" s="63"/>
      <c r="GN2" s="63"/>
      <c r="GO2" s="63"/>
      <c r="GP2" s="63"/>
      <c r="GQ2" s="63"/>
      <c r="GR2" s="63"/>
      <c r="GS2" s="63"/>
      <c r="GT2" s="63"/>
      <c r="GU2" s="63"/>
      <c r="GV2" s="63"/>
      <c r="GW2" s="63"/>
      <c r="GX2" s="63"/>
      <c r="GY2" s="63"/>
      <c r="GZ2" s="63"/>
      <c r="HA2" s="63"/>
      <c r="HB2" s="63"/>
      <c r="HC2" s="63"/>
      <c r="HD2" s="63"/>
      <c r="HE2" s="63"/>
      <c r="HF2" s="63"/>
      <c r="HG2" s="63"/>
      <c r="HH2" s="63"/>
      <c r="HI2" s="63"/>
      <c r="HJ2" s="63"/>
      <c r="HK2" s="63"/>
      <c r="HL2" s="63"/>
      <c r="HM2" s="63"/>
      <c r="HN2" s="63"/>
      <c r="HO2" s="63"/>
    </row>
    <row r="3" spans="1:223" x14ac:dyDescent="0.3">
      <c r="A3" s="63"/>
      <c r="B3" s="63"/>
      <c r="C3" s="63"/>
      <c r="D3" s="63"/>
      <c r="E3" s="63"/>
      <c r="F3" s="63"/>
      <c r="G3" s="63"/>
      <c r="H3" s="63"/>
      <c r="I3" s="63"/>
      <c r="J3" s="63"/>
      <c r="K3" s="63"/>
      <c r="L3" s="63"/>
      <c r="M3" s="63"/>
      <c r="N3" s="63"/>
      <c r="O3" s="63"/>
      <c r="P3" s="63"/>
      <c r="Q3" s="63"/>
      <c r="R3" s="63"/>
      <c r="S3" s="63"/>
      <c r="T3" s="63"/>
      <c r="U3" s="63"/>
      <c r="V3" s="63"/>
      <c r="W3" s="63"/>
      <c r="X3" s="63"/>
      <c r="Y3" s="63"/>
      <c r="Z3" s="63"/>
      <c r="AA3" s="63"/>
      <c r="AB3" s="63"/>
      <c r="AC3" s="63"/>
      <c r="AD3" s="63"/>
      <c r="AE3" s="63"/>
      <c r="AF3" s="63"/>
      <c r="AG3" s="63"/>
      <c r="AH3" s="63"/>
      <c r="AI3" s="63"/>
      <c r="AJ3" s="63"/>
      <c r="AK3" s="63"/>
      <c r="AL3" s="63"/>
      <c r="AM3" s="63"/>
      <c r="AN3" s="63"/>
      <c r="AO3" s="63"/>
      <c r="AP3" s="63"/>
      <c r="AQ3" s="63"/>
      <c r="AR3" s="63"/>
      <c r="AS3" s="63"/>
      <c r="AT3" s="63"/>
      <c r="AU3" s="63"/>
      <c r="AV3" s="63"/>
      <c r="AW3" s="63"/>
      <c r="AX3" s="63"/>
      <c r="AY3" s="63"/>
      <c r="AZ3" s="63"/>
      <c r="BA3" s="63"/>
      <c r="BB3" s="63"/>
      <c r="BC3" s="63"/>
      <c r="BD3" s="63"/>
      <c r="BE3" s="63"/>
      <c r="BF3" s="63"/>
      <c r="BG3" s="63"/>
      <c r="BH3" s="63"/>
      <c r="BI3" s="63"/>
      <c r="BJ3" s="63"/>
      <c r="BK3" s="63"/>
      <c r="BL3" s="63"/>
      <c r="BM3" s="63"/>
      <c r="BN3" s="63"/>
      <c r="BO3" s="63"/>
      <c r="BP3" s="63"/>
      <c r="BQ3" s="63"/>
      <c r="BR3" s="63"/>
      <c r="BS3" s="63"/>
      <c r="BT3" s="63"/>
      <c r="BU3" s="63"/>
      <c r="BV3" s="63"/>
      <c r="BW3" s="63"/>
      <c r="BX3" s="63"/>
      <c r="BY3" s="63"/>
      <c r="BZ3" s="63"/>
      <c r="CA3" s="63"/>
      <c r="CB3" s="63"/>
      <c r="CC3" s="63"/>
      <c r="CD3" s="63"/>
      <c r="CE3" s="63"/>
      <c r="CF3" s="63"/>
      <c r="CG3" s="63"/>
      <c r="CH3" s="63"/>
      <c r="CI3" s="63"/>
      <c r="CJ3" s="63"/>
      <c r="CK3" s="63"/>
      <c r="CL3" s="63"/>
      <c r="CM3" s="63"/>
      <c r="CN3" s="63"/>
      <c r="CO3" s="63"/>
      <c r="CP3" s="63"/>
      <c r="CQ3" s="63"/>
      <c r="CR3" s="63"/>
      <c r="CS3" s="63"/>
      <c r="CT3" s="63"/>
      <c r="CU3" s="63"/>
      <c r="CV3" s="63"/>
      <c r="CW3" s="63"/>
      <c r="CX3" s="63"/>
      <c r="CY3" s="63"/>
      <c r="CZ3" s="63"/>
      <c r="DA3" s="63"/>
      <c r="DB3" s="63"/>
      <c r="DC3" s="63"/>
      <c r="DD3" s="63"/>
      <c r="DE3" s="63"/>
      <c r="DF3" s="63"/>
      <c r="DG3" s="63"/>
      <c r="DH3" s="63"/>
      <c r="DI3" s="63"/>
      <c r="DJ3" s="63"/>
      <c r="DK3" s="63"/>
      <c r="DL3" s="63"/>
      <c r="DM3" s="63"/>
      <c r="DN3" s="63"/>
      <c r="DO3" s="63"/>
      <c r="DP3" s="63"/>
      <c r="DQ3" s="63"/>
      <c r="DR3" s="63"/>
      <c r="DS3" s="63"/>
      <c r="DT3" s="63"/>
      <c r="DU3" s="63"/>
      <c r="DV3" s="63"/>
      <c r="DW3" s="63"/>
      <c r="DX3" s="63"/>
      <c r="DY3" s="63"/>
      <c r="DZ3" s="63"/>
      <c r="EA3" s="63"/>
      <c r="EB3" s="63"/>
      <c r="EC3" s="63"/>
      <c r="ED3" s="63"/>
      <c r="EE3" s="63"/>
      <c r="EF3" s="63"/>
      <c r="EG3" s="63"/>
      <c r="EH3" s="63"/>
      <c r="EI3" s="63"/>
      <c r="EJ3" s="63"/>
      <c r="EK3" s="63"/>
      <c r="EL3" s="63"/>
      <c r="EM3" s="63"/>
      <c r="EN3" s="63"/>
      <c r="EO3" s="63"/>
      <c r="EP3" s="63"/>
      <c r="EQ3" s="63"/>
      <c r="ER3" s="63"/>
      <c r="ES3" s="63"/>
      <c r="ET3" s="63"/>
      <c r="EU3" s="63"/>
      <c r="EV3" s="63"/>
      <c r="EW3" s="63"/>
      <c r="EX3" s="63"/>
      <c r="EY3" s="63"/>
      <c r="EZ3" s="63"/>
      <c r="FA3" s="63"/>
      <c r="FB3" s="63"/>
      <c r="FC3" s="63"/>
      <c r="FD3" s="63"/>
      <c r="FE3" s="63"/>
      <c r="FF3" s="63"/>
      <c r="FG3" s="63"/>
      <c r="FH3" s="63"/>
      <c r="FI3" s="63"/>
      <c r="FJ3" s="63"/>
      <c r="FK3" s="63"/>
      <c r="FL3" s="63"/>
      <c r="FM3" s="63"/>
      <c r="FN3" s="63"/>
      <c r="FO3" s="63"/>
      <c r="FP3" s="63"/>
      <c r="FQ3" s="63"/>
      <c r="FR3" s="63"/>
      <c r="FS3" s="63"/>
      <c r="FT3" s="63"/>
      <c r="FU3" s="63"/>
      <c r="FV3" s="63"/>
      <c r="FW3" s="63"/>
      <c r="FX3" s="63"/>
      <c r="FY3" s="63"/>
      <c r="FZ3" s="63"/>
      <c r="GA3" s="63"/>
      <c r="GB3" s="63"/>
      <c r="GC3" s="63"/>
      <c r="GD3" s="63"/>
      <c r="GE3" s="63"/>
      <c r="GF3" s="63"/>
      <c r="GG3" s="63"/>
      <c r="GH3" s="63"/>
      <c r="GI3" s="63"/>
      <c r="GJ3" s="63"/>
      <c r="GK3" s="63"/>
      <c r="GL3" s="63"/>
      <c r="GM3" s="63"/>
      <c r="GN3" s="63"/>
      <c r="GO3" s="63"/>
      <c r="GP3" s="63"/>
      <c r="GQ3" s="63"/>
      <c r="GR3" s="63"/>
      <c r="GS3" s="63"/>
      <c r="GT3" s="63"/>
      <c r="GU3" s="63"/>
      <c r="GV3" s="63"/>
      <c r="GW3" s="63"/>
      <c r="GX3" s="63"/>
      <c r="GY3" s="63"/>
      <c r="GZ3" s="63"/>
      <c r="HA3" s="63"/>
      <c r="HB3" s="63"/>
      <c r="HC3" s="63"/>
      <c r="HD3" s="63"/>
      <c r="HE3" s="63"/>
      <c r="HF3" s="63"/>
      <c r="HG3" s="63"/>
      <c r="HH3" s="63"/>
      <c r="HI3" s="63"/>
      <c r="HJ3" s="63"/>
      <c r="HK3" s="63"/>
      <c r="HL3" s="63"/>
      <c r="HM3" s="63"/>
      <c r="HN3" s="63"/>
      <c r="HO3" s="63"/>
    </row>
    <row r="4" spans="1:223" x14ac:dyDescent="0.3">
      <c r="A4" s="63"/>
      <c r="B4" s="63"/>
      <c r="C4" s="63"/>
      <c r="D4" s="63"/>
      <c r="E4" s="63"/>
      <c r="F4" s="63"/>
      <c r="G4" s="63"/>
      <c r="H4" s="63"/>
      <c r="I4" s="63"/>
      <c r="J4" s="63"/>
      <c r="K4" s="63"/>
      <c r="L4" s="63"/>
      <c r="M4" s="63"/>
      <c r="N4" s="63"/>
      <c r="O4" s="63"/>
      <c r="P4" s="63"/>
      <c r="Q4" s="63"/>
      <c r="R4" s="63"/>
      <c r="S4" s="63"/>
      <c r="T4" s="63"/>
      <c r="U4" s="63"/>
      <c r="V4" s="63"/>
      <c r="W4" s="63"/>
      <c r="X4" s="63"/>
      <c r="Y4" s="63"/>
      <c r="Z4" s="63"/>
      <c r="AA4" s="63"/>
      <c r="AB4" s="63"/>
      <c r="AC4" s="63"/>
      <c r="AD4" s="63"/>
      <c r="AE4" s="63"/>
      <c r="AF4" s="63"/>
      <c r="AG4" s="63"/>
      <c r="AH4" s="63"/>
      <c r="AI4" s="63"/>
      <c r="AJ4" s="63"/>
      <c r="AK4" s="63"/>
      <c r="AL4" s="63"/>
      <c r="AM4" s="63"/>
      <c r="AN4" s="63"/>
      <c r="AO4" s="63"/>
      <c r="AP4" s="63"/>
      <c r="AQ4" s="63"/>
      <c r="AR4" s="63"/>
      <c r="AS4" s="63"/>
      <c r="AT4" s="63"/>
      <c r="AU4" s="63"/>
      <c r="AV4" s="63"/>
      <c r="AW4" s="63"/>
      <c r="AX4" s="63"/>
      <c r="AY4" s="63"/>
      <c r="AZ4" s="63"/>
      <c r="BA4" s="63"/>
      <c r="BB4" s="63"/>
      <c r="BC4" s="63"/>
      <c r="BD4" s="63"/>
      <c r="BE4" s="63"/>
      <c r="BF4" s="63"/>
      <c r="BG4" s="63"/>
      <c r="BH4" s="63"/>
      <c r="BI4" s="63"/>
      <c r="BJ4" s="63"/>
      <c r="BK4" s="63"/>
      <c r="BL4" s="63"/>
      <c r="BM4" s="63"/>
      <c r="BN4" s="63"/>
      <c r="BO4" s="63"/>
      <c r="BP4" s="63"/>
      <c r="BQ4" s="63"/>
      <c r="BR4" s="63"/>
      <c r="BS4" s="63"/>
      <c r="BT4" s="63"/>
      <c r="BU4" s="63"/>
      <c r="BV4" s="63"/>
      <c r="BW4" s="63"/>
      <c r="BX4" s="63"/>
      <c r="BY4" s="63"/>
      <c r="BZ4" s="63"/>
      <c r="CA4" s="63"/>
      <c r="CB4" s="63"/>
      <c r="CC4" s="63"/>
      <c r="CD4" s="63"/>
      <c r="CE4" s="63"/>
      <c r="CF4" s="63"/>
      <c r="CG4" s="63"/>
      <c r="CH4" s="63"/>
      <c r="CI4" s="63"/>
      <c r="CJ4" s="63"/>
      <c r="CK4" s="63"/>
      <c r="CL4" s="63"/>
      <c r="CM4" s="63"/>
      <c r="CN4" s="63"/>
      <c r="CO4" s="63"/>
      <c r="CP4" s="63"/>
      <c r="CQ4" s="63"/>
      <c r="CR4" s="63"/>
      <c r="CS4" s="63"/>
      <c r="CT4" s="63"/>
      <c r="CU4" s="63"/>
      <c r="CV4" s="63"/>
      <c r="CW4" s="63"/>
      <c r="CX4" s="63"/>
      <c r="CY4" s="63"/>
      <c r="CZ4" s="63"/>
      <c r="DA4" s="63"/>
      <c r="DB4" s="63"/>
      <c r="DC4" s="63"/>
      <c r="DD4" s="63"/>
      <c r="DE4" s="63"/>
      <c r="DF4" s="63"/>
      <c r="DG4" s="63"/>
      <c r="DH4" s="63"/>
      <c r="DI4" s="63"/>
      <c r="DJ4" s="63"/>
      <c r="DK4" s="63"/>
      <c r="DL4" s="63"/>
      <c r="DM4" s="63"/>
      <c r="DN4" s="63"/>
      <c r="DO4" s="63"/>
      <c r="DP4" s="63"/>
      <c r="DQ4" s="63"/>
      <c r="DR4" s="63"/>
      <c r="DS4" s="63"/>
      <c r="DT4" s="63"/>
      <c r="DU4" s="63"/>
      <c r="DV4" s="63"/>
      <c r="DW4" s="63"/>
      <c r="DX4" s="63"/>
      <c r="DY4" s="63"/>
      <c r="DZ4" s="63"/>
      <c r="EA4" s="63"/>
      <c r="EB4" s="63"/>
      <c r="EC4" s="63"/>
      <c r="ED4" s="63"/>
      <c r="EE4" s="63"/>
      <c r="EF4" s="63"/>
      <c r="EG4" s="63"/>
      <c r="EH4" s="63"/>
      <c r="EI4" s="63"/>
      <c r="EJ4" s="63"/>
      <c r="EK4" s="63"/>
      <c r="EL4" s="63"/>
      <c r="EM4" s="63"/>
      <c r="EN4" s="63"/>
      <c r="EO4" s="63"/>
      <c r="EP4" s="63"/>
      <c r="EQ4" s="63"/>
      <c r="ER4" s="63"/>
      <c r="ES4" s="63"/>
      <c r="ET4" s="63"/>
      <c r="EU4" s="63"/>
      <c r="EV4" s="63"/>
      <c r="EW4" s="63"/>
      <c r="EX4" s="63"/>
      <c r="EY4" s="63"/>
      <c r="EZ4" s="63"/>
      <c r="FA4" s="63"/>
      <c r="FB4" s="63"/>
      <c r="FC4" s="63"/>
      <c r="FD4" s="63"/>
      <c r="FE4" s="63"/>
      <c r="FF4" s="63"/>
      <c r="FG4" s="63"/>
      <c r="FH4" s="63"/>
      <c r="FI4" s="63"/>
      <c r="FJ4" s="63"/>
      <c r="FK4" s="63"/>
      <c r="FL4" s="63"/>
      <c r="FM4" s="63"/>
      <c r="FN4" s="63"/>
      <c r="FO4" s="63"/>
      <c r="FP4" s="63"/>
      <c r="FQ4" s="63"/>
      <c r="FR4" s="63"/>
      <c r="FS4" s="63"/>
      <c r="FT4" s="63"/>
      <c r="FU4" s="63"/>
      <c r="FV4" s="63"/>
      <c r="FW4" s="63"/>
      <c r="FX4" s="63"/>
      <c r="FY4" s="63"/>
      <c r="FZ4" s="63"/>
      <c r="GA4" s="63"/>
      <c r="GB4" s="63"/>
      <c r="GC4" s="63"/>
      <c r="GD4" s="63"/>
      <c r="GE4" s="63"/>
      <c r="GF4" s="63"/>
      <c r="GG4" s="63"/>
      <c r="GH4" s="63"/>
      <c r="GI4" s="63"/>
      <c r="GJ4" s="63"/>
      <c r="GK4" s="63"/>
      <c r="GL4" s="63"/>
      <c r="GM4" s="63"/>
      <c r="GN4" s="63"/>
      <c r="GO4" s="63"/>
      <c r="GP4" s="63"/>
      <c r="GQ4" s="63"/>
      <c r="GR4" s="63"/>
      <c r="GS4" s="63"/>
      <c r="GT4" s="63"/>
      <c r="GU4" s="63"/>
      <c r="GV4" s="63"/>
      <c r="GW4" s="63"/>
      <c r="GX4" s="63"/>
      <c r="GY4" s="63"/>
      <c r="GZ4" s="63"/>
      <c r="HA4" s="63"/>
      <c r="HB4" s="63"/>
      <c r="HC4" s="63"/>
      <c r="HD4" s="63"/>
      <c r="HE4" s="63"/>
      <c r="HF4" s="63"/>
      <c r="HG4" s="63"/>
      <c r="HH4" s="63"/>
      <c r="HI4" s="63"/>
      <c r="HJ4" s="63"/>
      <c r="HK4" s="63"/>
      <c r="HL4" s="63"/>
      <c r="HM4" s="63"/>
      <c r="HN4" s="63"/>
      <c r="HO4" s="63"/>
    </row>
    <row r="5" spans="1:223" ht="19.95" customHeight="1" x14ac:dyDescent="0.3">
      <c r="A5" s="63"/>
      <c r="B5" s="63"/>
      <c r="C5" s="63"/>
      <c r="D5" s="63"/>
      <c r="E5" s="63"/>
      <c r="F5" s="63"/>
      <c r="G5" s="63"/>
      <c r="H5" s="63"/>
      <c r="I5" s="63"/>
      <c r="J5" s="63"/>
      <c r="K5" s="63"/>
      <c r="L5" s="63"/>
      <c r="M5" s="63"/>
      <c r="N5" s="63"/>
      <c r="O5" s="63"/>
      <c r="P5" s="63"/>
      <c r="Q5" s="63"/>
      <c r="R5" s="63"/>
      <c r="S5" s="63"/>
      <c r="T5" s="63"/>
      <c r="U5" s="63"/>
      <c r="V5" s="63"/>
      <c r="W5" s="63"/>
      <c r="X5" s="63"/>
      <c r="Y5" s="63"/>
      <c r="Z5" s="63"/>
      <c r="AA5" s="63"/>
      <c r="AB5" s="63"/>
      <c r="AC5" s="63"/>
      <c r="AD5" s="63"/>
      <c r="AE5" s="63"/>
      <c r="AF5" s="63"/>
      <c r="AG5" s="63"/>
      <c r="AH5" s="63"/>
      <c r="AI5" s="63"/>
      <c r="AJ5" s="63"/>
      <c r="AK5" s="63"/>
      <c r="AL5" s="63"/>
      <c r="AM5" s="63"/>
      <c r="AN5" s="63"/>
      <c r="AO5" s="63"/>
      <c r="AP5" s="63"/>
      <c r="AQ5" s="63"/>
      <c r="AR5" s="63"/>
      <c r="AS5" s="63"/>
      <c r="AT5" s="63"/>
      <c r="AU5" s="63"/>
      <c r="AV5" s="63"/>
      <c r="AW5" s="63"/>
      <c r="AX5" s="63"/>
      <c r="AY5" s="63"/>
      <c r="AZ5" s="63"/>
      <c r="BA5" s="63"/>
      <c r="BB5" s="63"/>
      <c r="BC5" s="63"/>
      <c r="BD5" s="63"/>
      <c r="BE5" s="63"/>
      <c r="BF5" s="63"/>
      <c r="BG5" s="63"/>
      <c r="BH5" s="63"/>
      <c r="BI5" s="63"/>
      <c r="BJ5" s="63"/>
      <c r="BK5" s="63"/>
      <c r="BL5" s="63"/>
      <c r="BM5" s="63"/>
      <c r="BN5" s="63"/>
      <c r="BO5" s="63"/>
      <c r="BP5" s="63"/>
      <c r="BQ5" s="63"/>
      <c r="BR5" s="63"/>
      <c r="BS5" s="63"/>
      <c r="BT5" s="63"/>
      <c r="BU5" s="63"/>
      <c r="BV5" s="63"/>
      <c r="BW5" s="63"/>
      <c r="BX5" s="63"/>
      <c r="BY5" s="63"/>
      <c r="BZ5" s="63"/>
      <c r="CA5" s="63"/>
      <c r="CB5" s="63"/>
      <c r="CC5" s="63"/>
      <c r="CD5" s="63"/>
      <c r="CE5" s="63"/>
      <c r="CF5" s="63"/>
      <c r="CG5" s="63"/>
      <c r="CH5" s="63"/>
      <c r="CI5" s="63"/>
      <c r="CJ5" s="63"/>
      <c r="CK5" s="63"/>
      <c r="CL5" s="63"/>
      <c r="CM5" s="63"/>
      <c r="CN5" s="63"/>
      <c r="CO5" s="63"/>
      <c r="CP5" s="63"/>
      <c r="CQ5" s="63"/>
      <c r="CR5" s="63"/>
      <c r="CS5" s="63"/>
      <c r="CT5" s="63"/>
      <c r="CU5" s="63"/>
      <c r="CV5" s="63"/>
      <c r="CW5" s="63"/>
      <c r="CX5" s="63"/>
      <c r="CY5" s="63"/>
      <c r="CZ5" s="63"/>
      <c r="DA5" s="63"/>
      <c r="DB5" s="63"/>
      <c r="DC5" s="63"/>
      <c r="DD5" s="63"/>
      <c r="DE5" s="63"/>
      <c r="DF5" s="63"/>
      <c r="DG5" s="63"/>
      <c r="DH5" s="63"/>
      <c r="DI5" s="63"/>
      <c r="DJ5" s="63"/>
      <c r="DK5" s="63"/>
      <c r="DL5" s="63"/>
      <c r="DM5" s="63"/>
      <c r="DN5" s="63"/>
      <c r="DO5" s="63"/>
      <c r="DP5" s="63"/>
      <c r="DQ5" s="63"/>
      <c r="DR5" s="63"/>
      <c r="DS5" s="63"/>
      <c r="DT5" s="63"/>
      <c r="DU5" s="63"/>
      <c r="DV5" s="63"/>
      <c r="DW5" s="63"/>
      <c r="DX5" s="63"/>
      <c r="DY5" s="63"/>
      <c r="DZ5" s="63"/>
      <c r="EA5" s="63"/>
      <c r="EB5" s="63"/>
      <c r="EC5" s="63"/>
      <c r="ED5" s="63"/>
      <c r="EE5" s="63"/>
      <c r="EF5" s="63"/>
      <c r="EG5" s="63"/>
      <c r="EH5" s="63"/>
      <c r="EI5" s="63"/>
      <c r="EJ5" s="63"/>
      <c r="EK5" s="63"/>
      <c r="EL5" s="63"/>
      <c r="EM5" s="63"/>
      <c r="EN5" s="63"/>
      <c r="EO5" s="63"/>
      <c r="EP5" s="63"/>
      <c r="EQ5" s="63"/>
      <c r="ER5" s="63"/>
      <c r="ES5" s="63"/>
      <c r="ET5" s="63"/>
      <c r="EU5" s="63"/>
      <c r="EV5" s="63"/>
      <c r="EW5" s="63"/>
      <c r="EX5" s="63"/>
      <c r="EY5" s="63"/>
      <c r="EZ5" s="63"/>
      <c r="FA5" s="63"/>
      <c r="FB5" s="63"/>
      <c r="FC5" s="63"/>
      <c r="FD5" s="63"/>
      <c r="FE5" s="63"/>
      <c r="FF5" s="63"/>
      <c r="FG5" s="63"/>
      <c r="FH5" s="63"/>
      <c r="FI5" s="63"/>
      <c r="FJ5" s="63"/>
      <c r="FK5" s="63"/>
      <c r="FL5" s="63"/>
      <c r="FM5" s="63"/>
      <c r="FN5" s="63"/>
      <c r="FO5" s="63"/>
      <c r="FP5" s="63"/>
      <c r="FQ5" s="63"/>
      <c r="FR5" s="63"/>
      <c r="FS5" s="63"/>
      <c r="FT5" s="63"/>
      <c r="FU5" s="63"/>
      <c r="FV5" s="63"/>
      <c r="FW5" s="63"/>
      <c r="FX5" s="63"/>
      <c r="FY5" s="63"/>
      <c r="FZ5" s="63"/>
      <c r="GA5" s="63"/>
      <c r="GB5" s="63"/>
      <c r="GC5" s="63"/>
      <c r="GD5" s="63"/>
      <c r="GE5" s="63"/>
      <c r="GF5" s="63"/>
      <c r="GG5" s="63"/>
      <c r="GH5" s="63"/>
      <c r="GI5" s="63"/>
      <c r="GJ5" s="63"/>
      <c r="GK5" s="63"/>
      <c r="GL5" s="63"/>
      <c r="GM5" s="63"/>
      <c r="GN5" s="63"/>
      <c r="GO5" s="63"/>
      <c r="GP5" s="63"/>
      <c r="GQ5" s="63"/>
      <c r="GR5" s="63"/>
      <c r="GS5" s="63"/>
      <c r="GT5" s="63"/>
      <c r="GU5" s="63"/>
      <c r="GV5" s="63"/>
      <c r="GW5" s="63"/>
      <c r="GX5" s="63"/>
      <c r="GY5" s="63"/>
      <c r="GZ5" s="63"/>
      <c r="HA5" s="63"/>
      <c r="HB5" s="63"/>
      <c r="HC5" s="63"/>
      <c r="HD5" s="63"/>
      <c r="HE5" s="63"/>
      <c r="HF5" s="63"/>
      <c r="HG5" s="63"/>
      <c r="HH5" s="63"/>
      <c r="HI5" s="63"/>
      <c r="HJ5" s="63"/>
      <c r="HK5" s="63"/>
      <c r="HL5" s="63"/>
      <c r="HM5" s="63"/>
      <c r="HN5" s="63"/>
      <c r="HO5" s="63"/>
    </row>
    <row r="6" spans="1:223" ht="19.95" customHeight="1" x14ac:dyDescent="0.3">
      <c r="B6" s="48" t="s">
        <v>232</v>
      </c>
      <c r="C6" s="48"/>
      <c r="D6" s="48"/>
      <c r="E6" s="48"/>
      <c r="F6" s="48"/>
      <c r="G6" s="48"/>
      <c r="H6" s="48"/>
      <c r="I6" s="48"/>
      <c r="J6" s="48"/>
      <c r="K6" s="48"/>
      <c r="L6" s="48"/>
      <c r="M6" s="48"/>
      <c r="N6" s="48"/>
      <c r="O6" s="48"/>
      <c r="P6" s="48"/>
      <c r="Q6" s="48"/>
      <c r="R6" s="48"/>
      <c r="S6" s="48"/>
      <c r="T6" s="48"/>
      <c r="U6" s="48"/>
      <c r="V6" s="48"/>
      <c r="W6" s="48"/>
      <c r="X6" s="48"/>
      <c r="Y6" s="48"/>
      <c r="Z6" s="48"/>
      <c r="AA6" s="48"/>
      <c r="AB6" s="48"/>
      <c r="AC6" s="48"/>
      <c r="AD6" s="48"/>
      <c r="AE6" s="48"/>
      <c r="AF6" s="48"/>
      <c r="AG6" s="48"/>
      <c r="AH6" s="48"/>
      <c r="AI6" s="48"/>
      <c r="AJ6" s="48"/>
      <c r="AK6" s="48"/>
      <c r="AL6" s="48"/>
      <c r="AM6" s="48"/>
      <c r="AN6" s="48"/>
      <c r="AO6" s="48"/>
      <c r="AP6" s="18"/>
      <c r="AQ6" s="79" t="s">
        <v>589</v>
      </c>
      <c r="AR6" s="79"/>
      <c r="AS6" s="79"/>
      <c r="AT6" s="79"/>
      <c r="AU6" s="79"/>
      <c r="AV6" s="79"/>
      <c r="AW6" s="79"/>
      <c r="AX6" s="79"/>
      <c r="AY6" s="79"/>
      <c r="AZ6" s="79"/>
      <c r="BA6" s="79"/>
      <c r="BB6" s="79"/>
      <c r="BC6" s="79"/>
      <c r="BD6" s="79"/>
      <c r="BE6" s="79"/>
      <c r="BF6" s="79"/>
      <c r="BG6" s="79"/>
      <c r="BH6" s="79"/>
      <c r="BI6" s="79"/>
      <c r="BJ6" s="79"/>
      <c r="BK6" s="79"/>
      <c r="BL6" s="79"/>
      <c r="BM6" s="79"/>
      <c r="BN6" s="79"/>
      <c r="BO6" s="79"/>
      <c r="BP6" s="79"/>
      <c r="BQ6" s="79"/>
      <c r="BR6" s="79"/>
      <c r="BS6" s="79"/>
      <c r="BT6" s="79"/>
      <c r="BU6" s="79"/>
      <c r="BV6" s="79"/>
      <c r="BW6" s="79"/>
      <c r="BX6" s="79"/>
      <c r="BY6" s="79"/>
      <c r="BZ6" s="79"/>
      <c r="CA6" s="79"/>
      <c r="CB6" s="79"/>
      <c r="CC6" s="79"/>
      <c r="CD6" s="79"/>
      <c r="CE6" s="79"/>
      <c r="CF6" s="79"/>
      <c r="CG6" s="79"/>
      <c r="CH6" s="79"/>
      <c r="CI6" s="79"/>
      <c r="CJ6" s="79"/>
      <c r="CK6" s="79"/>
      <c r="CL6" s="79"/>
      <c r="CM6" s="79"/>
      <c r="CN6" s="79"/>
      <c r="CO6" s="79"/>
      <c r="CP6" s="79"/>
      <c r="CQ6" s="79"/>
      <c r="CR6" s="79"/>
      <c r="CS6" s="79"/>
      <c r="CT6" s="79"/>
      <c r="CU6" s="79"/>
      <c r="CV6" s="79"/>
      <c r="CW6" s="79"/>
      <c r="CX6" s="79"/>
      <c r="CY6" s="79"/>
      <c r="CZ6" s="79"/>
      <c r="DA6" s="79"/>
      <c r="DB6" s="79"/>
      <c r="DC6" s="79"/>
      <c r="DD6" s="79"/>
      <c r="DE6" s="79"/>
      <c r="DF6" s="79"/>
      <c r="DG6" s="79"/>
      <c r="DH6" s="79"/>
      <c r="DI6" s="79"/>
      <c r="DJ6" s="79"/>
      <c r="DK6" s="79"/>
      <c r="DL6" s="79"/>
      <c r="DM6" s="79"/>
      <c r="DN6" s="79"/>
      <c r="DO6" s="79"/>
      <c r="DP6" s="79"/>
      <c r="DQ6" s="79"/>
      <c r="DR6" s="79"/>
      <c r="DS6" s="79"/>
      <c r="DT6" s="79"/>
      <c r="DU6" s="79"/>
      <c r="DV6" s="79"/>
      <c r="DW6" s="79"/>
      <c r="DX6" s="79"/>
      <c r="DY6" s="79"/>
      <c r="DZ6" s="79"/>
      <c r="EA6" s="79"/>
      <c r="EB6" s="79"/>
      <c r="EC6" s="79"/>
      <c r="ED6" s="79"/>
      <c r="EE6" s="79"/>
      <c r="EF6" s="79"/>
      <c r="EG6" s="79"/>
      <c r="EH6" s="79"/>
      <c r="EI6" s="79"/>
      <c r="EJ6" s="79"/>
      <c r="EK6" s="79"/>
      <c r="EL6" s="79"/>
      <c r="EM6" s="79"/>
      <c r="EN6" s="79"/>
      <c r="EO6" s="79"/>
      <c r="EP6" s="79"/>
      <c r="EQ6" s="79"/>
      <c r="ER6" s="79"/>
      <c r="ES6" s="79"/>
      <c r="ET6" s="79"/>
      <c r="EU6" s="79"/>
      <c r="EV6" s="79"/>
      <c r="EW6" s="79"/>
      <c r="EX6" s="79"/>
      <c r="EY6" s="79"/>
      <c r="EZ6" s="79"/>
      <c r="FA6" s="79"/>
      <c r="FB6" s="79"/>
      <c r="FC6" s="79"/>
      <c r="FD6" s="79"/>
      <c r="FE6" s="79"/>
      <c r="FF6" s="79"/>
      <c r="FG6" s="79"/>
      <c r="FH6" s="79"/>
      <c r="FI6" s="79"/>
      <c r="FJ6" s="79"/>
      <c r="FK6" s="79"/>
      <c r="FL6" s="79"/>
      <c r="FM6" s="79"/>
      <c r="FN6" s="79"/>
      <c r="FO6" s="79"/>
      <c r="FP6" s="79"/>
      <c r="FQ6" s="79"/>
      <c r="FR6" s="79"/>
      <c r="FS6" s="79"/>
      <c r="FT6" s="79"/>
      <c r="FU6" s="79"/>
      <c r="FV6" s="79"/>
      <c r="FW6" s="79"/>
      <c r="FX6" s="79"/>
      <c r="FY6" s="79"/>
      <c r="FZ6" s="79"/>
      <c r="GA6" s="79"/>
      <c r="GB6" s="79"/>
      <c r="GC6" s="79"/>
      <c r="GD6" s="79"/>
      <c r="GE6" s="79"/>
      <c r="GF6" s="79"/>
      <c r="GG6" s="79"/>
      <c r="GH6" s="79"/>
      <c r="GI6" s="79"/>
      <c r="GJ6" s="79"/>
      <c r="GK6" s="79"/>
      <c r="GL6" s="79"/>
      <c r="GM6" s="79"/>
      <c r="GN6" s="79"/>
      <c r="GO6" s="79"/>
      <c r="GP6" s="79"/>
      <c r="GQ6" s="79"/>
      <c r="GR6" s="79"/>
      <c r="GS6" s="79"/>
      <c r="GT6" s="79"/>
      <c r="GU6" s="79"/>
      <c r="GV6" s="79"/>
      <c r="GW6" s="79"/>
      <c r="GX6" s="79"/>
      <c r="GY6" s="79"/>
      <c r="GZ6" s="79"/>
      <c r="HA6" s="79"/>
      <c r="HB6" s="79"/>
      <c r="HC6" s="79"/>
      <c r="HD6" s="79"/>
      <c r="HE6" s="79"/>
      <c r="HF6" s="79"/>
      <c r="HG6" s="79"/>
      <c r="HH6" s="79"/>
      <c r="HI6" s="79"/>
      <c r="HJ6" s="79"/>
      <c r="HK6" s="79"/>
      <c r="HL6" s="79"/>
      <c r="HM6" s="79"/>
      <c r="HN6" s="79"/>
    </row>
    <row r="7" spans="1:223" ht="4.95" customHeight="1" x14ac:dyDescent="0.3"/>
    <row r="8" spans="1:223" ht="4.95" customHeight="1" x14ac:dyDescent="0.3">
      <c r="B8" s="54"/>
      <c r="C8" s="55"/>
      <c r="D8" s="55"/>
      <c r="E8" s="55"/>
      <c r="F8" s="55"/>
      <c r="G8" s="55"/>
      <c r="H8" s="55"/>
      <c r="I8" s="55"/>
      <c r="J8" s="55"/>
      <c r="K8" s="55"/>
      <c r="L8" s="55"/>
      <c r="M8" s="55"/>
      <c r="N8" s="55"/>
      <c r="O8" s="55"/>
      <c r="P8" s="55"/>
      <c r="Q8" s="55"/>
      <c r="R8" s="55"/>
      <c r="S8" s="55"/>
      <c r="T8" s="55"/>
      <c r="U8" s="55"/>
      <c r="V8" s="55"/>
      <c r="W8" s="55"/>
      <c r="X8" s="55"/>
      <c r="Y8" s="55"/>
      <c r="Z8" s="55"/>
      <c r="AA8" s="55"/>
      <c r="AB8" s="55"/>
      <c r="AC8" s="55"/>
      <c r="AD8" s="55"/>
      <c r="AE8" s="55"/>
      <c r="AF8" s="55"/>
      <c r="AG8" s="55"/>
      <c r="AH8" s="55"/>
      <c r="AI8" s="55"/>
      <c r="AJ8" s="55"/>
      <c r="AK8" s="55"/>
      <c r="AL8" s="55"/>
      <c r="AM8" s="55"/>
      <c r="AN8" s="55"/>
      <c r="AO8" s="56"/>
      <c r="AQ8" s="54"/>
      <c r="AR8" s="55"/>
      <c r="AS8" s="55"/>
      <c r="AT8" s="55"/>
      <c r="AU8" s="55"/>
      <c r="AV8" s="55"/>
      <c r="AW8" s="55"/>
      <c r="AX8" s="55"/>
      <c r="AY8" s="55"/>
      <c r="AZ8" s="55"/>
      <c r="BA8" s="55"/>
      <c r="BB8" s="55"/>
      <c r="BC8" s="55"/>
      <c r="BD8" s="55"/>
      <c r="BE8" s="55"/>
      <c r="BF8" s="55"/>
      <c r="BG8" s="55"/>
      <c r="BH8" s="55"/>
      <c r="BI8" s="55"/>
      <c r="BJ8" s="55"/>
      <c r="BK8" s="55"/>
      <c r="BL8" s="55"/>
      <c r="BM8" s="55"/>
      <c r="BN8" s="55"/>
      <c r="BO8" s="55"/>
      <c r="BP8" s="55"/>
      <c r="BQ8" s="55"/>
      <c r="BR8" s="55"/>
      <c r="BS8" s="55"/>
      <c r="BT8" s="55"/>
      <c r="BU8" s="55"/>
      <c r="BV8" s="55"/>
      <c r="BW8" s="55"/>
      <c r="BX8" s="55"/>
      <c r="BY8" s="55"/>
      <c r="BZ8" s="55"/>
      <c r="CA8" s="55"/>
      <c r="CB8" s="55"/>
      <c r="CC8" s="55"/>
      <c r="CD8" s="55"/>
      <c r="CE8" s="55"/>
      <c r="CF8" s="55"/>
      <c r="CG8" s="55"/>
      <c r="CH8" s="55"/>
      <c r="CI8" s="55"/>
      <c r="CJ8" s="55"/>
      <c r="CK8" s="55"/>
      <c r="CL8" s="55"/>
      <c r="CM8" s="55"/>
      <c r="CN8" s="55"/>
      <c r="CO8" s="55"/>
      <c r="CP8" s="55"/>
      <c r="CQ8" s="55"/>
      <c r="CR8" s="55"/>
      <c r="CS8" s="55"/>
      <c r="CT8" s="55"/>
      <c r="CU8" s="55"/>
      <c r="CV8" s="55"/>
      <c r="CW8" s="55"/>
      <c r="CX8" s="55"/>
      <c r="CY8" s="55"/>
      <c r="CZ8" s="55"/>
      <c r="DA8" s="55"/>
      <c r="DB8" s="55"/>
      <c r="DC8" s="55"/>
      <c r="DD8" s="55"/>
      <c r="DE8" s="55"/>
      <c r="DF8" s="55"/>
      <c r="DG8" s="55"/>
      <c r="DH8" s="55"/>
      <c r="DI8" s="55"/>
      <c r="DJ8" s="55"/>
      <c r="DK8" s="55"/>
      <c r="DL8" s="55"/>
      <c r="DM8" s="55"/>
      <c r="DN8" s="55"/>
      <c r="DO8" s="55"/>
      <c r="DP8" s="55"/>
      <c r="DQ8" s="55"/>
      <c r="DR8" s="55"/>
      <c r="DS8" s="55"/>
      <c r="DT8" s="55"/>
      <c r="DU8" s="55"/>
      <c r="DV8" s="55"/>
      <c r="DW8" s="55"/>
      <c r="DX8" s="55"/>
      <c r="DY8" s="55"/>
      <c r="DZ8" s="55"/>
      <c r="EA8" s="55"/>
      <c r="EB8" s="55"/>
      <c r="EC8" s="55"/>
      <c r="ED8" s="55"/>
      <c r="EE8" s="55"/>
      <c r="EF8" s="55"/>
      <c r="EG8" s="55"/>
      <c r="EH8" s="55"/>
      <c r="EI8" s="55"/>
      <c r="EJ8" s="55"/>
      <c r="EK8" s="55"/>
      <c r="EL8" s="55"/>
      <c r="EM8" s="55"/>
      <c r="EN8" s="55"/>
      <c r="EO8" s="55"/>
      <c r="EP8" s="55"/>
      <c r="EQ8" s="55"/>
      <c r="ER8" s="55"/>
      <c r="ES8" s="55"/>
      <c r="ET8" s="55"/>
      <c r="EU8" s="55"/>
      <c r="EV8" s="55"/>
      <c r="EW8" s="55"/>
      <c r="EX8" s="55"/>
      <c r="EY8" s="55"/>
      <c r="EZ8" s="55"/>
      <c r="FA8" s="55"/>
      <c r="FB8" s="55"/>
      <c r="FC8" s="55"/>
      <c r="FD8" s="55"/>
      <c r="FE8" s="55"/>
      <c r="FF8" s="55"/>
      <c r="FG8" s="55"/>
      <c r="FH8" s="55"/>
      <c r="FI8" s="55"/>
      <c r="FJ8" s="55"/>
      <c r="FK8" s="55"/>
      <c r="FL8" s="55"/>
      <c r="FM8" s="55"/>
      <c r="FN8" s="55"/>
      <c r="FO8" s="55"/>
      <c r="FP8" s="55"/>
      <c r="FQ8" s="55"/>
      <c r="FR8" s="55"/>
      <c r="FS8" s="55"/>
      <c r="FT8" s="55"/>
      <c r="FU8" s="55"/>
      <c r="FV8" s="55"/>
      <c r="FW8" s="55"/>
      <c r="FX8" s="55"/>
      <c r="FY8" s="55"/>
      <c r="FZ8" s="55"/>
      <c r="GA8" s="55"/>
      <c r="GB8" s="55"/>
      <c r="GC8" s="55"/>
      <c r="GD8" s="55"/>
      <c r="GE8" s="55"/>
      <c r="GF8" s="55"/>
      <c r="GG8" s="55"/>
      <c r="GH8" s="55"/>
      <c r="GI8" s="55"/>
      <c r="GJ8" s="55"/>
      <c r="GK8" s="55"/>
      <c r="GL8" s="55"/>
      <c r="GM8" s="55"/>
      <c r="GN8" s="55"/>
      <c r="GO8" s="55"/>
      <c r="GP8" s="55"/>
      <c r="GQ8" s="55"/>
      <c r="GR8" s="55"/>
      <c r="GS8" s="55"/>
      <c r="GT8" s="55"/>
      <c r="GU8" s="55"/>
      <c r="GV8" s="55"/>
      <c r="GW8" s="55"/>
      <c r="GX8" s="55"/>
      <c r="GY8" s="55"/>
      <c r="GZ8" s="55"/>
      <c r="HA8" s="55"/>
      <c r="HB8" s="55"/>
      <c r="HC8" s="55"/>
      <c r="HD8" s="55"/>
      <c r="HE8" s="55"/>
      <c r="HF8" s="55"/>
      <c r="HG8" s="55"/>
      <c r="HH8" s="55"/>
      <c r="HI8" s="55"/>
      <c r="HJ8" s="55"/>
      <c r="HK8" s="55"/>
      <c r="HL8" s="55"/>
      <c r="HM8" s="55"/>
      <c r="HN8" s="56"/>
    </row>
    <row r="9" spans="1:223" x14ac:dyDescent="0.3">
      <c r="B9" s="57"/>
      <c r="C9" s="58"/>
      <c r="D9" s="58"/>
      <c r="E9" s="58"/>
      <c r="F9" s="58"/>
      <c r="G9" s="58"/>
      <c r="H9" s="58"/>
      <c r="I9" s="58"/>
      <c r="J9" s="58"/>
      <c r="K9" s="58"/>
      <c r="L9" s="58"/>
      <c r="M9" s="58"/>
      <c r="N9" s="58"/>
      <c r="O9" s="58"/>
      <c r="P9" s="58"/>
      <c r="Q9" s="58"/>
      <c r="R9" s="58"/>
      <c r="S9" s="58"/>
      <c r="T9" s="58"/>
      <c r="U9" s="58"/>
      <c r="V9" s="58"/>
      <c r="W9" s="58"/>
      <c r="X9" s="58"/>
      <c r="Y9" s="58"/>
      <c r="Z9" s="58"/>
      <c r="AA9" s="58"/>
      <c r="AB9" s="58"/>
      <c r="AC9" s="58"/>
      <c r="AD9" s="58"/>
      <c r="AE9" s="58"/>
      <c r="AF9" s="58"/>
      <c r="AG9" s="58"/>
      <c r="AH9" s="58"/>
      <c r="AI9" s="58"/>
      <c r="AJ9" s="58"/>
      <c r="AK9" s="58"/>
      <c r="AL9" s="58"/>
      <c r="AM9" s="58"/>
      <c r="AN9" s="58"/>
      <c r="AO9" s="59"/>
      <c r="AQ9" s="57"/>
      <c r="AR9" s="58"/>
      <c r="AS9" s="58"/>
      <c r="AT9" s="58"/>
      <c r="AU9" s="58"/>
      <c r="AV9" s="58"/>
      <c r="AW9" s="58"/>
      <c r="AX9" s="58"/>
      <c r="AY9" s="58"/>
      <c r="AZ9" s="58"/>
      <c r="BA9" s="58"/>
      <c r="BB9" s="58"/>
      <c r="BC9" s="58"/>
      <c r="BD9" s="58"/>
      <c r="BE9" s="58"/>
      <c r="BF9" s="58"/>
      <c r="BG9" s="58"/>
      <c r="BH9" s="58"/>
      <c r="BI9" s="58"/>
      <c r="BJ9" s="58"/>
      <c r="BK9" s="58"/>
      <c r="BL9" s="58"/>
      <c r="BM9" s="58"/>
      <c r="BN9" s="58"/>
      <c r="BO9" s="58"/>
      <c r="BP9" s="58"/>
      <c r="BQ9" s="58"/>
      <c r="BR9" s="58"/>
      <c r="BS9" s="58"/>
      <c r="BT9" s="58"/>
      <c r="BU9" s="58"/>
      <c r="BV9" s="58"/>
      <c r="BW9" s="58"/>
      <c r="BX9" s="58"/>
      <c r="BY9" s="58"/>
      <c r="BZ9" s="58"/>
      <c r="CA9" s="58"/>
      <c r="CB9" s="58"/>
      <c r="CC9" s="58"/>
      <c r="CD9" s="58"/>
      <c r="CE9" s="58"/>
      <c r="CF9" s="58"/>
      <c r="CG9" s="58"/>
      <c r="CH9" s="58"/>
      <c r="CI9" s="58"/>
      <c r="CJ9" s="58"/>
      <c r="CK9" s="58"/>
      <c r="CL9" s="58"/>
      <c r="CM9" s="58"/>
      <c r="CN9" s="58"/>
      <c r="CO9" s="58"/>
      <c r="CP9" s="58"/>
      <c r="CQ9" s="58"/>
      <c r="CR9" s="58"/>
      <c r="CS9" s="58"/>
      <c r="CT9" s="58"/>
      <c r="CU9" s="58"/>
      <c r="CV9" s="58"/>
      <c r="CW9" s="58"/>
      <c r="CX9" s="58"/>
      <c r="CY9" s="58"/>
      <c r="CZ9" s="58"/>
      <c r="DA9" s="58"/>
      <c r="DB9" s="58"/>
      <c r="DC9" s="58"/>
      <c r="DD9" s="58"/>
      <c r="DE9" s="58"/>
      <c r="DF9" s="58"/>
      <c r="DG9" s="58"/>
      <c r="DH9" s="58"/>
      <c r="DI9" s="58"/>
      <c r="DJ9" s="58"/>
      <c r="DK9" s="58"/>
      <c r="DL9" s="58"/>
      <c r="DM9" s="58"/>
      <c r="DN9" s="58"/>
      <c r="DO9" s="58"/>
      <c r="DP9" s="58"/>
      <c r="DQ9" s="58"/>
      <c r="DR9" s="58"/>
      <c r="DS9" s="58"/>
      <c r="DT9" s="58"/>
      <c r="DU9" s="58"/>
      <c r="DV9" s="58"/>
      <c r="DW9" s="58"/>
      <c r="DX9" s="58"/>
      <c r="DY9" s="58"/>
      <c r="DZ9" s="58"/>
      <c r="EA9" s="58"/>
      <c r="EB9" s="58"/>
      <c r="EC9" s="58"/>
      <c r="ED9" s="58"/>
      <c r="EE9" s="58"/>
      <c r="EF9" s="58"/>
      <c r="EG9" s="58"/>
      <c r="EH9" s="58"/>
      <c r="EI9" s="58"/>
      <c r="EJ9" s="58"/>
      <c r="EK9" s="58"/>
      <c r="EL9" s="58"/>
      <c r="EM9" s="58"/>
      <c r="EN9" s="58"/>
      <c r="EO9" s="58"/>
      <c r="EP9" s="58"/>
      <c r="EQ9" s="58"/>
      <c r="ER9" s="58"/>
      <c r="ES9" s="58"/>
      <c r="ET9" s="58"/>
      <c r="EU9" s="58"/>
      <c r="EV9" s="58"/>
      <c r="EW9" s="58"/>
      <c r="EX9" s="58"/>
      <c r="EY9" s="58"/>
      <c r="EZ9" s="58"/>
      <c r="FA9" s="58"/>
      <c r="FB9" s="58"/>
      <c r="FC9" s="58"/>
      <c r="FD9" s="58"/>
      <c r="FE9" s="58"/>
      <c r="FF9" s="58"/>
      <c r="FG9" s="58"/>
      <c r="FH9" s="58"/>
      <c r="FI9" s="58"/>
      <c r="FJ9" s="58"/>
      <c r="FK9" s="58"/>
      <c r="FL9" s="58"/>
      <c r="FM9" s="58"/>
      <c r="FN9" s="58"/>
      <c r="FO9" s="58"/>
      <c r="FP9" s="58"/>
      <c r="FQ9" s="58"/>
      <c r="FR9" s="58"/>
      <c r="FS9" s="58"/>
      <c r="FT9" s="58"/>
      <c r="FU9" s="58"/>
      <c r="FV9" s="58"/>
      <c r="FW9" s="58"/>
      <c r="FX9" s="58"/>
      <c r="FY9" s="58"/>
      <c r="FZ9" s="58"/>
      <c r="GA9" s="58"/>
      <c r="GB9" s="58"/>
      <c r="GC9" s="58"/>
      <c r="GD9" s="58"/>
      <c r="GE9" s="58"/>
      <c r="GF9" s="58"/>
      <c r="GG9" s="58"/>
      <c r="GH9" s="58"/>
      <c r="GI9" s="58"/>
      <c r="GJ9" s="58"/>
      <c r="GK9" s="58"/>
      <c r="GL9" s="58"/>
      <c r="GM9" s="58"/>
      <c r="GN9" s="58"/>
      <c r="GO9" s="58"/>
      <c r="GP9" s="58"/>
      <c r="GQ9" s="58"/>
      <c r="GR9" s="58"/>
      <c r="GS9" s="58"/>
      <c r="GT9" s="58"/>
      <c r="GU9" s="58"/>
      <c r="GV9" s="58"/>
      <c r="GW9" s="58"/>
      <c r="GX9" s="58"/>
      <c r="GY9" s="58"/>
      <c r="GZ9" s="58"/>
      <c r="HA9" s="58"/>
      <c r="HB9" s="58"/>
      <c r="HC9" s="58"/>
      <c r="HD9" s="58"/>
      <c r="HE9" s="58"/>
      <c r="HF9" s="58"/>
      <c r="HG9" s="58"/>
      <c r="HH9" s="58"/>
      <c r="HI9" s="58"/>
      <c r="HJ9" s="58"/>
      <c r="HK9" s="58"/>
      <c r="HL9" s="58"/>
      <c r="HM9" s="58"/>
      <c r="HN9" s="59"/>
    </row>
    <row r="10" spans="1:223" x14ac:dyDescent="0.3">
      <c r="B10" s="57"/>
      <c r="C10" s="58"/>
      <c r="D10" s="58"/>
      <c r="E10" s="58"/>
      <c r="F10" s="58"/>
      <c r="G10" s="58"/>
      <c r="H10" s="58"/>
      <c r="I10" s="58"/>
      <c r="J10" s="58"/>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c r="AK10" s="58"/>
      <c r="AL10" s="58"/>
      <c r="AM10" s="58"/>
      <c r="AN10" s="58"/>
      <c r="AO10" s="59"/>
      <c r="AQ10" s="57"/>
      <c r="AR10" s="58"/>
      <c r="AS10" s="58"/>
      <c r="AT10" s="58"/>
      <c r="AU10" s="58"/>
      <c r="AV10" s="58"/>
      <c r="AW10" s="58"/>
      <c r="AX10" s="58"/>
      <c r="AY10" s="58"/>
      <c r="AZ10" s="58"/>
      <c r="BA10" s="58"/>
      <c r="BB10" s="58"/>
      <c r="BC10" s="58"/>
      <c r="BD10" s="58"/>
      <c r="BE10" s="58"/>
      <c r="BF10" s="58"/>
      <c r="BG10" s="58"/>
      <c r="BH10" s="58"/>
      <c r="BI10" s="58"/>
      <c r="BJ10" s="58"/>
      <c r="BK10" s="58"/>
      <c r="BL10" s="58"/>
      <c r="BM10" s="58"/>
      <c r="BN10" s="58"/>
      <c r="BO10" s="58"/>
      <c r="BP10" s="58"/>
      <c r="BQ10" s="58"/>
      <c r="BR10" s="58"/>
      <c r="BS10" s="58"/>
      <c r="BT10" s="58"/>
      <c r="BU10" s="58"/>
      <c r="BV10" s="58"/>
      <c r="BW10" s="58"/>
      <c r="BX10" s="58"/>
      <c r="BY10" s="58"/>
      <c r="BZ10" s="58"/>
      <c r="CA10" s="58"/>
      <c r="CB10" s="58"/>
      <c r="CC10" s="58"/>
      <c r="CD10" s="58"/>
      <c r="CE10" s="58"/>
      <c r="CF10" s="58"/>
      <c r="CG10" s="58"/>
      <c r="CH10" s="58"/>
      <c r="CI10" s="58"/>
      <c r="CJ10" s="58"/>
      <c r="CK10" s="58"/>
      <c r="CL10" s="58"/>
      <c r="CM10" s="58"/>
      <c r="CN10" s="58"/>
      <c r="CO10" s="58"/>
      <c r="CP10" s="58"/>
      <c r="CQ10" s="58"/>
      <c r="CR10" s="58"/>
      <c r="CS10" s="58"/>
      <c r="CT10" s="58"/>
      <c r="CU10" s="58"/>
      <c r="CV10" s="58"/>
      <c r="CW10" s="58"/>
      <c r="CX10" s="58"/>
      <c r="CY10" s="58"/>
      <c r="CZ10" s="58"/>
      <c r="DA10" s="58"/>
      <c r="DB10" s="58"/>
      <c r="DC10" s="58"/>
      <c r="DD10" s="58"/>
      <c r="DE10" s="58"/>
      <c r="DF10" s="58"/>
      <c r="DG10" s="58"/>
      <c r="DH10" s="58"/>
      <c r="DI10" s="58"/>
      <c r="DJ10" s="58"/>
      <c r="DK10" s="58"/>
      <c r="DL10" s="58"/>
      <c r="DM10" s="58"/>
      <c r="DN10" s="58"/>
      <c r="DO10" s="58"/>
      <c r="DP10" s="58"/>
      <c r="DQ10" s="58"/>
      <c r="DR10" s="58"/>
      <c r="DS10" s="58"/>
      <c r="DT10" s="58"/>
      <c r="DU10" s="58"/>
      <c r="DV10" s="58"/>
      <c r="DW10" s="58"/>
      <c r="DX10" s="58"/>
      <c r="DY10" s="58"/>
      <c r="DZ10" s="58"/>
      <c r="EA10" s="58"/>
      <c r="EB10" s="58"/>
      <c r="EC10" s="58"/>
      <c r="ED10" s="58"/>
      <c r="EE10" s="58"/>
      <c r="EF10" s="58"/>
      <c r="EG10" s="58"/>
      <c r="EH10" s="58"/>
      <c r="EI10" s="58"/>
      <c r="EJ10" s="58"/>
      <c r="EK10" s="58"/>
      <c r="EL10" s="58"/>
      <c r="EM10" s="58"/>
      <c r="EN10" s="58"/>
      <c r="EO10" s="58"/>
      <c r="EP10" s="58"/>
      <c r="EQ10" s="58"/>
      <c r="ER10" s="58"/>
      <c r="ES10" s="58"/>
      <c r="ET10" s="58"/>
      <c r="EU10" s="58"/>
      <c r="EV10" s="58"/>
      <c r="EW10" s="58"/>
      <c r="EX10" s="58"/>
      <c r="EY10" s="58"/>
      <c r="EZ10" s="58"/>
      <c r="FA10" s="58"/>
      <c r="FB10" s="58"/>
      <c r="FC10" s="58"/>
      <c r="FD10" s="58"/>
      <c r="FE10" s="58"/>
      <c r="FF10" s="58"/>
      <c r="FG10" s="58"/>
      <c r="FH10" s="58"/>
      <c r="FI10" s="58"/>
      <c r="FJ10" s="58"/>
      <c r="FK10" s="58"/>
      <c r="FL10" s="58"/>
      <c r="FM10" s="58"/>
      <c r="FN10" s="58"/>
      <c r="FO10" s="58"/>
      <c r="FP10" s="58"/>
      <c r="FQ10" s="58"/>
      <c r="FR10" s="58"/>
      <c r="FS10" s="58"/>
      <c r="FT10" s="58"/>
      <c r="FU10" s="58"/>
      <c r="FV10" s="58"/>
      <c r="FW10" s="58"/>
      <c r="FX10" s="58"/>
      <c r="FY10" s="58"/>
      <c r="FZ10" s="58"/>
      <c r="GA10" s="58"/>
      <c r="GB10" s="58"/>
      <c r="GC10" s="58"/>
      <c r="GD10" s="58"/>
      <c r="GE10" s="58"/>
      <c r="GF10" s="58"/>
      <c r="GG10" s="58"/>
      <c r="GH10" s="58"/>
      <c r="GI10" s="58"/>
      <c r="GJ10" s="58"/>
      <c r="GK10" s="58"/>
      <c r="GL10" s="58"/>
      <c r="GM10" s="58"/>
      <c r="GN10" s="58"/>
      <c r="GO10" s="58"/>
      <c r="GP10" s="58"/>
      <c r="GQ10" s="58"/>
      <c r="GR10" s="58"/>
      <c r="GS10" s="58"/>
      <c r="GT10" s="58"/>
      <c r="GU10" s="58"/>
      <c r="GV10" s="58"/>
      <c r="GW10" s="58"/>
      <c r="GX10" s="58"/>
      <c r="GY10" s="58"/>
      <c r="GZ10" s="58"/>
      <c r="HA10" s="58"/>
      <c r="HB10" s="58"/>
      <c r="HC10" s="58"/>
      <c r="HD10" s="58"/>
      <c r="HE10" s="58"/>
      <c r="HF10" s="58"/>
      <c r="HG10" s="58"/>
      <c r="HH10" s="58"/>
      <c r="HI10" s="58"/>
      <c r="HJ10" s="58"/>
      <c r="HK10" s="58"/>
      <c r="HL10" s="58"/>
      <c r="HM10" s="58"/>
      <c r="HN10" s="59"/>
    </row>
    <row r="11" spans="1:223" x14ac:dyDescent="0.3">
      <c r="B11" s="57"/>
      <c r="C11" s="58"/>
      <c r="D11" s="58"/>
      <c r="E11" s="58"/>
      <c r="F11" s="58"/>
      <c r="G11" s="58"/>
      <c r="H11" s="58"/>
      <c r="I11" s="58"/>
      <c r="J11" s="58"/>
      <c r="K11" s="58"/>
      <c r="L11" s="58"/>
      <c r="M11" s="58"/>
      <c r="N11" s="58"/>
      <c r="O11" s="58"/>
      <c r="P11" s="58"/>
      <c r="Q11" s="58"/>
      <c r="R11" s="58"/>
      <c r="S11" s="58"/>
      <c r="T11" s="58"/>
      <c r="U11" s="58"/>
      <c r="V11" s="58"/>
      <c r="W11" s="58"/>
      <c r="X11" s="58"/>
      <c r="Y11" s="58"/>
      <c r="Z11" s="58"/>
      <c r="AA11" s="58"/>
      <c r="AB11" s="58"/>
      <c r="AC11" s="58"/>
      <c r="AD11" s="58"/>
      <c r="AE11" s="58"/>
      <c r="AF11" s="58"/>
      <c r="AG11" s="58"/>
      <c r="AH11" s="58"/>
      <c r="AI11" s="58"/>
      <c r="AJ11" s="58"/>
      <c r="AK11" s="58"/>
      <c r="AL11" s="58"/>
      <c r="AM11" s="58"/>
      <c r="AN11" s="58"/>
      <c r="AO11" s="59"/>
      <c r="AQ11" s="57"/>
      <c r="AR11" s="58"/>
      <c r="AS11" s="58"/>
      <c r="AT11" s="58"/>
      <c r="AU11" s="58"/>
      <c r="AV11" s="58"/>
      <c r="AW11" s="58"/>
      <c r="AX11" s="58"/>
      <c r="AY11" s="58"/>
      <c r="AZ11" s="58"/>
      <c r="BA11" s="58"/>
      <c r="BB11" s="58"/>
      <c r="BC11" s="58"/>
      <c r="BD11" s="58"/>
      <c r="BE11" s="58"/>
      <c r="BF11" s="58"/>
      <c r="BG11" s="58"/>
      <c r="BH11" s="58"/>
      <c r="BI11" s="58"/>
      <c r="BJ11" s="58"/>
      <c r="BK11" s="58"/>
      <c r="BL11" s="58"/>
      <c r="BM11" s="58"/>
      <c r="BN11" s="58"/>
      <c r="BO11" s="58"/>
      <c r="BP11" s="58"/>
      <c r="BQ11" s="58"/>
      <c r="BR11" s="58"/>
      <c r="BS11" s="58"/>
      <c r="BT11" s="58"/>
      <c r="BU11" s="58"/>
      <c r="BV11" s="58"/>
      <c r="BW11" s="58"/>
      <c r="BX11" s="58"/>
      <c r="BY11" s="58"/>
      <c r="BZ11" s="58"/>
      <c r="CA11" s="58"/>
      <c r="CB11" s="58"/>
      <c r="CC11" s="58"/>
      <c r="CD11" s="58"/>
      <c r="CE11" s="58"/>
      <c r="CF11" s="58"/>
      <c r="CG11" s="58"/>
      <c r="CH11" s="58"/>
      <c r="CI11" s="58"/>
      <c r="CJ11" s="58"/>
      <c r="CK11" s="58"/>
      <c r="CL11" s="58"/>
      <c r="CM11" s="58"/>
      <c r="CN11" s="58"/>
      <c r="CO11" s="58"/>
      <c r="CP11" s="58"/>
      <c r="CQ11" s="58"/>
      <c r="CR11" s="58"/>
      <c r="CS11" s="58"/>
      <c r="CT11" s="58"/>
      <c r="CU11" s="58"/>
      <c r="CV11" s="58"/>
      <c r="CW11" s="58"/>
      <c r="CX11" s="58"/>
      <c r="CY11" s="58"/>
      <c r="CZ11" s="58"/>
      <c r="DA11" s="58"/>
      <c r="DB11" s="58"/>
      <c r="DC11" s="58"/>
      <c r="DD11" s="58"/>
      <c r="DE11" s="58"/>
      <c r="DF11" s="58"/>
      <c r="DG11" s="58"/>
      <c r="DH11" s="58"/>
      <c r="DI11" s="58"/>
      <c r="DJ11" s="58"/>
      <c r="DK11" s="58"/>
      <c r="DL11" s="58"/>
      <c r="DM11" s="58"/>
      <c r="DN11" s="58"/>
      <c r="DO11" s="58"/>
      <c r="DP11" s="58"/>
      <c r="DQ11" s="58"/>
      <c r="DR11" s="58"/>
      <c r="DS11" s="58"/>
      <c r="DT11" s="58"/>
      <c r="DU11" s="58"/>
      <c r="DV11" s="58"/>
      <c r="DW11" s="58"/>
      <c r="DX11" s="58"/>
      <c r="DY11" s="58"/>
      <c r="DZ11" s="58"/>
      <c r="EA11" s="58"/>
      <c r="EB11" s="58"/>
      <c r="EC11" s="58"/>
      <c r="ED11" s="58"/>
      <c r="EE11" s="58"/>
      <c r="EF11" s="58"/>
      <c r="EG11" s="58"/>
      <c r="EH11" s="58"/>
      <c r="EI11" s="58"/>
      <c r="EJ11" s="58"/>
      <c r="EK11" s="58"/>
      <c r="EL11" s="58"/>
      <c r="EM11" s="58"/>
      <c r="EN11" s="58"/>
      <c r="EO11" s="58"/>
      <c r="EP11" s="58"/>
      <c r="EQ11" s="58"/>
      <c r="ER11" s="58"/>
      <c r="ES11" s="58"/>
      <c r="ET11" s="58"/>
      <c r="EU11" s="58"/>
      <c r="EV11" s="58"/>
      <c r="EW11" s="58"/>
      <c r="EX11" s="58"/>
      <c r="EY11" s="58"/>
      <c r="EZ11" s="58"/>
      <c r="FA11" s="58"/>
      <c r="FB11" s="58"/>
      <c r="FC11" s="58"/>
      <c r="FD11" s="58"/>
      <c r="FE11" s="58"/>
      <c r="FF11" s="58"/>
      <c r="FG11" s="58"/>
      <c r="FH11" s="58"/>
      <c r="FI11" s="58"/>
      <c r="FJ11" s="58"/>
      <c r="FK11" s="58"/>
      <c r="FL11" s="58"/>
      <c r="FM11" s="58"/>
      <c r="FN11" s="58"/>
      <c r="FO11" s="58"/>
      <c r="FP11" s="58"/>
      <c r="FQ11" s="58"/>
      <c r="FR11" s="58"/>
      <c r="FS11" s="58"/>
      <c r="FT11" s="58"/>
      <c r="FU11" s="58"/>
      <c r="FV11" s="58"/>
      <c r="FW11" s="58"/>
      <c r="FX11" s="58"/>
      <c r="FY11" s="58"/>
      <c r="FZ11" s="58"/>
      <c r="GA11" s="58"/>
      <c r="GB11" s="58"/>
      <c r="GC11" s="58"/>
      <c r="GD11" s="58"/>
      <c r="GE11" s="58"/>
      <c r="GF11" s="58"/>
      <c r="GG11" s="58"/>
      <c r="GH11" s="58"/>
      <c r="GI11" s="58"/>
      <c r="GJ11" s="58"/>
      <c r="GK11" s="58"/>
      <c r="GL11" s="58"/>
      <c r="GM11" s="58"/>
      <c r="GN11" s="58"/>
      <c r="GO11" s="58"/>
      <c r="GP11" s="58"/>
      <c r="GQ11" s="58"/>
      <c r="GR11" s="58"/>
      <c r="GS11" s="58"/>
      <c r="GT11" s="58"/>
      <c r="GU11" s="58"/>
      <c r="GV11" s="58"/>
      <c r="GW11" s="58"/>
      <c r="GX11" s="58"/>
      <c r="GY11" s="58"/>
      <c r="GZ11" s="58"/>
      <c r="HA11" s="58"/>
      <c r="HB11" s="58"/>
      <c r="HC11" s="58"/>
      <c r="HD11" s="58"/>
      <c r="HE11" s="58"/>
      <c r="HF11" s="58"/>
      <c r="HG11" s="58"/>
      <c r="HH11" s="58"/>
      <c r="HI11" s="58"/>
      <c r="HJ11" s="58"/>
      <c r="HK11" s="58"/>
      <c r="HL11" s="58"/>
      <c r="HM11" s="58"/>
      <c r="HN11" s="59"/>
    </row>
    <row r="12" spans="1:223" x14ac:dyDescent="0.3">
      <c r="B12" s="60"/>
      <c r="C12" s="61"/>
      <c r="D12" s="61"/>
      <c r="E12" s="61"/>
      <c r="F12" s="61"/>
      <c r="G12" s="61"/>
      <c r="H12" s="61"/>
      <c r="I12" s="61"/>
      <c r="J12" s="61"/>
      <c r="K12" s="61"/>
      <c r="L12" s="61"/>
      <c r="M12" s="61"/>
      <c r="N12" s="61"/>
      <c r="O12" s="61"/>
      <c r="P12" s="61"/>
      <c r="Q12" s="61"/>
      <c r="R12" s="61"/>
      <c r="S12" s="61"/>
      <c r="T12" s="61"/>
      <c r="U12" s="61"/>
      <c r="V12" s="61"/>
      <c r="W12" s="61"/>
      <c r="X12" s="61"/>
      <c r="Y12" s="61"/>
      <c r="Z12" s="61"/>
      <c r="AA12" s="61"/>
      <c r="AB12" s="61"/>
      <c r="AC12" s="61"/>
      <c r="AD12" s="61"/>
      <c r="AE12" s="61"/>
      <c r="AF12" s="61"/>
      <c r="AG12" s="61"/>
      <c r="AH12" s="61"/>
      <c r="AI12" s="61"/>
      <c r="AJ12" s="61"/>
      <c r="AK12" s="61"/>
      <c r="AL12" s="61"/>
      <c r="AM12" s="61"/>
      <c r="AN12" s="61"/>
      <c r="AO12" s="62"/>
      <c r="AQ12" s="57"/>
      <c r="AR12" s="58"/>
      <c r="AS12" s="58"/>
      <c r="AT12" s="58"/>
      <c r="AU12" s="58"/>
      <c r="AV12" s="58"/>
      <c r="AW12" s="58"/>
      <c r="AX12" s="58"/>
      <c r="AY12" s="58"/>
      <c r="AZ12" s="58"/>
      <c r="BA12" s="58"/>
      <c r="BB12" s="58"/>
      <c r="BC12" s="58"/>
      <c r="BD12" s="58"/>
      <c r="BE12" s="58"/>
      <c r="BF12" s="58"/>
      <c r="BG12" s="58"/>
      <c r="BH12" s="58"/>
      <c r="BI12" s="58"/>
      <c r="BJ12" s="58"/>
      <c r="BK12" s="58"/>
      <c r="BL12" s="58"/>
      <c r="BM12" s="58"/>
      <c r="BN12" s="58"/>
      <c r="BO12" s="58"/>
      <c r="BP12" s="58"/>
      <c r="BQ12" s="58"/>
      <c r="BR12" s="58"/>
      <c r="BS12" s="58"/>
      <c r="BT12" s="58"/>
      <c r="BU12" s="58"/>
      <c r="BV12" s="58"/>
      <c r="BW12" s="58"/>
      <c r="BX12" s="58"/>
      <c r="BY12" s="58"/>
      <c r="BZ12" s="58"/>
      <c r="CA12" s="58"/>
      <c r="CB12" s="58"/>
      <c r="CC12" s="58"/>
      <c r="CD12" s="58"/>
      <c r="CE12" s="58"/>
      <c r="CF12" s="58"/>
      <c r="CG12" s="58"/>
      <c r="CH12" s="58"/>
      <c r="CI12" s="58"/>
      <c r="CJ12" s="58"/>
      <c r="CK12" s="58"/>
      <c r="CL12" s="58"/>
      <c r="CM12" s="58"/>
      <c r="CN12" s="58"/>
      <c r="CO12" s="58"/>
      <c r="CP12" s="58"/>
      <c r="CQ12" s="58"/>
      <c r="CR12" s="58"/>
      <c r="CS12" s="58"/>
      <c r="CT12" s="58"/>
      <c r="CU12" s="58"/>
      <c r="CV12" s="58"/>
      <c r="CW12" s="58"/>
      <c r="CX12" s="58"/>
      <c r="CY12" s="58"/>
      <c r="CZ12" s="58"/>
      <c r="DA12" s="58"/>
      <c r="DB12" s="58"/>
      <c r="DC12" s="58"/>
      <c r="DD12" s="58"/>
      <c r="DE12" s="58"/>
      <c r="DF12" s="58"/>
      <c r="DG12" s="58"/>
      <c r="DH12" s="58"/>
      <c r="DI12" s="58"/>
      <c r="DJ12" s="58"/>
      <c r="DK12" s="58"/>
      <c r="DL12" s="58"/>
      <c r="DM12" s="58"/>
      <c r="DN12" s="58"/>
      <c r="DO12" s="58"/>
      <c r="DP12" s="58"/>
      <c r="DQ12" s="58"/>
      <c r="DR12" s="58"/>
      <c r="DS12" s="58"/>
      <c r="DT12" s="58"/>
      <c r="DU12" s="58"/>
      <c r="DV12" s="58"/>
      <c r="DW12" s="58"/>
      <c r="DX12" s="58"/>
      <c r="DY12" s="58"/>
      <c r="DZ12" s="58"/>
      <c r="EA12" s="58"/>
      <c r="EB12" s="58"/>
      <c r="EC12" s="58"/>
      <c r="ED12" s="58"/>
      <c r="EE12" s="58"/>
      <c r="EF12" s="58"/>
      <c r="EG12" s="58"/>
      <c r="EH12" s="58"/>
      <c r="EI12" s="58"/>
      <c r="EJ12" s="58"/>
      <c r="EK12" s="58"/>
      <c r="EL12" s="58"/>
      <c r="EM12" s="58"/>
      <c r="EN12" s="58"/>
      <c r="EO12" s="58"/>
      <c r="EP12" s="58"/>
      <c r="EQ12" s="58"/>
      <c r="ER12" s="58"/>
      <c r="ES12" s="58"/>
      <c r="ET12" s="58"/>
      <c r="EU12" s="58"/>
      <c r="EV12" s="58"/>
      <c r="EW12" s="58"/>
      <c r="EX12" s="58"/>
      <c r="EY12" s="58"/>
      <c r="EZ12" s="58"/>
      <c r="FA12" s="58"/>
      <c r="FB12" s="58"/>
      <c r="FC12" s="58"/>
      <c r="FD12" s="58"/>
      <c r="FE12" s="58"/>
      <c r="FF12" s="58"/>
      <c r="FG12" s="58"/>
      <c r="FH12" s="58"/>
      <c r="FI12" s="58"/>
      <c r="FJ12" s="58"/>
      <c r="FK12" s="58"/>
      <c r="FL12" s="58"/>
      <c r="FM12" s="58"/>
      <c r="FN12" s="58"/>
      <c r="FO12" s="58"/>
      <c r="FP12" s="58"/>
      <c r="FQ12" s="58"/>
      <c r="FR12" s="58"/>
      <c r="FS12" s="58"/>
      <c r="FT12" s="58"/>
      <c r="FU12" s="58"/>
      <c r="FV12" s="58"/>
      <c r="FW12" s="58"/>
      <c r="FX12" s="58"/>
      <c r="FY12" s="58"/>
      <c r="FZ12" s="58"/>
      <c r="GA12" s="58"/>
      <c r="GB12" s="58"/>
      <c r="GC12" s="58"/>
      <c r="GD12" s="58"/>
      <c r="GE12" s="58"/>
      <c r="GF12" s="58"/>
      <c r="GG12" s="58"/>
      <c r="GH12" s="58"/>
      <c r="GI12" s="58"/>
      <c r="GJ12" s="58"/>
      <c r="GK12" s="58"/>
      <c r="GL12" s="58"/>
      <c r="GM12" s="58"/>
      <c r="GN12" s="58"/>
      <c r="GO12" s="58"/>
      <c r="GP12" s="58"/>
      <c r="GQ12" s="58"/>
      <c r="GR12" s="58"/>
      <c r="GS12" s="58"/>
      <c r="GT12" s="58"/>
      <c r="GU12" s="58"/>
      <c r="GV12" s="58"/>
      <c r="GW12" s="58"/>
      <c r="GX12" s="58"/>
      <c r="GY12" s="58"/>
      <c r="GZ12" s="58"/>
      <c r="HA12" s="58"/>
      <c r="HB12" s="58"/>
      <c r="HC12" s="58"/>
      <c r="HD12" s="58"/>
      <c r="HE12" s="58"/>
      <c r="HF12" s="58"/>
      <c r="HG12" s="58"/>
      <c r="HH12" s="58"/>
      <c r="HI12" s="58"/>
      <c r="HJ12" s="58"/>
      <c r="HK12" s="58"/>
      <c r="HL12" s="58"/>
      <c r="HM12" s="58"/>
      <c r="HN12" s="59"/>
    </row>
    <row r="13" spans="1:223" ht="4.95" customHeight="1" x14ac:dyDescent="0.3">
      <c r="AQ13" s="57"/>
      <c r="AR13" s="58"/>
      <c r="AS13" s="58"/>
      <c r="AT13" s="58"/>
      <c r="AU13" s="58"/>
      <c r="AV13" s="58"/>
      <c r="AW13" s="58"/>
      <c r="AX13" s="58"/>
      <c r="AY13" s="58"/>
      <c r="AZ13" s="58"/>
      <c r="BA13" s="58"/>
      <c r="BB13" s="58"/>
      <c r="BC13" s="58"/>
      <c r="BD13" s="58"/>
      <c r="BE13" s="58"/>
      <c r="BF13" s="58"/>
      <c r="BG13" s="58"/>
      <c r="BH13" s="58"/>
      <c r="BI13" s="58"/>
      <c r="BJ13" s="58"/>
      <c r="BK13" s="58"/>
      <c r="BL13" s="58"/>
      <c r="BM13" s="58"/>
      <c r="BN13" s="58"/>
      <c r="BO13" s="58"/>
      <c r="BP13" s="58"/>
      <c r="BQ13" s="58"/>
      <c r="BR13" s="58"/>
      <c r="BS13" s="58"/>
      <c r="BT13" s="58"/>
      <c r="BU13" s="58"/>
      <c r="BV13" s="58"/>
      <c r="BW13" s="58"/>
      <c r="BX13" s="58"/>
      <c r="BY13" s="58"/>
      <c r="BZ13" s="58"/>
      <c r="CA13" s="58"/>
      <c r="CB13" s="58"/>
      <c r="CC13" s="58"/>
      <c r="CD13" s="58"/>
      <c r="CE13" s="58"/>
      <c r="CF13" s="58"/>
      <c r="CG13" s="58"/>
      <c r="CH13" s="58"/>
      <c r="CI13" s="58"/>
      <c r="CJ13" s="58"/>
      <c r="CK13" s="58"/>
      <c r="CL13" s="58"/>
      <c r="CM13" s="58"/>
      <c r="CN13" s="58"/>
      <c r="CO13" s="58"/>
      <c r="CP13" s="58"/>
      <c r="CQ13" s="58"/>
      <c r="CR13" s="58"/>
      <c r="CS13" s="58"/>
      <c r="CT13" s="58"/>
      <c r="CU13" s="58"/>
      <c r="CV13" s="58"/>
      <c r="CW13" s="58"/>
      <c r="CX13" s="58"/>
      <c r="CY13" s="58"/>
      <c r="CZ13" s="58"/>
      <c r="DA13" s="58"/>
      <c r="DB13" s="58"/>
      <c r="DC13" s="58"/>
      <c r="DD13" s="58"/>
      <c r="DE13" s="58"/>
      <c r="DF13" s="58"/>
      <c r="DG13" s="58"/>
      <c r="DH13" s="58"/>
      <c r="DI13" s="58"/>
      <c r="DJ13" s="58"/>
      <c r="DK13" s="58"/>
      <c r="DL13" s="58"/>
      <c r="DM13" s="58"/>
      <c r="DN13" s="58"/>
      <c r="DO13" s="58"/>
      <c r="DP13" s="58"/>
      <c r="DQ13" s="58"/>
      <c r="DR13" s="58"/>
      <c r="DS13" s="58"/>
      <c r="DT13" s="58"/>
      <c r="DU13" s="58"/>
      <c r="DV13" s="58"/>
      <c r="DW13" s="58"/>
      <c r="DX13" s="58"/>
      <c r="DY13" s="58"/>
      <c r="DZ13" s="58"/>
      <c r="EA13" s="58"/>
      <c r="EB13" s="58"/>
      <c r="EC13" s="58"/>
      <c r="ED13" s="58"/>
      <c r="EE13" s="58"/>
      <c r="EF13" s="58"/>
      <c r="EG13" s="58"/>
      <c r="EH13" s="58"/>
      <c r="EI13" s="58"/>
      <c r="EJ13" s="58"/>
      <c r="EK13" s="58"/>
      <c r="EL13" s="58"/>
      <c r="EM13" s="58"/>
      <c r="EN13" s="58"/>
      <c r="EO13" s="58"/>
      <c r="EP13" s="58"/>
      <c r="EQ13" s="58"/>
      <c r="ER13" s="58"/>
      <c r="ES13" s="58"/>
      <c r="ET13" s="58"/>
      <c r="EU13" s="58"/>
      <c r="EV13" s="58"/>
      <c r="EW13" s="58"/>
      <c r="EX13" s="58"/>
      <c r="EY13" s="58"/>
      <c r="EZ13" s="58"/>
      <c r="FA13" s="58"/>
      <c r="FB13" s="58"/>
      <c r="FC13" s="58"/>
      <c r="FD13" s="58"/>
      <c r="FE13" s="58"/>
      <c r="FF13" s="58"/>
      <c r="FG13" s="58"/>
      <c r="FH13" s="58"/>
      <c r="FI13" s="58"/>
      <c r="FJ13" s="58"/>
      <c r="FK13" s="58"/>
      <c r="FL13" s="58"/>
      <c r="FM13" s="58"/>
      <c r="FN13" s="58"/>
      <c r="FO13" s="58"/>
      <c r="FP13" s="58"/>
      <c r="FQ13" s="58"/>
      <c r="FR13" s="58"/>
      <c r="FS13" s="58"/>
      <c r="FT13" s="58"/>
      <c r="FU13" s="58"/>
      <c r="FV13" s="58"/>
      <c r="FW13" s="58"/>
      <c r="FX13" s="58"/>
      <c r="FY13" s="58"/>
      <c r="FZ13" s="58"/>
      <c r="GA13" s="58"/>
      <c r="GB13" s="58"/>
      <c r="GC13" s="58"/>
      <c r="GD13" s="58"/>
      <c r="GE13" s="58"/>
      <c r="GF13" s="58"/>
      <c r="GG13" s="58"/>
      <c r="GH13" s="58"/>
      <c r="GI13" s="58"/>
      <c r="GJ13" s="58"/>
      <c r="GK13" s="58"/>
      <c r="GL13" s="58"/>
      <c r="GM13" s="58"/>
      <c r="GN13" s="58"/>
      <c r="GO13" s="58"/>
      <c r="GP13" s="58"/>
      <c r="GQ13" s="58"/>
      <c r="GR13" s="58"/>
      <c r="GS13" s="58"/>
      <c r="GT13" s="58"/>
      <c r="GU13" s="58"/>
      <c r="GV13" s="58"/>
      <c r="GW13" s="58"/>
      <c r="GX13" s="58"/>
      <c r="GY13" s="58"/>
      <c r="GZ13" s="58"/>
      <c r="HA13" s="58"/>
      <c r="HB13" s="58"/>
      <c r="HC13" s="58"/>
      <c r="HD13" s="58"/>
      <c r="HE13" s="58"/>
      <c r="HF13" s="58"/>
      <c r="HG13" s="58"/>
      <c r="HH13" s="58"/>
      <c r="HI13" s="58"/>
      <c r="HJ13" s="58"/>
      <c r="HK13" s="58"/>
      <c r="HL13" s="58"/>
      <c r="HM13" s="58"/>
      <c r="HN13" s="59"/>
    </row>
    <row r="14" spans="1:223" x14ac:dyDescent="0.3">
      <c r="B14" s="54"/>
      <c r="C14" s="55"/>
      <c r="D14" s="55"/>
      <c r="E14" s="55"/>
      <c r="F14" s="55"/>
      <c r="G14" s="55"/>
      <c r="H14" s="55"/>
      <c r="I14" s="55"/>
      <c r="J14" s="55"/>
      <c r="K14" s="55"/>
      <c r="L14" s="55"/>
      <c r="M14" s="55"/>
      <c r="N14" s="55"/>
      <c r="O14" s="55"/>
      <c r="P14" s="55"/>
      <c r="Q14" s="55"/>
      <c r="R14" s="55"/>
      <c r="S14" s="55"/>
      <c r="T14" s="55"/>
      <c r="U14" s="55"/>
      <c r="V14" s="55"/>
      <c r="W14" s="55"/>
      <c r="X14" s="55"/>
      <c r="Y14" s="55"/>
      <c r="Z14" s="55"/>
      <c r="AA14" s="55"/>
      <c r="AB14" s="55"/>
      <c r="AC14" s="55"/>
      <c r="AD14" s="55"/>
      <c r="AE14" s="55"/>
      <c r="AF14" s="55"/>
      <c r="AG14" s="55"/>
      <c r="AH14" s="55"/>
      <c r="AI14" s="55"/>
      <c r="AJ14" s="55"/>
      <c r="AK14" s="55"/>
      <c r="AL14" s="55"/>
      <c r="AM14" s="55"/>
      <c r="AN14" s="55"/>
      <c r="AO14" s="56"/>
      <c r="AQ14" s="57"/>
      <c r="AR14" s="58"/>
      <c r="AS14" s="58"/>
      <c r="AT14" s="58"/>
      <c r="AU14" s="58"/>
      <c r="AV14" s="58"/>
      <c r="AW14" s="58"/>
      <c r="AX14" s="58"/>
      <c r="AY14" s="58"/>
      <c r="AZ14" s="58"/>
      <c r="BA14" s="58"/>
      <c r="BB14" s="58"/>
      <c r="BC14" s="58"/>
      <c r="BD14" s="58"/>
      <c r="BE14" s="58"/>
      <c r="BF14" s="58"/>
      <c r="BG14" s="58"/>
      <c r="BH14" s="58"/>
      <c r="BI14" s="58"/>
      <c r="BJ14" s="58"/>
      <c r="BK14" s="58"/>
      <c r="BL14" s="58"/>
      <c r="BM14" s="58"/>
      <c r="BN14" s="58"/>
      <c r="BO14" s="58"/>
      <c r="BP14" s="58"/>
      <c r="BQ14" s="58"/>
      <c r="BR14" s="58"/>
      <c r="BS14" s="58"/>
      <c r="BT14" s="58"/>
      <c r="BU14" s="58"/>
      <c r="BV14" s="58"/>
      <c r="BW14" s="58"/>
      <c r="BX14" s="58"/>
      <c r="BY14" s="58"/>
      <c r="BZ14" s="58"/>
      <c r="CA14" s="58"/>
      <c r="CB14" s="58"/>
      <c r="CC14" s="58"/>
      <c r="CD14" s="58"/>
      <c r="CE14" s="58"/>
      <c r="CF14" s="58"/>
      <c r="CG14" s="58"/>
      <c r="CH14" s="58"/>
      <c r="CI14" s="58"/>
      <c r="CJ14" s="58"/>
      <c r="CK14" s="58"/>
      <c r="CL14" s="58"/>
      <c r="CM14" s="58"/>
      <c r="CN14" s="58"/>
      <c r="CO14" s="58"/>
      <c r="CP14" s="58"/>
      <c r="CQ14" s="58"/>
      <c r="CR14" s="58"/>
      <c r="CS14" s="58"/>
      <c r="CT14" s="58"/>
      <c r="CU14" s="58"/>
      <c r="CV14" s="58"/>
      <c r="CW14" s="58"/>
      <c r="CX14" s="58"/>
      <c r="CY14" s="58"/>
      <c r="CZ14" s="58"/>
      <c r="DA14" s="58"/>
      <c r="DB14" s="58"/>
      <c r="DC14" s="58"/>
      <c r="DD14" s="58"/>
      <c r="DE14" s="58"/>
      <c r="DF14" s="58"/>
      <c r="DG14" s="58"/>
      <c r="DH14" s="58"/>
      <c r="DI14" s="58"/>
      <c r="DJ14" s="58"/>
      <c r="DK14" s="58"/>
      <c r="DL14" s="58"/>
      <c r="DM14" s="58"/>
      <c r="DN14" s="58"/>
      <c r="DO14" s="58"/>
      <c r="DP14" s="58"/>
      <c r="DQ14" s="58"/>
      <c r="DR14" s="58"/>
      <c r="DS14" s="58"/>
      <c r="DT14" s="58"/>
      <c r="DU14" s="58"/>
      <c r="DV14" s="58"/>
      <c r="DW14" s="58"/>
      <c r="DX14" s="58"/>
      <c r="DY14" s="58"/>
      <c r="DZ14" s="58"/>
      <c r="EA14" s="58"/>
      <c r="EB14" s="58"/>
      <c r="EC14" s="58"/>
      <c r="ED14" s="58"/>
      <c r="EE14" s="58"/>
      <c r="EF14" s="58"/>
      <c r="EG14" s="58"/>
      <c r="EH14" s="58"/>
      <c r="EI14" s="58"/>
      <c r="EJ14" s="58"/>
      <c r="EK14" s="58"/>
      <c r="EL14" s="58"/>
      <c r="EM14" s="58"/>
      <c r="EN14" s="58"/>
      <c r="EO14" s="58"/>
      <c r="EP14" s="58"/>
      <c r="EQ14" s="58"/>
      <c r="ER14" s="58"/>
      <c r="ES14" s="58"/>
      <c r="ET14" s="58"/>
      <c r="EU14" s="58"/>
      <c r="EV14" s="58"/>
      <c r="EW14" s="58"/>
      <c r="EX14" s="58"/>
      <c r="EY14" s="58"/>
      <c r="EZ14" s="58"/>
      <c r="FA14" s="58"/>
      <c r="FB14" s="58"/>
      <c r="FC14" s="58"/>
      <c r="FD14" s="58"/>
      <c r="FE14" s="58"/>
      <c r="FF14" s="58"/>
      <c r="FG14" s="58"/>
      <c r="FH14" s="58"/>
      <c r="FI14" s="58"/>
      <c r="FJ14" s="58"/>
      <c r="FK14" s="58"/>
      <c r="FL14" s="58"/>
      <c r="FM14" s="58"/>
      <c r="FN14" s="58"/>
      <c r="FO14" s="58"/>
      <c r="FP14" s="58"/>
      <c r="FQ14" s="58"/>
      <c r="FR14" s="58"/>
      <c r="FS14" s="58"/>
      <c r="FT14" s="58"/>
      <c r="FU14" s="58"/>
      <c r="FV14" s="58"/>
      <c r="FW14" s="58"/>
      <c r="FX14" s="58"/>
      <c r="FY14" s="58"/>
      <c r="FZ14" s="58"/>
      <c r="GA14" s="58"/>
      <c r="GB14" s="58"/>
      <c r="GC14" s="58"/>
      <c r="GD14" s="58"/>
      <c r="GE14" s="58"/>
      <c r="GF14" s="58"/>
      <c r="GG14" s="58"/>
      <c r="GH14" s="58"/>
      <c r="GI14" s="58"/>
      <c r="GJ14" s="58"/>
      <c r="GK14" s="58"/>
      <c r="GL14" s="58"/>
      <c r="GM14" s="58"/>
      <c r="GN14" s="58"/>
      <c r="GO14" s="58"/>
      <c r="GP14" s="58"/>
      <c r="GQ14" s="58"/>
      <c r="GR14" s="58"/>
      <c r="GS14" s="58"/>
      <c r="GT14" s="58"/>
      <c r="GU14" s="58"/>
      <c r="GV14" s="58"/>
      <c r="GW14" s="58"/>
      <c r="GX14" s="58"/>
      <c r="GY14" s="58"/>
      <c r="GZ14" s="58"/>
      <c r="HA14" s="58"/>
      <c r="HB14" s="58"/>
      <c r="HC14" s="58"/>
      <c r="HD14" s="58"/>
      <c r="HE14" s="58"/>
      <c r="HF14" s="58"/>
      <c r="HG14" s="58"/>
      <c r="HH14" s="58"/>
      <c r="HI14" s="58"/>
      <c r="HJ14" s="58"/>
      <c r="HK14" s="58"/>
      <c r="HL14" s="58"/>
      <c r="HM14" s="58"/>
      <c r="HN14" s="59"/>
    </row>
    <row r="15" spans="1:223" x14ac:dyDescent="0.3">
      <c r="B15" s="57"/>
      <c r="C15" s="58"/>
      <c r="D15" s="58"/>
      <c r="E15" s="58"/>
      <c r="F15" s="58"/>
      <c r="G15" s="58"/>
      <c r="H15" s="58"/>
      <c r="I15" s="58"/>
      <c r="J15" s="58"/>
      <c r="K15" s="58"/>
      <c r="L15" s="58"/>
      <c r="M15" s="58"/>
      <c r="N15" s="58"/>
      <c r="O15" s="58"/>
      <c r="P15" s="58"/>
      <c r="Q15" s="58"/>
      <c r="R15" s="58"/>
      <c r="S15" s="58"/>
      <c r="T15" s="58"/>
      <c r="U15" s="58"/>
      <c r="V15" s="58"/>
      <c r="W15" s="58"/>
      <c r="X15" s="58"/>
      <c r="Y15" s="58"/>
      <c r="Z15" s="58"/>
      <c r="AA15" s="58"/>
      <c r="AB15" s="58"/>
      <c r="AC15" s="58"/>
      <c r="AD15" s="58"/>
      <c r="AE15" s="58"/>
      <c r="AF15" s="58"/>
      <c r="AG15" s="58"/>
      <c r="AH15" s="58"/>
      <c r="AI15" s="58"/>
      <c r="AJ15" s="58"/>
      <c r="AK15" s="58"/>
      <c r="AL15" s="58"/>
      <c r="AM15" s="58"/>
      <c r="AN15" s="58"/>
      <c r="AO15" s="59"/>
      <c r="AQ15" s="57"/>
      <c r="AR15" s="58"/>
      <c r="AS15" s="58"/>
      <c r="AT15" s="58"/>
      <c r="AU15" s="58"/>
      <c r="AV15" s="58"/>
      <c r="AW15" s="58"/>
      <c r="AX15" s="58"/>
      <c r="AY15" s="58"/>
      <c r="AZ15" s="58"/>
      <c r="BA15" s="58"/>
      <c r="BB15" s="58"/>
      <c r="BC15" s="58"/>
      <c r="BD15" s="58"/>
      <c r="BE15" s="58"/>
      <c r="BF15" s="58"/>
      <c r="BG15" s="58"/>
      <c r="BH15" s="58"/>
      <c r="BI15" s="58"/>
      <c r="BJ15" s="58"/>
      <c r="BK15" s="58"/>
      <c r="BL15" s="58"/>
      <c r="BM15" s="58"/>
      <c r="BN15" s="58"/>
      <c r="BO15" s="58"/>
      <c r="BP15" s="58"/>
      <c r="BQ15" s="58"/>
      <c r="BR15" s="58"/>
      <c r="BS15" s="58"/>
      <c r="BT15" s="58"/>
      <c r="BU15" s="58"/>
      <c r="BV15" s="58"/>
      <c r="BW15" s="58"/>
      <c r="BX15" s="58"/>
      <c r="BY15" s="58"/>
      <c r="BZ15" s="58"/>
      <c r="CA15" s="58"/>
      <c r="CB15" s="58"/>
      <c r="CC15" s="58"/>
      <c r="CD15" s="58"/>
      <c r="CE15" s="58"/>
      <c r="CF15" s="58"/>
      <c r="CG15" s="58"/>
      <c r="CH15" s="58"/>
      <c r="CI15" s="58"/>
      <c r="CJ15" s="58"/>
      <c r="CK15" s="58"/>
      <c r="CL15" s="58"/>
      <c r="CM15" s="58"/>
      <c r="CN15" s="58"/>
      <c r="CO15" s="58"/>
      <c r="CP15" s="58"/>
      <c r="CQ15" s="58"/>
      <c r="CR15" s="58"/>
      <c r="CS15" s="58"/>
      <c r="CT15" s="58"/>
      <c r="CU15" s="58"/>
      <c r="CV15" s="58"/>
      <c r="CW15" s="58"/>
      <c r="CX15" s="58"/>
      <c r="CY15" s="58"/>
      <c r="CZ15" s="58"/>
      <c r="DA15" s="58"/>
      <c r="DB15" s="58"/>
      <c r="DC15" s="58"/>
      <c r="DD15" s="58"/>
      <c r="DE15" s="58"/>
      <c r="DF15" s="58"/>
      <c r="DG15" s="58"/>
      <c r="DH15" s="58"/>
      <c r="DI15" s="58"/>
      <c r="DJ15" s="58"/>
      <c r="DK15" s="58"/>
      <c r="DL15" s="58"/>
      <c r="DM15" s="58"/>
      <c r="DN15" s="58"/>
      <c r="DO15" s="58"/>
      <c r="DP15" s="58"/>
      <c r="DQ15" s="58"/>
      <c r="DR15" s="58"/>
      <c r="DS15" s="58"/>
      <c r="DT15" s="58"/>
      <c r="DU15" s="58"/>
      <c r="DV15" s="58"/>
      <c r="DW15" s="58"/>
      <c r="DX15" s="58"/>
      <c r="DY15" s="58"/>
      <c r="DZ15" s="58"/>
      <c r="EA15" s="58"/>
      <c r="EB15" s="58"/>
      <c r="EC15" s="58"/>
      <c r="ED15" s="58"/>
      <c r="EE15" s="58"/>
      <c r="EF15" s="58"/>
      <c r="EG15" s="58"/>
      <c r="EH15" s="58"/>
      <c r="EI15" s="58"/>
      <c r="EJ15" s="58"/>
      <c r="EK15" s="58"/>
      <c r="EL15" s="58"/>
      <c r="EM15" s="58"/>
      <c r="EN15" s="58"/>
      <c r="EO15" s="58"/>
      <c r="EP15" s="58"/>
      <c r="EQ15" s="58"/>
      <c r="ER15" s="58"/>
      <c r="ES15" s="58"/>
      <c r="ET15" s="58"/>
      <c r="EU15" s="58"/>
      <c r="EV15" s="58"/>
      <c r="EW15" s="58"/>
      <c r="EX15" s="58"/>
      <c r="EY15" s="58"/>
      <c r="EZ15" s="58"/>
      <c r="FA15" s="58"/>
      <c r="FB15" s="58"/>
      <c r="FC15" s="58"/>
      <c r="FD15" s="58"/>
      <c r="FE15" s="58"/>
      <c r="FF15" s="58"/>
      <c r="FG15" s="58"/>
      <c r="FH15" s="58"/>
      <c r="FI15" s="58"/>
      <c r="FJ15" s="58"/>
      <c r="FK15" s="58"/>
      <c r="FL15" s="58"/>
      <c r="FM15" s="58"/>
      <c r="FN15" s="58"/>
      <c r="FO15" s="58"/>
      <c r="FP15" s="58"/>
      <c r="FQ15" s="58"/>
      <c r="FR15" s="58"/>
      <c r="FS15" s="58"/>
      <c r="FT15" s="58"/>
      <c r="FU15" s="58"/>
      <c r="FV15" s="58"/>
      <c r="FW15" s="58"/>
      <c r="FX15" s="58"/>
      <c r="FY15" s="58"/>
      <c r="FZ15" s="58"/>
      <c r="GA15" s="58"/>
      <c r="GB15" s="58"/>
      <c r="GC15" s="58"/>
      <c r="GD15" s="58"/>
      <c r="GE15" s="58"/>
      <c r="GF15" s="58"/>
      <c r="GG15" s="58"/>
      <c r="GH15" s="58"/>
      <c r="GI15" s="58"/>
      <c r="GJ15" s="58"/>
      <c r="GK15" s="58"/>
      <c r="GL15" s="58"/>
      <c r="GM15" s="58"/>
      <c r="GN15" s="58"/>
      <c r="GO15" s="58"/>
      <c r="GP15" s="58"/>
      <c r="GQ15" s="58"/>
      <c r="GR15" s="58"/>
      <c r="GS15" s="58"/>
      <c r="GT15" s="58"/>
      <c r="GU15" s="58"/>
      <c r="GV15" s="58"/>
      <c r="GW15" s="58"/>
      <c r="GX15" s="58"/>
      <c r="GY15" s="58"/>
      <c r="GZ15" s="58"/>
      <c r="HA15" s="58"/>
      <c r="HB15" s="58"/>
      <c r="HC15" s="58"/>
      <c r="HD15" s="58"/>
      <c r="HE15" s="58"/>
      <c r="HF15" s="58"/>
      <c r="HG15" s="58"/>
      <c r="HH15" s="58"/>
      <c r="HI15" s="58"/>
      <c r="HJ15" s="58"/>
      <c r="HK15" s="58"/>
      <c r="HL15" s="58"/>
      <c r="HM15" s="58"/>
      <c r="HN15" s="59"/>
    </row>
    <row r="16" spans="1:223" x14ac:dyDescent="0.3">
      <c r="B16" s="57"/>
      <c r="C16" s="58"/>
      <c r="D16" s="58"/>
      <c r="E16" s="58"/>
      <c r="F16" s="58"/>
      <c r="G16" s="58"/>
      <c r="H16" s="58"/>
      <c r="I16" s="58"/>
      <c r="J16" s="58"/>
      <c r="K16" s="58"/>
      <c r="L16" s="58"/>
      <c r="M16" s="58"/>
      <c r="N16" s="58"/>
      <c r="O16" s="58"/>
      <c r="P16" s="58"/>
      <c r="Q16" s="58"/>
      <c r="R16" s="58"/>
      <c r="S16" s="58"/>
      <c r="T16" s="58"/>
      <c r="U16" s="58"/>
      <c r="V16" s="58"/>
      <c r="W16" s="58"/>
      <c r="X16" s="58"/>
      <c r="Y16" s="58"/>
      <c r="Z16" s="58"/>
      <c r="AA16" s="58"/>
      <c r="AB16" s="58"/>
      <c r="AC16" s="58"/>
      <c r="AD16" s="58"/>
      <c r="AE16" s="58"/>
      <c r="AF16" s="58"/>
      <c r="AG16" s="58"/>
      <c r="AH16" s="58"/>
      <c r="AI16" s="58"/>
      <c r="AJ16" s="58"/>
      <c r="AK16" s="58"/>
      <c r="AL16" s="58"/>
      <c r="AM16" s="58"/>
      <c r="AN16" s="58"/>
      <c r="AO16" s="59"/>
      <c r="AQ16" s="57"/>
      <c r="AR16" s="58"/>
      <c r="AS16" s="58"/>
      <c r="AT16" s="58"/>
      <c r="AU16" s="58"/>
      <c r="AV16" s="58"/>
      <c r="AW16" s="58"/>
      <c r="AX16" s="58"/>
      <c r="AY16" s="58"/>
      <c r="AZ16" s="58"/>
      <c r="BA16" s="58"/>
      <c r="BB16" s="58"/>
      <c r="BC16" s="58"/>
      <c r="BD16" s="58"/>
      <c r="BE16" s="58"/>
      <c r="BF16" s="58"/>
      <c r="BG16" s="58"/>
      <c r="BH16" s="58"/>
      <c r="BI16" s="58"/>
      <c r="BJ16" s="58"/>
      <c r="BK16" s="58"/>
      <c r="BL16" s="58"/>
      <c r="BM16" s="58"/>
      <c r="BN16" s="58"/>
      <c r="BO16" s="58"/>
      <c r="BP16" s="58"/>
      <c r="BQ16" s="58"/>
      <c r="BR16" s="58"/>
      <c r="BS16" s="58"/>
      <c r="BT16" s="58"/>
      <c r="BU16" s="58"/>
      <c r="BV16" s="58"/>
      <c r="BW16" s="58"/>
      <c r="BX16" s="58"/>
      <c r="BY16" s="58"/>
      <c r="BZ16" s="58"/>
      <c r="CA16" s="58"/>
      <c r="CB16" s="58"/>
      <c r="CC16" s="58"/>
      <c r="CD16" s="58"/>
      <c r="CE16" s="58"/>
      <c r="CF16" s="58"/>
      <c r="CG16" s="58"/>
      <c r="CH16" s="58"/>
      <c r="CI16" s="58"/>
      <c r="CJ16" s="58"/>
      <c r="CK16" s="58"/>
      <c r="CL16" s="58"/>
      <c r="CM16" s="58"/>
      <c r="CN16" s="58"/>
      <c r="CO16" s="58"/>
      <c r="CP16" s="58"/>
      <c r="CQ16" s="58"/>
      <c r="CR16" s="58"/>
      <c r="CS16" s="58"/>
      <c r="CT16" s="58"/>
      <c r="CU16" s="58"/>
      <c r="CV16" s="58"/>
      <c r="CW16" s="58"/>
      <c r="CX16" s="58"/>
      <c r="CY16" s="58"/>
      <c r="CZ16" s="58"/>
      <c r="DA16" s="58"/>
      <c r="DB16" s="58"/>
      <c r="DC16" s="58"/>
      <c r="DD16" s="58"/>
      <c r="DE16" s="58"/>
      <c r="DF16" s="58"/>
      <c r="DG16" s="58"/>
      <c r="DH16" s="58"/>
      <c r="DI16" s="58"/>
      <c r="DJ16" s="58"/>
      <c r="DK16" s="58"/>
      <c r="DL16" s="58"/>
      <c r="DM16" s="58"/>
      <c r="DN16" s="58"/>
      <c r="DO16" s="58"/>
      <c r="DP16" s="58"/>
      <c r="DQ16" s="58"/>
      <c r="DR16" s="58"/>
      <c r="DS16" s="58"/>
      <c r="DT16" s="58"/>
      <c r="DU16" s="58"/>
      <c r="DV16" s="58"/>
      <c r="DW16" s="58"/>
      <c r="DX16" s="58"/>
      <c r="DY16" s="58"/>
      <c r="DZ16" s="58"/>
      <c r="EA16" s="58"/>
      <c r="EB16" s="58"/>
      <c r="EC16" s="58"/>
      <c r="ED16" s="58"/>
      <c r="EE16" s="58"/>
      <c r="EF16" s="58"/>
      <c r="EG16" s="58"/>
      <c r="EH16" s="58"/>
      <c r="EI16" s="58"/>
      <c r="EJ16" s="58"/>
      <c r="EK16" s="58"/>
      <c r="EL16" s="58"/>
      <c r="EM16" s="58"/>
      <c r="EN16" s="58"/>
      <c r="EO16" s="58"/>
      <c r="EP16" s="58"/>
      <c r="EQ16" s="58"/>
      <c r="ER16" s="58"/>
      <c r="ES16" s="58"/>
      <c r="ET16" s="58"/>
      <c r="EU16" s="58"/>
      <c r="EV16" s="58"/>
      <c r="EW16" s="58"/>
      <c r="EX16" s="58"/>
      <c r="EY16" s="58"/>
      <c r="EZ16" s="58"/>
      <c r="FA16" s="58"/>
      <c r="FB16" s="58"/>
      <c r="FC16" s="58"/>
      <c r="FD16" s="58"/>
      <c r="FE16" s="58"/>
      <c r="FF16" s="58"/>
      <c r="FG16" s="58"/>
      <c r="FH16" s="58"/>
      <c r="FI16" s="58"/>
      <c r="FJ16" s="58"/>
      <c r="FK16" s="58"/>
      <c r="FL16" s="58"/>
      <c r="FM16" s="58"/>
      <c r="FN16" s="58"/>
      <c r="FO16" s="58"/>
      <c r="FP16" s="58"/>
      <c r="FQ16" s="58"/>
      <c r="FR16" s="58"/>
      <c r="FS16" s="58"/>
      <c r="FT16" s="58"/>
      <c r="FU16" s="58"/>
      <c r="FV16" s="58"/>
      <c r="FW16" s="58"/>
      <c r="FX16" s="58"/>
      <c r="FY16" s="58"/>
      <c r="FZ16" s="58"/>
      <c r="GA16" s="58"/>
      <c r="GB16" s="58"/>
      <c r="GC16" s="58"/>
      <c r="GD16" s="58"/>
      <c r="GE16" s="58"/>
      <c r="GF16" s="58"/>
      <c r="GG16" s="58"/>
      <c r="GH16" s="58"/>
      <c r="GI16" s="58"/>
      <c r="GJ16" s="58"/>
      <c r="GK16" s="58"/>
      <c r="GL16" s="58"/>
      <c r="GM16" s="58"/>
      <c r="GN16" s="58"/>
      <c r="GO16" s="58"/>
      <c r="GP16" s="58"/>
      <c r="GQ16" s="58"/>
      <c r="GR16" s="58"/>
      <c r="GS16" s="58"/>
      <c r="GT16" s="58"/>
      <c r="GU16" s="58"/>
      <c r="GV16" s="58"/>
      <c r="GW16" s="58"/>
      <c r="GX16" s="58"/>
      <c r="GY16" s="58"/>
      <c r="GZ16" s="58"/>
      <c r="HA16" s="58"/>
      <c r="HB16" s="58"/>
      <c r="HC16" s="58"/>
      <c r="HD16" s="58"/>
      <c r="HE16" s="58"/>
      <c r="HF16" s="58"/>
      <c r="HG16" s="58"/>
      <c r="HH16" s="58"/>
      <c r="HI16" s="58"/>
      <c r="HJ16" s="58"/>
      <c r="HK16" s="58"/>
      <c r="HL16" s="58"/>
      <c r="HM16" s="58"/>
      <c r="HN16" s="59"/>
    </row>
    <row r="17" spans="2:222" x14ac:dyDescent="0.3">
      <c r="B17" s="57"/>
      <c r="C17" s="58"/>
      <c r="D17" s="58"/>
      <c r="E17" s="58"/>
      <c r="F17" s="58"/>
      <c r="G17" s="58"/>
      <c r="H17" s="58"/>
      <c r="I17" s="58"/>
      <c r="J17" s="58"/>
      <c r="K17" s="58"/>
      <c r="L17" s="58"/>
      <c r="M17" s="58"/>
      <c r="N17" s="58"/>
      <c r="O17" s="58"/>
      <c r="P17" s="58"/>
      <c r="Q17" s="58"/>
      <c r="R17" s="58"/>
      <c r="S17" s="58"/>
      <c r="T17" s="58"/>
      <c r="U17" s="58"/>
      <c r="V17" s="58"/>
      <c r="W17" s="58"/>
      <c r="X17" s="58"/>
      <c r="Y17" s="58"/>
      <c r="Z17" s="58"/>
      <c r="AA17" s="58"/>
      <c r="AB17" s="58"/>
      <c r="AC17" s="58"/>
      <c r="AD17" s="58"/>
      <c r="AE17" s="58"/>
      <c r="AF17" s="58"/>
      <c r="AG17" s="58"/>
      <c r="AH17" s="58"/>
      <c r="AI17" s="58"/>
      <c r="AJ17" s="58"/>
      <c r="AK17" s="58"/>
      <c r="AL17" s="58"/>
      <c r="AM17" s="58"/>
      <c r="AN17" s="58"/>
      <c r="AO17" s="59"/>
      <c r="AQ17" s="57"/>
      <c r="AR17" s="58"/>
      <c r="AS17" s="58"/>
      <c r="AT17" s="58"/>
      <c r="AU17" s="58"/>
      <c r="AV17" s="58"/>
      <c r="AW17" s="58"/>
      <c r="AX17" s="58"/>
      <c r="AY17" s="58"/>
      <c r="AZ17" s="58"/>
      <c r="BA17" s="58"/>
      <c r="BB17" s="58"/>
      <c r="BC17" s="58"/>
      <c r="BD17" s="58"/>
      <c r="BE17" s="58"/>
      <c r="BF17" s="58"/>
      <c r="BG17" s="58"/>
      <c r="BH17" s="58"/>
      <c r="BI17" s="58"/>
      <c r="BJ17" s="58"/>
      <c r="BK17" s="58"/>
      <c r="BL17" s="58"/>
      <c r="BM17" s="58"/>
      <c r="BN17" s="58"/>
      <c r="BO17" s="58"/>
      <c r="BP17" s="58"/>
      <c r="BQ17" s="58"/>
      <c r="BR17" s="58"/>
      <c r="BS17" s="58"/>
      <c r="BT17" s="58"/>
      <c r="BU17" s="58"/>
      <c r="BV17" s="58"/>
      <c r="BW17" s="58"/>
      <c r="BX17" s="58"/>
      <c r="BY17" s="58"/>
      <c r="BZ17" s="58"/>
      <c r="CA17" s="58"/>
      <c r="CB17" s="58"/>
      <c r="CC17" s="58"/>
      <c r="CD17" s="58"/>
      <c r="CE17" s="58"/>
      <c r="CF17" s="58"/>
      <c r="CG17" s="58"/>
      <c r="CH17" s="58"/>
      <c r="CI17" s="58"/>
      <c r="CJ17" s="58"/>
      <c r="CK17" s="58"/>
      <c r="CL17" s="58"/>
      <c r="CM17" s="58"/>
      <c r="CN17" s="58"/>
      <c r="CO17" s="58"/>
      <c r="CP17" s="58"/>
      <c r="CQ17" s="58"/>
      <c r="CR17" s="58"/>
      <c r="CS17" s="58"/>
      <c r="CT17" s="58"/>
      <c r="CU17" s="58"/>
      <c r="CV17" s="58"/>
      <c r="CW17" s="58"/>
      <c r="CX17" s="58"/>
      <c r="CY17" s="58"/>
      <c r="CZ17" s="58"/>
      <c r="DA17" s="58"/>
      <c r="DB17" s="58"/>
      <c r="DC17" s="58"/>
      <c r="DD17" s="58"/>
      <c r="DE17" s="58"/>
      <c r="DF17" s="58"/>
      <c r="DG17" s="58"/>
      <c r="DH17" s="58"/>
      <c r="DI17" s="58"/>
      <c r="DJ17" s="58"/>
      <c r="DK17" s="58"/>
      <c r="DL17" s="58"/>
      <c r="DM17" s="58"/>
      <c r="DN17" s="58"/>
      <c r="DO17" s="58"/>
      <c r="DP17" s="58"/>
      <c r="DQ17" s="58"/>
      <c r="DR17" s="58"/>
      <c r="DS17" s="58"/>
      <c r="DT17" s="58"/>
      <c r="DU17" s="58"/>
      <c r="DV17" s="58"/>
      <c r="DW17" s="58"/>
      <c r="DX17" s="58"/>
      <c r="DY17" s="58"/>
      <c r="DZ17" s="58"/>
      <c r="EA17" s="58"/>
      <c r="EB17" s="58"/>
      <c r="EC17" s="58"/>
      <c r="ED17" s="58"/>
      <c r="EE17" s="58"/>
      <c r="EF17" s="58"/>
      <c r="EG17" s="58"/>
      <c r="EH17" s="58"/>
      <c r="EI17" s="58"/>
      <c r="EJ17" s="58"/>
      <c r="EK17" s="58"/>
      <c r="EL17" s="58"/>
      <c r="EM17" s="58"/>
      <c r="EN17" s="58"/>
      <c r="EO17" s="58"/>
      <c r="EP17" s="58"/>
      <c r="EQ17" s="58"/>
      <c r="ER17" s="58"/>
      <c r="ES17" s="58"/>
      <c r="ET17" s="58"/>
      <c r="EU17" s="58"/>
      <c r="EV17" s="58"/>
      <c r="EW17" s="58"/>
      <c r="EX17" s="58"/>
      <c r="EY17" s="58"/>
      <c r="EZ17" s="58"/>
      <c r="FA17" s="58"/>
      <c r="FB17" s="58"/>
      <c r="FC17" s="58"/>
      <c r="FD17" s="58"/>
      <c r="FE17" s="58"/>
      <c r="FF17" s="58"/>
      <c r="FG17" s="58"/>
      <c r="FH17" s="58"/>
      <c r="FI17" s="58"/>
      <c r="FJ17" s="58"/>
      <c r="FK17" s="58"/>
      <c r="FL17" s="58"/>
      <c r="FM17" s="58"/>
      <c r="FN17" s="58"/>
      <c r="FO17" s="58"/>
      <c r="FP17" s="58"/>
      <c r="FQ17" s="58"/>
      <c r="FR17" s="58"/>
      <c r="FS17" s="58"/>
      <c r="FT17" s="58"/>
      <c r="FU17" s="58"/>
      <c r="FV17" s="58"/>
      <c r="FW17" s="58"/>
      <c r="FX17" s="58"/>
      <c r="FY17" s="58"/>
      <c r="FZ17" s="58"/>
      <c r="GA17" s="58"/>
      <c r="GB17" s="58"/>
      <c r="GC17" s="58"/>
      <c r="GD17" s="58"/>
      <c r="GE17" s="58"/>
      <c r="GF17" s="58"/>
      <c r="GG17" s="58"/>
      <c r="GH17" s="58"/>
      <c r="GI17" s="58"/>
      <c r="GJ17" s="58"/>
      <c r="GK17" s="58"/>
      <c r="GL17" s="58"/>
      <c r="GM17" s="58"/>
      <c r="GN17" s="58"/>
      <c r="GO17" s="58"/>
      <c r="GP17" s="58"/>
      <c r="GQ17" s="58"/>
      <c r="GR17" s="58"/>
      <c r="GS17" s="58"/>
      <c r="GT17" s="58"/>
      <c r="GU17" s="58"/>
      <c r="GV17" s="58"/>
      <c r="GW17" s="58"/>
      <c r="GX17" s="58"/>
      <c r="GY17" s="58"/>
      <c r="GZ17" s="58"/>
      <c r="HA17" s="58"/>
      <c r="HB17" s="58"/>
      <c r="HC17" s="58"/>
      <c r="HD17" s="58"/>
      <c r="HE17" s="58"/>
      <c r="HF17" s="58"/>
      <c r="HG17" s="58"/>
      <c r="HH17" s="58"/>
      <c r="HI17" s="58"/>
      <c r="HJ17" s="58"/>
      <c r="HK17" s="58"/>
      <c r="HL17" s="58"/>
      <c r="HM17" s="58"/>
      <c r="HN17" s="59"/>
    </row>
    <row r="18" spans="2:222" x14ac:dyDescent="0.3">
      <c r="B18" s="57"/>
      <c r="C18" s="58"/>
      <c r="D18" s="58"/>
      <c r="E18" s="58"/>
      <c r="F18" s="58"/>
      <c r="G18" s="58"/>
      <c r="H18" s="58"/>
      <c r="I18" s="58"/>
      <c r="J18" s="58"/>
      <c r="K18" s="58"/>
      <c r="L18" s="58"/>
      <c r="M18" s="58"/>
      <c r="N18" s="58"/>
      <c r="O18" s="58"/>
      <c r="P18" s="58"/>
      <c r="Q18" s="58"/>
      <c r="R18" s="58"/>
      <c r="S18" s="58"/>
      <c r="T18" s="58"/>
      <c r="U18" s="58"/>
      <c r="V18" s="58"/>
      <c r="W18" s="58"/>
      <c r="X18" s="58"/>
      <c r="Y18" s="58"/>
      <c r="Z18" s="58"/>
      <c r="AA18" s="58"/>
      <c r="AB18" s="58"/>
      <c r="AC18" s="58"/>
      <c r="AD18" s="58"/>
      <c r="AE18" s="58"/>
      <c r="AF18" s="58"/>
      <c r="AG18" s="58"/>
      <c r="AH18" s="58"/>
      <c r="AI18" s="58"/>
      <c r="AJ18" s="58"/>
      <c r="AK18" s="58"/>
      <c r="AL18" s="58"/>
      <c r="AM18" s="58"/>
      <c r="AN18" s="58"/>
      <c r="AO18" s="59"/>
      <c r="AQ18" s="57"/>
      <c r="AR18" s="58"/>
      <c r="AS18" s="58"/>
      <c r="AT18" s="58"/>
      <c r="AU18" s="58"/>
      <c r="AV18" s="58"/>
      <c r="AW18" s="58"/>
      <c r="AX18" s="58"/>
      <c r="AY18" s="58"/>
      <c r="AZ18" s="58"/>
      <c r="BA18" s="58"/>
      <c r="BB18" s="58"/>
      <c r="BC18" s="58"/>
      <c r="BD18" s="58"/>
      <c r="BE18" s="58"/>
      <c r="BF18" s="58"/>
      <c r="BG18" s="58"/>
      <c r="BH18" s="58"/>
      <c r="BI18" s="58"/>
      <c r="BJ18" s="58"/>
      <c r="BK18" s="58"/>
      <c r="BL18" s="58"/>
      <c r="BM18" s="58"/>
      <c r="BN18" s="58"/>
      <c r="BO18" s="58"/>
      <c r="BP18" s="58"/>
      <c r="BQ18" s="58"/>
      <c r="BR18" s="58"/>
      <c r="BS18" s="58"/>
      <c r="BT18" s="58"/>
      <c r="BU18" s="58"/>
      <c r="BV18" s="58"/>
      <c r="BW18" s="58"/>
      <c r="BX18" s="58"/>
      <c r="BY18" s="58"/>
      <c r="BZ18" s="58"/>
      <c r="CA18" s="58"/>
      <c r="CB18" s="58"/>
      <c r="CC18" s="58"/>
      <c r="CD18" s="58"/>
      <c r="CE18" s="58"/>
      <c r="CF18" s="58"/>
      <c r="CG18" s="58"/>
      <c r="CH18" s="58"/>
      <c r="CI18" s="58"/>
      <c r="CJ18" s="58"/>
      <c r="CK18" s="58"/>
      <c r="CL18" s="58"/>
      <c r="CM18" s="58"/>
      <c r="CN18" s="58"/>
      <c r="CO18" s="58"/>
      <c r="CP18" s="58"/>
      <c r="CQ18" s="58"/>
      <c r="CR18" s="58"/>
      <c r="CS18" s="58"/>
      <c r="CT18" s="58"/>
      <c r="CU18" s="58"/>
      <c r="CV18" s="58"/>
      <c r="CW18" s="58"/>
      <c r="CX18" s="58"/>
      <c r="CY18" s="58"/>
      <c r="CZ18" s="58"/>
      <c r="DA18" s="58"/>
      <c r="DB18" s="58"/>
      <c r="DC18" s="58"/>
      <c r="DD18" s="58"/>
      <c r="DE18" s="58"/>
      <c r="DF18" s="58"/>
      <c r="DG18" s="58"/>
      <c r="DH18" s="58"/>
      <c r="DI18" s="58"/>
      <c r="DJ18" s="58"/>
      <c r="DK18" s="58"/>
      <c r="DL18" s="58"/>
      <c r="DM18" s="58"/>
      <c r="DN18" s="58"/>
      <c r="DO18" s="58"/>
      <c r="DP18" s="58"/>
      <c r="DQ18" s="58"/>
      <c r="DR18" s="58"/>
      <c r="DS18" s="58"/>
      <c r="DT18" s="58"/>
      <c r="DU18" s="58"/>
      <c r="DV18" s="58"/>
      <c r="DW18" s="58"/>
      <c r="DX18" s="58"/>
      <c r="DY18" s="58"/>
      <c r="DZ18" s="58"/>
      <c r="EA18" s="58"/>
      <c r="EB18" s="58"/>
      <c r="EC18" s="58"/>
      <c r="ED18" s="58"/>
      <c r="EE18" s="58"/>
      <c r="EF18" s="58"/>
      <c r="EG18" s="58"/>
      <c r="EH18" s="58"/>
      <c r="EI18" s="58"/>
      <c r="EJ18" s="58"/>
      <c r="EK18" s="58"/>
      <c r="EL18" s="58"/>
      <c r="EM18" s="58"/>
      <c r="EN18" s="58"/>
      <c r="EO18" s="58"/>
      <c r="EP18" s="58"/>
      <c r="EQ18" s="58"/>
      <c r="ER18" s="58"/>
      <c r="ES18" s="58"/>
      <c r="ET18" s="58"/>
      <c r="EU18" s="58"/>
      <c r="EV18" s="58"/>
      <c r="EW18" s="58"/>
      <c r="EX18" s="58"/>
      <c r="EY18" s="58"/>
      <c r="EZ18" s="58"/>
      <c r="FA18" s="58"/>
      <c r="FB18" s="58"/>
      <c r="FC18" s="58"/>
      <c r="FD18" s="58"/>
      <c r="FE18" s="58"/>
      <c r="FF18" s="58"/>
      <c r="FG18" s="58"/>
      <c r="FH18" s="58"/>
      <c r="FI18" s="58"/>
      <c r="FJ18" s="58"/>
      <c r="FK18" s="58"/>
      <c r="FL18" s="58"/>
      <c r="FM18" s="58"/>
      <c r="FN18" s="58"/>
      <c r="FO18" s="58"/>
      <c r="FP18" s="58"/>
      <c r="FQ18" s="58"/>
      <c r="FR18" s="58"/>
      <c r="FS18" s="58"/>
      <c r="FT18" s="58"/>
      <c r="FU18" s="58"/>
      <c r="FV18" s="58"/>
      <c r="FW18" s="58"/>
      <c r="FX18" s="58"/>
      <c r="FY18" s="58"/>
      <c r="FZ18" s="58"/>
      <c r="GA18" s="58"/>
      <c r="GB18" s="58"/>
      <c r="GC18" s="58"/>
      <c r="GD18" s="58"/>
      <c r="GE18" s="58"/>
      <c r="GF18" s="58"/>
      <c r="GG18" s="58"/>
      <c r="GH18" s="58"/>
      <c r="GI18" s="58"/>
      <c r="GJ18" s="58"/>
      <c r="GK18" s="58"/>
      <c r="GL18" s="58"/>
      <c r="GM18" s="58"/>
      <c r="GN18" s="58"/>
      <c r="GO18" s="58"/>
      <c r="GP18" s="58"/>
      <c r="GQ18" s="58"/>
      <c r="GR18" s="58"/>
      <c r="GS18" s="58"/>
      <c r="GT18" s="58"/>
      <c r="GU18" s="58"/>
      <c r="GV18" s="58"/>
      <c r="GW18" s="58"/>
      <c r="GX18" s="58"/>
      <c r="GY18" s="58"/>
      <c r="GZ18" s="58"/>
      <c r="HA18" s="58"/>
      <c r="HB18" s="58"/>
      <c r="HC18" s="58"/>
      <c r="HD18" s="58"/>
      <c r="HE18" s="58"/>
      <c r="HF18" s="58"/>
      <c r="HG18" s="58"/>
      <c r="HH18" s="58"/>
      <c r="HI18" s="58"/>
      <c r="HJ18" s="58"/>
      <c r="HK18" s="58"/>
      <c r="HL18" s="58"/>
      <c r="HM18" s="58"/>
      <c r="HN18" s="59"/>
    </row>
    <row r="19" spans="2:222" x14ac:dyDescent="0.3">
      <c r="B19" s="57"/>
      <c r="C19" s="58"/>
      <c r="D19" s="58"/>
      <c r="E19" s="58"/>
      <c r="F19" s="58"/>
      <c r="G19" s="58"/>
      <c r="H19" s="58"/>
      <c r="I19" s="58"/>
      <c r="J19" s="58"/>
      <c r="K19" s="58"/>
      <c r="L19" s="58"/>
      <c r="M19" s="58"/>
      <c r="N19" s="58"/>
      <c r="O19" s="58"/>
      <c r="P19" s="58"/>
      <c r="Q19" s="58"/>
      <c r="R19" s="58"/>
      <c r="S19" s="58"/>
      <c r="T19" s="58"/>
      <c r="U19" s="58"/>
      <c r="V19" s="58"/>
      <c r="W19" s="58"/>
      <c r="X19" s="58"/>
      <c r="Y19" s="58"/>
      <c r="Z19" s="58"/>
      <c r="AA19" s="58"/>
      <c r="AB19" s="58"/>
      <c r="AC19" s="58"/>
      <c r="AD19" s="58"/>
      <c r="AE19" s="58"/>
      <c r="AF19" s="58"/>
      <c r="AG19" s="58"/>
      <c r="AH19" s="58"/>
      <c r="AI19" s="58"/>
      <c r="AJ19" s="58"/>
      <c r="AK19" s="58"/>
      <c r="AL19" s="58"/>
      <c r="AM19" s="58"/>
      <c r="AN19" s="58"/>
      <c r="AO19" s="59"/>
      <c r="AQ19" s="57"/>
      <c r="AR19" s="58"/>
      <c r="AS19" s="58"/>
      <c r="AT19" s="58"/>
      <c r="AU19" s="58"/>
      <c r="AV19" s="58"/>
      <c r="AW19" s="58"/>
      <c r="AX19" s="58"/>
      <c r="AY19" s="58"/>
      <c r="AZ19" s="58"/>
      <c r="BA19" s="58"/>
      <c r="BB19" s="58"/>
      <c r="BC19" s="58"/>
      <c r="BD19" s="58"/>
      <c r="BE19" s="58"/>
      <c r="BF19" s="58"/>
      <c r="BG19" s="58"/>
      <c r="BH19" s="58"/>
      <c r="BI19" s="58"/>
      <c r="BJ19" s="58"/>
      <c r="BK19" s="58"/>
      <c r="BL19" s="58"/>
      <c r="BM19" s="58"/>
      <c r="BN19" s="58"/>
      <c r="BO19" s="58"/>
      <c r="BP19" s="58"/>
      <c r="BQ19" s="58"/>
      <c r="BR19" s="58"/>
      <c r="BS19" s="58"/>
      <c r="BT19" s="58"/>
      <c r="BU19" s="58"/>
      <c r="BV19" s="58"/>
      <c r="BW19" s="58"/>
      <c r="BX19" s="58"/>
      <c r="BY19" s="58"/>
      <c r="BZ19" s="58"/>
      <c r="CA19" s="58"/>
      <c r="CB19" s="58"/>
      <c r="CC19" s="58"/>
      <c r="CD19" s="58"/>
      <c r="CE19" s="58"/>
      <c r="CF19" s="58"/>
      <c r="CG19" s="58"/>
      <c r="CH19" s="58"/>
      <c r="CI19" s="58"/>
      <c r="CJ19" s="58"/>
      <c r="CK19" s="58"/>
      <c r="CL19" s="58"/>
      <c r="CM19" s="58"/>
      <c r="CN19" s="58"/>
      <c r="CO19" s="58"/>
      <c r="CP19" s="58"/>
      <c r="CQ19" s="58"/>
      <c r="CR19" s="58"/>
      <c r="CS19" s="58"/>
      <c r="CT19" s="58"/>
      <c r="CU19" s="58"/>
      <c r="CV19" s="58"/>
      <c r="CW19" s="58"/>
      <c r="CX19" s="58"/>
      <c r="CY19" s="58"/>
      <c r="CZ19" s="58"/>
      <c r="DA19" s="58"/>
      <c r="DB19" s="58"/>
      <c r="DC19" s="58"/>
      <c r="DD19" s="58"/>
      <c r="DE19" s="58"/>
      <c r="DF19" s="58"/>
      <c r="DG19" s="58"/>
      <c r="DH19" s="58"/>
      <c r="DI19" s="58"/>
      <c r="DJ19" s="58"/>
      <c r="DK19" s="58"/>
      <c r="DL19" s="58"/>
      <c r="DM19" s="58"/>
      <c r="DN19" s="58"/>
      <c r="DO19" s="58"/>
      <c r="DP19" s="58"/>
      <c r="DQ19" s="58"/>
      <c r="DR19" s="58"/>
      <c r="DS19" s="58"/>
      <c r="DT19" s="58"/>
      <c r="DU19" s="58"/>
      <c r="DV19" s="58"/>
      <c r="DW19" s="58"/>
      <c r="DX19" s="58"/>
      <c r="DY19" s="58"/>
      <c r="DZ19" s="58"/>
      <c r="EA19" s="58"/>
      <c r="EB19" s="58"/>
      <c r="EC19" s="58"/>
      <c r="ED19" s="58"/>
      <c r="EE19" s="58"/>
      <c r="EF19" s="58"/>
      <c r="EG19" s="58"/>
      <c r="EH19" s="58"/>
      <c r="EI19" s="58"/>
      <c r="EJ19" s="58"/>
      <c r="EK19" s="58"/>
      <c r="EL19" s="58"/>
      <c r="EM19" s="58"/>
      <c r="EN19" s="58"/>
      <c r="EO19" s="58"/>
      <c r="EP19" s="58"/>
      <c r="EQ19" s="58"/>
      <c r="ER19" s="58"/>
      <c r="ES19" s="58"/>
      <c r="ET19" s="58"/>
      <c r="EU19" s="58"/>
      <c r="EV19" s="58"/>
      <c r="EW19" s="58"/>
      <c r="EX19" s="58"/>
      <c r="EY19" s="58"/>
      <c r="EZ19" s="58"/>
      <c r="FA19" s="58"/>
      <c r="FB19" s="58"/>
      <c r="FC19" s="58"/>
      <c r="FD19" s="58"/>
      <c r="FE19" s="58"/>
      <c r="FF19" s="58"/>
      <c r="FG19" s="58"/>
      <c r="FH19" s="58"/>
      <c r="FI19" s="58"/>
      <c r="FJ19" s="58"/>
      <c r="FK19" s="58"/>
      <c r="FL19" s="58"/>
      <c r="FM19" s="58"/>
      <c r="FN19" s="58"/>
      <c r="FO19" s="58"/>
      <c r="FP19" s="58"/>
      <c r="FQ19" s="58"/>
      <c r="FR19" s="58"/>
      <c r="FS19" s="58"/>
      <c r="FT19" s="58"/>
      <c r="FU19" s="58"/>
      <c r="FV19" s="58"/>
      <c r="FW19" s="58"/>
      <c r="FX19" s="58"/>
      <c r="FY19" s="58"/>
      <c r="FZ19" s="58"/>
      <c r="GA19" s="58"/>
      <c r="GB19" s="58"/>
      <c r="GC19" s="58"/>
      <c r="GD19" s="58"/>
      <c r="GE19" s="58"/>
      <c r="GF19" s="58"/>
      <c r="GG19" s="58"/>
      <c r="GH19" s="58"/>
      <c r="GI19" s="58"/>
      <c r="GJ19" s="58"/>
      <c r="GK19" s="58"/>
      <c r="GL19" s="58"/>
      <c r="GM19" s="58"/>
      <c r="GN19" s="58"/>
      <c r="GO19" s="58"/>
      <c r="GP19" s="58"/>
      <c r="GQ19" s="58"/>
      <c r="GR19" s="58"/>
      <c r="GS19" s="58"/>
      <c r="GT19" s="58"/>
      <c r="GU19" s="58"/>
      <c r="GV19" s="58"/>
      <c r="GW19" s="58"/>
      <c r="GX19" s="58"/>
      <c r="GY19" s="58"/>
      <c r="GZ19" s="58"/>
      <c r="HA19" s="58"/>
      <c r="HB19" s="58"/>
      <c r="HC19" s="58"/>
      <c r="HD19" s="58"/>
      <c r="HE19" s="58"/>
      <c r="HF19" s="58"/>
      <c r="HG19" s="58"/>
      <c r="HH19" s="58"/>
      <c r="HI19" s="58"/>
      <c r="HJ19" s="58"/>
      <c r="HK19" s="58"/>
      <c r="HL19" s="58"/>
      <c r="HM19" s="58"/>
      <c r="HN19" s="59"/>
    </row>
    <row r="20" spans="2:222" x14ac:dyDescent="0.3">
      <c r="B20" s="57"/>
      <c r="C20" s="58"/>
      <c r="D20" s="58"/>
      <c r="E20" s="58"/>
      <c r="F20" s="58"/>
      <c r="G20" s="58"/>
      <c r="H20" s="58"/>
      <c r="I20" s="58"/>
      <c r="J20" s="58"/>
      <c r="K20" s="58"/>
      <c r="L20" s="58"/>
      <c r="M20" s="58"/>
      <c r="N20" s="58"/>
      <c r="O20" s="58"/>
      <c r="P20" s="58"/>
      <c r="Q20" s="58"/>
      <c r="R20" s="58"/>
      <c r="S20" s="58"/>
      <c r="T20" s="58"/>
      <c r="U20" s="58"/>
      <c r="V20" s="58"/>
      <c r="W20" s="58"/>
      <c r="X20" s="58"/>
      <c r="Y20" s="58"/>
      <c r="Z20" s="58"/>
      <c r="AA20" s="58"/>
      <c r="AB20" s="58"/>
      <c r="AC20" s="58"/>
      <c r="AD20" s="58"/>
      <c r="AE20" s="58"/>
      <c r="AF20" s="58"/>
      <c r="AG20" s="58"/>
      <c r="AH20" s="58"/>
      <c r="AI20" s="58"/>
      <c r="AJ20" s="58"/>
      <c r="AK20" s="58"/>
      <c r="AL20" s="58"/>
      <c r="AM20" s="58"/>
      <c r="AN20" s="58"/>
      <c r="AO20" s="59"/>
      <c r="AQ20" s="57"/>
      <c r="AR20" s="58"/>
      <c r="AS20" s="58"/>
      <c r="AT20" s="58"/>
      <c r="AU20" s="58"/>
      <c r="AV20" s="58"/>
      <c r="AW20" s="58"/>
      <c r="AX20" s="58"/>
      <c r="AY20" s="58"/>
      <c r="AZ20" s="58"/>
      <c r="BA20" s="58"/>
      <c r="BB20" s="58"/>
      <c r="BC20" s="58"/>
      <c r="BD20" s="58"/>
      <c r="BE20" s="58"/>
      <c r="BF20" s="58"/>
      <c r="BG20" s="58"/>
      <c r="BH20" s="58"/>
      <c r="BI20" s="58"/>
      <c r="BJ20" s="58"/>
      <c r="BK20" s="58"/>
      <c r="BL20" s="58"/>
      <c r="BM20" s="58"/>
      <c r="BN20" s="58"/>
      <c r="BO20" s="58"/>
      <c r="BP20" s="58"/>
      <c r="BQ20" s="58"/>
      <c r="BR20" s="58"/>
      <c r="BS20" s="58"/>
      <c r="BT20" s="58"/>
      <c r="BU20" s="58"/>
      <c r="BV20" s="58"/>
      <c r="BW20" s="58"/>
      <c r="BX20" s="58"/>
      <c r="BY20" s="58"/>
      <c r="BZ20" s="58"/>
      <c r="CA20" s="58"/>
      <c r="CB20" s="58"/>
      <c r="CC20" s="58"/>
      <c r="CD20" s="58"/>
      <c r="CE20" s="58"/>
      <c r="CF20" s="58"/>
      <c r="CG20" s="58"/>
      <c r="CH20" s="58"/>
      <c r="CI20" s="58"/>
      <c r="CJ20" s="58"/>
      <c r="CK20" s="58"/>
      <c r="CL20" s="58"/>
      <c r="CM20" s="58"/>
      <c r="CN20" s="58"/>
      <c r="CO20" s="58"/>
      <c r="CP20" s="58"/>
      <c r="CQ20" s="58"/>
      <c r="CR20" s="58"/>
      <c r="CS20" s="58"/>
      <c r="CT20" s="58"/>
      <c r="CU20" s="58"/>
      <c r="CV20" s="58"/>
      <c r="CW20" s="58"/>
      <c r="CX20" s="58"/>
      <c r="CY20" s="58"/>
      <c r="CZ20" s="58"/>
      <c r="DA20" s="58"/>
      <c r="DB20" s="58"/>
      <c r="DC20" s="58"/>
      <c r="DD20" s="58"/>
      <c r="DE20" s="58"/>
      <c r="DF20" s="58"/>
      <c r="DG20" s="58"/>
      <c r="DH20" s="58"/>
      <c r="DI20" s="58"/>
      <c r="DJ20" s="58"/>
      <c r="DK20" s="58"/>
      <c r="DL20" s="58"/>
      <c r="DM20" s="58"/>
      <c r="DN20" s="58"/>
      <c r="DO20" s="58"/>
      <c r="DP20" s="58"/>
      <c r="DQ20" s="58"/>
      <c r="DR20" s="58"/>
      <c r="DS20" s="58"/>
      <c r="DT20" s="58"/>
      <c r="DU20" s="58"/>
      <c r="DV20" s="58"/>
      <c r="DW20" s="58"/>
      <c r="DX20" s="58"/>
      <c r="DY20" s="58"/>
      <c r="DZ20" s="58"/>
      <c r="EA20" s="58"/>
      <c r="EB20" s="58"/>
      <c r="EC20" s="58"/>
      <c r="ED20" s="58"/>
      <c r="EE20" s="58"/>
      <c r="EF20" s="58"/>
      <c r="EG20" s="58"/>
      <c r="EH20" s="58"/>
      <c r="EI20" s="58"/>
      <c r="EJ20" s="58"/>
      <c r="EK20" s="58"/>
      <c r="EL20" s="58"/>
      <c r="EM20" s="58"/>
      <c r="EN20" s="58"/>
      <c r="EO20" s="58"/>
      <c r="EP20" s="58"/>
      <c r="EQ20" s="58"/>
      <c r="ER20" s="58"/>
      <c r="ES20" s="58"/>
      <c r="ET20" s="58"/>
      <c r="EU20" s="58"/>
      <c r="EV20" s="58"/>
      <c r="EW20" s="58"/>
      <c r="EX20" s="58"/>
      <c r="EY20" s="58"/>
      <c r="EZ20" s="58"/>
      <c r="FA20" s="58"/>
      <c r="FB20" s="58"/>
      <c r="FC20" s="58"/>
      <c r="FD20" s="58"/>
      <c r="FE20" s="58"/>
      <c r="FF20" s="58"/>
      <c r="FG20" s="58"/>
      <c r="FH20" s="58"/>
      <c r="FI20" s="58"/>
      <c r="FJ20" s="58"/>
      <c r="FK20" s="58"/>
      <c r="FL20" s="58"/>
      <c r="FM20" s="58"/>
      <c r="FN20" s="58"/>
      <c r="FO20" s="58"/>
      <c r="FP20" s="58"/>
      <c r="FQ20" s="58"/>
      <c r="FR20" s="58"/>
      <c r="FS20" s="58"/>
      <c r="FT20" s="58"/>
      <c r="FU20" s="58"/>
      <c r="FV20" s="58"/>
      <c r="FW20" s="58"/>
      <c r="FX20" s="58"/>
      <c r="FY20" s="58"/>
      <c r="FZ20" s="58"/>
      <c r="GA20" s="58"/>
      <c r="GB20" s="58"/>
      <c r="GC20" s="58"/>
      <c r="GD20" s="58"/>
      <c r="GE20" s="58"/>
      <c r="GF20" s="58"/>
      <c r="GG20" s="58"/>
      <c r="GH20" s="58"/>
      <c r="GI20" s="58"/>
      <c r="GJ20" s="58"/>
      <c r="GK20" s="58"/>
      <c r="GL20" s="58"/>
      <c r="GM20" s="58"/>
      <c r="GN20" s="58"/>
      <c r="GO20" s="58"/>
      <c r="GP20" s="58"/>
      <c r="GQ20" s="58"/>
      <c r="GR20" s="58"/>
      <c r="GS20" s="58"/>
      <c r="GT20" s="58"/>
      <c r="GU20" s="58"/>
      <c r="GV20" s="58"/>
      <c r="GW20" s="58"/>
      <c r="GX20" s="58"/>
      <c r="GY20" s="58"/>
      <c r="GZ20" s="58"/>
      <c r="HA20" s="58"/>
      <c r="HB20" s="58"/>
      <c r="HC20" s="58"/>
      <c r="HD20" s="58"/>
      <c r="HE20" s="58"/>
      <c r="HF20" s="58"/>
      <c r="HG20" s="58"/>
      <c r="HH20" s="58"/>
      <c r="HI20" s="58"/>
      <c r="HJ20" s="58"/>
      <c r="HK20" s="58"/>
      <c r="HL20" s="58"/>
      <c r="HM20" s="58"/>
      <c r="HN20" s="59"/>
    </row>
    <row r="21" spans="2:222" x14ac:dyDescent="0.3">
      <c r="B21" s="57"/>
      <c r="C21" s="58"/>
      <c r="D21" s="58"/>
      <c r="E21" s="58"/>
      <c r="F21" s="58"/>
      <c r="G21" s="58"/>
      <c r="H21" s="58"/>
      <c r="I21" s="58"/>
      <c r="J21" s="58"/>
      <c r="K21" s="58"/>
      <c r="L21" s="58"/>
      <c r="M21" s="58"/>
      <c r="N21" s="58"/>
      <c r="O21" s="58"/>
      <c r="P21" s="58"/>
      <c r="Q21" s="58"/>
      <c r="R21" s="58"/>
      <c r="S21" s="58"/>
      <c r="T21" s="58"/>
      <c r="U21" s="58"/>
      <c r="V21" s="58"/>
      <c r="W21" s="58"/>
      <c r="X21" s="58"/>
      <c r="Y21" s="58"/>
      <c r="Z21" s="58"/>
      <c r="AA21" s="58"/>
      <c r="AB21" s="58"/>
      <c r="AC21" s="58"/>
      <c r="AD21" s="58"/>
      <c r="AE21" s="58"/>
      <c r="AF21" s="58"/>
      <c r="AG21" s="58"/>
      <c r="AH21" s="58"/>
      <c r="AI21" s="58"/>
      <c r="AJ21" s="58"/>
      <c r="AK21" s="58"/>
      <c r="AL21" s="58"/>
      <c r="AM21" s="58"/>
      <c r="AN21" s="58"/>
      <c r="AO21" s="59"/>
      <c r="AQ21" s="57"/>
      <c r="AR21" s="58"/>
      <c r="AS21" s="58"/>
      <c r="AT21" s="58"/>
      <c r="AU21" s="58"/>
      <c r="AV21" s="58"/>
      <c r="AW21" s="58"/>
      <c r="AX21" s="58"/>
      <c r="AY21" s="58"/>
      <c r="AZ21" s="58"/>
      <c r="BA21" s="58"/>
      <c r="BB21" s="58"/>
      <c r="BC21" s="58"/>
      <c r="BD21" s="58"/>
      <c r="BE21" s="58"/>
      <c r="BF21" s="58"/>
      <c r="BG21" s="58"/>
      <c r="BH21" s="58"/>
      <c r="BI21" s="58"/>
      <c r="BJ21" s="58"/>
      <c r="BK21" s="58"/>
      <c r="BL21" s="58"/>
      <c r="BM21" s="58"/>
      <c r="BN21" s="58"/>
      <c r="BO21" s="58"/>
      <c r="BP21" s="58"/>
      <c r="BQ21" s="58"/>
      <c r="BR21" s="58"/>
      <c r="BS21" s="58"/>
      <c r="BT21" s="58"/>
      <c r="BU21" s="58"/>
      <c r="BV21" s="58"/>
      <c r="BW21" s="58"/>
      <c r="BX21" s="58"/>
      <c r="BY21" s="58"/>
      <c r="BZ21" s="58"/>
      <c r="CA21" s="58"/>
      <c r="CB21" s="58"/>
      <c r="CC21" s="58"/>
      <c r="CD21" s="58"/>
      <c r="CE21" s="58"/>
      <c r="CF21" s="58"/>
      <c r="CG21" s="58"/>
      <c r="CH21" s="58"/>
      <c r="CI21" s="58"/>
      <c r="CJ21" s="58"/>
      <c r="CK21" s="58"/>
      <c r="CL21" s="58"/>
      <c r="CM21" s="58"/>
      <c r="CN21" s="58"/>
      <c r="CO21" s="58"/>
      <c r="CP21" s="58"/>
      <c r="CQ21" s="58"/>
      <c r="CR21" s="58"/>
      <c r="CS21" s="58"/>
      <c r="CT21" s="58"/>
      <c r="CU21" s="58"/>
      <c r="CV21" s="58"/>
      <c r="CW21" s="58"/>
      <c r="CX21" s="58"/>
      <c r="CY21" s="58"/>
      <c r="CZ21" s="58"/>
      <c r="DA21" s="58"/>
      <c r="DB21" s="58"/>
      <c r="DC21" s="58"/>
      <c r="DD21" s="58"/>
      <c r="DE21" s="58"/>
      <c r="DF21" s="58"/>
      <c r="DG21" s="58"/>
      <c r="DH21" s="58"/>
      <c r="DI21" s="58"/>
      <c r="DJ21" s="58"/>
      <c r="DK21" s="58"/>
      <c r="DL21" s="58"/>
      <c r="DM21" s="58"/>
      <c r="DN21" s="58"/>
      <c r="DO21" s="58"/>
      <c r="DP21" s="58"/>
      <c r="DQ21" s="58"/>
      <c r="DR21" s="58"/>
      <c r="DS21" s="58"/>
      <c r="DT21" s="58"/>
      <c r="DU21" s="58"/>
      <c r="DV21" s="58"/>
      <c r="DW21" s="58"/>
      <c r="DX21" s="58"/>
      <c r="DY21" s="58"/>
      <c r="DZ21" s="58"/>
      <c r="EA21" s="58"/>
      <c r="EB21" s="58"/>
      <c r="EC21" s="58"/>
      <c r="ED21" s="58"/>
      <c r="EE21" s="58"/>
      <c r="EF21" s="58"/>
      <c r="EG21" s="58"/>
      <c r="EH21" s="58"/>
      <c r="EI21" s="58"/>
      <c r="EJ21" s="58"/>
      <c r="EK21" s="58"/>
      <c r="EL21" s="58"/>
      <c r="EM21" s="58"/>
      <c r="EN21" s="58"/>
      <c r="EO21" s="58"/>
      <c r="EP21" s="58"/>
      <c r="EQ21" s="58"/>
      <c r="ER21" s="58"/>
      <c r="ES21" s="58"/>
      <c r="ET21" s="58"/>
      <c r="EU21" s="58"/>
      <c r="EV21" s="58"/>
      <c r="EW21" s="58"/>
      <c r="EX21" s="58"/>
      <c r="EY21" s="58"/>
      <c r="EZ21" s="58"/>
      <c r="FA21" s="58"/>
      <c r="FB21" s="58"/>
      <c r="FC21" s="58"/>
      <c r="FD21" s="58"/>
      <c r="FE21" s="58"/>
      <c r="FF21" s="58"/>
      <c r="FG21" s="58"/>
      <c r="FH21" s="58"/>
      <c r="FI21" s="58"/>
      <c r="FJ21" s="58"/>
      <c r="FK21" s="58"/>
      <c r="FL21" s="58"/>
      <c r="FM21" s="58"/>
      <c r="FN21" s="58"/>
      <c r="FO21" s="58"/>
      <c r="FP21" s="58"/>
      <c r="FQ21" s="58"/>
      <c r="FR21" s="58"/>
      <c r="FS21" s="58"/>
      <c r="FT21" s="58"/>
      <c r="FU21" s="58"/>
      <c r="FV21" s="58"/>
      <c r="FW21" s="58"/>
      <c r="FX21" s="58"/>
      <c r="FY21" s="58"/>
      <c r="FZ21" s="58"/>
      <c r="GA21" s="58"/>
      <c r="GB21" s="58"/>
      <c r="GC21" s="58"/>
      <c r="GD21" s="58"/>
      <c r="GE21" s="58"/>
      <c r="GF21" s="58"/>
      <c r="GG21" s="58"/>
      <c r="GH21" s="58"/>
      <c r="GI21" s="58"/>
      <c r="GJ21" s="58"/>
      <c r="GK21" s="58"/>
      <c r="GL21" s="58"/>
      <c r="GM21" s="58"/>
      <c r="GN21" s="58"/>
      <c r="GO21" s="58"/>
      <c r="GP21" s="58"/>
      <c r="GQ21" s="58"/>
      <c r="GR21" s="58"/>
      <c r="GS21" s="58"/>
      <c r="GT21" s="58"/>
      <c r="GU21" s="58"/>
      <c r="GV21" s="58"/>
      <c r="GW21" s="58"/>
      <c r="GX21" s="58"/>
      <c r="GY21" s="58"/>
      <c r="GZ21" s="58"/>
      <c r="HA21" s="58"/>
      <c r="HB21" s="58"/>
      <c r="HC21" s="58"/>
      <c r="HD21" s="58"/>
      <c r="HE21" s="58"/>
      <c r="HF21" s="58"/>
      <c r="HG21" s="58"/>
      <c r="HH21" s="58"/>
      <c r="HI21" s="58"/>
      <c r="HJ21" s="58"/>
      <c r="HK21" s="58"/>
      <c r="HL21" s="58"/>
      <c r="HM21" s="58"/>
      <c r="HN21" s="59"/>
    </row>
    <row r="22" spans="2:222" x14ac:dyDescent="0.3">
      <c r="B22" s="57"/>
      <c r="C22" s="58"/>
      <c r="D22" s="58"/>
      <c r="E22" s="58"/>
      <c r="F22" s="58"/>
      <c r="G22" s="58"/>
      <c r="H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9"/>
      <c r="AQ22" s="57"/>
      <c r="AR22" s="58"/>
      <c r="AS22" s="58"/>
      <c r="AT22" s="58"/>
      <c r="AU22" s="58"/>
      <c r="AV22" s="58"/>
      <c r="AW22" s="58"/>
      <c r="AX22" s="58"/>
      <c r="AY22" s="58"/>
      <c r="AZ22" s="58"/>
      <c r="BA22" s="58"/>
      <c r="BB22" s="58"/>
      <c r="BC22" s="58"/>
      <c r="BD22" s="58"/>
      <c r="BE22" s="58"/>
      <c r="BF22" s="58"/>
      <c r="BG22" s="58"/>
      <c r="BH22" s="58"/>
      <c r="BI22" s="58"/>
      <c r="BJ22" s="58"/>
      <c r="BK22" s="58"/>
      <c r="BL22" s="58"/>
      <c r="BM22" s="58"/>
      <c r="BN22" s="58"/>
      <c r="BO22" s="58"/>
      <c r="BP22" s="58"/>
      <c r="BQ22" s="58"/>
      <c r="BR22" s="58"/>
      <c r="BS22" s="58"/>
      <c r="BT22" s="58"/>
      <c r="BU22" s="58"/>
      <c r="BV22" s="58"/>
      <c r="BW22" s="58"/>
      <c r="BX22" s="58"/>
      <c r="BY22" s="58"/>
      <c r="BZ22" s="58"/>
      <c r="CA22" s="58"/>
      <c r="CB22" s="58"/>
      <c r="CC22" s="58"/>
      <c r="CD22" s="58"/>
      <c r="CE22" s="58"/>
      <c r="CF22" s="58"/>
      <c r="CG22" s="58"/>
      <c r="CH22" s="58"/>
      <c r="CI22" s="58"/>
      <c r="CJ22" s="58"/>
      <c r="CK22" s="58"/>
      <c r="CL22" s="58"/>
      <c r="CM22" s="58"/>
      <c r="CN22" s="58"/>
      <c r="CO22" s="58"/>
      <c r="CP22" s="58"/>
      <c r="CQ22" s="58"/>
      <c r="CR22" s="58"/>
      <c r="CS22" s="58"/>
      <c r="CT22" s="58"/>
      <c r="CU22" s="58"/>
      <c r="CV22" s="58"/>
      <c r="CW22" s="58"/>
      <c r="CX22" s="58"/>
      <c r="CY22" s="58"/>
      <c r="CZ22" s="58"/>
      <c r="DA22" s="58"/>
      <c r="DB22" s="58"/>
      <c r="DC22" s="58"/>
      <c r="DD22" s="58"/>
      <c r="DE22" s="58"/>
      <c r="DF22" s="58"/>
      <c r="DG22" s="58"/>
      <c r="DH22" s="58"/>
      <c r="DI22" s="58"/>
      <c r="DJ22" s="58"/>
      <c r="DK22" s="58"/>
      <c r="DL22" s="58"/>
      <c r="DM22" s="58"/>
      <c r="DN22" s="58"/>
      <c r="DO22" s="58"/>
      <c r="DP22" s="58"/>
      <c r="DQ22" s="58"/>
      <c r="DR22" s="58"/>
      <c r="DS22" s="58"/>
      <c r="DT22" s="58"/>
      <c r="DU22" s="58"/>
      <c r="DV22" s="58"/>
      <c r="DW22" s="58"/>
      <c r="DX22" s="58"/>
      <c r="DY22" s="58"/>
      <c r="DZ22" s="58"/>
      <c r="EA22" s="58"/>
      <c r="EB22" s="58"/>
      <c r="EC22" s="58"/>
      <c r="ED22" s="58"/>
      <c r="EE22" s="58"/>
      <c r="EF22" s="58"/>
      <c r="EG22" s="58"/>
      <c r="EH22" s="58"/>
      <c r="EI22" s="58"/>
      <c r="EJ22" s="58"/>
      <c r="EK22" s="58"/>
      <c r="EL22" s="58"/>
      <c r="EM22" s="58"/>
      <c r="EN22" s="58"/>
      <c r="EO22" s="58"/>
      <c r="EP22" s="58"/>
      <c r="EQ22" s="58"/>
      <c r="ER22" s="58"/>
      <c r="ES22" s="58"/>
      <c r="ET22" s="58"/>
      <c r="EU22" s="58"/>
      <c r="EV22" s="58"/>
      <c r="EW22" s="58"/>
      <c r="EX22" s="58"/>
      <c r="EY22" s="58"/>
      <c r="EZ22" s="58"/>
      <c r="FA22" s="58"/>
      <c r="FB22" s="58"/>
      <c r="FC22" s="58"/>
      <c r="FD22" s="58"/>
      <c r="FE22" s="58"/>
      <c r="FF22" s="58"/>
      <c r="FG22" s="58"/>
      <c r="FH22" s="58"/>
      <c r="FI22" s="58"/>
      <c r="FJ22" s="58"/>
      <c r="FK22" s="58"/>
      <c r="FL22" s="58"/>
      <c r="FM22" s="58"/>
      <c r="FN22" s="58"/>
      <c r="FO22" s="58"/>
      <c r="FP22" s="58"/>
      <c r="FQ22" s="58"/>
      <c r="FR22" s="58"/>
      <c r="FS22" s="58"/>
      <c r="FT22" s="58"/>
      <c r="FU22" s="58"/>
      <c r="FV22" s="58"/>
      <c r="FW22" s="58"/>
      <c r="FX22" s="58"/>
      <c r="FY22" s="58"/>
      <c r="FZ22" s="58"/>
      <c r="GA22" s="58"/>
      <c r="GB22" s="58"/>
      <c r="GC22" s="58"/>
      <c r="GD22" s="58"/>
      <c r="GE22" s="58"/>
      <c r="GF22" s="58"/>
      <c r="GG22" s="58"/>
      <c r="GH22" s="58"/>
      <c r="GI22" s="58"/>
      <c r="GJ22" s="58"/>
      <c r="GK22" s="58"/>
      <c r="GL22" s="58"/>
      <c r="GM22" s="58"/>
      <c r="GN22" s="58"/>
      <c r="GO22" s="58"/>
      <c r="GP22" s="58"/>
      <c r="GQ22" s="58"/>
      <c r="GR22" s="58"/>
      <c r="GS22" s="58"/>
      <c r="GT22" s="58"/>
      <c r="GU22" s="58"/>
      <c r="GV22" s="58"/>
      <c r="GW22" s="58"/>
      <c r="GX22" s="58"/>
      <c r="GY22" s="58"/>
      <c r="GZ22" s="58"/>
      <c r="HA22" s="58"/>
      <c r="HB22" s="58"/>
      <c r="HC22" s="58"/>
      <c r="HD22" s="58"/>
      <c r="HE22" s="58"/>
      <c r="HF22" s="58"/>
      <c r="HG22" s="58"/>
      <c r="HH22" s="58"/>
      <c r="HI22" s="58"/>
      <c r="HJ22" s="58"/>
      <c r="HK22" s="58"/>
      <c r="HL22" s="58"/>
      <c r="HM22" s="58"/>
      <c r="HN22" s="59"/>
    </row>
    <row r="23" spans="2:222" x14ac:dyDescent="0.3">
      <c r="B23" s="57"/>
      <c r="C23" s="58"/>
      <c r="D23" s="58"/>
      <c r="E23" s="58"/>
      <c r="F23" s="58"/>
      <c r="G23" s="58"/>
      <c r="H23" s="58"/>
      <c r="I23" s="58"/>
      <c r="J23" s="58"/>
      <c r="K23" s="58"/>
      <c r="L23" s="58"/>
      <c r="M23" s="58"/>
      <c r="N23" s="58"/>
      <c r="O23" s="58"/>
      <c r="P23" s="58"/>
      <c r="Q23" s="58"/>
      <c r="R23" s="58"/>
      <c r="S23" s="58"/>
      <c r="T23" s="58"/>
      <c r="U23" s="58"/>
      <c r="V23" s="58"/>
      <c r="W23" s="58"/>
      <c r="X23" s="58"/>
      <c r="Y23" s="58"/>
      <c r="Z23" s="58"/>
      <c r="AA23" s="58"/>
      <c r="AB23" s="58"/>
      <c r="AC23" s="58"/>
      <c r="AD23" s="58"/>
      <c r="AE23" s="58"/>
      <c r="AF23" s="58"/>
      <c r="AG23" s="58"/>
      <c r="AH23" s="58"/>
      <c r="AI23" s="58"/>
      <c r="AJ23" s="58"/>
      <c r="AK23" s="58"/>
      <c r="AL23" s="58"/>
      <c r="AM23" s="58"/>
      <c r="AN23" s="58"/>
      <c r="AO23" s="59"/>
      <c r="AQ23" s="57"/>
      <c r="AR23" s="58"/>
      <c r="AS23" s="58"/>
      <c r="AT23" s="58"/>
      <c r="AU23" s="58"/>
      <c r="AV23" s="58"/>
      <c r="AW23" s="58"/>
      <c r="AX23" s="58"/>
      <c r="AY23" s="58"/>
      <c r="AZ23" s="58"/>
      <c r="BA23" s="58"/>
      <c r="BB23" s="58"/>
      <c r="BC23" s="58"/>
      <c r="BD23" s="58"/>
      <c r="BE23" s="58"/>
      <c r="BF23" s="58"/>
      <c r="BG23" s="58"/>
      <c r="BH23" s="58"/>
      <c r="BI23" s="58"/>
      <c r="BJ23" s="58"/>
      <c r="BK23" s="58"/>
      <c r="BL23" s="58"/>
      <c r="BM23" s="58"/>
      <c r="BN23" s="58"/>
      <c r="BO23" s="58"/>
      <c r="BP23" s="58"/>
      <c r="BQ23" s="58"/>
      <c r="BR23" s="58"/>
      <c r="BS23" s="58"/>
      <c r="BT23" s="58"/>
      <c r="BU23" s="58"/>
      <c r="BV23" s="58"/>
      <c r="BW23" s="58"/>
      <c r="BX23" s="58"/>
      <c r="BY23" s="58"/>
      <c r="BZ23" s="58"/>
      <c r="CA23" s="58"/>
      <c r="CB23" s="58"/>
      <c r="CC23" s="58"/>
      <c r="CD23" s="58"/>
      <c r="CE23" s="58"/>
      <c r="CF23" s="58"/>
      <c r="CG23" s="58"/>
      <c r="CH23" s="58"/>
      <c r="CI23" s="58"/>
      <c r="CJ23" s="58"/>
      <c r="CK23" s="58"/>
      <c r="CL23" s="58"/>
      <c r="CM23" s="58"/>
      <c r="CN23" s="58"/>
      <c r="CO23" s="58"/>
      <c r="CP23" s="58"/>
      <c r="CQ23" s="58"/>
      <c r="CR23" s="58"/>
      <c r="CS23" s="58"/>
      <c r="CT23" s="58"/>
      <c r="CU23" s="58"/>
      <c r="CV23" s="58"/>
      <c r="CW23" s="58"/>
      <c r="CX23" s="58"/>
      <c r="CY23" s="58"/>
      <c r="CZ23" s="58"/>
      <c r="DA23" s="58"/>
      <c r="DB23" s="58"/>
      <c r="DC23" s="58"/>
      <c r="DD23" s="58"/>
      <c r="DE23" s="58"/>
      <c r="DF23" s="58"/>
      <c r="DG23" s="58"/>
      <c r="DH23" s="58"/>
      <c r="DI23" s="58"/>
      <c r="DJ23" s="58"/>
      <c r="DK23" s="58"/>
      <c r="DL23" s="58"/>
      <c r="DM23" s="58"/>
      <c r="DN23" s="58"/>
      <c r="DO23" s="58"/>
      <c r="DP23" s="58"/>
      <c r="DQ23" s="58"/>
      <c r="DR23" s="58"/>
      <c r="DS23" s="58"/>
      <c r="DT23" s="58"/>
      <c r="DU23" s="58"/>
      <c r="DV23" s="58"/>
      <c r="DW23" s="58"/>
      <c r="DX23" s="58"/>
      <c r="DY23" s="58"/>
      <c r="DZ23" s="58"/>
      <c r="EA23" s="58"/>
      <c r="EB23" s="58"/>
      <c r="EC23" s="58"/>
      <c r="ED23" s="58"/>
      <c r="EE23" s="58"/>
      <c r="EF23" s="58"/>
      <c r="EG23" s="58"/>
      <c r="EH23" s="58"/>
      <c r="EI23" s="58"/>
      <c r="EJ23" s="58"/>
      <c r="EK23" s="58"/>
      <c r="EL23" s="58"/>
      <c r="EM23" s="58"/>
      <c r="EN23" s="58"/>
      <c r="EO23" s="58"/>
      <c r="EP23" s="58"/>
      <c r="EQ23" s="58"/>
      <c r="ER23" s="58"/>
      <c r="ES23" s="58"/>
      <c r="ET23" s="58"/>
      <c r="EU23" s="58"/>
      <c r="EV23" s="58"/>
      <c r="EW23" s="58"/>
      <c r="EX23" s="58"/>
      <c r="EY23" s="58"/>
      <c r="EZ23" s="58"/>
      <c r="FA23" s="58"/>
      <c r="FB23" s="58"/>
      <c r="FC23" s="58"/>
      <c r="FD23" s="58"/>
      <c r="FE23" s="58"/>
      <c r="FF23" s="58"/>
      <c r="FG23" s="58"/>
      <c r="FH23" s="58"/>
      <c r="FI23" s="58"/>
      <c r="FJ23" s="58"/>
      <c r="FK23" s="58"/>
      <c r="FL23" s="58"/>
      <c r="FM23" s="58"/>
      <c r="FN23" s="58"/>
      <c r="FO23" s="58"/>
      <c r="FP23" s="58"/>
      <c r="FQ23" s="58"/>
      <c r="FR23" s="58"/>
      <c r="FS23" s="58"/>
      <c r="FT23" s="58"/>
      <c r="FU23" s="58"/>
      <c r="FV23" s="58"/>
      <c r="FW23" s="58"/>
      <c r="FX23" s="58"/>
      <c r="FY23" s="58"/>
      <c r="FZ23" s="58"/>
      <c r="GA23" s="58"/>
      <c r="GB23" s="58"/>
      <c r="GC23" s="58"/>
      <c r="GD23" s="58"/>
      <c r="GE23" s="58"/>
      <c r="GF23" s="58"/>
      <c r="GG23" s="58"/>
      <c r="GH23" s="58"/>
      <c r="GI23" s="58"/>
      <c r="GJ23" s="58"/>
      <c r="GK23" s="58"/>
      <c r="GL23" s="58"/>
      <c r="GM23" s="58"/>
      <c r="GN23" s="58"/>
      <c r="GO23" s="58"/>
      <c r="GP23" s="58"/>
      <c r="GQ23" s="58"/>
      <c r="GR23" s="58"/>
      <c r="GS23" s="58"/>
      <c r="GT23" s="58"/>
      <c r="GU23" s="58"/>
      <c r="GV23" s="58"/>
      <c r="GW23" s="58"/>
      <c r="GX23" s="58"/>
      <c r="GY23" s="58"/>
      <c r="GZ23" s="58"/>
      <c r="HA23" s="58"/>
      <c r="HB23" s="58"/>
      <c r="HC23" s="58"/>
      <c r="HD23" s="58"/>
      <c r="HE23" s="58"/>
      <c r="HF23" s="58"/>
      <c r="HG23" s="58"/>
      <c r="HH23" s="58"/>
      <c r="HI23" s="58"/>
      <c r="HJ23" s="58"/>
      <c r="HK23" s="58"/>
      <c r="HL23" s="58"/>
      <c r="HM23" s="58"/>
      <c r="HN23" s="59"/>
    </row>
    <row r="24" spans="2:222" x14ac:dyDescent="0.3">
      <c r="B24" s="57"/>
      <c r="C24" s="58"/>
      <c r="D24" s="58"/>
      <c r="E24" s="58"/>
      <c r="F24" s="58"/>
      <c r="G24" s="58"/>
      <c r="H24" s="58"/>
      <c r="I24" s="58"/>
      <c r="J24" s="58"/>
      <c r="K24" s="58"/>
      <c r="L24" s="58"/>
      <c r="M24" s="58"/>
      <c r="N24" s="58"/>
      <c r="O24" s="58"/>
      <c r="P24" s="58"/>
      <c r="Q24" s="58"/>
      <c r="R24" s="58"/>
      <c r="S24" s="58"/>
      <c r="T24" s="58"/>
      <c r="U24" s="58"/>
      <c r="V24" s="58"/>
      <c r="W24" s="58"/>
      <c r="X24" s="58"/>
      <c r="Y24" s="58"/>
      <c r="Z24" s="58"/>
      <c r="AA24" s="58"/>
      <c r="AB24" s="58"/>
      <c r="AC24" s="58"/>
      <c r="AD24" s="58"/>
      <c r="AE24" s="58"/>
      <c r="AF24" s="58"/>
      <c r="AG24" s="58"/>
      <c r="AH24" s="58"/>
      <c r="AI24" s="58"/>
      <c r="AJ24" s="58"/>
      <c r="AK24" s="58"/>
      <c r="AL24" s="58"/>
      <c r="AM24" s="58"/>
      <c r="AN24" s="58"/>
      <c r="AO24" s="59"/>
      <c r="AQ24" s="57"/>
      <c r="AR24" s="58"/>
      <c r="AS24" s="58"/>
      <c r="AT24" s="58"/>
      <c r="AU24" s="58"/>
      <c r="AV24" s="58"/>
      <c r="AW24" s="58"/>
      <c r="AX24" s="58"/>
      <c r="AY24" s="58"/>
      <c r="AZ24" s="58"/>
      <c r="BA24" s="58"/>
      <c r="BB24" s="58"/>
      <c r="BC24" s="58"/>
      <c r="BD24" s="58"/>
      <c r="BE24" s="58"/>
      <c r="BF24" s="58"/>
      <c r="BG24" s="58"/>
      <c r="BH24" s="58"/>
      <c r="BI24" s="58"/>
      <c r="BJ24" s="58"/>
      <c r="BK24" s="58"/>
      <c r="BL24" s="58"/>
      <c r="BM24" s="58"/>
      <c r="BN24" s="58"/>
      <c r="BO24" s="58"/>
      <c r="BP24" s="58"/>
      <c r="BQ24" s="58"/>
      <c r="BR24" s="58"/>
      <c r="BS24" s="58"/>
      <c r="BT24" s="58"/>
      <c r="BU24" s="58"/>
      <c r="BV24" s="58"/>
      <c r="BW24" s="58"/>
      <c r="BX24" s="58"/>
      <c r="BY24" s="58"/>
      <c r="BZ24" s="58"/>
      <c r="CA24" s="58"/>
      <c r="CB24" s="58"/>
      <c r="CC24" s="58"/>
      <c r="CD24" s="58"/>
      <c r="CE24" s="58"/>
      <c r="CF24" s="58"/>
      <c r="CG24" s="58"/>
      <c r="CH24" s="58"/>
      <c r="CI24" s="58"/>
      <c r="CJ24" s="58"/>
      <c r="CK24" s="58"/>
      <c r="CL24" s="58"/>
      <c r="CM24" s="58"/>
      <c r="CN24" s="58"/>
      <c r="CO24" s="58"/>
      <c r="CP24" s="58"/>
      <c r="CQ24" s="58"/>
      <c r="CR24" s="58"/>
      <c r="CS24" s="58"/>
      <c r="CT24" s="58"/>
      <c r="CU24" s="58"/>
      <c r="CV24" s="58"/>
      <c r="CW24" s="58"/>
      <c r="CX24" s="58"/>
      <c r="CY24" s="58"/>
      <c r="CZ24" s="58"/>
      <c r="DA24" s="58"/>
      <c r="DB24" s="58"/>
      <c r="DC24" s="58"/>
      <c r="DD24" s="58"/>
      <c r="DE24" s="58"/>
      <c r="DF24" s="58"/>
      <c r="DG24" s="58"/>
      <c r="DH24" s="58"/>
      <c r="DI24" s="58"/>
      <c r="DJ24" s="58"/>
      <c r="DK24" s="58"/>
      <c r="DL24" s="58"/>
      <c r="DM24" s="58"/>
      <c r="DN24" s="58"/>
      <c r="DO24" s="58"/>
      <c r="DP24" s="58"/>
      <c r="DQ24" s="58"/>
      <c r="DR24" s="58"/>
      <c r="DS24" s="58"/>
      <c r="DT24" s="58"/>
      <c r="DU24" s="58"/>
      <c r="DV24" s="58"/>
      <c r="DW24" s="58"/>
      <c r="DX24" s="58"/>
      <c r="DY24" s="58"/>
      <c r="DZ24" s="58"/>
      <c r="EA24" s="58"/>
      <c r="EB24" s="58"/>
      <c r="EC24" s="58"/>
      <c r="ED24" s="58"/>
      <c r="EE24" s="58"/>
      <c r="EF24" s="58"/>
      <c r="EG24" s="58"/>
      <c r="EH24" s="58"/>
      <c r="EI24" s="58"/>
      <c r="EJ24" s="58"/>
      <c r="EK24" s="58"/>
      <c r="EL24" s="58"/>
      <c r="EM24" s="58"/>
      <c r="EN24" s="58"/>
      <c r="EO24" s="58"/>
      <c r="EP24" s="58"/>
      <c r="EQ24" s="58"/>
      <c r="ER24" s="58"/>
      <c r="ES24" s="58"/>
      <c r="ET24" s="58"/>
      <c r="EU24" s="58"/>
      <c r="EV24" s="58"/>
      <c r="EW24" s="58"/>
      <c r="EX24" s="58"/>
      <c r="EY24" s="58"/>
      <c r="EZ24" s="58"/>
      <c r="FA24" s="58"/>
      <c r="FB24" s="58"/>
      <c r="FC24" s="58"/>
      <c r="FD24" s="58"/>
      <c r="FE24" s="58"/>
      <c r="FF24" s="58"/>
      <c r="FG24" s="58"/>
      <c r="FH24" s="58"/>
      <c r="FI24" s="58"/>
      <c r="FJ24" s="58"/>
      <c r="FK24" s="58"/>
      <c r="FL24" s="58"/>
      <c r="FM24" s="58"/>
      <c r="FN24" s="58"/>
      <c r="FO24" s="58"/>
      <c r="FP24" s="58"/>
      <c r="FQ24" s="58"/>
      <c r="FR24" s="58"/>
      <c r="FS24" s="58"/>
      <c r="FT24" s="58"/>
      <c r="FU24" s="58"/>
      <c r="FV24" s="58"/>
      <c r="FW24" s="58"/>
      <c r="FX24" s="58"/>
      <c r="FY24" s="58"/>
      <c r="FZ24" s="58"/>
      <c r="GA24" s="58"/>
      <c r="GB24" s="58"/>
      <c r="GC24" s="58"/>
      <c r="GD24" s="58"/>
      <c r="GE24" s="58"/>
      <c r="GF24" s="58"/>
      <c r="GG24" s="58"/>
      <c r="GH24" s="58"/>
      <c r="GI24" s="58"/>
      <c r="GJ24" s="58"/>
      <c r="GK24" s="58"/>
      <c r="GL24" s="58"/>
      <c r="GM24" s="58"/>
      <c r="GN24" s="58"/>
      <c r="GO24" s="58"/>
      <c r="GP24" s="58"/>
      <c r="GQ24" s="58"/>
      <c r="GR24" s="58"/>
      <c r="GS24" s="58"/>
      <c r="GT24" s="58"/>
      <c r="GU24" s="58"/>
      <c r="GV24" s="58"/>
      <c r="GW24" s="58"/>
      <c r="GX24" s="58"/>
      <c r="GY24" s="58"/>
      <c r="GZ24" s="58"/>
      <c r="HA24" s="58"/>
      <c r="HB24" s="58"/>
      <c r="HC24" s="58"/>
      <c r="HD24" s="58"/>
      <c r="HE24" s="58"/>
      <c r="HF24" s="58"/>
      <c r="HG24" s="58"/>
      <c r="HH24" s="58"/>
      <c r="HI24" s="58"/>
      <c r="HJ24" s="58"/>
      <c r="HK24" s="58"/>
      <c r="HL24" s="58"/>
      <c r="HM24" s="58"/>
      <c r="HN24" s="59"/>
    </row>
    <row r="25" spans="2:222" x14ac:dyDescent="0.3">
      <c r="B25" s="57"/>
      <c r="C25" s="58"/>
      <c r="D25" s="58"/>
      <c r="E25" s="58"/>
      <c r="F25" s="58"/>
      <c r="G25" s="58"/>
      <c r="H25" s="58"/>
      <c r="I25" s="58"/>
      <c r="J25" s="58"/>
      <c r="K25" s="58"/>
      <c r="L25" s="58"/>
      <c r="M25" s="58"/>
      <c r="N25" s="58"/>
      <c r="O25" s="58"/>
      <c r="P25" s="58"/>
      <c r="Q25" s="58"/>
      <c r="R25" s="58"/>
      <c r="S25" s="58"/>
      <c r="T25" s="58"/>
      <c r="U25" s="58"/>
      <c r="V25" s="58"/>
      <c r="W25" s="58"/>
      <c r="X25" s="58"/>
      <c r="Y25" s="58"/>
      <c r="Z25" s="58"/>
      <c r="AA25" s="58"/>
      <c r="AB25" s="58"/>
      <c r="AC25" s="58"/>
      <c r="AD25" s="58"/>
      <c r="AE25" s="58"/>
      <c r="AF25" s="58"/>
      <c r="AG25" s="58"/>
      <c r="AH25" s="58"/>
      <c r="AI25" s="58"/>
      <c r="AJ25" s="58"/>
      <c r="AK25" s="58"/>
      <c r="AL25" s="58"/>
      <c r="AM25" s="58"/>
      <c r="AN25" s="58"/>
      <c r="AO25" s="59"/>
      <c r="AQ25" s="57"/>
      <c r="AR25" s="58"/>
      <c r="AS25" s="58"/>
      <c r="AT25" s="58"/>
      <c r="AU25" s="58"/>
      <c r="AV25" s="58"/>
      <c r="AW25" s="58"/>
      <c r="AX25" s="58"/>
      <c r="AY25" s="58"/>
      <c r="AZ25" s="58"/>
      <c r="BA25" s="58"/>
      <c r="BB25" s="58"/>
      <c r="BC25" s="58"/>
      <c r="BD25" s="58"/>
      <c r="BE25" s="58"/>
      <c r="BF25" s="58"/>
      <c r="BG25" s="58"/>
      <c r="BH25" s="58"/>
      <c r="BI25" s="58"/>
      <c r="BJ25" s="58"/>
      <c r="BK25" s="58"/>
      <c r="BL25" s="58"/>
      <c r="BM25" s="58"/>
      <c r="BN25" s="58"/>
      <c r="BO25" s="58"/>
      <c r="BP25" s="58"/>
      <c r="BQ25" s="58"/>
      <c r="BR25" s="58"/>
      <c r="BS25" s="58"/>
      <c r="BT25" s="58"/>
      <c r="BU25" s="58"/>
      <c r="BV25" s="58"/>
      <c r="BW25" s="58"/>
      <c r="BX25" s="58"/>
      <c r="BY25" s="58"/>
      <c r="BZ25" s="58"/>
      <c r="CA25" s="58"/>
      <c r="CB25" s="58"/>
      <c r="CC25" s="58"/>
      <c r="CD25" s="58"/>
      <c r="CE25" s="58"/>
      <c r="CF25" s="58"/>
      <c r="CG25" s="58"/>
      <c r="CH25" s="58"/>
      <c r="CI25" s="58"/>
      <c r="CJ25" s="58"/>
      <c r="CK25" s="58"/>
      <c r="CL25" s="58"/>
      <c r="CM25" s="58"/>
      <c r="CN25" s="58"/>
      <c r="CO25" s="58"/>
      <c r="CP25" s="58"/>
      <c r="CQ25" s="58"/>
      <c r="CR25" s="58"/>
      <c r="CS25" s="58"/>
      <c r="CT25" s="58"/>
      <c r="CU25" s="58"/>
      <c r="CV25" s="58"/>
      <c r="CW25" s="58"/>
      <c r="CX25" s="58"/>
      <c r="CY25" s="58"/>
      <c r="CZ25" s="58"/>
      <c r="DA25" s="58"/>
      <c r="DB25" s="58"/>
      <c r="DC25" s="58"/>
      <c r="DD25" s="58"/>
      <c r="DE25" s="58"/>
      <c r="DF25" s="58"/>
      <c r="DG25" s="58"/>
      <c r="DH25" s="58"/>
      <c r="DI25" s="58"/>
      <c r="DJ25" s="58"/>
      <c r="DK25" s="58"/>
      <c r="DL25" s="58"/>
      <c r="DM25" s="58"/>
      <c r="DN25" s="58"/>
      <c r="DO25" s="58"/>
      <c r="DP25" s="58"/>
      <c r="DQ25" s="58"/>
      <c r="DR25" s="58"/>
      <c r="DS25" s="58"/>
      <c r="DT25" s="58"/>
      <c r="DU25" s="58"/>
      <c r="DV25" s="58"/>
      <c r="DW25" s="58"/>
      <c r="DX25" s="58"/>
      <c r="DY25" s="58"/>
      <c r="DZ25" s="58"/>
      <c r="EA25" s="58"/>
      <c r="EB25" s="58"/>
      <c r="EC25" s="58"/>
      <c r="ED25" s="58"/>
      <c r="EE25" s="58"/>
      <c r="EF25" s="58"/>
      <c r="EG25" s="58"/>
      <c r="EH25" s="58"/>
      <c r="EI25" s="58"/>
      <c r="EJ25" s="58"/>
      <c r="EK25" s="58"/>
      <c r="EL25" s="58"/>
      <c r="EM25" s="58"/>
      <c r="EN25" s="58"/>
      <c r="EO25" s="58"/>
      <c r="EP25" s="58"/>
      <c r="EQ25" s="58"/>
      <c r="ER25" s="58"/>
      <c r="ES25" s="58"/>
      <c r="ET25" s="58"/>
      <c r="EU25" s="58"/>
      <c r="EV25" s="58"/>
      <c r="EW25" s="58"/>
      <c r="EX25" s="58"/>
      <c r="EY25" s="58"/>
      <c r="EZ25" s="58"/>
      <c r="FA25" s="58"/>
      <c r="FB25" s="58"/>
      <c r="FC25" s="58"/>
      <c r="FD25" s="58"/>
      <c r="FE25" s="58"/>
      <c r="FF25" s="58"/>
      <c r="FG25" s="58"/>
      <c r="FH25" s="58"/>
      <c r="FI25" s="58"/>
      <c r="FJ25" s="58"/>
      <c r="FK25" s="58"/>
      <c r="FL25" s="58"/>
      <c r="FM25" s="58"/>
      <c r="FN25" s="58"/>
      <c r="FO25" s="58"/>
      <c r="FP25" s="58"/>
      <c r="FQ25" s="58"/>
      <c r="FR25" s="58"/>
      <c r="FS25" s="58"/>
      <c r="FT25" s="58"/>
      <c r="FU25" s="58"/>
      <c r="FV25" s="58"/>
      <c r="FW25" s="58"/>
      <c r="FX25" s="58"/>
      <c r="FY25" s="58"/>
      <c r="FZ25" s="58"/>
      <c r="GA25" s="58"/>
      <c r="GB25" s="58"/>
      <c r="GC25" s="58"/>
      <c r="GD25" s="58"/>
      <c r="GE25" s="58"/>
      <c r="GF25" s="58"/>
      <c r="GG25" s="58"/>
      <c r="GH25" s="58"/>
      <c r="GI25" s="58"/>
      <c r="GJ25" s="58"/>
      <c r="GK25" s="58"/>
      <c r="GL25" s="58"/>
      <c r="GM25" s="58"/>
      <c r="GN25" s="58"/>
      <c r="GO25" s="58"/>
      <c r="GP25" s="58"/>
      <c r="GQ25" s="58"/>
      <c r="GR25" s="58"/>
      <c r="GS25" s="58"/>
      <c r="GT25" s="58"/>
      <c r="GU25" s="58"/>
      <c r="GV25" s="58"/>
      <c r="GW25" s="58"/>
      <c r="GX25" s="58"/>
      <c r="GY25" s="58"/>
      <c r="GZ25" s="58"/>
      <c r="HA25" s="58"/>
      <c r="HB25" s="58"/>
      <c r="HC25" s="58"/>
      <c r="HD25" s="58"/>
      <c r="HE25" s="58"/>
      <c r="HF25" s="58"/>
      <c r="HG25" s="58"/>
      <c r="HH25" s="58"/>
      <c r="HI25" s="58"/>
      <c r="HJ25" s="58"/>
      <c r="HK25" s="58"/>
      <c r="HL25" s="58"/>
      <c r="HM25" s="58"/>
      <c r="HN25" s="59"/>
    </row>
    <row r="26" spans="2:222" x14ac:dyDescent="0.3">
      <c r="B26" s="57"/>
      <c r="C26" s="58"/>
      <c r="D26" s="58"/>
      <c r="E26" s="58"/>
      <c r="F26" s="58"/>
      <c r="G26" s="58"/>
      <c r="H26" s="58"/>
      <c r="I26" s="58"/>
      <c r="J26" s="58"/>
      <c r="K26" s="58"/>
      <c r="L26" s="58"/>
      <c r="M26" s="58"/>
      <c r="N26" s="58"/>
      <c r="O26" s="58"/>
      <c r="P26" s="58"/>
      <c r="Q26" s="58"/>
      <c r="R26" s="58"/>
      <c r="S26" s="58"/>
      <c r="T26" s="58"/>
      <c r="U26" s="58"/>
      <c r="V26" s="58"/>
      <c r="W26" s="58"/>
      <c r="X26" s="58"/>
      <c r="Y26" s="58"/>
      <c r="Z26" s="58"/>
      <c r="AA26" s="58"/>
      <c r="AB26" s="58"/>
      <c r="AC26" s="58"/>
      <c r="AD26" s="58"/>
      <c r="AE26" s="58"/>
      <c r="AF26" s="58"/>
      <c r="AG26" s="58"/>
      <c r="AH26" s="58"/>
      <c r="AI26" s="58"/>
      <c r="AJ26" s="58"/>
      <c r="AK26" s="58"/>
      <c r="AL26" s="58"/>
      <c r="AM26" s="58"/>
      <c r="AN26" s="58"/>
      <c r="AO26" s="59"/>
      <c r="AQ26" s="57"/>
      <c r="AR26" s="58"/>
      <c r="AS26" s="58"/>
      <c r="AT26" s="58"/>
      <c r="AU26" s="58"/>
      <c r="AV26" s="58"/>
      <c r="AW26" s="58"/>
      <c r="AX26" s="58"/>
      <c r="AY26" s="58"/>
      <c r="AZ26" s="58"/>
      <c r="BA26" s="58"/>
      <c r="BB26" s="58"/>
      <c r="BC26" s="58"/>
      <c r="BD26" s="58"/>
      <c r="BE26" s="58"/>
      <c r="BF26" s="58"/>
      <c r="BG26" s="58"/>
      <c r="BH26" s="58"/>
      <c r="BI26" s="58"/>
      <c r="BJ26" s="58"/>
      <c r="BK26" s="58"/>
      <c r="BL26" s="58"/>
      <c r="BM26" s="58"/>
      <c r="BN26" s="58"/>
      <c r="BO26" s="58"/>
      <c r="BP26" s="58"/>
      <c r="BQ26" s="58"/>
      <c r="BR26" s="58"/>
      <c r="BS26" s="58"/>
      <c r="BT26" s="58"/>
      <c r="BU26" s="58"/>
      <c r="BV26" s="58"/>
      <c r="BW26" s="58"/>
      <c r="BX26" s="58"/>
      <c r="BY26" s="58"/>
      <c r="BZ26" s="58"/>
      <c r="CA26" s="58"/>
      <c r="CB26" s="58"/>
      <c r="CC26" s="58"/>
      <c r="CD26" s="58"/>
      <c r="CE26" s="58"/>
      <c r="CF26" s="58"/>
      <c r="CG26" s="58"/>
      <c r="CH26" s="58"/>
      <c r="CI26" s="58"/>
      <c r="CJ26" s="58"/>
      <c r="CK26" s="58"/>
      <c r="CL26" s="58"/>
      <c r="CM26" s="58"/>
      <c r="CN26" s="58"/>
      <c r="CO26" s="58"/>
      <c r="CP26" s="58"/>
      <c r="CQ26" s="58"/>
      <c r="CR26" s="58"/>
      <c r="CS26" s="58"/>
      <c r="CT26" s="58"/>
      <c r="CU26" s="58"/>
      <c r="CV26" s="58"/>
      <c r="CW26" s="58"/>
      <c r="CX26" s="58"/>
      <c r="CY26" s="58"/>
      <c r="CZ26" s="58"/>
      <c r="DA26" s="58"/>
      <c r="DB26" s="58"/>
      <c r="DC26" s="58"/>
      <c r="DD26" s="58"/>
      <c r="DE26" s="58"/>
      <c r="DF26" s="58"/>
      <c r="DG26" s="58"/>
      <c r="DH26" s="58"/>
      <c r="DI26" s="58"/>
      <c r="DJ26" s="58"/>
      <c r="DK26" s="58"/>
      <c r="DL26" s="58"/>
      <c r="DM26" s="58"/>
      <c r="DN26" s="58"/>
      <c r="DO26" s="58"/>
      <c r="DP26" s="58"/>
      <c r="DQ26" s="58"/>
      <c r="DR26" s="58"/>
      <c r="DS26" s="58"/>
      <c r="DT26" s="58"/>
      <c r="DU26" s="58"/>
      <c r="DV26" s="58"/>
      <c r="DW26" s="58"/>
      <c r="DX26" s="58"/>
      <c r="DY26" s="58"/>
      <c r="DZ26" s="58"/>
      <c r="EA26" s="58"/>
      <c r="EB26" s="58"/>
      <c r="EC26" s="58"/>
      <c r="ED26" s="58"/>
      <c r="EE26" s="58"/>
      <c r="EF26" s="58"/>
      <c r="EG26" s="58"/>
      <c r="EH26" s="58"/>
      <c r="EI26" s="58"/>
      <c r="EJ26" s="58"/>
      <c r="EK26" s="58"/>
      <c r="EL26" s="58"/>
      <c r="EM26" s="58"/>
      <c r="EN26" s="58"/>
      <c r="EO26" s="58"/>
      <c r="EP26" s="58"/>
      <c r="EQ26" s="58"/>
      <c r="ER26" s="58"/>
      <c r="ES26" s="58"/>
      <c r="ET26" s="58"/>
      <c r="EU26" s="58"/>
      <c r="EV26" s="58"/>
      <c r="EW26" s="58"/>
      <c r="EX26" s="58"/>
      <c r="EY26" s="58"/>
      <c r="EZ26" s="58"/>
      <c r="FA26" s="58"/>
      <c r="FB26" s="58"/>
      <c r="FC26" s="58"/>
      <c r="FD26" s="58"/>
      <c r="FE26" s="58"/>
      <c r="FF26" s="58"/>
      <c r="FG26" s="58"/>
      <c r="FH26" s="58"/>
      <c r="FI26" s="58"/>
      <c r="FJ26" s="58"/>
      <c r="FK26" s="58"/>
      <c r="FL26" s="58"/>
      <c r="FM26" s="58"/>
      <c r="FN26" s="58"/>
      <c r="FO26" s="58"/>
      <c r="FP26" s="58"/>
      <c r="FQ26" s="58"/>
      <c r="FR26" s="58"/>
      <c r="FS26" s="58"/>
      <c r="FT26" s="58"/>
      <c r="FU26" s="58"/>
      <c r="FV26" s="58"/>
      <c r="FW26" s="58"/>
      <c r="FX26" s="58"/>
      <c r="FY26" s="58"/>
      <c r="FZ26" s="58"/>
      <c r="GA26" s="58"/>
      <c r="GB26" s="58"/>
      <c r="GC26" s="58"/>
      <c r="GD26" s="58"/>
      <c r="GE26" s="58"/>
      <c r="GF26" s="58"/>
      <c r="GG26" s="58"/>
      <c r="GH26" s="58"/>
      <c r="GI26" s="58"/>
      <c r="GJ26" s="58"/>
      <c r="GK26" s="58"/>
      <c r="GL26" s="58"/>
      <c r="GM26" s="58"/>
      <c r="GN26" s="58"/>
      <c r="GO26" s="58"/>
      <c r="GP26" s="58"/>
      <c r="GQ26" s="58"/>
      <c r="GR26" s="58"/>
      <c r="GS26" s="58"/>
      <c r="GT26" s="58"/>
      <c r="GU26" s="58"/>
      <c r="GV26" s="58"/>
      <c r="GW26" s="58"/>
      <c r="GX26" s="58"/>
      <c r="GY26" s="58"/>
      <c r="GZ26" s="58"/>
      <c r="HA26" s="58"/>
      <c r="HB26" s="58"/>
      <c r="HC26" s="58"/>
      <c r="HD26" s="58"/>
      <c r="HE26" s="58"/>
      <c r="HF26" s="58"/>
      <c r="HG26" s="58"/>
      <c r="HH26" s="58"/>
      <c r="HI26" s="58"/>
      <c r="HJ26" s="58"/>
      <c r="HK26" s="58"/>
      <c r="HL26" s="58"/>
      <c r="HM26" s="58"/>
      <c r="HN26" s="59"/>
    </row>
    <row r="27" spans="2:222" x14ac:dyDescent="0.3">
      <c r="B27" s="57"/>
      <c r="C27" s="58"/>
      <c r="D27" s="58"/>
      <c r="E27" s="58"/>
      <c r="F27" s="58"/>
      <c r="G27" s="58"/>
      <c r="H27" s="58"/>
      <c r="I27" s="58"/>
      <c r="J27" s="58"/>
      <c r="K27" s="58"/>
      <c r="L27" s="58"/>
      <c r="M27" s="58"/>
      <c r="N27" s="58"/>
      <c r="O27" s="58"/>
      <c r="P27" s="58"/>
      <c r="Q27" s="58"/>
      <c r="R27" s="58"/>
      <c r="S27" s="58"/>
      <c r="T27" s="58"/>
      <c r="U27" s="58"/>
      <c r="V27" s="58"/>
      <c r="W27" s="58"/>
      <c r="X27" s="58"/>
      <c r="Y27" s="58"/>
      <c r="Z27" s="58"/>
      <c r="AA27" s="58"/>
      <c r="AB27" s="58"/>
      <c r="AC27" s="58"/>
      <c r="AD27" s="58"/>
      <c r="AE27" s="58"/>
      <c r="AF27" s="58"/>
      <c r="AG27" s="58"/>
      <c r="AH27" s="58"/>
      <c r="AI27" s="58"/>
      <c r="AJ27" s="58"/>
      <c r="AK27" s="58"/>
      <c r="AL27" s="58"/>
      <c r="AM27" s="58"/>
      <c r="AN27" s="58"/>
      <c r="AO27" s="59"/>
      <c r="AQ27" s="57"/>
      <c r="AR27" s="58"/>
      <c r="AS27" s="58"/>
      <c r="AT27" s="58"/>
      <c r="AU27" s="58"/>
      <c r="AV27" s="58"/>
      <c r="AW27" s="58"/>
      <c r="AX27" s="58"/>
      <c r="AY27" s="58"/>
      <c r="AZ27" s="58"/>
      <c r="BA27" s="58"/>
      <c r="BB27" s="58"/>
      <c r="BC27" s="58"/>
      <c r="BD27" s="58"/>
      <c r="BE27" s="58"/>
      <c r="BF27" s="58"/>
      <c r="BG27" s="58"/>
      <c r="BH27" s="58"/>
      <c r="BI27" s="58"/>
      <c r="BJ27" s="58"/>
      <c r="BK27" s="58"/>
      <c r="BL27" s="58"/>
      <c r="BM27" s="58"/>
      <c r="BN27" s="58"/>
      <c r="BO27" s="58"/>
      <c r="BP27" s="58"/>
      <c r="BQ27" s="58"/>
      <c r="BR27" s="58"/>
      <c r="BS27" s="58"/>
      <c r="BT27" s="58"/>
      <c r="BU27" s="58"/>
      <c r="BV27" s="58"/>
      <c r="BW27" s="58"/>
      <c r="BX27" s="58"/>
      <c r="BY27" s="58"/>
      <c r="BZ27" s="58"/>
      <c r="CA27" s="58"/>
      <c r="CB27" s="58"/>
      <c r="CC27" s="58"/>
      <c r="CD27" s="58"/>
      <c r="CE27" s="58"/>
      <c r="CF27" s="58"/>
      <c r="CG27" s="58"/>
      <c r="CH27" s="58"/>
      <c r="CI27" s="58"/>
      <c r="CJ27" s="58"/>
      <c r="CK27" s="58"/>
      <c r="CL27" s="58"/>
      <c r="CM27" s="58"/>
      <c r="CN27" s="58"/>
      <c r="CO27" s="58"/>
      <c r="CP27" s="58"/>
      <c r="CQ27" s="58"/>
      <c r="CR27" s="58"/>
      <c r="CS27" s="58"/>
      <c r="CT27" s="58"/>
      <c r="CU27" s="58"/>
      <c r="CV27" s="58"/>
      <c r="CW27" s="58"/>
      <c r="CX27" s="58"/>
      <c r="CY27" s="58"/>
      <c r="CZ27" s="58"/>
      <c r="DA27" s="58"/>
      <c r="DB27" s="58"/>
      <c r="DC27" s="58"/>
      <c r="DD27" s="58"/>
      <c r="DE27" s="58"/>
      <c r="DF27" s="58"/>
      <c r="DG27" s="58"/>
      <c r="DH27" s="58"/>
      <c r="DI27" s="58"/>
      <c r="DJ27" s="58"/>
      <c r="DK27" s="58"/>
      <c r="DL27" s="58"/>
      <c r="DM27" s="58"/>
      <c r="DN27" s="58"/>
      <c r="DO27" s="58"/>
      <c r="DP27" s="58"/>
      <c r="DQ27" s="58"/>
      <c r="DR27" s="58"/>
      <c r="DS27" s="58"/>
      <c r="DT27" s="58"/>
      <c r="DU27" s="58"/>
      <c r="DV27" s="58"/>
      <c r="DW27" s="58"/>
      <c r="DX27" s="58"/>
      <c r="DY27" s="58"/>
      <c r="DZ27" s="58"/>
      <c r="EA27" s="58"/>
      <c r="EB27" s="58"/>
      <c r="EC27" s="58"/>
      <c r="ED27" s="58"/>
      <c r="EE27" s="58"/>
      <c r="EF27" s="58"/>
      <c r="EG27" s="58"/>
      <c r="EH27" s="58"/>
      <c r="EI27" s="58"/>
      <c r="EJ27" s="58"/>
      <c r="EK27" s="58"/>
      <c r="EL27" s="58"/>
      <c r="EM27" s="58"/>
      <c r="EN27" s="58"/>
      <c r="EO27" s="58"/>
      <c r="EP27" s="58"/>
      <c r="EQ27" s="58"/>
      <c r="ER27" s="58"/>
      <c r="ES27" s="58"/>
      <c r="ET27" s="58"/>
      <c r="EU27" s="58"/>
      <c r="EV27" s="58"/>
      <c r="EW27" s="58"/>
      <c r="EX27" s="58"/>
      <c r="EY27" s="58"/>
      <c r="EZ27" s="58"/>
      <c r="FA27" s="58"/>
      <c r="FB27" s="58"/>
      <c r="FC27" s="58"/>
      <c r="FD27" s="58"/>
      <c r="FE27" s="58"/>
      <c r="FF27" s="58"/>
      <c r="FG27" s="58"/>
      <c r="FH27" s="58"/>
      <c r="FI27" s="58"/>
      <c r="FJ27" s="58"/>
      <c r="FK27" s="58"/>
      <c r="FL27" s="58"/>
      <c r="FM27" s="58"/>
      <c r="FN27" s="58"/>
      <c r="FO27" s="58"/>
      <c r="FP27" s="58"/>
      <c r="FQ27" s="58"/>
      <c r="FR27" s="58"/>
      <c r="FS27" s="58"/>
      <c r="FT27" s="58"/>
      <c r="FU27" s="58"/>
      <c r="FV27" s="58"/>
      <c r="FW27" s="58"/>
      <c r="FX27" s="58"/>
      <c r="FY27" s="58"/>
      <c r="FZ27" s="58"/>
      <c r="GA27" s="58"/>
      <c r="GB27" s="58"/>
      <c r="GC27" s="58"/>
      <c r="GD27" s="58"/>
      <c r="GE27" s="58"/>
      <c r="GF27" s="58"/>
      <c r="GG27" s="58"/>
      <c r="GH27" s="58"/>
      <c r="GI27" s="58"/>
      <c r="GJ27" s="58"/>
      <c r="GK27" s="58"/>
      <c r="GL27" s="58"/>
      <c r="GM27" s="58"/>
      <c r="GN27" s="58"/>
      <c r="GO27" s="58"/>
      <c r="GP27" s="58"/>
      <c r="GQ27" s="58"/>
      <c r="GR27" s="58"/>
      <c r="GS27" s="58"/>
      <c r="GT27" s="58"/>
      <c r="GU27" s="58"/>
      <c r="GV27" s="58"/>
      <c r="GW27" s="58"/>
      <c r="GX27" s="58"/>
      <c r="GY27" s="58"/>
      <c r="GZ27" s="58"/>
      <c r="HA27" s="58"/>
      <c r="HB27" s="58"/>
      <c r="HC27" s="58"/>
      <c r="HD27" s="58"/>
      <c r="HE27" s="58"/>
      <c r="HF27" s="58"/>
      <c r="HG27" s="58"/>
      <c r="HH27" s="58"/>
      <c r="HI27" s="58"/>
      <c r="HJ27" s="58"/>
      <c r="HK27" s="58"/>
      <c r="HL27" s="58"/>
      <c r="HM27" s="58"/>
      <c r="HN27" s="59"/>
    </row>
    <row r="28" spans="2:222" x14ac:dyDescent="0.3">
      <c r="B28" s="57"/>
      <c r="C28" s="58"/>
      <c r="D28" s="58"/>
      <c r="E28" s="58"/>
      <c r="F28" s="58"/>
      <c r="G28" s="58"/>
      <c r="H28" s="58"/>
      <c r="I28" s="58"/>
      <c r="J28" s="58"/>
      <c r="K28" s="58"/>
      <c r="L28" s="58"/>
      <c r="M28" s="58"/>
      <c r="N28" s="58"/>
      <c r="O28" s="58"/>
      <c r="P28" s="58"/>
      <c r="Q28" s="58"/>
      <c r="R28" s="58"/>
      <c r="S28" s="58"/>
      <c r="T28" s="58"/>
      <c r="U28" s="58"/>
      <c r="V28" s="58"/>
      <c r="W28" s="58"/>
      <c r="X28" s="58"/>
      <c r="Y28" s="58"/>
      <c r="Z28" s="58"/>
      <c r="AA28" s="58"/>
      <c r="AB28" s="58"/>
      <c r="AC28" s="58"/>
      <c r="AD28" s="58"/>
      <c r="AE28" s="58"/>
      <c r="AF28" s="58"/>
      <c r="AG28" s="58"/>
      <c r="AH28" s="58"/>
      <c r="AI28" s="58"/>
      <c r="AJ28" s="58"/>
      <c r="AK28" s="58"/>
      <c r="AL28" s="58"/>
      <c r="AM28" s="58"/>
      <c r="AN28" s="58"/>
      <c r="AO28" s="59"/>
      <c r="AQ28" s="57"/>
      <c r="AR28" s="58"/>
      <c r="AS28" s="58"/>
      <c r="AT28" s="58"/>
      <c r="AU28" s="58"/>
      <c r="AV28" s="58"/>
      <c r="AW28" s="58"/>
      <c r="AX28" s="58"/>
      <c r="AY28" s="58"/>
      <c r="AZ28" s="58"/>
      <c r="BA28" s="58"/>
      <c r="BB28" s="58"/>
      <c r="BC28" s="58"/>
      <c r="BD28" s="58"/>
      <c r="BE28" s="58"/>
      <c r="BF28" s="58"/>
      <c r="BG28" s="58"/>
      <c r="BH28" s="58"/>
      <c r="BI28" s="58"/>
      <c r="BJ28" s="58"/>
      <c r="BK28" s="58"/>
      <c r="BL28" s="58"/>
      <c r="BM28" s="58"/>
      <c r="BN28" s="58"/>
      <c r="BO28" s="58"/>
      <c r="BP28" s="58"/>
      <c r="BQ28" s="58"/>
      <c r="BR28" s="58"/>
      <c r="BS28" s="58"/>
      <c r="BT28" s="58"/>
      <c r="BU28" s="58"/>
      <c r="BV28" s="58"/>
      <c r="BW28" s="58"/>
      <c r="BX28" s="58"/>
      <c r="BY28" s="58"/>
      <c r="BZ28" s="58"/>
      <c r="CA28" s="58"/>
      <c r="CB28" s="58"/>
      <c r="CC28" s="58"/>
      <c r="CD28" s="58"/>
      <c r="CE28" s="58"/>
      <c r="CF28" s="58"/>
      <c r="CG28" s="58"/>
      <c r="CH28" s="58"/>
      <c r="CI28" s="58"/>
      <c r="CJ28" s="58"/>
      <c r="CK28" s="58"/>
      <c r="CL28" s="58"/>
      <c r="CM28" s="58"/>
      <c r="CN28" s="58"/>
      <c r="CO28" s="58"/>
      <c r="CP28" s="58"/>
      <c r="CQ28" s="58"/>
      <c r="CR28" s="58"/>
      <c r="CS28" s="58"/>
      <c r="CT28" s="58"/>
      <c r="CU28" s="58"/>
      <c r="CV28" s="58"/>
      <c r="CW28" s="58"/>
      <c r="CX28" s="58"/>
      <c r="CY28" s="58"/>
      <c r="CZ28" s="58"/>
      <c r="DA28" s="58"/>
      <c r="DB28" s="58"/>
      <c r="DC28" s="58"/>
      <c r="DD28" s="58"/>
      <c r="DE28" s="58"/>
      <c r="DF28" s="58"/>
      <c r="DG28" s="58"/>
      <c r="DH28" s="58"/>
      <c r="DI28" s="58"/>
      <c r="DJ28" s="58"/>
      <c r="DK28" s="58"/>
      <c r="DL28" s="58"/>
      <c r="DM28" s="58"/>
      <c r="DN28" s="58"/>
      <c r="DO28" s="58"/>
      <c r="DP28" s="58"/>
      <c r="DQ28" s="58"/>
      <c r="DR28" s="58"/>
      <c r="DS28" s="58"/>
      <c r="DT28" s="58"/>
      <c r="DU28" s="58"/>
      <c r="DV28" s="58"/>
      <c r="DW28" s="58"/>
      <c r="DX28" s="58"/>
      <c r="DY28" s="58"/>
      <c r="DZ28" s="58"/>
      <c r="EA28" s="58"/>
      <c r="EB28" s="58"/>
      <c r="EC28" s="58"/>
      <c r="ED28" s="58"/>
      <c r="EE28" s="58"/>
      <c r="EF28" s="58"/>
      <c r="EG28" s="58"/>
      <c r="EH28" s="58"/>
      <c r="EI28" s="58"/>
      <c r="EJ28" s="58"/>
      <c r="EK28" s="58"/>
      <c r="EL28" s="58"/>
      <c r="EM28" s="58"/>
      <c r="EN28" s="58"/>
      <c r="EO28" s="58"/>
      <c r="EP28" s="58"/>
      <c r="EQ28" s="58"/>
      <c r="ER28" s="58"/>
      <c r="ES28" s="58"/>
      <c r="ET28" s="58"/>
      <c r="EU28" s="58"/>
      <c r="EV28" s="58"/>
      <c r="EW28" s="58"/>
      <c r="EX28" s="58"/>
      <c r="EY28" s="58"/>
      <c r="EZ28" s="58"/>
      <c r="FA28" s="58"/>
      <c r="FB28" s="58"/>
      <c r="FC28" s="58"/>
      <c r="FD28" s="58"/>
      <c r="FE28" s="58"/>
      <c r="FF28" s="58"/>
      <c r="FG28" s="58"/>
      <c r="FH28" s="58"/>
      <c r="FI28" s="58"/>
      <c r="FJ28" s="58"/>
      <c r="FK28" s="58"/>
      <c r="FL28" s="58"/>
      <c r="FM28" s="58"/>
      <c r="FN28" s="58"/>
      <c r="FO28" s="58"/>
      <c r="FP28" s="58"/>
      <c r="FQ28" s="58"/>
      <c r="FR28" s="58"/>
      <c r="FS28" s="58"/>
      <c r="FT28" s="58"/>
      <c r="FU28" s="58"/>
      <c r="FV28" s="58"/>
      <c r="FW28" s="58"/>
      <c r="FX28" s="58"/>
      <c r="FY28" s="58"/>
      <c r="FZ28" s="58"/>
      <c r="GA28" s="58"/>
      <c r="GB28" s="58"/>
      <c r="GC28" s="58"/>
      <c r="GD28" s="58"/>
      <c r="GE28" s="58"/>
      <c r="GF28" s="58"/>
      <c r="GG28" s="58"/>
      <c r="GH28" s="58"/>
      <c r="GI28" s="58"/>
      <c r="GJ28" s="58"/>
      <c r="GK28" s="58"/>
      <c r="GL28" s="58"/>
      <c r="GM28" s="58"/>
      <c r="GN28" s="58"/>
      <c r="GO28" s="58"/>
      <c r="GP28" s="58"/>
      <c r="GQ28" s="58"/>
      <c r="GR28" s="58"/>
      <c r="GS28" s="58"/>
      <c r="GT28" s="58"/>
      <c r="GU28" s="58"/>
      <c r="GV28" s="58"/>
      <c r="GW28" s="58"/>
      <c r="GX28" s="58"/>
      <c r="GY28" s="58"/>
      <c r="GZ28" s="58"/>
      <c r="HA28" s="58"/>
      <c r="HB28" s="58"/>
      <c r="HC28" s="58"/>
      <c r="HD28" s="58"/>
      <c r="HE28" s="58"/>
      <c r="HF28" s="58"/>
      <c r="HG28" s="58"/>
      <c r="HH28" s="58"/>
      <c r="HI28" s="58"/>
      <c r="HJ28" s="58"/>
      <c r="HK28" s="58"/>
      <c r="HL28" s="58"/>
      <c r="HM28" s="58"/>
      <c r="HN28" s="59"/>
    </row>
    <row r="29" spans="2:222" x14ac:dyDescent="0.3">
      <c r="B29" s="57"/>
      <c r="C29" s="58"/>
      <c r="D29" s="58"/>
      <c r="E29" s="58"/>
      <c r="F29" s="58"/>
      <c r="G29" s="58"/>
      <c r="H29" s="58"/>
      <c r="I29" s="58"/>
      <c r="J29" s="58"/>
      <c r="K29" s="58"/>
      <c r="L29" s="58"/>
      <c r="M29" s="58"/>
      <c r="N29" s="58"/>
      <c r="O29" s="58"/>
      <c r="P29" s="58"/>
      <c r="Q29" s="58"/>
      <c r="R29" s="58"/>
      <c r="S29" s="58"/>
      <c r="T29" s="58"/>
      <c r="U29" s="58"/>
      <c r="V29" s="58"/>
      <c r="W29" s="58"/>
      <c r="X29" s="58"/>
      <c r="Y29" s="58"/>
      <c r="Z29" s="58"/>
      <c r="AA29" s="58"/>
      <c r="AB29" s="58"/>
      <c r="AC29" s="58"/>
      <c r="AD29" s="58"/>
      <c r="AE29" s="58"/>
      <c r="AF29" s="58"/>
      <c r="AG29" s="58"/>
      <c r="AH29" s="58"/>
      <c r="AI29" s="58"/>
      <c r="AJ29" s="58"/>
      <c r="AK29" s="58"/>
      <c r="AL29" s="58"/>
      <c r="AM29" s="58"/>
      <c r="AN29" s="58"/>
      <c r="AO29" s="59"/>
      <c r="AQ29" s="57"/>
      <c r="AR29" s="58"/>
      <c r="AS29" s="58"/>
      <c r="AT29" s="58"/>
      <c r="AU29" s="58"/>
      <c r="AV29" s="58"/>
      <c r="AW29" s="58"/>
      <c r="AX29" s="58"/>
      <c r="AY29" s="58"/>
      <c r="AZ29" s="58"/>
      <c r="BA29" s="58"/>
      <c r="BB29" s="58"/>
      <c r="BC29" s="58"/>
      <c r="BD29" s="58"/>
      <c r="BE29" s="58"/>
      <c r="BF29" s="58"/>
      <c r="BG29" s="58"/>
      <c r="BH29" s="58"/>
      <c r="BI29" s="58"/>
      <c r="BJ29" s="58"/>
      <c r="BK29" s="58"/>
      <c r="BL29" s="58"/>
      <c r="BM29" s="58"/>
      <c r="BN29" s="58"/>
      <c r="BO29" s="58"/>
      <c r="BP29" s="58"/>
      <c r="BQ29" s="58"/>
      <c r="BR29" s="58"/>
      <c r="BS29" s="58"/>
      <c r="BT29" s="58"/>
      <c r="BU29" s="58"/>
      <c r="BV29" s="58"/>
      <c r="BW29" s="58"/>
      <c r="BX29" s="58"/>
      <c r="BY29" s="58"/>
      <c r="BZ29" s="58"/>
      <c r="CA29" s="58"/>
      <c r="CB29" s="58"/>
      <c r="CC29" s="58"/>
      <c r="CD29" s="58"/>
      <c r="CE29" s="58"/>
      <c r="CF29" s="58"/>
      <c r="CG29" s="58"/>
      <c r="CH29" s="58"/>
      <c r="CI29" s="58"/>
      <c r="CJ29" s="58"/>
      <c r="CK29" s="58"/>
      <c r="CL29" s="58"/>
      <c r="CM29" s="58"/>
      <c r="CN29" s="58"/>
      <c r="CO29" s="58"/>
      <c r="CP29" s="58"/>
      <c r="CQ29" s="58"/>
      <c r="CR29" s="58"/>
      <c r="CS29" s="58"/>
      <c r="CT29" s="58"/>
      <c r="CU29" s="58"/>
      <c r="CV29" s="58"/>
      <c r="CW29" s="58"/>
      <c r="CX29" s="58"/>
      <c r="CY29" s="58"/>
      <c r="CZ29" s="58"/>
      <c r="DA29" s="58"/>
      <c r="DB29" s="58"/>
      <c r="DC29" s="58"/>
      <c r="DD29" s="58"/>
      <c r="DE29" s="58"/>
      <c r="DF29" s="58"/>
      <c r="DG29" s="58"/>
      <c r="DH29" s="58"/>
      <c r="DI29" s="58"/>
      <c r="DJ29" s="58"/>
      <c r="DK29" s="58"/>
      <c r="DL29" s="58"/>
      <c r="DM29" s="58"/>
      <c r="DN29" s="58"/>
      <c r="DO29" s="58"/>
      <c r="DP29" s="58"/>
      <c r="DQ29" s="58"/>
      <c r="DR29" s="58"/>
      <c r="DS29" s="58"/>
      <c r="DT29" s="58"/>
      <c r="DU29" s="58"/>
      <c r="DV29" s="58"/>
      <c r="DW29" s="58"/>
      <c r="DX29" s="58"/>
      <c r="DY29" s="58"/>
      <c r="DZ29" s="58"/>
      <c r="EA29" s="58"/>
      <c r="EB29" s="58"/>
      <c r="EC29" s="58"/>
      <c r="ED29" s="58"/>
      <c r="EE29" s="58"/>
      <c r="EF29" s="58"/>
      <c r="EG29" s="58"/>
      <c r="EH29" s="58"/>
      <c r="EI29" s="58"/>
      <c r="EJ29" s="58"/>
      <c r="EK29" s="58"/>
      <c r="EL29" s="58"/>
      <c r="EM29" s="58"/>
      <c r="EN29" s="58"/>
      <c r="EO29" s="58"/>
      <c r="EP29" s="58"/>
      <c r="EQ29" s="58"/>
      <c r="ER29" s="58"/>
      <c r="ES29" s="58"/>
      <c r="ET29" s="58"/>
      <c r="EU29" s="58"/>
      <c r="EV29" s="58"/>
      <c r="EW29" s="58"/>
      <c r="EX29" s="58"/>
      <c r="EY29" s="58"/>
      <c r="EZ29" s="58"/>
      <c r="FA29" s="58"/>
      <c r="FB29" s="58"/>
      <c r="FC29" s="58"/>
      <c r="FD29" s="58"/>
      <c r="FE29" s="58"/>
      <c r="FF29" s="58"/>
      <c r="FG29" s="58"/>
      <c r="FH29" s="58"/>
      <c r="FI29" s="58"/>
      <c r="FJ29" s="58"/>
      <c r="FK29" s="58"/>
      <c r="FL29" s="58"/>
      <c r="FM29" s="58"/>
      <c r="FN29" s="58"/>
      <c r="FO29" s="58"/>
      <c r="FP29" s="58"/>
      <c r="FQ29" s="58"/>
      <c r="FR29" s="58"/>
      <c r="FS29" s="58"/>
      <c r="FT29" s="58"/>
      <c r="FU29" s="58"/>
      <c r="FV29" s="58"/>
      <c r="FW29" s="58"/>
      <c r="FX29" s="58"/>
      <c r="FY29" s="58"/>
      <c r="FZ29" s="58"/>
      <c r="GA29" s="58"/>
      <c r="GB29" s="58"/>
      <c r="GC29" s="58"/>
      <c r="GD29" s="58"/>
      <c r="GE29" s="58"/>
      <c r="GF29" s="58"/>
      <c r="GG29" s="58"/>
      <c r="GH29" s="58"/>
      <c r="GI29" s="58"/>
      <c r="GJ29" s="58"/>
      <c r="GK29" s="58"/>
      <c r="GL29" s="58"/>
      <c r="GM29" s="58"/>
      <c r="GN29" s="58"/>
      <c r="GO29" s="58"/>
      <c r="GP29" s="58"/>
      <c r="GQ29" s="58"/>
      <c r="GR29" s="58"/>
      <c r="GS29" s="58"/>
      <c r="GT29" s="58"/>
      <c r="GU29" s="58"/>
      <c r="GV29" s="58"/>
      <c r="GW29" s="58"/>
      <c r="GX29" s="58"/>
      <c r="GY29" s="58"/>
      <c r="GZ29" s="58"/>
      <c r="HA29" s="58"/>
      <c r="HB29" s="58"/>
      <c r="HC29" s="58"/>
      <c r="HD29" s="58"/>
      <c r="HE29" s="58"/>
      <c r="HF29" s="58"/>
      <c r="HG29" s="58"/>
      <c r="HH29" s="58"/>
      <c r="HI29" s="58"/>
      <c r="HJ29" s="58"/>
      <c r="HK29" s="58"/>
      <c r="HL29" s="58"/>
      <c r="HM29" s="58"/>
      <c r="HN29" s="59"/>
    </row>
    <row r="30" spans="2:222" x14ac:dyDescent="0.3">
      <c r="B30" s="57"/>
      <c r="C30" s="58"/>
      <c r="D30" s="58"/>
      <c r="E30" s="58"/>
      <c r="F30" s="58"/>
      <c r="G30" s="58"/>
      <c r="H30" s="58"/>
      <c r="I30" s="58"/>
      <c r="J30" s="58"/>
      <c r="K30" s="58"/>
      <c r="L30" s="58"/>
      <c r="M30" s="58"/>
      <c r="N30" s="58"/>
      <c r="O30" s="58"/>
      <c r="P30" s="58"/>
      <c r="Q30" s="58"/>
      <c r="R30" s="58"/>
      <c r="S30" s="58"/>
      <c r="T30" s="58"/>
      <c r="U30" s="58"/>
      <c r="V30" s="58"/>
      <c r="W30" s="58"/>
      <c r="X30" s="58"/>
      <c r="Y30" s="58"/>
      <c r="Z30" s="58"/>
      <c r="AA30" s="58"/>
      <c r="AB30" s="58"/>
      <c r="AC30" s="58"/>
      <c r="AD30" s="58"/>
      <c r="AE30" s="58"/>
      <c r="AF30" s="58"/>
      <c r="AG30" s="58"/>
      <c r="AH30" s="58"/>
      <c r="AI30" s="58"/>
      <c r="AJ30" s="58"/>
      <c r="AK30" s="58"/>
      <c r="AL30" s="58"/>
      <c r="AM30" s="58"/>
      <c r="AN30" s="58"/>
      <c r="AO30" s="59"/>
      <c r="AQ30" s="57"/>
      <c r="AR30" s="58"/>
      <c r="AS30" s="58"/>
      <c r="AT30" s="58"/>
      <c r="AU30" s="58"/>
      <c r="AV30" s="58"/>
      <c r="AW30" s="58"/>
      <c r="AX30" s="58"/>
      <c r="AY30" s="58"/>
      <c r="AZ30" s="58"/>
      <c r="BA30" s="58"/>
      <c r="BB30" s="58"/>
      <c r="BC30" s="58"/>
      <c r="BD30" s="58"/>
      <c r="BE30" s="58"/>
      <c r="BF30" s="58"/>
      <c r="BG30" s="58"/>
      <c r="BH30" s="58"/>
      <c r="BI30" s="58"/>
      <c r="BJ30" s="58"/>
      <c r="BK30" s="58"/>
      <c r="BL30" s="58"/>
      <c r="BM30" s="58"/>
      <c r="BN30" s="58"/>
      <c r="BO30" s="58"/>
      <c r="BP30" s="58"/>
      <c r="BQ30" s="58"/>
      <c r="BR30" s="58"/>
      <c r="BS30" s="58"/>
      <c r="BT30" s="58"/>
      <c r="BU30" s="58"/>
      <c r="BV30" s="58"/>
      <c r="BW30" s="58"/>
      <c r="BX30" s="58"/>
      <c r="BY30" s="58"/>
      <c r="BZ30" s="58"/>
      <c r="CA30" s="58"/>
      <c r="CB30" s="58"/>
      <c r="CC30" s="58"/>
      <c r="CD30" s="58"/>
      <c r="CE30" s="58"/>
      <c r="CF30" s="58"/>
      <c r="CG30" s="58"/>
      <c r="CH30" s="58"/>
      <c r="CI30" s="58"/>
      <c r="CJ30" s="58"/>
      <c r="CK30" s="58"/>
      <c r="CL30" s="58"/>
      <c r="CM30" s="58"/>
      <c r="CN30" s="58"/>
      <c r="CO30" s="58"/>
      <c r="CP30" s="58"/>
      <c r="CQ30" s="58"/>
      <c r="CR30" s="58"/>
      <c r="CS30" s="58"/>
      <c r="CT30" s="58"/>
      <c r="CU30" s="58"/>
      <c r="CV30" s="58"/>
      <c r="CW30" s="58"/>
      <c r="CX30" s="58"/>
      <c r="CY30" s="58"/>
      <c r="CZ30" s="58"/>
      <c r="DA30" s="58"/>
      <c r="DB30" s="58"/>
      <c r="DC30" s="58"/>
      <c r="DD30" s="58"/>
      <c r="DE30" s="58"/>
      <c r="DF30" s="58"/>
      <c r="DG30" s="58"/>
      <c r="DH30" s="58"/>
      <c r="DI30" s="58"/>
      <c r="DJ30" s="58"/>
      <c r="DK30" s="58"/>
      <c r="DL30" s="58"/>
      <c r="DM30" s="58"/>
      <c r="DN30" s="58"/>
      <c r="DO30" s="58"/>
      <c r="DP30" s="58"/>
      <c r="DQ30" s="58"/>
      <c r="DR30" s="58"/>
      <c r="DS30" s="58"/>
      <c r="DT30" s="58"/>
      <c r="DU30" s="58"/>
      <c r="DV30" s="58"/>
      <c r="DW30" s="58"/>
      <c r="DX30" s="58"/>
      <c r="DY30" s="58"/>
      <c r="DZ30" s="58"/>
      <c r="EA30" s="58"/>
      <c r="EB30" s="58"/>
      <c r="EC30" s="58"/>
      <c r="ED30" s="58"/>
      <c r="EE30" s="58"/>
      <c r="EF30" s="58"/>
      <c r="EG30" s="58"/>
      <c r="EH30" s="58"/>
      <c r="EI30" s="58"/>
      <c r="EJ30" s="58"/>
      <c r="EK30" s="58"/>
      <c r="EL30" s="58"/>
      <c r="EM30" s="58"/>
      <c r="EN30" s="58"/>
      <c r="EO30" s="58"/>
      <c r="EP30" s="58"/>
      <c r="EQ30" s="58"/>
      <c r="ER30" s="58"/>
      <c r="ES30" s="58"/>
      <c r="ET30" s="58"/>
      <c r="EU30" s="58"/>
      <c r="EV30" s="58"/>
      <c r="EW30" s="58"/>
      <c r="EX30" s="58"/>
      <c r="EY30" s="58"/>
      <c r="EZ30" s="58"/>
      <c r="FA30" s="58"/>
      <c r="FB30" s="58"/>
      <c r="FC30" s="58"/>
      <c r="FD30" s="58"/>
      <c r="FE30" s="58"/>
      <c r="FF30" s="58"/>
      <c r="FG30" s="58"/>
      <c r="FH30" s="58"/>
      <c r="FI30" s="58"/>
      <c r="FJ30" s="58"/>
      <c r="FK30" s="58"/>
      <c r="FL30" s="58"/>
      <c r="FM30" s="58"/>
      <c r="FN30" s="58"/>
      <c r="FO30" s="58"/>
      <c r="FP30" s="58"/>
      <c r="FQ30" s="58"/>
      <c r="FR30" s="58"/>
      <c r="FS30" s="58"/>
      <c r="FT30" s="58"/>
      <c r="FU30" s="58"/>
      <c r="FV30" s="58"/>
      <c r="FW30" s="58"/>
      <c r="FX30" s="58"/>
      <c r="FY30" s="58"/>
      <c r="FZ30" s="58"/>
      <c r="GA30" s="58"/>
      <c r="GB30" s="58"/>
      <c r="GC30" s="58"/>
      <c r="GD30" s="58"/>
      <c r="GE30" s="58"/>
      <c r="GF30" s="58"/>
      <c r="GG30" s="58"/>
      <c r="GH30" s="58"/>
      <c r="GI30" s="58"/>
      <c r="GJ30" s="58"/>
      <c r="GK30" s="58"/>
      <c r="GL30" s="58"/>
      <c r="GM30" s="58"/>
      <c r="GN30" s="58"/>
      <c r="GO30" s="58"/>
      <c r="GP30" s="58"/>
      <c r="GQ30" s="58"/>
      <c r="GR30" s="58"/>
      <c r="GS30" s="58"/>
      <c r="GT30" s="58"/>
      <c r="GU30" s="58"/>
      <c r="GV30" s="58"/>
      <c r="GW30" s="58"/>
      <c r="GX30" s="58"/>
      <c r="GY30" s="58"/>
      <c r="GZ30" s="58"/>
      <c r="HA30" s="58"/>
      <c r="HB30" s="58"/>
      <c r="HC30" s="58"/>
      <c r="HD30" s="58"/>
      <c r="HE30" s="58"/>
      <c r="HF30" s="58"/>
      <c r="HG30" s="58"/>
      <c r="HH30" s="58"/>
      <c r="HI30" s="58"/>
      <c r="HJ30" s="58"/>
      <c r="HK30" s="58"/>
      <c r="HL30" s="58"/>
      <c r="HM30" s="58"/>
      <c r="HN30" s="59"/>
    </row>
    <row r="31" spans="2:222" x14ac:dyDescent="0.3">
      <c r="B31" s="57"/>
      <c r="C31" s="58"/>
      <c r="D31" s="58"/>
      <c r="E31" s="58"/>
      <c r="F31" s="58"/>
      <c r="G31" s="58"/>
      <c r="H31" s="58"/>
      <c r="I31" s="58"/>
      <c r="J31" s="58"/>
      <c r="K31" s="58"/>
      <c r="L31" s="58"/>
      <c r="M31" s="58"/>
      <c r="N31" s="58"/>
      <c r="O31" s="58"/>
      <c r="P31" s="58"/>
      <c r="Q31" s="58"/>
      <c r="R31" s="58"/>
      <c r="S31" s="58"/>
      <c r="T31" s="58"/>
      <c r="U31" s="58"/>
      <c r="V31" s="58"/>
      <c r="W31" s="58"/>
      <c r="X31" s="58"/>
      <c r="Y31" s="58"/>
      <c r="Z31" s="58"/>
      <c r="AA31" s="58"/>
      <c r="AB31" s="58"/>
      <c r="AC31" s="58"/>
      <c r="AD31" s="58"/>
      <c r="AE31" s="58"/>
      <c r="AF31" s="58"/>
      <c r="AG31" s="58"/>
      <c r="AH31" s="58"/>
      <c r="AI31" s="58"/>
      <c r="AJ31" s="58"/>
      <c r="AK31" s="58"/>
      <c r="AL31" s="58"/>
      <c r="AM31" s="58"/>
      <c r="AN31" s="58"/>
      <c r="AO31" s="59"/>
      <c r="AQ31" s="57"/>
      <c r="AR31" s="58"/>
      <c r="AS31" s="58"/>
      <c r="AT31" s="58"/>
      <c r="AU31" s="58"/>
      <c r="AV31" s="58"/>
      <c r="AW31" s="58"/>
      <c r="AX31" s="58"/>
      <c r="AY31" s="58"/>
      <c r="AZ31" s="58"/>
      <c r="BA31" s="58"/>
      <c r="BB31" s="58"/>
      <c r="BC31" s="58"/>
      <c r="BD31" s="58"/>
      <c r="BE31" s="58"/>
      <c r="BF31" s="58"/>
      <c r="BG31" s="58"/>
      <c r="BH31" s="58"/>
      <c r="BI31" s="58"/>
      <c r="BJ31" s="58"/>
      <c r="BK31" s="58"/>
      <c r="BL31" s="58"/>
      <c r="BM31" s="58"/>
      <c r="BN31" s="58"/>
      <c r="BO31" s="58"/>
      <c r="BP31" s="58"/>
      <c r="BQ31" s="58"/>
      <c r="BR31" s="58"/>
      <c r="BS31" s="58"/>
      <c r="BT31" s="58"/>
      <c r="BU31" s="58"/>
      <c r="BV31" s="58"/>
      <c r="BW31" s="58"/>
      <c r="BX31" s="58"/>
      <c r="BY31" s="58"/>
      <c r="BZ31" s="58"/>
      <c r="CA31" s="58"/>
      <c r="CB31" s="58"/>
      <c r="CC31" s="58"/>
      <c r="CD31" s="58"/>
      <c r="CE31" s="58"/>
      <c r="CF31" s="58"/>
      <c r="CG31" s="58"/>
      <c r="CH31" s="58"/>
      <c r="CI31" s="58"/>
      <c r="CJ31" s="58"/>
      <c r="CK31" s="58"/>
      <c r="CL31" s="58"/>
      <c r="CM31" s="58"/>
      <c r="CN31" s="58"/>
      <c r="CO31" s="58"/>
      <c r="CP31" s="58"/>
      <c r="CQ31" s="58"/>
      <c r="CR31" s="58"/>
      <c r="CS31" s="58"/>
      <c r="CT31" s="58"/>
      <c r="CU31" s="58"/>
      <c r="CV31" s="58"/>
      <c r="CW31" s="58"/>
      <c r="CX31" s="58"/>
      <c r="CY31" s="58"/>
      <c r="CZ31" s="58"/>
      <c r="DA31" s="58"/>
      <c r="DB31" s="58"/>
      <c r="DC31" s="58"/>
      <c r="DD31" s="58"/>
      <c r="DE31" s="58"/>
      <c r="DF31" s="58"/>
      <c r="DG31" s="58"/>
      <c r="DH31" s="58"/>
      <c r="DI31" s="58"/>
      <c r="DJ31" s="58"/>
      <c r="DK31" s="58"/>
      <c r="DL31" s="58"/>
      <c r="DM31" s="58"/>
      <c r="DN31" s="58"/>
      <c r="DO31" s="58"/>
      <c r="DP31" s="58"/>
      <c r="DQ31" s="58"/>
      <c r="DR31" s="58"/>
      <c r="DS31" s="58"/>
      <c r="DT31" s="58"/>
      <c r="DU31" s="58"/>
      <c r="DV31" s="58"/>
      <c r="DW31" s="58"/>
      <c r="DX31" s="58"/>
      <c r="DY31" s="58"/>
      <c r="DZ31" s="58"/>
      <c r="EA31" s="58"/>
      <c r="EB31" s="58"/>
      <c r="EC31" s="58"/>
      <c r="ED31" s="58"/>
      <c r="EE31" s="58"/>
      <c r="EF31" s="58"/>
      <c r="EG31" s="58"/>
      <c r="EH31" s="58"/>
      <c r="EI31" s="58"/>
      <c r="EJ31" s="58"/>
      <c r="EK31" s="58"/>
      <c r="EL31" s="58"/>
      <c r="EM31" s="58"/>
      <c r="EN31" s="58"/>
      <c r="EO31" s="58"/>
      <c r="EP31" s="58"/>
      <c r="EQ31" s="58"/>
      <c r="ER31" s="58"/>
      <c r="ES31" s="58"/>
      <c r="ET31" s="58"/>
      <c r="EU31" s="58"/>
      <c r="EV31" s="58"/>
      <c r="EW31" s="58"/>
      <c r="EX31" s="58"/>
      <c r="EY31" s="58"/>
      <c r="EZ31" s="58"/>
      <c r="FA31" s="58"/>
      <c r="FB31" s="58"/>
      <c r="FC31" s="58"/>
      <c r="FD31" s="58"/>
      <c r="FE31" s="58"/>
      <c r="FF31" s="58"/>
      <c r="FG31" s="58"/>
      <c r="FH31" s="58"/>
      <c r="FI31" s="58"/>
      <c r="FJ31" s="58"/>
      <c r="FK31" s="58"/>
      <c r="FL31" s="58"/>
      <c r="FM31" s="58"/>
      <c r="FN31" s="58"/>
      <c r="FO31" s="58"/>
      <c r="FP31" s="58"/>
      <c r="FQ31" s="58"/>
      <c r="FR31" s="58"/>
      <c r="FS31" s="58"/>
      <c r="FT31" s="58"/>
      <c r="FU31" s="58"/>
      <c r="FV31" s="58"/>
      <c r="FW31" s="58"/>
      <c r="FX31" s="58"/>
      <c r="FY31" s="58"/>
      <c r="FZ31" s="58"/>
      <c r="GA31" s="58"/>
      <c r="GB31" s="58"/>
      <c r="GC31" s="58"/>
      <c r="GD31" s="58"/>
      <c r="GE31" s="58"/>
      <c r="GF31" s="58"/>
      <c r="GG31" s="58"/>
      <c r="GH31" s="58"/>
      <c r="GI31" s="58"/>
      <c r="GJ31" s="58"/>
      <c r="GK31" s="58"/>
      <c r="GL31" s="58"/>
      <c r="GM31" s="58"/>
      <c r="GN31" s="58"/>
      <c r="GO31" s="58"/>
      <c r="GP31" s="58"/>
      <c r="GQ31" s="58"/>
      <c r="GR31" s="58"/>
      <c r="GS31" s="58"/>
      <c r="GT31" s="58"/>
      <c r="GU31" s="58"/>
      <c r="GV31" s="58"/>
      <c r="GW31" s="58"/>
      <c r="GX31" s="58"/>
      <c r="GY31" s="58"/>
      <c r="GZ31" s="58"/>
      <c r="HA31" s="58"/>
      <c r="HB31" s="58"/>
      <c r="HC31" s="58"/>
      <c r="HD31" s="58"/>
      <c r="HE31" s="58"/>
      <c r="HF31" s="58"/>
      <c r="HG31" s="58"/>
      <c r="HH31" s="58"/>
      <c r="HI31" s="58"/>
      <c r="HJ31" s="58"/>
      <c r="HK31" s="58"/>
      <c r="HL31" s="58"/>
      <c r="HM31" s="58"/>
      <c r="HN31" s="59"/>
    </row>
    <row r="32" spans="2:222" x14ac:dyDescent="0.3">
      <c r="B32" s="57"/>
      <c r="C32" s="58"/>
      <c r="D32" s="58"/>
      <c r="E32" s="58"/>
      <c r="F32" s="58"/>
      <c r="G32" s="58"/>
      <c r="H32" s="58"/>
      <c r="I32" s="58"/>
      <c r="J32" s="58"/>
      <c r="K32" s="58"/>
      <c r="L32" s="58"/>
      <c r="M32" s="58"/>
      <c r="N32" s="58"/>
      <c r="O32" s="58"/>
      <c r="P32" s="58"/>
      <c r="Q32" s="58"/>
      <c r="R32" s="58"/>
      <c r="S32" s="58"/>
      <c r="T32" s="58"/>
      <c r="U32" s="58"/>
      <c r="V32" s="58"/>
      <c r="W32" s="58"/>
      <c r="X32" s="58"/>
      <c r="Y32" s="58"/>
      <c r="Z32" s="58"/>
      <c r="AA32" s="58"/>
      <c r="AB32" s="58"/>
      <c r="AC32" s="58"/>
      <c r="AD32" s="58"/>
      <c r="AE32" s="58"/>
      <c r="AF32" s="58"/>
      <c r="AG32" s="58"/>
      <c r="AH32" s="58"/>
      <c r="AI32" s="58"/>
      <c r="AJ32" s="58"/>
      <c r="AK32" s="58"/>
      <c r="AL32" s="58"/>
      <c r="AM32" s="58"/>
      <c r="AN32" s="58"/>
      <c r="AO32" s="59"/>
      <c r="AQ32" s="57"/>
      <c r="AR32" s="58"/>
      <c r="AS32" s="58"/>
      <c r="AT32" s="58"/>
      <c r="AU32" s="58"/>
      <c r="AV32" s="58"/>
      <c r="AW32" s="58"/>
      <c r="AX32" s="58"/>
      <c r="AY32" s="58"/>
      <c r="AZ32" s="58"/>
      <c r="BA32" s="58"/>
      <c r="BB32" s="58"/>
      <c r="BC32" s="58"/>
      <c r="BD32" s="58"/>
      <c r="BE32" s="58"/>
      <c r="BF32" s="58"/>
      <c r="BG32" s="58"/>
      <c r="BH32" s="58"/>
      <c r="BI32" s="58"/>
      <c r="BJ32" s="58"/>
      <c r="BK32" s="58"/>
      <c r="BL32" s="58"/>
      <c r="BM32" s="58"/>
      <c r="BN32" s="58"/>
      <c r="BO32" s="58"/>
      <c r="BP32" s="58"/>
      <c r="BQ32" s="58"/>
      <c r="BR32" s="58"/>
      <c r="BS32" s="58"/>
      <c r="BT32" s="58"/>
      <c r="BU32" s="58"/>
      <c r="BV32" s="58"/>
      <c r="BW32" s="58"/>
      <c r="BX32" s="58"/>
      <c r="BY32" s="58"/>
      <c r="BZ32" s="58"/>
      <c r="CA32" s="58"/>
      <c r="CB32" s="58"/>
      <c r="CC32" s="58"/>
      <c r="CD32" s="58"/>
      <c r="CE32" s="58"/>
      <c r="CF32" s="58"/>
      <c r="CG32" s="58"/>
      <c r="CH32" s="58"/>
      <c r="CI32" s="58"/>
      <c r="CJ32" s="58"/>
      <c r="CK32" s="58"/>
      <c r="CL32" s="58"/>
      <c r="CM32" s="58"/>
      <c r="CN32" s="58"/>
      <c r="CO32" s="58"/>
      <c r="CP32" s="58"/>
      <c r="CQ32" s="58"/>
      <c r="CR32" s="58"/>
      <c r="CS32" s="58"/>
      <c r="CT32" s="58"/>
      <c r="CU32" s="58"/>
      <c r="CV32" s="58"/>
      <c r="CW32" s="58"/>
      <c r="CX32" s="58"/>
      <c r="CY32" s="58"/>
      <c r="CZ32" s="58"/>
      <c r="DA32" s="58"/>
      <c r="DB32" s="58"/>
      <c r="DC32" s="58"/>
      <c r="DD32" s="58"/>
      <c r="DE32" s="58"/>
      <c r="DF32" s="58"/>
      <c r="DG32" s="58"/>
      <c r="DH32" s="58"/>
      <c r="DI32" s="58"/>
      <c r="DJ32" s="58"/>
      <c r="DK32" s="58"/>
      <c r="DL32" s="58"/>
      <c r="DM32" s="58"/>
      <c r="DN32" s="58"/>
      <c r="DO32" s="58"/>
      <c r="DP32" s="58"/>
      <c r="DQ32" s="58"/>
      <c r="DR32" s="58"/>
      <c r="DS32" s="58"/>
      <c r="DT32" s="58"/>
      <c r="DU32" s="58"/>
      <c r="DV32" s="58"/>
      <c r="DW32" s="58"/>
      <c r="DX32" s="58"/>
      <c r="DY32" s="58"/>
      <c r="DZ32" s="58"/>
      <c r="EA32" s="58"/>
      <c r="EB32" s="58"/>
      <c r="EC32" s="58"/>
      <c r="ED32" s="58"/>
      <c r="EE32" s="58"/>
      <c r="EF32" s="58"/>
      <c r="EG32" s="58"/>
      <c r="EH32" s="58"/>
      <c r="EI32" s="58"/>
      <c r="EJ32" s="58"/>
      <c r="EK32" s="58"/>
      <c r="EL32" s="58"/>
      <c r="EM32" s="58"/>
      <c r="EN32" s="58"/>
      <c r="EO32" s="58"/>
      <c r="EP32" s="58"/>
      <c r="EQ32" s="58"/>
      <c r="ER32" s="58"/>
      <c r="ES32" s="58"/>
      <c r="ET32" s="58"/>
      <c r="EU32" s="58"/>
      <c r="EV32" s="58"/>
      <c r="EW32" s="58"/>
      <c r="EX32" s="58"/>
      <c r="EY32" s="58"/>
      <c r="EZ32" s="58"/>
      <c r="FA32" s="58"/>
      <c r="FB32" s="58"/>
      <c r="FC32" s="58"/>
      <c r="FD32" s="58"/>
      <c r="FE32" s="58"/>
      <c r="FF32" s="58"/>
      <c r="FG32" s="58"/>
      <c r="FH32" s="58"/>
      <c r="FI32" s="58"/>
      <c r="FJ32" s="58"/>
      <c r="FK32" s="58"/>
      <c r="FL32" s="58"/>
      <c r="FM32" s="58"/>
      <c r="FN32" s="58"/>
      <c r="FO32" s="58"/>
      <c r="FP32" s="58"/>
      <c r="FQ32" s="58"/>
      <c r="FR32" s="58"/>
      <c r="FS32" s="58"/>
      <c r="FT32" s="58"/>
      <c r="FU32" s="58"/>
      <c r="FV32" s="58"/>
      <c r="FW32" s="58"/>
      <c r="FX32" s="58"/>
      <c r="FY32" s="58"/>
      <c r="FZ32" s="58"/>
      <c r="GA32" s="58"/>
      <c r="GB32" s="58"/>
      <c r="GC32" s="58"/>
      <c r="GD32" s="58"/>
      <c r="GE32" s="58"/>
      <c r="GF32" s="58"/>
      <c r="GG32" s="58"/>
      <c r="GH32" s="58"/>
      <c r="GI32" s="58"/>
      <c r="GJ32" s="58"/>
      <c r="GK32" s="58"/>
      <c r="GL32" s="58"/>
      <c r="GM32" s="58"/>
      <c r="GN32" s="58"/>
      <c r="GO32" s="58"/>
      <c r="GP32" s="58"/>
      <c r="GQ32" s="58"/>
      <c r="GR32" s="58"/>
      <c r="GS32" s="58"/>
      <c r="GT32" s="58"/>
      <c r="GU32" s="58"/>
      <c r="GV32" s="58"/>
      <c r="GW32" s="58"/>
      <c r="GX32" s="58"/>
      <c r="GY32" s="58"/>
      <c r="GZ32" s="58"/>
      <c r="HA32" s="58"/>
      <c r="HB32" s="58"/>
      <c r="HC32" s="58"/>
      <c r="HD32" s="58"/>
      <c r="HE32" s="58"/>
      <c r="HF32" s="58"/>
      <c r="HG32" s="58"/>
      <c r="HH32" s="58"/>
      <c r="HI32" s="58"/>
      <c r="HJ32" s="58"/>
      <c r="HK32" s="58"/>
      <c r="HL32" s="58"/>
      <c r="HM32" s="58"/>
      <c r="HN32" s="59"/>
    </row>
    <row r="33" spans="2:222" x14ac:dyDescent="0.3">
      <c r="B33" s="57"/>
      <c r="C33" s="58"/>
      <c r="D33" s="58"/>
      <c r="E33" s="58"/>
      <c r="F33" s="58"/>
      <c r="G33" s="58"/>
      <c r="H33" s="58"/>
      <c r="I33" s="58"/>
      <c r="J33" s="58"/>
      <c r="K33" s="58"/>
      <c r="L33" s="58"/>
      <c r="M33" s="58"/>
      <c r="N33" s="58"/>
      <c r="O33" s="58"/>
      <c r="P33" s="58"/>
      <c r="Q33" s="58"/>
      <c r="R33" s="58"/>
      <c r="S33" s="58"/>
      <c r="T33" s="58"/>
      <c r="U33" s="58"/>
      <c r="V33" s="58"/>
      <c r="W33" s="58"/>
      <c r="X33" s="58"/>
      <c r="Y33" s="58"/>
      <c r="Z33" s="58"/>
      <c r="AA33" s="58"/>
      <c r="AB33" s="58"/>
      <c r="AC33" s="58"/>
      <c r="AD33" s="58"/>
      <c r="AE33" s="58"/>
      <c r="AF33" s="58"/>
      <c r="AG33" s="58"/>
      <c r="AH33" s="58"/>
      <c r="AI33" s="58"/>
      <c r="AJ33" s="58"/>
      <c r="AK33" s="58"/>
      <c r="AL33" s="58"/>
      <c r="AM33" s="58"/>
      <c r="AN33" s="58"/>
      <c r="AO33" s="59"/>
      <c r="AQ33" s="57"/>
      <c r="AR33" s="58"/>
      <c r="AS33" s="58"/>
      <c r="AT33" s="58"/>
      <c r="AU33" s="58"/>
      <c r="AV33" s="58"/>
      <c r="AW33" s="58"/>
      <c r="AX33" s="58"/>
      <c r="AY33" s="58"/>
      <c r="AZ33" s="58"/>
      <c r="BA33" s="58"/>
      <c r="BB33" s="58"/>
      <c r="BC33" s="58"/>
      <c r="BD33" s="58"/>
      <c r="BE33" s="58"/>
      <c r="BF33" s="58"/>
      <c r="BG33" s="58"/>
      <c r="BH33" s="58"/>
      <c r="BI33" s="58"/>
      <c r="BJ33" s="58"/>
      <c r="BK33" s="58"/>
      <c r="BL33" s="58"/>
      <c r="BM33" s="58"/>
      <c r="BN33" s="58"/>
      <c r="BO33" s="58"/>
      <c r="BP33" s="58"/>
      <c r="BQ33" s="58"/>
      <c r="BR33" s="58"/>
      <c r="BS33" s="58"/>
      <c r="BT33" s="58"/>
      <c r="BU33" s="58"/>
      <c r="BV33" s="58"/>
      <c r="BW33" s="58"/>
      <c r="BX33" s="58"/>
      <c r="BY33" s="58"/>
      <c r="BZ33" s="58"/>
      <c r="CA33" s="58"/>
      <c r="CB33" s="58"/>
      <c r="CC33" s="58"/>
      <c r="CD33" s="58"/>
      <c r="CE33" s="58"/>
      <c r="CF33" s="58"/>
      <c r="CG33" s="58"/>
      <c r="CH33" s="58"/>
      <c r="CI33" s="58"/>
      <c r="CJ33" s="58"/>
      <c r="CK33" s="58"/>
      <c r="CL33" s="58"/>
      <c r="CM33" s="58"/>
      <c r="CN33" s="58"/>
      <c r="CO33" s="58"/>
      <c r="CP33" s="58"/>
      <c r="CQ33" s="58"/>
      <c r="CR33" s="58"/>
      <c r="CS33" s="58"/>
      <c r="CT33" s="58"/>
      <c r="CU33" s="58"/>
      <c r="CV33" s="58"/>
      <c r="CW33" s="58"/>
      <c r="CX33" s="58"/>
      <c r="CY33" s="58"/>
      <c r="CZ33" s="58"/>
      <c r="DA33" s="58"/>
      <c r="DB33" s="58"/>
      <c r="DC33" s="58"/>
      <c r="DD33" s="58"/>
      <c r="DE33" s="58"/>
      <c r="DF33" s="58"/>
      <c r="DG33" s="58"/>
      <c r="DH33" s="58"/>
      <c r="DI33" s="58"/>
      <c r="DJ33" s="58"/>
      <c r="DK33" s="58"/>
      <c r="DL33" s="58"/>
      <c r="DM33" s="58"/>
      <c r="DN33" s="58"/>
      <c r="DO33" s="58"/>
      <c r="DP33" s="58"/>
      <c r="DQ33" s="58"/>
      <c r="DR33" s="58"/>
      <c r="DS33" s="58"/>
      <c r="DT33" s="58"/>
      <c r="DU33" s="58"/>
      <c r="DV33" s="58"/>
      <c r="DW33" s="58"/>
      <c r="DX33" s="58"/>
      <c r="DY33" s="58"/>
      <c r="DZ33" s="58"/>
      <c r="EA33" s="58"/>
      <c r="EB33" s="58"/>
      <c r="EC33" s="58"/>
      <c r="ED33" s="58"/>
      <c r="EE33" s="58"/>
      <c r="EF33" s="58"/>
      <c r="EG33" s="58"/>
      <c r="EH33" s="58"/>
      <c r="EI33" s="58"/>
      <c r="EJ33" s="58"/>
      <c r="EK33" s="58"/>
      <c r="EL33" s="58"/>
      <c r="EM33" s="58"/>
      <c r="EN33" s="58"/>
      <c r="EO33" s="58"/>
      <c r="EP33" s="58"/>
      <c r="EQ33" s="58"/>
      <c r="ER33" s="58"/>
      <c r="ES33" s="58"/>
      <c r="ET33" s="58"/>
      <c r="EU33" s="58"/>
      <c r="EV33" s="58"/>
      <c r="EW33" s="58"/>
      <c r="EX33" s="58"/>
      <c r="EY33" s="58"/>
      <c r="EZ33" s="58"/>
      <c r="FA33" s="58"/>
      <c r="FB33" s="58"/>
      <c r="FC33" s="58"/>
      <c r="FD33" s="58"/>
      <c r="FE33" s="58"/>
      <c r="FF33" s="58"/>
      <c r="FG33" s="58"/>
      <c r="FH33" s="58"/>
      <c r="FI33" s="58"/>
      <c r="FJ33" s="58"/>
      <c r="FK33" s="58"/>
      <c r="FL33" s="58"/>
      <c r="FM33" s="58"/>
      <c r="FN33" s="58"/>
      <c r="FO33" s="58"/>
      <c r="FP33" s="58"/>
      <c r="FQ33" s="58"/>
      <c r="FR33" s="58"/>
      <c r="FS33" s="58"/>
      <c r="FT33" s="58"/>
      <c r="FU33" s="58"/>
      <c r="FV33" s="58"/>
      <c r="FW33" s="58"/>
      <c r="FX33" s="58"/>
      <c r="FY33" s="58"/>
      <c r="FZ33" s="58"/>
      <c r="GA33" s="58"/>
      <c r="GB33" s="58"/>
      <c r="GC33" s="58"/>
      <c r="GD33" s="58"/>
      <c r="GE33" s="58"/>
      <c r="GF33" s="58"/>
      <c r="GG33" s="58"/>
      <c r="GH33" s="58"/>
      <c r="GI33" s="58"/>
      <c r="GJ33" s="58"/>
      <c r="GK33" s="58"/>
      <c r="GL33" s="58"/>
      <c r="GM33" s="58"/>
      <c r="GN33" s="58"/>
      <c r="GO33" s="58"/>
      <c r="GP33" s="58"/>
      <c r="GQ33" s="58"/>
      <c r="GR33" s="58"/>
      <c r="GS33" s="58"/>
      <c r="GT33" s="58"/>
      <c r="GU33" s="58"/>
      <c r="GV33" s="58"/>
      <c r="GW33" s="58"/>
      <c r="GX33" s="58"/>
      <c r="GY33" s="58"/>
      <c r="GZ33" s="58"/>
      <c r="HA33" s="58"/>
      <c r="HB33" s="58"/>
      <c r="HC33" s="58"/>
      <c r="HD33" s="58"/>
      <c r="HE33" s="58"/>
      <c r="HF33" s="58"/>
      <c r="HG33" s="58"/>
      <c r="HH33" s="58"/>
      <c r="HI33" s="58"/>
      <c r="HJ33" s="58"/>
      <c r="HK33" s="58"/>
      <c r="HL33" s="58"/>
      <c r="HM33" s="58"/>
      <c r="HN33" s="59"/>
    </row>
    <row r="34" spans="2:222" x14ac:dyDescent="0.3">
      <c r="B34" s="57"/>
      <c r="C34" s="58"/>
      <c r="D34" s="58"/>
      <c r="E34" s="58"/>
      <c r="F34" s="58"/>
      <c r="G34" s="58"/>
      <c r="H34" s="58"/>
      <c r="I34" s="58"/>
      <c r="J34" s="58"/>
      <c r="K34" s="58"/>
      <c r="L34" s="58"/>
      <c r="M34" s="58"/>
      <c r="N34" s="58"/>
      <c r="O34" s="58"/>
      <c r="P34" s="58"/>
      <c r="Q34" s="58"/>
      <c r="R34" s="58"/>
      <c r="S34" s="58"/>
      <c r="T34" s="58"/>
      <c r="U34" s="58"/>
      <c r="V34" s="58"/>
      <c r="W34" s="58"/>
      <c r="X34" s="58"/>
      <c r="Y34" s="58"/>
      <c r="Z34" s="58"/>
      <c r="AA34" s="58"/>
      <c r="AB34" s="58"/>
      <c r="AC34" s="58"/>
      <c r="AD34" s="58"/>
      <c r="AE34" s="58"/>
      <c r="AF34" s="58"/>
      <c r="AG34" s="58"/>
      <c r="AH34" s="58"/>
      <c r="AI34" s="58"/>
      <c r="AJ34" s="58"/>
      <c r="AK34" s="58"/>
      <c r="AL34" s="58"/>
      <c r="AM34" s="58"/>
      <c r="AN34" s="58"/>
      <c r="AO34" s="59"/>
      <c r="AQ34" s="57"/>
      <c r="AR34" s="58"/>
      <c r="AS34" s="58"/>
      <c r="AT34" s="58"/>
      <c r="AU34" s="58"/>
      <c r="AV34" s="58"/>
      <c r="AW34" s="58"/>
      <c r="AX34" s="58"/>
      <c r="AY34" s="58"/>
      <c r="AZ34" s="58"/>
      <c r="BA34" s="58"/>
      <c r="BB34" s="58"/>
      <c r="BC34" s="58"/>
      <c r="BD34" s="58"/>
      <c r="BE34" s="58"/>
      <c r="BF34" s="58"/>
      <c r="BG34" s="58"/>
      <c r="BH34" s="58"/>
      <c r="BI34" s="58"/>
      <c r="BJ34" s="58"/>
      <c r="BK34" s="58"/>
      <c r="BL34" s="58"/>
      <c r="BM34" s="58"/>
      <c r="BN34" s="58"/>
      <c r="BO34" s="58"/>
      <c r="BP34" s="58"/>
      <c r="BQ34" s="58"/>
      <c r="BR34" s="58"/>
      <c r="BS34" s="58"/>
      <c r="BT34" s="58"/>
      <c r="BU34" s="58"/>
      <c r="BV34" s="58"/>
      <c r="BW34" s="58"/>
      <c r="BX34" s="58"/>
      <c r="BY34" s="58"/>
      <c r="BZ34" s="58"/>
      <c r="CA34" s="58"/>
      <c r="CB34" s="58"/>
      <c r="CC34" s="58"/>
      <c r="CD34" s="58"/>
      <c r="CE34" s="58"/>
      <c r="CF34" s="58"/>
      <c r="CG34" s="58"/>
      <c r="CH34" s="58"/>
      <c r="CI34" s="58"/>
      <c r="CJ34" s="58"/>
      <c r="CK34" s="58"/>
      <c r="CL34" s="58"/>
      <c r="CM34" s="58"/>
      <c r="CN34" s="58"/>
      <c r="CO34" s="58"/>
      <c r="CP34" s="58"/>
      <c r="CQ34" s="58"/>
      <c r="CR34" s="58"/>
      <c r="CS34" s="58"/>
      <c r="CT34" s="58"/>
      <c r="CU34" s="58"/>
      <c r="CV34" s="58"/>
      <c r="CW34" s="58"/>
      <c r="CX34" s="58"/>
      <c r="CY34" s="58"/>
      <c r="CZ34" s="58"/>
      <c r="DA34" s="58"/>
      <c r="DB34" s="58"/>
      <c r="DC34" s="58"/>
      <c r="DD34" s="58"/>
      <c r="DE34" s="58"/>
      <c r="DF34" s="58"/>
      <c r="DG34" s="58"/>
      <c r="DH34" s="58"/>
      <c r="DI34" s="58"/>
      <c r="DJ34" s="58"/>
      <c r="DK34" s="58"/>
      <c r="DL34" s="58"/>
      <c r="DM34" s="58"/>
      <c r="DN34" s="58"/>
      <c r="DO34" s="58"/>
      <c r="DP34" s="58"/>
      <c r="DQ34" s="58"/>
      <c r="DR34" s="58"/>
      <c r="DS34" s="58"/>
      <c r="DT34" s="58"/>
      <c r="DU34" s="58"/>
      <c r="DV34" s="58"/>
      <c r="DW34" s="58"/>
      <c r="DX34" s="58"/>
      <c r="DY34" s="58"/>
      <c r="DZ34" s="58"/>
      <c r="EA34" s="58"/>
      <c r="EB34" s="58"/>
      <c r="EC34" s="58"/>
      <c r="ED34" s="58"/>
      <c r="EE34" s="58"/>
      <c r="EF34" s="58"/>
      <c r="EG34" s="58"/>
      <c r="EH34" s="58"/>
      <c r="EI34" s="58"/>
      <c r="EJ34" s="58"/>
      <c r="EK34" s="58"/>
      <c r="EL34" s="58"/>
      <c r="EM34" s="58"/>
      <c r="EN34" s="58"/>
      <c r="EO34" s="58"/>
      <c r="EP34" s="58"/>
      <c r="EQ34" s="58"/>
      <c r="ER34" s="58"/>
      <c r="ES34" s="58"/>
      <c r="ET34" s="58"/>
      <c r="EU34" s="58"/>
      <c r="EV34" s="58"/>
      <c r="EW34" s="58"/>
      <c r="EX34" s="58"/>
      <c r="EY34" s="58"/>
      <c r="EZ34" s="58"/>
      <c r="FA34" s="58"/>
      <c r="FB34" s="58"/>
      <c r="FC34" s="58"/>
      <c r="FD34" s="58"/>
      <c r="FE34" s="58"/>
      <c r="FF34" s="58"/>
      <c r="FG34" s="58"/>
      <c r="FH34" s="58"/>
      <c r="FI34" s="58"/>
      <c r="FJ34" s="58"/>
      <c r="FK34" s="58"/>
      <c r="FL34" s="58"/>
      <c r="FM34" s="58"/>
      <c r="FN34" s="58"/>
      <c r="FO34" s="58"/>
      <c r="FP34" s="58"/>
      <c r="FQ34" s="58"/>
      <c r="FR34" s="58"/>
      <c r="FS34" s="58"/>
      <c r="FT34" s="58"/>
      <c r="FU34" s="58"/>
      <c r="FV34" s="58"/>
      <c r="FW34" s="58"/>
      <c r="FX34" s="58"/>
      <c r="FY34" s="58"/>
      <c r="FZ34" s="58"/>
      <c r="GA34" s="58"/>
      <c r="GB34" s="58"/>
      <c r="GC34" s="58"/>
      <c r="GD34" s="58"/>
      <c r="GE34" s="58"/>
      <c r="GF34" s="58"/>
      <c r="GG34" s="58"/>
      <c r="GH34" s="58"/>
      <c r="GI34" s="58"/>
      <c r="GJ34" s="58"/>
      <c r="GK34" s="58"/>
      <c r="GL34" s="58"/>
      <c r="GM34" s="58"/>
      <c r="GN34" s="58"/>
      <c r="GO34" s="58"/>
      <c r="GP34" s="58"/>
      <c r="GQ34" s="58"/>
      <c r="GR34" s="58"/>
      <c r="GS34" s="58"/>
      <c r="GT34" s="58"/>
      <c r="GU34" s="58"/>
      <c r="GV34" s="58"/>
      <c r="GW34" s="58"/>
      <c r="GX34" s="58"/>
      <c r="GY34" s="58"/>
      <c r="GZ34" s="58"/>
      <c r="HA34" s="58"/>
      <c r="HB34" s="58"/>
      <c r="HC34" s="58"/>
      <c r="HD34" s="58"/>
      <c r="HE34" s="58"/>
      <c r="HF34" s="58"/>
      <c r="HG34" s="58"/>
      <c r="HH34" s="58"/>
      <c r="HI34" s="58"/>
      <c r="HJ34" s="58"/>
      <c r="HK34" s="58"/>
      <c r="HL34" s="58"/>
      <c r="HM34" s="58"/>
      <c r="HN34" s="59"/>
    </row>
    <row r="35" spans="2:222" x14ac:dyDescent="0.3">
      <c r="B35" s="57"/>
      <c r="C35" s="58"/>
      <c r="D35" s="58"/>
      <c r="E35" s="58"/>
      <c r="F35" s="58"/>
      <c r="G35" s="58"/>
      <c r="H35" s="58"/>
      <c r="I35" s="58"/>
      <c r="J35" s="58"/>
      <c r="K35" s="58"/>
      <c r="L35" s="58"/>
      <c r="M35" s="58"/>
      <c r="N35" s="58"/>
      <c r="O35" s="58"/>
      <c r="P35" s="58"/>
      <c r="Q35" s="58"/>
      <c r="R35" s="58"/>
      <c r="S35" s="58"/>
      <c r="T35" s="58"/>
      <c r="U35" s="58"/>
      <c r="V35" s="58"/>
      <c r="W35" s="58"/>
      <c r="X35" s="58"/>
      <c r="Y35" s="58"/>
      <c r="Z35" s="58"/>
      <c r="AA35" s="58"/>
      <c r="AB35" s="58"/>
      <c r="AC35" s="58"/>
      <c r="AD35" s="58"/>
      <c r="AE35" s="58"/>
      <c r="AF35" s="58"/>
      <c r="AG35" s="58"/>
      <c r="AH35" s="58"/>
      <c r="AI35" s="58"/>
      <c r="AJ35" s="58"/>
      <c r="AK35" s="58"/>
      <c r="AL35" s="58"/>
      <c r="AM35" s="58"/>
      <c r="AN35" s="58"/>
      <c r="AO35" s="59"/>
      <c r="AQ35" s="57"/>
      <c r="AR35" s="58"/>
      <c r="AS35" s="58"/>
      <c r="AT35" s="58"/>
      <c r="AU35" s="58"/>
      <c r="AV35" s="58"/>
      <c r="AW35" s="58"/>
      <c r="AX35" s="58"/>
      <c r="AY35" s="58"/>
      <c r="AZ35" s="58"/>
      <c r="BA35" s="58"/>
      <c r="BB35" s="58"/>
      <c r="BC35" s="58"/>
      <c r="BD35" s="58"/>
      <c r="BE35" s="58"/>
      <c r="BF35" s="58"/>
      <c r="BG35" s="58"/>
      <c r="BH35" s="58"/>
      <c r="BI35" s="58"/>
      <c r="BJ35" s="58"/>
      <c r="BK35" s="58"/>
      <c r="BL35" s="58"/>
      <c r="BM35" s="58"/>
      <c r="BN35" s="58"/>
      <c r="BO35" s="58"/>
      <c r="BP35" s="58"/>
      <c r="BQ35" s="58"/>
      <c r="BR35" s="58"/>
      <c r="BS35" s="58"/>
      <c r="BT35" s="58"/>
      <c r="BU35" s="58"/>
      <c r="BV35" s="58"/>
      <c r="BW35" s="58"/>
      <c r="BX35" s="58"/>
      <c r="BY35" s="58"/>
      <c r="BZ35" s="58"/>
      <c r="CA35" s="58"/>
      <c r="CB35" s="58"/>
      <c r="CC35" s="58"/>
      <c r="CD35" s="58"/>
      <c r="CE35" s="58"/>
      <c r="CF35" s="58"/>
      <c r="CG35" s="58"/>
      <c r="CH35" s="58"/>
      <c r="CI35" s="58"/>
      <c r="CJ35" s="58"/>
      <c r="CK35" s="58"/>
      <c r="CL35" s="58"/>
      <c r="CM35" s="58"/>
      <c r="CN35" s="58"/>
      <c r="CO35" s="58"/>
      <c r="CP35" s="58"/>
      <c r="CQ35" s="58"/>
      <c r="CR35" s="58"/>
      <c r="CS35" s="58"/>
      <c r="CT35" s="58"/>
      <c r="CU35" s="58"/>
      <c r="CV35" s="58"/>
      <c r="CW35" s="58"/>
      <c r="CX35" s="58"/>
      <c r="CY35" s="58"/>
      <c r="CZ35" s="58"/>
      <c r="DA35" s="58"/>
      <c r="DB35" s="58"/>
      <c r="DC35" s="58"/>
      <c r="DD35" s="58"/>
      <c r="DE35" s="58"/>
      <c r="DF35" s="58"/>
      <c r="DG35" s="58"/>
      <c r="DH35" s="58"/>
      <c r="DI35" s="58"/>
      <c r="DJ35" s="58"/>
      <c r="DK35" s="58"/>
      <c r="DL35" s="58"/>
      <c r="DM35" s="58"/>
      <c r="DN35" s="58"/>
      <c r="DO35" s="58"/>
      <c r="DP35" s="58"/>
      <c r="DQ35" s="58"/>
      <c r="DR35" s="58"/>
      <c r="DS35" s="58"/>
      <c r="DT35" s="58"/>
      <c r="DU35" s="58"/>
      <c r="DV35" s="58"/>
      <c r="DW35" s="58"/>
      <c r="DX35" s="58"/>
      <c r="DY35" s="58"/>
      <c r="DZ35" s="58"/>
      <c r="EA35" s="58"/>
      <c r="EB35" s="58"/>
      <c r="EC35" s="58"/>
      <c r="ED35" s="58"/>
      <c r="EE35" s="58"/>
      <c r="EF35" s="58"/>
      <c r="EG35" s="58"/>
      <c r="EH35" s="58"/>
      <c r="EI35" s="58"/>
      <c r="EJ35" s="58"/>
      <c r="EK35" s="58"/>
      <c r="EL35" s="58"/>
      <c r="EM35" s="58"/>
      <c r="EN35" s="58"/>
      <c r="EO35" s="58"/>
      <c r="EP35" s="58"/>
      <c r="EQ35" s="58"/>
      <c r="ER35" s="58"/>
      <c r="ES35" s="58"/>
      <c r="ET35" s="58"/>
      <c r="EU35" s="58"/>
      <c r="EV35" s="58"/>
      <c r="EW35" s="58"/>
      <c r="EX35" s="58"/>
      <c r="EY35" s="58"/>
      <c r="EZ35" s="58"/>
      <c r="FA35" s="58"/>
      <c r="FB35" s="58"/>
      <c r="FC35" s="58"/>
      <c r="FD35" s="58"/>
      <c r="FE35" s="58"/>
      <c r="FF35" s="58"/>
      <c r="FG35" s="58"/>
      <c r="FH35" s="58"/>
      <c r="FI35" s="58"/>
      <c r="FJ35" s="58"/>
      <c r="FK35" s="58"/>
      <c r="FL35" s="58"/>
      <c r="FM35" s="58"/>
      <c r="FN35" s="58"/>
      <c r="FO35" s="58"/>
      <c r="FP35" s="58"/>
      <c r="FQ35" s="58"/>
      <c r="FR35" s="58"/>
      <c r="FS35" s="58"/>
      <c r="FT35" s="58"/>
      <c r="FU35" s="58"/>
      <c r="FV35" s="58"/>
      <c r="FW35" s="58"/>
      <c r="FX35" s="58"/>
      <c r="FY35" s="58"/>
      <c r="FZ35" s="58"/>
      <c r="GA35" s="58"/>
      <c r="GB35" s="58"/>
      <c r="GC35" s="58"/>
      <c r="GD35" s="58"/>
      <c r="GE35" s="58"/>
      <c r="GF35" s="58"/>
      <c r="GG35" s="58"/>
      <c r="GH35" s="58"/>
      <c r="GI35" s="58"/>
      <c r="GJ35" s="58"/>
      <c r="GK35" s="58"/>
      <c r="GL35" s="58"/>
      <c r="GM35" s="58"/>
      <c r="GN35" s="58"/>
      <c r="GO35" s="58"/>
      <c r="GP35" s="58"/>
      <c r="GQ35" s="58"/>
      <c r="GR35" s="58"/>
      <c r="GS35" s="58"/>
      <c r="GT35" s="58"/>
      <c r="GU35" s="58"/>
      <c r="GV35" s="58"/>
      <c r="GW35" s="58"/>
      <c r="GX35" s="58"/>
      <c r="GY35" s="58"/>
      <c r="GZ35" s="58"/>
      <c r="HA35" s="58"/>
      <c r="HB35" s="58"/>
      <c r="HC35" s="58"/>
      <c r="HD35" s="58"/>
      <c r="HE35" s="58"/>
      <c r="HF35" s="58"/>
      <c r="HG35" s="58"/>
      <c r="HH35" s="58"/>
      <c r="HI35" s="58"/>
      <c r="HJ35" s="58"/>
      <c r="HK35" s="58"/>
      <c r="HL35" s="58"/>
      <c r="HM35" s="58"/>
      <c r="HN35" s="59"/>
    </row>
    <row r="36" spans="2:222" x14ac:dyDescent="0.3">
      <c r="B36" s="57"/>
      <c r="C36" s="58"/>
      <c r="D36" s="58"/>
      <c r="E36" s="58"/>
      <c r="F36" s="58"/>
      <c r="G36" s="58"/>
      <c r="H36" s="58"/>
      <c r="I36" s="58"/>
      <c r="J36" s="58"/>
      <c r="K36" s="58"/>
      <c r="L36" s="58"/>
      <c r="M36" s="58"/>
      <c r="N36" s="58"/>
      <c r="O36" s="58"/>
      <c r="P36" s="58"/>
      <c r="Q36" s="58"/>
      <c r="R36" s="58"/>
      <c r="S36" s="58"/>
      <c r="T36" s="58"/>
      <c r="U36" s="58"/>
      <c r="V36" s="58"/>
      <c r="W36" s="58"/>
      <c r="X36" s="58"/>
      <c r="Y36" s="58"/>
      <c r="Z36" s="58"/>
      <c r="AA36" s="58"/>
      <c r="AB36" s="58"/>
      <c r="AC36" s="58"/>
      <c r="AD36" s="58"/>
      <c r="AE36" s="58"/>
      <c r="AF36" s="58"/>
      <c r="AG36" s="58"/>
      <c r="AH36" s="58"/>
      <c r="AI36" s="58"/>
      <c r="AJ36" s="58"/>
      <c r="AK36" s="58"/>
      <c r="AL36" s="58"/>
      <c r="AM36" s="58"/>
      <c r="AN36" s="58"/>
      <c r="AO36" s="59"/>
      <c r="AQ36" s="57"/>
      <c r="AR36" s="58"/>
      <c r="AS36" s="58"/>
      <c r="AT36" s="58"/>
      <c r="AU36" s="58"/>
      <c r="AV36" s="58"/>
      <c r="AW36" s="58"/>
      <c r="AX36" s="58"/>
      <c r="AY36" s="58"/>
      <c r="AZ36" s="58"/>
      <c r="BA36" s="58"/>
      <c r="BB36" s="58"/>
      <c r="BC36" s="58"/>
      <c r="BD36" s="58"/>
      <c r="BE36" s="58"/>
      <c r="BF36" s="58"/>
      <c r="BG36" s="58"/>
      <c r="BH36" s="58"/>
      <c r="BI36" s="58"/>
      <c r="BJ36" s="58"/>
      <c r="BK36" s="58"/>
      <c r="BL36" s="58"/>
      <c r="BM36" s="58"/>
      <c r="BN36" s="58"/>
      <c r="BO36" s="58"/>
      <c r="BP36" s="58"/>
      <c r="BQ36" s="58"/>
      <c r="BR36" s="58"/>
      <c r="BS36" s="58"/>
      <c r="BT36" s="58"/>
      <c r="BU36" s="58"/>
      <c r="BV36" s="58"/>
      <c r="BW36" s="58"/>
      <c r="BX36" s="58"/>
      <c r="BY36" s="58"/>
      <c r="BZ36" s="58"/>
      <c r="CA36" s="58"/>
      <c r="CB36" s="58"/>
      <c r="CC36" s="58"/>
      <c r="CD36" s="58"/>
      <c r="CE36" s="58"/>
      <c r="CF36" s="58"/>
      <c r="CG36" s="58"/>
      <c r="CH36" s="58"/>
      <c r="CI36" s="58"/>
      <c r="CJ36" s="58"/>
      <c r="CK36" s="58"/>
      <c r="CL36" s="58"/>
      <c r="CM36" s="58"/>
      <c r="CN36" s="58"/>
      <c r="CO36" s="58"/>
      <c r="CP36" s="58"/>
      <c r="CQ36" s="58"/>
      <c r="CR36" s="58"/>
      <c r="CS36" s="58"/>
      <c r="CT36" s="58"/>
      <c r="CU36" s="58"/>
      <c r="CV36" s="58"/>
      <c r="CW36" s="58"/>
      <c r="CX36" s="58"/>
      <c r="CY36" s="58"/>
      <c r="CZ36" s="58"/>
      <c r="DA36" s="58"/>
      <c r="DB36" s="58"/>
      <c r="DC36" s="58"/>
      <c r="DD36" s="58"/>
      <c r="DE36" s="58"/>
      <c r="DF36" s="58"/>
      <c r="DG36" s="58"/>
      <c r="DH36" s="58"/>
      <c r="DI36" s="58"/>
      <c r="DJ36" s="58"/>
      <c r="DK36" s="58"/>
      <c r="DL36" s="58"/>
      <c r="DM36" s="58"/>
      <c r="DN36" s="58"/>
      <c r="DO36" s="58"/>
      <c r="DP36" s="58"/>
      <c r="DQ36" s="58"/>
      <c r="DR36" s="58"/>
      <c r="DS36" s="58"/>
      <c r="DT36" s="58"/>
      <c r="DU36" s="58"/>
      <c r="DV36" s="58"/>
      <c r="DW36" s="58"/>
      <c r="DX36" s="58"/>
      <c r="DY36" s="58"/>
      <c r="DZ36" s="58"/>
      <c r="EA36" s="58"/>
      <c r="EB36" s="58"/>
      <c r="EC36" s="58"/>
      <c r="ED36" s="58"/>
      <c r="EE36" s="58"/>
      <c r="EF36" s="58"/>
      <c r="EG36" s="58"/>
      <c r="EH36" s="58"/>
      <c r="EI36" s="58"/>
      <c r="EJ36" s="58"/>
      <c r="EK36" s="58"/>
      <c r="EL36" s="58"/>
      <c r="EM36" s="58"/>
      <c r="EN36" s="58"/>
      <c r="EO36" s="58"/>
      <c r="EP36" s="58"/>
      <c r="EQ36" s="58"/>
      <c r="ER36" s="58"/>
      <c r="ES36" s="58"/>
      <c r="ET36" s="58"/>
      <c r="EU36" s="58"/>
      <c r="EV36" s="58"/>
      <c r="EW36" s="58"/>
      <c r="EX36" s="58"/>
      <c r="EY36" s="58"/>
      <c r="EZ36" s="58"/>
      <c r="FA36" s="58"/>
      <c r="FB36" s="58"/>
      <c r="FC36" s="58"/>
      <c r="FD36" s="58"/>
      <c r="FE36" s="58"/>
      <c r="FF36" s="58"/>
      <c r="FG36" s="58"/>
      <c r="FH36" s="58"/>
      <c r="FI36" s="58"/>
      <c r="FJ36" s="58"/>
      <c r="FK36" s="58"/>
      <c r="FL36" s="58"/>
      <c r="FM36" s="58"/>
      <c r="FN36" s="58"/>
      <c r="FO36" s="58"/>
      <c r="FP36" s="58"/>
      <c r="FQ36" s="58"/>
      <c r="FR36" s="58"/>
      <c r="FS36" s="58"/>
      <c r="FT36" s="58"/>
      <c r="FU36" s="58"/>
      <c r="FV36" s="58"/>
      <c r="FW36" s="58"/>
      <c r="FX36" s="58"/>
      <c r="FY36" s="58"/>
      <c r="FZ36" s="58"/>
      <c r="GA36" s="58"/>
      <c r="GB36" s="58"/>
      <c r="GC36" s="58"/>
      <c r="GD36" s="58"/>
      <c r="GE36" s="58"/>
      <c r="GF36" s="58"/>
      <c r="GG36" s="58"/>
      <c r="GH36" s="58"/>
      <c r="GI36" s="58"/>
      <c r="GJ36" s="58"/>
      <c r="GK36" s="58"/>
      <c r="GL36" s="58"/>
      <c r="GM36" s="58"/>
      <c r="GN36" s="58"/>
      <c r="GO36" s="58"/>
      <c r="GP36" s="58"/>
      <c r="GQ36" s="58"/>
      <c r="GR36" s="58"/>
      <c r="GS36" s="58"/>
      <c r="GT36" s="58"/>
      <c r="GU36" s="58"/>
      <c r="GV36" s="58"/>
      <c r="GW36" s="58"/>
      <c r="GX36" s="58"/>
      <c r="GY36" s="58"/>
      <c r="GZ36" s="58"/>
      <c r="HA36" s="58"/>
      <c r="HB36" s="58"/>
      <c r="HC36" s="58"/>
      <c r="HD36" s="58"/>
      <c r="HE36" s="58"/>
      <c r="HF36" s="58"/>
      <c r="HG36" s="58"/>
      <c r="HH36" s="58"/>
      <c r="HI36" s="58"/>
      <c r="HJ36" s="58"/>
      <c r="HK36" s="58"/>
      <c r="HL36" s="58"/>
      <c r="HM36" s="58"/>
      <c r="HN36" s="59"/>
    </row>
    <row r="37" spans="2:222" x14ac:dyDescent="0.3">
      <c r="B37" s="57"/>
      <c r="C37" s="58"/>
      <c r="D37" s="58"/>
      <c r="E37" s="58"/>
      <c r="F37" s="58"/>
      <c r="G37" s="58"/>
      <c r="H37" s="58"/>
      <c r="I37" s="58"/>
      <c r="J37" s="58"/>
      <c r="K37" s="58"/>
      <c r="L37" s="58"/>
      <c r="M37" s="58"/>
      <c r="N37" s="58"/>
      <c r="O37" s="58"/>
      <c r="P37" s="58"/>
      <c r="Q37" s="58"/>
      <c r="R37" s="58"/>
      <c r="S37" s="58"/>
      <c r="T37" s="58"/>
      <c r="U37" s="58"/>
      <c r="V37" s="58"/>
      <c r="W37" s="58"/>
      <c r="X37" s="58"/>
      <c r="Y37" s="58"/>
      <c r="Z37" s="58"/>
      <c r="AA37" s="58"/>
      <c r="AB37" s="58"/>
      <c r="AC37" s="58"/>
      <c r="AD37" s="58"/>
      <c r="AE37" s="58"/>
      <c r="AF37" s="58"/>
      <c r="AG37" s="58"/>
      <c r="AH37" s="58"/>
      <c r="AI37" s="58"/>
      <c r="AJ37" s="58"/>
      <c r="AK37" s="58"/>
      <c r="AL37" s="58"/>
      <c r="AM37" s="58"/>
      <c r="AN37" s="58"/>
      <c r="AO37" s="59"/>
      <c r="AQ37" s="57"/>
      <c r="AR37" s="58"/>
      <c r="AS37" s="58"/>
      <c r="AT37" s="58"/>
      <c r="AU37" s="58"/>
      <c r="AV37" s="58"/>
      <c r="AW37" s="58"/>
      <c r="AX37" s="58"/>
      <c r="AY37" s="58"/>
      <c r="AZ37" s="58"/>
      <c r="BA37" s="58"/>
      <c r="BB37" s="58"/>
      <c r="BC37" s="58"/>
      <c r="BD37" s="58"/>
      <c r="BE37" s="58"/>
      <c r="BF37" s="58"/>
      <c r="BG37" s="58"/>
      <c r="BH37" s="58"/>
      <c r="BI37" s="58"/>
      <c r="BJ37" s="58"/>
      <c r="BK37" s="58"/>
      <c r="BL37" s="58"/>
      <c r="BM37" s="58"/>
      <c r="BN37" s="58"/>
      <c r="BO37" s="58"/>
      <c r="BP37" s="58"/>
      <c r="BQ37" s="58"/>
      <c r="BR37" s="58"/>
      <c r="BS37" s="58"/>
      <c r="BT37" s="58"/>
      <c r="BU37" s="58"/>
      <c r="BV37" s="58"/>
      <c r="BW37" s="58"/>
      <c r="BX37" s="58"/>
      <c r="BY37" s="58"/>
      <c r="BZ37" s="58"/>
      <c r="CA37" s="58"/>
      <c r="CB37" s="58"/>
      <c r="CC37" s="58"/>
      <c r="CD37" s="58"/>
      <c r="CE37" s="58"/>
      <c r="CF37" s="58"/>
      <c r="CG37" s="58"/>
      <c r="CH37" s="58"/>
      <c r="CI37" s="58"/>
      <c r="CJ37" s="58"/>
      <c r="CK37" s="58"/>
      <c r="CL37" s="58"/>
      <c r="CM37" s="58"/>
      <c r="CN37" s="58"/>
      <c r="CO37" s="58"/>
      <c r="CP37" s="58"/>
      <c r="CQ37" s="58"/>
      <c r="CR37" s="58"/>
      <c r="CS37" s="58"/>
      <c r="CT37" s="58"/>
      <c r="CU37" s="58"/>
      <c r="CV37" s="58"/>
      <c r="CW37" s="58"/>
      <c r="CX37" s="58"/>
      <c r="CY37" s="58"/>
      <c r="CZ37" s="58"/>
      <c r="DA37" s="58"/>
      <c r="DB37" s="58"/>
      <c r="DC37" s="58"/>
      <c r="DD37" s="58"/>
      <c r="DE37" s="58"/>
      <c r="DF37" s="58"/>
      <c r="DG37" s="58"/>
      <c r="DH37" s="58"/>
      <c r="DI37" s="58"/>
      <c r="DJ37" s="58"/>
      <c r="DK37" s="58"/>
      <c r="DL37" s="58"/>
      <c r="DM37" s="58"/>
      <c r="DN37" s="58"/>
      <c r="DO37" s="58"/>
      <c r="DP37" s="58"/>
      <c r="DQ37" s="58"/>
      <c r="DR37" s="58"/>
      <c r="DS37" s="58"/>
      <c r="DT37" s="58"/>
      <c r="DU37" s="58"/>
      <c r="DV37" s="58"/>
      <c r="DW37" s="58"/>
      <c r="DX37" s="58"/>
      <c r="DY37" s="58"/>
      <c r="DZ37" s="58"/>
      <c r="EA37" s="58"/>
      <c r="EB37" s="58"/>
      <c r="EC37" s="58"/>
      <c r="ED37" s="58"/>
      <c r="EE37" s="58"/>
      <c r="EF37" s="58"/>
      <c r="EG37" s="58"/>
      <c r="EH37" s="58"/>
      <c r="EI37" s="58"/>
      <c r="EJ37" s="58"/>
      <c r="EK37" s="58"/>
      <c r="EL37" s="58"/>
      <c r="EM37" s="58"/>
      <c r="EN37" s="58"/>
      <c r="EO37" s="58"/>
      <c r="EP37" s="58"/>
      <c r="EQ37" s="58"/>
      <c r="ER37" s="58"/>
      <c r="ES37" s="58"/>
      <c r="ET37" s="58"/>
      <c r="EU37" s="58"/>
      <c r="EV37" s="58"/>
      <c r="EW37" s="58"/>
      <c r="EX37" s="58"/>
      <c r="EY37" s="58"/>
      <c r="EZ37" s="58"/>
      <c r="FA37" s="58"/>
      <c r="FB37" s="58"/>
      <c r="FC37" s="58"/>
      <c r="FD37" s="58"/>
      <c r="FE37" s="58"/>
      <c r="FF37" s="58"/>
      <c r="FG37" s="58"/>
      <c r="FH37" s="58"/>
      <c r="FI37" s="58"/>
      <c r="FJ37" s="58"/>
      <c r="FK37" s="58"/>
      <c r="FL37" s="58"/>
      <c r="FM37" s="58"/>
      <c r="FN37" s="58"/>
      <c r="FO37" s="58"/>
      <c r="FP37" s="58"/>
      <c r="FQ37" s="58"/>
      <c r="FR37" s="58"/>
      <c r="FS37" s="58"/>
      <c r="FT37" s="58"/>
      <c r="FU37" s="58"/>
      <c r="FV37" s="58"/>
      <c r="FW37" s="58"/>
      <c r="FX37" s="58"/>
      <c r="FY37" s="58"/>
      <c r="FZ37" s="58"/>
      <c r="GA37" s="58"/>
      <c r="GB37" s="58"/>
      <c r="GC37" s="58"/>
      <c r="GD37" s="58"/>
      <c r="GE37" s="58"/>
      <c r="GF37" s="58"/>
      <c r="GG37" s="58"/>
      <c r="GH37" s="58"/>
      <c r="GI37" s="58"/>
      <c r="GJ37" s="58"/>
      <c r="GK37" s="58"/>
      <c r="GL37" s="58"/>
      <c r="GM37" s="58"/>
      <c r="GN37" s="58"/>
      <c r="GO37" s="58"/>
      <c r="GP37" s="58"/>
      <c r="GQ37" s="58"/>
      <c r="GR37" s="58"/>
      <c r="GS37" s="58"/>
      <c r="GT37" s="58"/>
      <c r="GU37" s="58"/>
      <c r="GV37" s="58"/>
      <c r="GW37" s="58"/>
      <c r="GX37" s="58"/>
      <c r="GY37" s="58"/>
      <c r="GZ37" s="58"/>
      <c r="HA37" s="58"/>
      <c r="HB37" s="58"/>
      <c r="HC37" s="58"/>
      <c r="HD37" s="58"/>
      <c r="HE37" s="58"/>
      <c r="HF37" s="58"/>
      <c r="HG37" s="58"/>
      <c r="HH37" s="58"/>
      <c r="HI37" s="58"/>
      <c r="HJ37" s="58"/>
      <c r="HK37" s="58"/>
      <c r="HL37" s="58"/>
      <c r="HM37" s="58"/>
      <c r="HN37" s="59"/>
    </row>
    <row r="38" spans="2:222" x14ac:dyDescent="0.3">
      <c r="B38" s="57"/>
      <c r="C38" s="58"/>
      <c r="D38" s="58"/>
      <c r="E38" s="58"/>
      <c r="F38" s="58"/>
      <c r="G38" s="58"/>
      <c r="H38" s="58"/>
      <c r="I38" s="58"/>
      <c r="J38" s="58"/>
      <c r="K38" s="58"/>
      <c r="L38" s="58"/>
      <c r="M38" s="58"/>
      <c r="N38" s="58"/>
      <c r="O38" s="58"/>
      <c r="P38" s="58"/>
      <c r="Q38" s="58"/>
      <c r="R38" s="58"/>
      <c r="S38" s="58"/>
      <c r="T38" s="58"/>
      <c r="U38" s="58"/>
      <c r="V38" s="58"/>
      <c r="W38" s="58"/>
      <c r="X38" s="58"/>
      <c r="Y38" s="58"/>
      <c r="Z38" s="58"/>
      <c r="AA38" s="58"/>
      <c r="AB38" s="58"/>
      <c r="AC38" s="58"/>
      <c r="AD38" s="58"/>
      <c r="AE38" s="58"/>
      <c r="AF38" s="58"/>
      <c r="AG38" s="58"/>
      <c r="AH38" s="58"/>
      <c r="AI38" s="58"/>
      <c r="AJ38" s="58"/>
      <c r="AK38" s="58"/>
      <c r="AL38" s="58"/>
      <c r="AM38" s="58"/>
      <c r="AN38" s="58"/>
      <c r="AO38" s="59"/>
      <c r="AQ38" s="57"/>
      <c r="AR38" s="58"/>
      <c r="AS38" s="58"/>
      <c r="AT38" s="58"/>
      <c r="AU38" s="58"/>
      <c r="AV38" s="58"/>
      <c r="AW38" s="58"/>
      <c r="AX38" s="58"/>
      <c r="AY38" s="58"/>
      <c r="AZ38" s="58"/>
      <c r="BA38" s="58"/>
      <c r="BB38" s="58"/>
      <c r="BC38" s="58"/>
      <c r="BD38" s="58"/>
      <c r="BE38" s="58"/>
      <c r="BF38" s="58"/>
      <c r="BG38" s="58"/>
      <c r="BH38" s="58"/>
      <c r="BI38" s="58"/>
      <c r="BJ38" s="58"/>
      <c r="BK38" s="58"/>
      <c r="BL38" s="58"/>
      <c r="BM38" s="58"/>
      <c r="BN38" s="58"/>
      <c r="BO38" s="58"/>
      <c r="BP38" s="58"/>
      <c r="BQ38" s="58"/>
      <c r="BR38" s="58"/>
      <c r="BS38" s="58"/>
      <c r="BT38" s="58"/>
      <c r="BU38" s="58"/>
      <c r="BV38" s="58"/>
      <c r="BW38" s="58"/>
      <c r="BX38" s="58"/>
      <c r="BY38" s="58"/>
      <c r="BZ38" s="58"/>
      <c r="CA38" s="58"/>
      <c r="CB38" s="58"/>
      <c r="CC38" s="58"/>
      <c r="CD38" s="58"/>
      <c r="CE38" s="58"/>
      <c r="CF38" s="58"/>
      <c r="CG38" s="58"/>
      <c r="CH38" s="58"/>
      <c r="CI38" s="58"/>
      <c r="CJ38" s="58"/>
      <c r="CK38" s="58"/>
      <c r="CL38" s="58"/>
      <c r="CM38" s="58"/>
      <c r="CN38" s="58"/>
      <c r="CO38" s="58"/>
      <c r="CP38" s="58"/>
      <c r="CQ38" s="58"/>
      <c r="CR38" s="58"/>
      <c r="CS38" s="58"/>
      <c r="CT38" s="58"/>
      <c r="CU38" s="58"/>
      <c r="CV38" s="58"/>
      <c r="CW38" s="58"/>
      <c r="CX38" s="58"/>
      <c r="CY38" s="58"/>
      <c r="CZ38" s="58"/>
      <c r="DA38" s="58"/>
      <c r="DB38" s="58"/>
      <c r="DC38" s="58"/>
      <c r="DD38" s="58"/>
      <c r="DE38" s="58"/>
      <c r="DF38" s="58"/>
      <c r="DG38" s="58"/>
      <c r="DH38" s="58"/>
      <c r="DI38" s="58"/>
      <c r="DJ38" s="58"/>
      <c r="DK38" s="58"/>
      <c r="DL38" s="58"/>
      <c r="DM38" s="58"/>
      <c r="DN38" s="58"/>
      <c r="DO38" s="58"/>
      <c r="DP38" s="58"/>
      <c r="DQ38" s="58"/>
      <c r="DR38" s="58"/>
      <c r="DS38" s="58"/>
      <c r="DT38" s="58"/>
      <c r="DU38" s="58"/>
      <c r="DV38" s="58"/>
      <c r="DW38" s="58"/>
      <c r="DX38" s="58"/>
      <c r="DY38" s="58"/>
      <c r="DZ38" s="58"/>
      <c r="EA38" s="58"/>
      <c r="EB38" s="58"/>
      <c r="EC38" s="58"/>
      <c r="ED38" s="58"/>
      <c r="EE38" s="58"/>
      <c r="EF38" s="58"/>
      <c r="EG38" s="58"/>
      <c r="EH38" s="58"/>
      <c r="EI38" s="58"/>
      <c r="EJ38" s="58"/>
      <c r="EK38" s="58"/>
      <c r="EL38" s="58"/>
      <c r="EM38" s="58"/>
      <c r="EN38" s="58"/>
      <c r="EO38" s="58"/>
      <c r="EP38" s="58"/>
      <c r="EQ38" s="58"/>
      <c r="ER38" s="58"/>
      <c r="ES38" s="58"/>
      <c r="ET38" s="58"/>
      <c r="EU38" s="58"/>
      <c r="EV38" s="58"/>
      <c r="EW38" s="58"/>
      <c r="EX38" s="58"/>
      <c r="EY38" s="58"/>
      <c r="EZ38" s="58"/>
      <c r="FA38" s="58"/>
      <c r="FB38" s="58"/>
      <c r="FC38" s="58"/>
      <c r="FD38" s="58"/>
      <c r="FE38" s="58"/>
      <c r="FF38" s="58"/>
      <c r="FG38" s="58"/>
      <c r="FH38" s="58"/>
      <c r="FI38" s="58"/>
      <c r="FJ38" s="58"/>
      <c r="FK38" s="58"/>
      <c r="FL38" s="58"/>
      <c r="FM38" s="58"/>
      <c r="FN38" s="58"/>
      <c r="FO38" s="58"/>
      <c r="FP38" s="58"/>
      <c r="FQ38" s="58"/>
      <c r="FR38" s="58"/>
      <c r="FS38" s="58"/>
      <c r="FT38" s="58"/>
      <c r="FU38" s="58"/>
      <c r="FV38" s="58"/>
      <c r="FW38" s="58"/>
      <c r="FX38" s="58"/>
      <c r="FY38" s="58"/>
      <c r="FZ38" s="58"/>
      <c r="GA38" s="58"/>
      <c r="GB38" s="58"/>
      <c r="GC38" s="58"/>
      <c r="GD38" s="58"/>
      <c r="GE38" s="58"/>
      <c r="GF38" s="58"/>
      <c r="GG38" s="58"/>
      <c r="GH38" s="58"/>
      <c r="GI38" s="58"/>
      <c r="GJ38" s="58"/>
      <c r="GK38" s="58"/>
      <c r="GL38" s="58"/>
      <c r="GM38" s="58"/>
      <c r="GN38" s="58"/>
      <c r="GO38" s="58"/>
      <c r="GP38" s="58"/>
      <c r="GQ38" s="58"/>
      <c r="GR38" s="58"/>
      <c r="GS38" s="58"/>
      <c r="GT38" s="58"/>
      <c r="GU38" s="58"/>
      <c r="GV38" s="58"/>
      <c r="GW38" s="58"/>
      <c r="GX38" s="58"/>
      <c r="GY38" s="58"/>
      <c r="GZ38" s="58"/>
      <c r="HA38" s="58"/>
      <c r="HB38" s="58"/>
      <c r="HC38" s="58"/>
      <c r="HD38" s="58"/>
      <c r="HE38" s="58"/>
      <c r="HF38" s="58"/>
      <c r="HG38" s="58"/>
      <c r="HH38" s="58"/>
      <c r="HI38" s="58"/>
      <c r="HJ38" s="58"/>
      <c r="HK38" s="58"/>
      <c r="HL38" s="58"/>
      <c r="HM38" s="58"/>
      <c r="HN38" s="59"/>
    </row>
    <row r="39" spans="2:222" x14ac:dyDescent="0.3">
      <c r="B39" s="57"/>
      <c r="C39" s="58"/>
      <c r="D39" s="58"/>
      <c r="E39" s="58"/>
      <c r="F39" s="58"/>
      <c r="G39" s="58"/>
      <c r="H39" s="58"/>
      <c r="I39" s="58"/>
      <c r="J39" s="58"/>
      <c r="K39" s="58"/>
      <c r="L39" s="58"/>
      <c r="M39" s="58"/>
      <c r="N39" s="58"/>
      <c r="O39" s="58"/>
      <c r="P39" s="58"/>
      <c r="Q39" s="58"/>
      <c r="R39" s="58"/>
      <c r="S39" s="58"/>
      <c r="T39" s="58"/>
      <c r="U39" s="58"/>
      <c r="V39" s="58"/>
      <c r="W39" s="58"/>
      <c r="X39" s="58"/>
      <c r="Y39" s="58"/>
      <c r="Z39" s="58"/>
      <c r="AA39" s="58"/>
      <c r="AB39" s="58"/>
      <c r="AC39" s="58"/>
      <c r="AD39" s="58"/>
      <c r="AE39" s="58"/>
      <c r="AF39" s="58"/>
      <c r="AG39" s="58"/>
      <c r="AH39" s="58"/>
      <c r="AI39" s="58"/>
      <c r="AJ39" s="58"/>
      <c r="AK39" s="58"/>
      <c r="AL39" s="58"/>
      <c r="AM39" s="58"/>
      <c r="AN39" s="58"/>
      <c r="AO39" s="59"/>
      <c r="AQ39" s="57"/>
      <c r="AR39" s="58"/>
      <c r="AS39" s="58"/>
      <c r="AT39" s="58"/>
      <c r="AU39" s="58"/>
      <c r="AV39" s="58"/>
      <c r="AW39" s="58"/>
      <c r="AX39" s="58"/>
      <c r="AY39" s="58"/>
      <c r="AZ39" s="58"/>
      <c r="BA39" s="58"/>
      <c r="BB39" s="58"/>
      <c r="BC39" s="58"/>
      <c r="BD39" s="58"/>
      <c r="BE39" s="58"/>
      <c r="BF39" s="58"/>
      <c r="BG39" s="58"/>
      <c r="BH39" s="58"/>
      <c r="BI39" s="58"/>
      <c r="BJ39" s="58"/>
      <c r="BK39" s="58"/>
      <c r="BL39" s="58"/>
      <c r="BM39" s="58"/>
      <c r="BN39" s="58"/>
      <c r="BO39" s="58"/>
      <c r="BP39" s="58"/>
      <c r="BQ39" s="58"/>
      <c r="BR39" s="58"/>
      <c r="BS39" s="58"/>
      <c r="BT39" s="58"/>
      <c r="BU39" s="58"/>
      <c r="BV39" s="58"/>
      <c r="BW39" s="58"/>
      <c r="BX39" s="58"/>
      <c r="BY39" s="58"/>
      <c r="BZ39" s="58"/>
      <c r="CA39" s="58"/>
      <c r="CB39" s="58"/>
      <c r="CC39" s="58"/>
      <c r="CD39" s="58"/>
      <c r="CE39" s="58"/>
      <c r="CF39" s="58"/>
      <c r="CG39" s="58"/>
      <c r="CH39" s="58"/>
      <c r="CI39" s="58"/>
      <c r="CJ39" s="58"/>
      <c r="CK39" s="58"/>
      <c r="CL39" s="58"/>
      <c r="CM39" s="58"/>
      <c r="CN39" s="58"/>
      <c r="CO39" s="58"/>
      <c r="CP39" s="58"/>
      <c r="CQ39" s="58"/>
      <c r="CR39" s="58"/>
      <c r="CS39" s="58"/>
      <c r="CT39" s="58"/>
      <c r="CU39" s="58"/>
      <c r="CV39" s="58"/>
      <c r="CW39" s="58"/>
      <c r="CX39" s="58"/>
      <c r="CY39" s="58"/>
      <c r="CZ39" s="58"/>
      <c r="DA39" s="58"/>
      <c r="DB39" s="58"/>
      <c r="DC39" s="58"/>
      <c r="DD39" s="58"/>
      <c r="DE39" s="58"/>
      <c r="DF39" s="58"/>
      <c r="DG39" s="58"/>
      <c r="DH39" s="58"/>
      <c r="DI39" s="58"/>
      <c r="DJ39" s="58"/>
      <c r="DK39" s="58"/>
      <c r="DL39" s="58"/>
      <c r="DM39" s="58"/>
      <c r="DN39" s="58"/>
      <c r="DO39" s="58"/>
      <c r="DP39" s="58"/>
      <c r="DQ39" s="58"/>
      <c r="DR39" s="58"/>
      <c r="DS39" s="58"/>
      <c r="DT39" s="58"/>
      <c r="DU39" s="58"/>
      <c r="DV39" s="58"/>
      <c r="DW39" s="58"/>
      <c r="DX39" s="58"/>
      <c r="DY39" s="58"/>
      <c r="DZ39" s="58"/>
      <c r="EA39" s="58"/>
      <c r="EB39" s="58"/>
      <c r="EC39" s="58"/>
      <c r="ED39" s="58"/>
      <c r="EE39" s="58"/>
      <c r="EF39" s="58"/>
      <c r="EG39" s="58"/>
      <c r="EH39" s="58"/>
      <c r="EI39" s="58"/>
      <c r="EJ39" s="58"/>
      <c r="EK39" s="58"/>
      <c r="EL39" s="58"/>
      <c r="EM39" s="58"/>
      <c r="EN39" s="58"/>
      <c r="EO39" s="58"/>
      <c r="EP39" s="58"/>
      <c r="EQ39" s="58"/>
      <c r="ER39" s="58"/>
      <c r="ES39" s="58"/>
      <c r="ET39" s="58"/>
      <c r="EU39" s="58"/>
      <c r="EV39" s="58"/>
      <c r="EW39" s="58"/>
      <c r="EX39" s="58"/>
      <c r="EY39" s="58"/>
      <c r="EZ39" s="58"/>
      <c r="FA39" s="58"/>
      <c r="FB39" s="58"/>
      <c r="FC39" s="58"/>
      <c r="FD39" s="58"/>
      <c r="FE39" s="58"/>
      <c r="FF39" s="58"/>
      <c r="FG39" s="58"/>
      <c r="FH39" s="58"/>
      <c r="FI39" s="58"/>
      <c r="FJ39" s="58"/>
      <c r="FK39" s="58"/>
      <c r="FL39" s="58"/>
      <c r="FM39" s="58"/>
      <c r="FN39" s="58"/>
      <c r="FO39" s="58"/>
      <c r="FP39" s="58"/>
      <c r="FQ39" s="58"/>
      <c r="FR39" s="58"/>
      <c r="FS39" s="58"/>
      <c r="FT39" s="58"/>
      <c r="FU39" s="58"/>
      <c r="FV39" s="58"/>
      <c r="FW39" s="58"/>
      <c r="FX39" s="58"/>
      <c r="FY39" s="58"/>
      <c r="FZ39" s="58"/>
      <c r="GA39" s="58"/>
      <c r="GB39" s="58"/>
      <c r="GC39" s="58"/>
      <c r="GD39" s="58"/>
      <c r="GE39" s="58"/>
      <c r="GF39" s="58"/>
      <c r="GG39" s="58"/>
      <c r="GH39" s="58"/>
      <c r="GI39" s="58"/>
      <c r="GJ39" s="58"/>
      <c r="GK39" s="58"/>
      <c r="GL39" s="58"/>
      <c r="GM39" s="58"/>
      <c r="GN39" s="58"/>
      <c r="GO39" s="58"/>
      <c r="GP39" s="58"/>
      <c r="GQ39" s="58"/>
      <c r="GR39" s="58"/>
      <c r="GS39" s="58"/>
      <c r="GT39" s="58"/>
      <c r="GU39" s="58"/>
      <c r="GV39" s="58"/>
      <c r="GW39" s="58"/>
      <c r="GX39" s="58"/>
      <c r="GY39" s="58"/>
      <c r="GZ39" s="58"/>
      <c r="HA39" s="58"/>
      <c r="HB39" s="58"/>
      <c r="HC39" s="58"/>
      <c r="HD39" s="58"/>
      <c r="HE39" s="58"/>
      <c r="HF39" s="58"/>
      <c r="HG39" s="58"/>
      <c r="HH39" s="58"/>
      <c r="HI39" s="58"/>
      <c r="HJ39" s="58"/>
      <c r="HK39" s="58"/>
      <c r="HL39" s="58"/>
      <c r="HM39" s="58"/>
      <c r="HN39" s="59"/>
    </row>
    <row r="40" spans="2:222" x14ac:dyDescent="0.3">
      <c r="B40" s="57"/>
      <c r="C40" s="58"/>
      <c r="D40" s="58"/>
      <c r="E40" s="58"/>
      <c r="F40" s="58"/>
      <c r="G40" s="58"/>
      <c r="H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9"/>
      <c r="AQ40" s="57"/>
      <c r="AR40" s="58"/>
      <c r="AS40" s="58"/>
      <c r="AT40" s="58"/>
      <c r="AU40" s="58"/>
      <c r="AV40" s="58"/>
      <c r="AW40" s="58"/>
      <c r="AX40" s="58"/>
      <c r="AY40" s="58"/>
      <c r="AZ40" s="58"/>
      <c r="BA40" s="58"/>
      <c r="BB40" s="58"/>
      <c r="BC40" s="58"/>
      <c r="BD40" s="58"/>
      <c r="BE40" s="58"/>
      <c r="BF40" s="58"/>
      <c r="BG40" s="58"/>
      <c r="BH40" s="58"/>
      <c r="BI40" s="58"/>
      <c r="BJ40" s="58"/>
      <c r="BK40" s="58"/>
      <c r="BL40" s="58"/>
      <c r="BM40" s="58"/>
      <c r="BN40" s="58"/>
      <c r="BO40" s="58"/>
      <c r="BP40" s="58"/>
      <c r="BQ40" s="58"/>
      <c r="BR40" s="58"/>
      <c r="BS40" s="58"/>
      <c r="BT40" s="58"/>
      <c r="BU40" s="58"/>
      <c r="BV40" s="58"/>
      <c r="BW40" s="58"/>
      <c r="BX40" s="58"/>
      <c r="BY40" s="58"/>
      <c r="BZ40" s="58"/>
      <c r="CA40" s="58"/>
      <c r="CB40" s="58"/>
      <c r="CC40" s="58"/>
      <c r="CD40" s="58"/>
      <c r="CE40" s="58"/>
      <c r="CF40" s="58"/>
      <c r="CG40" s="58"/>
      <c r="CH40" s="58"/>
      <c r="CI40" s="58"/>
      <c r="CJ40" s="58"/>
      <c r="CK40" s="58"/>
      <c r="CL40" s="58"/>
      <c r="CM40" s="58"/>
      <c r="CN40" s="58"/>
      <c r="CO40" s="58"/>
      <c r="CP40" s="58"/>
      <c r="CQ40" s="58"/>
      <c r="CR40" s="58"/>
      <c r="CS40" s="58"/>
      <c r="CT40" s="58"/>
      <c r="CU40" s="58"/>
      <c r="CV40" s="58"/>
      <c r="CW40" s="58"/>
      <c r="CX40" s="58"/>
      <c r="CY40" s="58"/>
      <c r="CZ40" s="58"/>
      <c r="DA40" s="58"/>
      <c r="DB40" s="58"/>
      <c r="DC40" s="58"/>
      <c r="DD40" s="58"/>
      <c r="DE40" s="58"/>
      <c r="DF40" s="58"/>
      <c r="DG40" s="58"/>
      <c r="DH40" s="58"/>
      <c r="DI40" s="58"/>
      <c r="DJ40" s="58"/>
      <c r="DK40" s="58"/>
      <c r="DL40" s="58"/>
      <c r="DM40" s="58"/>
      <c r="DN40" s="58"/>
      <c r="DO40" s="58"/>
      <c r="DP40" s="58"/>
      <c r="DQ40" s="58"/>
      <c r="DR40" s="58"/>
      <c r="DS40" s="58"/>
      <c r="DT40" s="58"/>
      <c r="DU40" s="58"/>
      <c r="DV40" s="58"/>
      <c r="DW40" s="58"/>
      <c r="DX40" s="58"/>
      <c r="DY40" s="58"/>
      <c r="DZ40" s="58"/>
      <c r="EA40" s="58"/>
      <c r="EB40" s="58"/>
      <c r="EC40" s="58"/>
      <c r="ED40" s="58"/>
      <c r="EE40" s="58"/>
      <c r="EF40" s="58"/>
      <c r="EG40" s="58"/>
      <c r="EH40" s="58"/>
      <c r="EI40" s="58"/>
      <c r="EJ40" s="58"/>
      <c r="EK40" s="58"/>
      <c r="EL40" s="58"/>
      <c r="EM40" s="58"/>
      <c r="EN40" s="58"/>
      <c r="EO40" s="58"/>
      <c r="EP40" s="58"/>
      <c r="EQ40" s="58"/>
      <c r="ER40" s="58"/>
      <c r="ES40" s="58"/>
      <c r="ET40" s="58"/>
      <c r="EU40" s="58"/>
      <c r="EV40" s="58"/>
      <c r="EW40" s="58"/>
      <c r="EX40" s="58"/>
      <c r="EY40" s="58"/>
      <c r="EZ40" s="58"/>
      <c r="FA40" s="58"/>
      <c r="FB40" s="58"/>
      <c r="FC40" s="58"/>
      <c r="FD40" s="58"/>
      <c r="FE40" s="58"/>
      <c r="FF40" s="58"/>
      <c r="FG40" s="58"/>
      <c r="FH40" s="58"/>
      <c r="FI40" s="58"/>
      <c r="FJ40" s="58"/>
      <c r="FK40" s="58"/>
      <c r="FL40" s="58"/>
      <c r="FM40" s="58"/>
      <c r="FN40" s="58"/>
      <c r="FO40" s="58"/>
      <c r="FP40" s="58"/>
      <c r="FQ40" s="58"/>
      <c r="FR40" s="58"/>
      <c r="FS40" s="58"/>
      <c r="FT40" s="58"/>
      <c r="FU40" s="58"/>
      <c r="FV40" s="58"/>
      <c r="FW40" s="58"/>
      <c r="FX40" s="58"/>
      <c r="FY40" s="58"/>
      <c r="FZ40" s="58"/>
      <c r="GA40" s="58"/>
      <c r="GB40" s="58"/>
      <c r="GC40" s="58"/>
      <c r="GD40" s="58"/>
      <c r="GE40" s="58"/>
      <c r="GF40" s="58"/>
      <c r="GG40" s="58"/>
      <c r="GH40" s="58"/>
      <c r="GI40" s="58"/>
      <c r="GJ40" s="58"/>
      <c r="GK40" s="58"/>
      <c r="GL40" s="58"/>
      <c r="GM40" s="58"/>
      <c r="GN40" s="58"/>
      <c r="GO40" s="58"/>
      <c r="GP40" s="58"/>
      <c r="GQ40" s="58"/>
      <c r="GR40" s="58"/>
      <c r="GS40" s="58"/>
      <c r="GT40" s="58"/>
      <c r="GU40" s="58"/>
      <c r="GV40" s="58"/>
      <c r="GW40" s="58"/>
      <c r="GX40" s="58"/>
      <c r="GY40" s="58"/>
      <c r="GZ40" s="58"/>
      <c r="HA40" s="58"/>
      <c r="HB40" s="58"/>
      <c r="HC40" s="58"/>
      <c r="HD40" s="58"/>
      <c r="HE40" s="58"/>
      <c r="HF40" s="58"/>
      <c r="HG40" s="58"/>
      <c r="HH40" s="58"/>
      <c r="HI40" s="58"/>
      <c r="HJ40" s="58"/>
      <c r="HK40" s="58"/>
      <c r="HL40" s="58"/>
      <c r="HM40" s="58"/>
      <c r="HN40" s="59"/>
    </row>
    <row r="41" spans="2:222" x14ac:dyDescent="0.3">
      <c r="B41" s="57"/>
      <c r="C41" s="58"/>
      <c r="D41" s="58"/>
      <c r="E41" s="58"/>
      <c r="F41" s="58"/>
      <c r="G41" s="58"/>
      <c r="H41" s="58"/>
      <c r="I41" s="58"/>
      <c r="J41" s="58"/>
      <c r="K41" s="58"/>
      <c r="L41" s="58"/>
      <c r="M41" s="58"/>
      <c r="N41" s="58"/>
      <c r="O41" s="58"/>
      <c r="P41" s="58"/>
      <c r="Q41" s="58"/>
      <c r="R41" s="58"/>
      <c r="S41" s="58"/>
      <c r="T41" s="58"/>
      <c r="U41" s="58"/>
      <c r="V41" s="58"/>
      <c r="W41" s="58"/>
      <c r="X41" s="58"/>
      <c r="Y41" s="58"/>
      <c r="Z41" s="58"/>
      <c r="AA41" s="58"/>
      <c r="AB41" s="58"/>
      <c r="AC41" s="58"/>
      <c r="AD41" s="58"/>
      <c r="AE41" s="58"/>
      <c r="AF41" s="58"/>
      <c r="AG41" s="58"/>
      <c r="AH41" s="58"/>
      <c r="AI41" s="58"/>
      <c r="AJ41" s="58"/>
      <c r="AK41" s="58"/>
      <c r="AL41" s="58"/>
      <c r="AM41" s="58"/>
      <c r="AN41" s="58"/>
      <c r="AO41" s="59"/>
      <c r="AQ41" s="57"/>
      <c r="AR41" s="58"/>
      <c r="AS41" s="58"/>
      <c r="AT41" s="58"/>
      <c r="AU41" s="58"/>
      <c r="AV41" s="58"/>
      <c r="AW41" s="58"/>
      <c r="AX41" s="58"/>
      <c r="AY41" s="58"/>
      <c r="AZ41" s="58"/>
      <c r="BA41" s="58"/>
      <c r="BB41" s="58"/>
      <c r="BC41" s="58"/>
      <c r="BD41" s="58"/>
      <c r="BE41" s="58"/>
      <c r="BF41" s="58"/>
      <c r="BG41" s="58"/>
      <c r="BH41" s="58"/>
      <c r="BI41" s="58"/>
      <c r="BJ41" s="58"/>
      <c r="BK41" s="58"/>
      <c r="BL41" s="58"/>
      <c r="BM41" s="58"/>
      <c r="BN41" s="58"/>
      <c r="BO41" s="58"/>
      <c r="BP41" s="58"/>
      <c r="BQ41" s="58"/>
      <c r="BR41" s="58"/>
      <c r="BS41" s="58"/>
      <c r="BT41" s="58"/>
      <c r="BU41" s="58"/>
      <c r="BV41" s="58"/>
      <c r="BW41" s="58"/>
      <c r="BX41" s="58"/>
      <c r="BY41" s="58"/>
      <c r="BZ41" s="58"/>
      <c r="CA41" s="58"/>
      <c r="CB41" s="58"/>
      <c r="CC41" s="58"/>
      <c r="CD41" s="58"/>
      <c r="CE41" s="58"/>
      <c r="CF41" s="58"/>
      <c r="CG41" s="58"/>
      <c r="CH41" s="58"/>
      <c r="CI41" s="58"/>
      <c r="CJ41" s="58"/>
      <c r="CK41" s="58"/>
      <c r="CL41" s="58"/>
      <c r="CM41" s="58"/>
      <c r="CN41" s="58"/>
      <c r="CO41" s="58"/>
      <c r="CP41" s="58"/>
      <c r="CQ41" s="58"/>
      <c r="CR41" s="58"/>
      <c r="CS41" s="58"/>
      <c r="CT41" s="58"/>
      <c r="CU41" s="58"/>
      <c r="CV41" s="58"/>
      <c r="CW41" s="58"/>
      <c r="CX41" s="58"/>
      <c r="CY41" s="58"/>
      <c r="CZ41" s="58"/>
      <c r="DA41" s="58"/>
      <c r="DB41" s="58"/>
      <c r="DC41" s="58"/>
      <c r="DD41" s="58"/>
      <c r="DE41" s="58"/>
      <c r="DF41" s="58"/>
      <c r="DG41" s="58"/>
      <c r="DH41" s="58"/>
      <c r="DI41" s="58"/>
      <c r="DJ41" s="58"/>
      <c r="DK41" s="58"/>
      <c r="DL41" s="58"/>
      <c r="DM41" s="58"/>
      <c r="DN41" s="58"/>
      <c r="DO41" s="58"/>
      <c r="DP41" s="58"/>
      <c r="DQ41" s="58"/>
      <c r="DR41" s="58"/>
      <c r="DS41" s="58"/>
      <c r="DT41" s="58"/>
      <c r="DU41" s="58"/>
      <c r="DV41" s="58"/>
      <c r="DW41" s="58"/>
      <c r="DX41" s="58"/>
      <c r="DY41" s="58"/>
      <c r="DZ41" s="58"/>
      <c r="EA41" s="58"/>
      <c r="EB41" s="58"/>
      <c r="EC41" s="58"/>
      <c r="ED41" s="58"/>
      <c r="EE41" s="58"/>
      <c r="EF41" s="58"/>
      <c r="EG41" s="58"/>
      <c r="EH41" s="58"/>
      <c r="EI41" s="58"/>
      <c r="EJ41" s="58"/>
      <c r="EK41" s="58"/>
      <c r="EL41" s="58"/>
      <c r="EM41" s="58"/>
      <c r="EN41" s="58"/>
      <c r="EO41" s="58"/>
      <c r="EP41" s="58"/>
      <c r="EQ41" s="58"/>
      <c r="ER41" s="58"/>
      <c r="ES41" s="58"/>
      <c r="ET41" s="58"/>
      <c r="EU41" s="58"/>
      <c r="EV41" s="58"/>
      <c r="EW41" s="58"/>
      <c r="EX41" s="58"/>
      <c r="EY41" s="58"/>
      <c r="EZ41" s="58"/>
      <c r="FA41" s="58"/>
      <c r="FB41" s="58"/>
      <c r="FC41" s="58"/>
      <c r="FD41" s="58"/>
      <c r="FE41" s="58"/>
      <c r="FF41" s="58"/>
      <c r="FG41" s="58"/>
      <c r="FH41" s="58"/>
      <c r="FI41" s="58"/>
      <c r="FJ41" s="58"/>
      <c r="FK41" s="58"/>
      <c r="FL41" s="58"/>
      <c r="FM41" s="58"/>
      <c r="FN41" s="58"/>
      <c r="FO41" s="58"/>
      <c r="FP41" s="58"/>
      <c r="FQ41" s="58"/>
      <c r="FR41" s="58"/>
      <c r="FS41" s="58"/>
      <c r="FT41" s="58"/>
      <c r="FU41" s="58"/>
      <c r="FV41" s="58"/>
      <c r="FW41" s="58"/>
      <c r="FX41" s="58"/>
      <c r="FY41" s="58"/>
      <c r="FZ41" s="58"/>
      <c r="GA41" s="58"/>
      <c r="GB41" s="58"/>
      <c r="GC41" s="58"/>
      <c r="GD41" s="58"/>
      <c r="GE41" s="58"/>
      <c r="GF41" s="58"/>
      <c r="GG41" s="58"/>
      <c r="GH41" s="58"/>
      <c r="GI41" s="58"/>
      <c r="GJ41" s="58"/>
      <c r="GK41" s="58"/>
      <c r="GL41" s="58"/>
      <c r="GM41" s="58"/>
      <c r="GN41" s="58"/>
      <c r="GO41" s="58"/>
      <c r="GP41" s="58"/>
      <c r="GQ41" s="58"/>
      <c r="GR41" s="58"/>
      <c r="GS41" s="58"/>
      <c r="GT41" s="58"/>
      <c r="GU41" s="58"/>
      <c r="GV41" s="58"/>
      <c r="GW41" s="58"/>
      <c r="GX41" s="58"/>
      <c r="GY41" s="58"/>
      <c r="GZ41" s="58"/>
      <c r="HA41" s="58"/>
      <c r="HB41" s="58"/>
      <c r="HC41" s="58"/>
      <c r="HD41" s="58"/>
      <c r="HE41" s="58"/>
      <c r="HF41" s="58"/>
      <c r="HG41" s="58"/>
      <c r="HH41" s="58"/>
      <c r="HI41" s="58"/>
      <c r="HJ41" s="58"/>
      <c r="HK41" s="58"/>
      <c r="HL41" s="58"/>
      <c r="HM41" s="58"/>
      <c r="HN41" s="59"/>
    </row>
    <row r="42" spans="2:222" ht="4.95" customHeight="1" x14ac:dyDescent="0.3">
      <c r="B42" s="60"/>
      <c r="C42" s="61"/>
      <c r="D42" s="61"/>
      <c r="E42" s="61"/>
      <c r="F42" s="61"/>
      <c r="G42" s="61"/>
      <c r="H42" s="61"/>
      <c r="I42" s="61"/>
      <c r="J42" s="61"/>
      <c r="K42" s="61"/>
      <c r="L42" s="61"/>
      <c r="M42" s="61"/>
      <c r="N42" s="61"/>
      <c r="O42" s="61"/>
      <c r="P42" s="61"/>
      <c r="Q42" s="61"/>
      <c r="R42" s="61"/>
      <c r="S42" s="61"/>
      <c r="T42" s="61"/>
      <c r="U42" s="61"/>
      <c r="V42" s="61"/>
      <c r="W42" s="61"/>
      <c r="X42" s="61"/>
      <c r="Y42" s="61"/>
      <c r="Z42" s="61"/>
      <c r="AA42" s="61"/>
      <c r="AB42" s="61"/>
      <c r="AC42" s="61"/>
      <c r="AD42" s="61"/>
      <c r="AE42" s="61"/>
      <c r="AF42" s="61"/>
      <c r="AG42" s="61"/>
      <c r="AH42" s="61"/>
      <c r="AI42" s="61"/>
      <c r="AJ42" s="61"/>
      <c r="AK42" s="61"/>
      <c r="AL42" s="61"/>
      <c r="AM42" s="61"/>
      <c r="AN42" s="61"/>
      <c r="AO42" s="62"/>
      <c r="AQ42" s="60"/>
      <c r="AR42" s="61"/>
      <c r="AS42" s="61"/>
      <c r="AT42" s="61"/>
      <c r="AU42" s="61"/>
      <c r="AV42" s="61"/>
      <c r="AW42" s="61"/>
      <c r="AX42" s="61"/>
      <c r="AY42" s="61"/>
      <c r="AZ42" s="61"/>
      <c r="BA42" s="61"/>
      <c r="BB42" s="61"/>
      <c r="BC42" s="61"/>
      <c r="BD42" s="61"/>
      <c r="BE42" s="61"/>
      <c r="BF42" s="61"/>
      <c r="BG42" s="61"/>
      <c r="BH42" s="61"/>
      <c r="BI42" s="61"/>
      <c r="BJ42" s="61"/>
      <c r="BK42" s="61"/>
      <c r="BL42" s="61"/>
      <c r="BM42" s="61"/>
      <c r="BN42" s="61"/>
      <c r="BO42" s="61"/>
      <c r="BP42" s="61"/>
      <c r="BQ42" s="61"/>
      <c r="BR42" s="61"/>
      <c r="BS42" s="61"/>
      <c r="BT42" s="61"/>
      <c r="BU42" s="61"/>
      <c r="BV42" s="61"/>
      <c r="BW42" s="61"/>
      <c r="BX42" s="61"/>
      <c r="BY42" s="61"/>
      <c r="BZ42" s="61"/>
      <c r="CA42" s="61"/>
      <c r="CB42" s="61"/>
      <c r="CC42" s="61"/>
      <c r="CD42" s="61"/>
      <c r="CE42" s="61"/>
      <c r="CF42" s="61"/>
      <c r="CG42" s="61"/>
      <c r="CH42" s="61"/>
      <c r="CI42" s="61"/>
      <c r="CJ42" s="61"/>
      <c r="CK42" s="61"/>
      <c r="CL42" s="61"/>
      <c r="CM42" s="61"/>
      <c r="CN42" s="61"/>
      <c r="CO42" s="61"/>
      <c r="CP42" s="61"/>
      <c r="CQ42" s="61"/>
      <c r="CR42" s="61"/>
      <c r="CS42" s="61"/>
      <c r="CT42" s="61"/>
      <c r="CU42" s="61"/>
      <c r="CV42" s="61"/>
      <c r="CW42" s="61"/>
      <c r="CX42" s="61"/>
      <c r="CY42" s="61"/>
      <c r="CZ42" s="61"/>
      <c r="DA42" s="61"/>
      <c r="DB42" s="61"/>
      <c r="DC42" s="61"/>
      <c r="DD42" s="61"/>
      <c r="DE42" s="61"/>
      <c r="DF42" s="61"/>
      <c r="DG42" s="61"/>
      <c r="DH42" s="61"/>
      <c r="DI42" s="61"/>
      <c r="DJ42" s="61"/>
      <c r="DK42" s="61"/>
      <c r="DL42" s="61"/>
      <c r="DM42" s="61"/>
      <c r="DN42" s="61"/>
      <c r="DO42" s="61"/>
      <c r="DP42" s="61"/>
      <c r="DQ42" s="61"/>
      <c r="DR42" s="61"/>
      <c r="DS42" s="61"/>
      <c r="DT42" s="61"/>
      <c r="DU42" s="61"/>
      <c r="DV42" s="61"/>
      <c r="DW42" s="61"/>
      <c r="DX42" s="61"/>
      <c r="DY42" s="61"/>
      <c r="DZ42" s="61"/>
      <c r="EA42" s="61"/>
      <c r="EB42" s="61"/>
      <c r="EC42" s="61"/>
      <c r="ED42" s="61"/>
      <c r="EE42" s="61"/>
      <c r="EF42" s="61"/>
      <c r="EG42" s="61"/>
      <c r="EH42" s="61"/>
      <c r="EI42" s="61"/>
      <c r="EJ42" s="61"/>
      <c r="EK42" s="61"/>
      <c r="EL42" s="61"/>
      <c r="EM42" s="61"/>
      <c r="EN42" s="61"/>
      <c r="EO42" s="61"/>
      <c r="EP42" s="61"/>
      <c r="EQ42" s="61"/>
      <c r="ER42" s="61"/>
      <c r="ES42" s="61"/>
      <c r="ET42" s="61"/>
      <c r="EU42" s="61"/>
      <c r="EV42" s="61"/>
      <c r="EW42" s="61"/>
      <c r="EX42" s="61"/>
      <c r="EY42" s="61"/>
      <c r="EZ42" s="61"/>
      <c r="FA42" s="61"/>
      <c r="FB42" s="61"/>
      <c r="FC42" s="61"/>
      <c r="FD42" s="61"/>
      <c r="FE42" s="61"/>
      <c r="FF42" s="61"/>
      <c r="FG42" s="61"/>
      <c r="FH42" s="61"/>
      <c r="FI42" s="61"/>
      <c r="FJ42" s="61"/>
      <c r="FK42" s="61"/>
      <c r="FL42" s="61"/>
      <c r="FM42" s="61"/>
      <c r="FN42" s="61"/>
      <c r="FO42" s="61"/>
      <c r="FP42" s="61"/>
      <c r="FQ42" s="61"/>
      <c r="FR42" s="61"/>
      <c r="FS42" s="61"/>
      <c r="FT42" s="61"/>
      <c r="FU42" s="61"/>
      <c r="FV42" s="61"/>
      <c r="FW42" s="61"/>
      <c r="FX42" s="61"/>
      <c r="FY42" s="61"/>
      <c r="FZ42" s="61"/>
      <c r="GA42" s="61"/>
      <c r="GB42" s="61"/>
      <c r="GC42" s="61"/>
      <c r="GD42" s="61"/>
      <c r="GE42" s="61"/>
      <c r="GF42" s="61"/>
      <c r="GG42" s="61"/>
      <c r="GH42" s="61"/>
      <c r="GI42" s="61"/>
      <c r="GJ42" s="61"/>
      <c r="GK42" s="61"/>
      <c r="GL42" s="61"/>
      <c r="GM42" s="61"/>
      <c r="GN42" s="61"/>
      <c r="GO42" s="61"/>
      <c r="GP42" s="61"/>
      <c r="GQ42" s="61"/>
      <c r="GR42" s="61"/>
      <c r="GS42" s="61"/>
      <c r="GT42" s="61"/>
      <c r="GU42" s="61"/>
      <c r="GV42" s="61"/>
      <c r="GW42" s="61"/>
      <c r="GX42" s="61"/>
      <c r="GY42" s="61"/>
      <c r="GZ42" s="61"/>
      <c r="HA42" s="61"/>
      <c r="HB42" s="61"/>
      <c r="HC42" s="61"/>
      <c r="HD42" s="61"/>
      <c r="HE42" s="61"/>
      <c r="HF42" s="61"/>
      <c r="HG42" s="61"/>
      <c r="HH42" s="61"/>
      <c r="HI42" s="61"/>
      <c r="HJ42" s="61"/>
      <c r="HK42" s="61"/>
      <c r="HL42" s="61"/>
      <c r="HM42" s="61"/>
      <c r="HN42" s="62"/>
    </row>
    <row r="43" spans="2:222" x14ac:dyDescent="0.3"/>
    <row r="45" spans="2:222" hidden="1" x14ac:dyDescent="0.3">
      <c r="AG45" t="s">
        <v>181</v>
      </c>
    </row>
    <row r="46" spans="2:222" x14ac:dyDescent="0.3"/>
  </sheetData>
  <mergeCells count="6">
    <mergeCell ref="A1:HO5"/>
    <mergeCell ref="B6:AO6"/>
    <mergeCell ref="AQ6:HN6"/>
    <mergeCell ref="AQ8:HN42"/>
    <mergeCell ref="B8:AO12"/>
    <mergeCell ref="B14:AO4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01" r:id="rId3" name="Main1_Button1">
              <controlPr locked="0" defaultSize="0" print="0" autoFill="0" autoPict="0" macro="[0]!Main1_Button1">
                <anchor>
                  <from>
                    <xdr:col>203</xdr:col>
                    <xdr:colOff>0</xdr:colOff>
                    <xdr:row>3</xdr:row>
                    <xdr:rowOff>152400</xdr:rowOff>
                  </from>
                  <to>
                    <xdr:col>222</xdr:col>
                    <xdr:colOff>7620</xdr:colOff>
                    <xdr:row>4</xdr:row>
                    <xdr:rowOff>182880</xdr:rowOff>
                  </to>
                </anchor>
              </controlPr>
            </control>
          </mc:Choice>
        </mc:AlternateContent>
        <mc:AlternateContent xmlns:mc="http://schemas.openxmlformats.org/markup-compatibility/2006">
          <mc:Choice Requires="x14">
            <control shapeId="4108" r:id="rId4" name="Button 12">
              <controlPr locked="0" defaultSize="0" print="0" autoFill="0" autoPict="0" macro="[0]!Button12_Click">
                <anchor>
                  <from>
                    <xdr:col>203</xdr:col>
                    <xdr:colOff>7620</xdr:colOff>
                    <xdr:row>2</xdr:row>
                    <xdr:rowOff>60960</xdr:rowOff>
                  </from>
                  <to>
                    <xdr:col>222</xdr:col>
                    <xdr:colOff>0</xdr:colOff>
                    <xdr:row>3</xdr:row>
                    <xdr:rowOff>91440</xdr:rowOff>
                  </to>
                </anchor>
              </controlPr>
            </control>
          </mc:Choice>
        </mc:AlternateContent>
        <mc:AlternateContent xmlns:mc="http://schemas.openxmlformats.org/markup-compatibility/2006">
          <mc:Choice Requires="x14">
            <control shapeId="4102" r:id="rId5" name="Page1_Button1">
              <controlPr defaultSize="0" print="0" autoFill="0" autoPict="0" macro="[0]!Page1_Button1">
                <anchor moveWithCells="1" sizeWithCells="1">
                  <from>
                    <xdr:col>2</xdr:col>
                    <xdr:colOff>7620</xdr:colOff>
                    <xdr:row>8</xdr:row>
                    <xdr:rowOff>15240</xdr:rowOff>
                  </from>
                  <to>
                    <xdr:col>39</xdr:col>
                    <xdr:colOff>45720</xdr:colOff>
                    <xdr:row>9</xdr:row>
                    <xdr:rowOff>91440</xdr:rowOff>
                  </to>
                </anchor>
              </controlPr>
            </control>
          </mc:Choice>
        </mc:AlternateContent>
        <mc:AlternateContent xmlns:mc="http://schemas.openxmlformats.org/markup-compatibility/2006">
          <mc:Choice Requires="x14">
            <control shapeId="4103" r:id="rId6" name="Page1_Button2">
              <controlPr defaultSize="0" print="0" autoFill="0" autoPict="0" macro="[0]!Country1">
                <anchor moveWithCells="1" sizeWithCells="1">
                  <from>
                    <xdr:col>2</xdr:col>
                    <xdr:colOff>7620</xdr:colOff>
                    <xdr:row>10</xdr:row>
                    <xdr:rowOff>7620</xdr:rowOff>
                  </from>
                  <to>
                    <xdr:col>39</xdr:col>
                    <xdr:colOff>45720</xdr:colOff>
                    <xdr:row>11</xdr:row>
                    <xdr:rowOff>83820</xdr:rowOff>
                  </to>
                </anchor>
              </controlPr>
            </control>
          </mc:Choice>
        </mc:AlternateContent>
        <mc:AlternateContent xmlns:mc="http://schemas.openxmlformats.org/markup-compatibility/2006">
          <mc:Choice Requires="x14">
            <control shapeId="4105" r:id="rId7" name="Page1_Button3">
              <controlPr defaultSize="0" print="0" autoFill="0" autoPict="0" macro="[0]!Page1_Button3">
                <anchor moveWithCells="1" sizeWithCells="1">
                  <from>
                    <xdr:col>203</xdr:col>
                    <xdr:colOff>15240</xdr:colOff>
                    <xdr:row>39</xdr:row>
                    <xdr:rowOff>68580</xdr:rowOff>
                  </from>
                  <to>
                    <xdr:col>208</xdr:col>
                    <xdr:colOff>15240</xdr:colOff>
                    <xdr:row>40</xdr:row>
                    <xdr:rowOff>167640</xdr:rowOff>
                  </to>
                </anchor>
              </controlPr>
            </control>
          </mc:Choice>
        </mc:AlternateContent>
        <mc:AlternateContent xmlns:mc="http://schemas.openxmlformats.org/markup-compatibility/2006">
          <mc:Choice Requires="x14">
            <control shapeId="4106" r:id="rId8" name="Page1_Button4">
              <controlPr defaultSize="0" print="0" autoFill="0" autoPict="0" macro="[0]!Button10_Click">
                <anchor moveWithCells="1" sizeWithCells="1">
                  <from>
                    <xdr:col>209</xdr:col>
                    <xdr:colOff>30480</xdr:colOff>
                    <xdr:row>39</xdr:row>
                    <xdr:rowOff>68580</xdr:rowOff>
                  </from>
                  <to>
                    <xdr:col>214</xdr:col>
                    <xdr:colOff>38100</xdr:colOff>
                    <xdr:row>40</xdr:row>
                    <xdr:rowOff>167640</xdr:rowOff>
                  </to>
                </anchor>
              </controlPr>
            </control>
          </mc:Choice>
        </mc:AlternateContent>
        <mc:AlternateContent xmlns:mc="http://schemas.openxmlformats.org/markup-compatibility/2006">
          <mc:Choice Requires="x14">
            <control shapeId="4107" r:id="rId9" name="Page1_Button5">
              <controlPr defaultSize="0" print="0" autoFill="0" autoPict="0" macro="[0]!Button11_Click">
                <anchor moveWithCells="1" sizeWithCells="1">
                  <from>
                    <xdr:col>215</xdr:col>
                    <xdr:colOff>38100</xdr:colOff>
                    <xdr:row>39</xdr:row>
                    <xdr:rowOff>68580</xdr:rowOff>
                  </from>
                  <to>
                    <xdr:col>220</xdr:col>
                    <xdr:colOff>45720</xdr:colOff>
                    <xdr:row>40</xdr:row>
                    <xdr:rowOff>167640</xdr:rowOff>
                  </to>
                </anchor>
              </controlPr>
            </control>
          </mc:Choice>
        </mc:AlternateContent>
        <mc:AlternateContent xmlns:mc="http://schemas.openxmlformats.org/markup-compatibility/2006">
          <mc:Choice Requires="x14">
            <control shapeId="4110" r:id="rId10" name="Page1_Spinner1">
              <controlPr defaultSize="0" autoPict="0" macro="[0]!Page1_Spinner1_Change">
                <anchor moveWithCells="1" sizeWithCells="1">
                  <from>
                    <xdr:col>215</xdr:col>
                    <xdr:colOff>30480</xdr:colOff>
                    <xdr:row>9</xdr:row>
                    <xdr:rowOff>129540</xdr:rowOff>
                  </from>
                  <to>
                    <xdr:col>220</xdr:col>
                    <xdr:colOff>38100</xdr:colOff>
                    <xdr:row>39</xdr:row>
                    <xdr:rowOff>30480</xdr:rowOff>
                  </to>
                </anchor>
              </controlPr>
            </control>
          </mc:Choice>
        </mc:AlternateContent>
        <mc:AlternateContent xmlns:mc="http://schemas.openxmlformats.org/markup-compatibility/2006">
          <mc:Choice Requires="x14">
            <control shapeId="4111" r:id="rId11" name="Page1_Spinner2">
              <controlPr defaultSize="0" autoPict="0" macro="[0]!Page1_Spinner2_Change">
                <anchor moveWithCells="1" sizeWithCells="1">
                  <from>
                    <xdr:col>215</xdr:col>
                    <xdr:colOff>30480</xdr:colOff>
                    <xdr:row>9</xdr:row>
                    <xdr:rowOff>144780</xdr:rowOff>
                  </from>
                  <to>
                    <xdr:col>220</xdr:col>
                    <xdr:colOff>38100</xdr:colOff>
                    <xdr:row>39</xdr:row>
                    <xdr:rowOff>22860</xdr:rowOff>
                  </to>
                </anchor>
              </controlPr>
            </control>
          </mc:Choice>
        </mc:AlternateContent>
        <mc:AlternateContent xmlns:mc="http://schemas.openxmlformats.org/markup-compatibility/2006">
          <mc:Choice Requires="x14">
            <control shapeId="4115" r:id="rId12" name="Page2_Button1">
              <controlPr defaultSize="0" print="0" autoFill="0" autoPict="0" macro="[0]!Page2_Button1">
                <anchor moveWithCells="1" sizeWithCells="1">
                  <from>
                    <xdr:col>203</xdr:col>
                    <xdr:colOff>22860</xdr:colOff>
                    <xdr:row>39</xdr:row>
                    <xdr:rowOff>76200</xdr:rowOff>
                  </from>
                  <to>
                    <xdr:col>208</xdr:col>
                    <xdr:colOff>22860</xdr:colOff>
                    <xdr:row>40</xdr:row>
                    <xdr:rowOff>175260</xdr:rowOff>
                  </to>
                </anchor>
              </controlPr>
            </control>
          </mc:Choice>
        </mc:AlternateContent>
        <mc:AlternateContent xmlns:mc="http://schemas.openxmlformats.org/markup-compatibility/2006">
          <mc:Choice Requires="x14">
            <control shapeId="4116" r:id="rId13" name="Page2_Button2">
              <controlPr defaultSize="0" print="0" autoFill="0" autoPict="0" macro="[0]!Page2_Button2">
                <anchor moveWithCells="1" sizeWithCells="1">
                  <from>
                    <xdr:col>209</xdr:col>
                    <xdr:colOff>30480</xdr:colOff>
                    <xdr:row>39</xdr:row>
                    <xdr:rowOff>76200</xdr:rowOff>
                  </from>
                  <to>
                    <xdr:col>214</xdr:col>
                    <xdr:colOff>38100</xdr:colOff>
                    <xdr:row>40</xdr:row>
                    <xdr:rowOff>175260</xdr:rowOff>
                  </to>
                </anchor>
              </controlPr>
            </control>
          </mc:Choice>
        </mc:AlternateContent>
        <mc:AlternateContent xmlns:mc="http://schemas.openxmlformats.org/markup-compatibility/2006">
          <mc:Choice Requires="x14">
            <control shapeId="4117" r:id="rId14" name="Page2_Button3">
              <controlPr defaultSize="0" print="0" autoFill="0" autoPict="0" macro="[0]!Page2_Button3">
                <anchor moveWithCells="1" sizeWithCells="1">
                  <from>
                    <xdr:col>215</xdr:col>
                    <xdr:colOff>38100</xdr:colOff>
                    <xdr:row>39</xdr:row>
                    <xdr:rowOff>76200</xdr:rowOff>
                  </from>
                  <to>
                    <xdr:col>220</xdr:col>
                    <xdr:colOff>45720</xdr:colOff>
                    <xdr:row>40</xdr:row>
                    <xdr:rowOff>175260</xdr:rowOff>
                  </to>
                </anchor>
              </controlPr>
            </control>
          </mc:Choice>
        </mc:AlternateContent>
        <mc:AlternateContent xmlns:mc="http://schemas.openxmlformats.org/markup-compatibility/2006">
          <mc:Choice Requires="x14">
            <control shapeId="4118" r:id="rId15" name="Page2_Spinner1">
              <controlPr defaultSize="0" autoPict="0" macro="[0]!Page2_Spinner1_Change">
                <anchor moveWithCells="1" sizeWithCells="1">
                  <from>
                    <xdr:col>215</xdr:col>
                    <xdr:colOff>38100</xdr:colOff>
                    <xdr:row>9</xdr:row>
                    <xdr:rowOff>137160</xdr:rowOff>
                  </from>
                  <to>
                    <xdr:col>220</xdr:col>
                    <xdr:colOff>38100</xdr:colOff>
                    <xdr:row>39</xdr:row>
                    <xdr:rowOff>38100</xdr:rowOff>
                  </to>
                </anchor>
              </controlPr>
            </control>
          </mc:Choice>
        </mc:AlternateContent>
        <mc:AlternateContent xmlns:mc="http://schemas.openxmlformats.org/markup-compatibility/2006">
          <mc:Choice Requires="x14">
            <control shapeId="4119" r:id="rId16" name="Page2_Spinner2">
              <controlPr defaultSize="0" autoPict="0" macro="[0]!Page2_Spinner2_Change">
                <anchor moveWithCells="1" sizeWithCells="1">
                  <from>
                    <xdr:col>215</xdr:col>
                    <xdr:colOff>38100</xdr:colOff>
                    <xdr:row>9</xdr:row>
                    <xdr:rowOff>137160</xdr:rowOff>
                  </from>
                  <to>
                    <xdr:col>220</xdr:col>
                    <xdr:colOff>38100</xdr:colOff>
                    <xdr:row>39</xdr:row>
                    <xdr:rowOff>38100</xdr:rowOff>
                  </to>
                </anchor>
              </controlPr>
            </control>
          </mc:Choice>
        </mc:AlternateContent>
        <mc:AlternateContent xmlns:mc="http://schemas.openxmlformats.org/markup-compatibility/2006">
          <mc:Choice Requires="x14">
            <control shapeId="4120" r:id="rId17" name="Page3_Button1">
              <controlPr defaultSize="0" print="0" autoFill="0" autoPict="0" macro="[0]!Page3_Button1_Click">
                <anchor moveWithCells="1" sizeWithCells="1">
                  <from>
                    <xdr:col>2</xdr:col>
                    <xdr:colOff>15240</xdr:colOff>
                    <xdr:row>8</xdr:row>
                    <xdr:rowOff>7620</xdr:rowOff>
                  </from>
                  <to>
                    <xdr:col>39</xdr:col>
                    <xdr:colOff>38100</xdr:colOff>
                    <xdr:row>9</xdr:row>
                    <xdr:rowOff>91440</xdr:rowOff>
                  </to>
                </anchor>
              </controlPr>
            </control>
          </mc:Choice>
        </mc:AlternateContent>
        <mc:AlternateContent xmlns:mc="http://schemas.openxmlformats.org/markup-compatibility/2006">
          <mc:Choice Requires="x14">
            <control shapeId="4121" r:id="rId18" name="Page3_Button2">
              <controlPr defaultSize="0" print="0" autoFill="0" autoPict="0" macro="[0]!Page3_Button2">
                <anchor moveWithCells="1" sizeWithCells="1">
                  <from>
                    <xdr:col>2</xdr:col>
                    <xdr:colOff>15240</xdr:colOff>
                    <xdr:row>9</xdr:row>
                    <xdr:rowOff>175260</xdr:rowOff>
                  </from>
                  <to>
                    <xdr:col>39</xdr:col>
                    <xdr:colOff>38100</xdr:colOff>
                    <xdr:row>11</xdr:row>
                    <xdr:rowOff>76200</xdr:rowOff>
                  </to>
                </anchor>
              </controlPr>
            </control>
          </mc:Choice>
        </mc:AlternateContent>
        <mc:AlternateContent xmlns:mc="http://schemas.openxmlformats.org/markup-compatibility/2006">
          <mc:Choice Requires="x14">
            <control shapeId="4269" r:id="rId19" name="Button 173">
              <controlPr locked="0" defaultSize="0" print="0" autoFill="0" autoPict="0" macro="[0]!Button173_Click">
                <anchor>
                  <from>
                    <xdr:col>183</xdr:col>
                    <xdr:colOff>30480</xdr:colOff>
                    <xdr:row>3</xdr:row>
                    <xdr:rowOff>160020</xdr:rowOff>
                  </from>
                  <to>
                    <xdr:col>202</xdr:col>
                    <xdr:colOff>0</xdr:colOff>
                    <xdr:row>4</xdr:row>
                    <xdr:rowOff>175260</xdr:rowOff>
                  </to>
                </anchor>
              </controlPr>
            </control>
          </mc:Choice>
        </mc:AlternateContent>
      </controls>
    </mc:Choice>
  </mc:AlternateContent>
  <extLst>
    <ext xmlns:x14="http://schemas.microsoft.com/office/spreadsheetml/2009/9/main" uri="{A8765BA9-456A-4dab-B4F3-ACF838C121DE}">
      <x14:slicerList>
        <x14:slicer r:id="rId20"/>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B6A313-6241-4BD8-B13B-A8DAC0AB7919}">
  <sheetPr codeName="Sheet6"/>
  <dimension ref="A1:CO369"/>
  <sheetViews>
    <sheetView showGridLines="0" zoomScale="85" zoomScaleNormal="85" workbookViewId="0">
      <selection activeCell="F17" sqref="A17:F17"/>
    </sheetView>
  </sheetViews>
  <sheetFormatPr defaultRowHeight="14.4" x14ac:dyDescent="0.3"/>
  <cols>
    <col min="1" max="1" width="1.77734375" style="38" customWidth="1"/>
    <col min="2" max="2" width="7.88671875" style="1" bestFit="1" customWidth="1"/>
    <col min="3" max="3" width="28.21875" style="1" bestFit="1" customWidth="1"/>
    <col min="4" max="4" width="12.77734375" bestFit="1" customWidth="1"/>
    <col min="5" max="5" width="0.88671875" customWidth="1"/>
    <col min="6" max="6" width="7.88671875" bestFit="1" customWidth="1"/>
    <col min="7" max="7" width="28.21875" style="24" bestFit="1" customWidth="1"/>
    <col min="8" max="8" width="14.33203125" bestFit="1" customWidth="1"/>
    <col min="9" max="9" width="1.77734375" style="38" customWidth="1"/>
    <col min="10" max="10" width="7.88671875" bestFit="1" customWidth="1"/>
    <col min="11" max="11" width="28.21875" bestFit="1" customWidth="1"/>
    <col min="12" max="12" width="15.88671875" bestFit="1" customWidth="1"/>
    <col min="13" max="13" width="0.88671875" customWidth="1"/>
    <col min="14" max="14" width="7.88671875" bestFit="1" customWidth="1"/>
    <col min="15" max="15" width="28.21875" bestFit="1" customWidth="1"/>
    <col min="16" max="16" width="13.6640625" bestFit="1" customWidth="1"/>
    <col min="17" max="17" width="1.77734375" style="38" customWidth="1"/>
    <col min="18" max="18" width="14.109375" bestFit="1" customWidth="1"/>
    <col min="19" max="19" width="12.6640625" style="25" bestFit="1" customWidth="1"/>
    <col min="20" max="20" width="0.88671875" style="25" customWidth="1"/>
    <col min="21" max="21" width="14.109375" bestFit="1" customWidth="1"/>
    <col min="22" max="22" width="14.21875" bestFit="1" customWidth="1"/>
    <col min="23" max="23" width="1.77734375" style="38" customWidth="1"/>
    <col min="24" max="24" width="14.44140625" style="25" bestFit="1" customWidth="1"/>
    <col min="25" max="25" width="0.88671875" customWidth="1"/>
    <col min="26" max="26" width="15.109375" bestFit="1" customWidth="1"/>
    <col min="27" max="27" width="14.44140625" bestFit="1" customWidth="1"/>
    <col min="28" max="28" width="12.77734375" bestFit="1" customWidth="1"/>
    <col min="29" max="29" width="0.88671875" customWidth="1"/>
    <col min="30" max="30" width="14" bestFit="1" customWidth="1"/>
    <col min="31" max="31" width="14.44140625" bestFit="1" customWidth="1"/>
    <col min="32" max="32" width="14.33203125" bestFit="1" customWidth="1"/>
    <col min="33" max="33" width="1.77734375" style="38" customWidth="1"/>
    <col min="34" max="34" width="12.33203125" bestFit="1" customWidth="1"/>
    <col min="35" max="35" width="14.44140625" bestFit="1" customWidth="1"/>
    <col min="36" max="36" width="14.21875" bestFit="1" customWidth="1"/>
    <col min="37" max="37" width="0.88671875" customWidth="1"/>
    <col min="38" max="38" width="13.21875" bestFit="1" customWidth="1"/>
    <col min="39" max="39" width="14.44140625" bestFit="1" customWidth="1"/>
    <col min="40" max="40" width="11.88671875" bestFit="1" customWidth="1"/>
    <col min="41" max="41" width="1.77734375" style="38" customWidth="1"/>
    <col min="42" max="42" width="12.21875" bestFit="1" customWidth="1"/>
    <col min="43" max="43" width="12.6640625" bestFit="1" customWidth="1"/>
    <col min="44" max="44" width="0.88671875" customWidth="1"/>
    <col min="45" max="45" width="12.21875" bestFit="1" customWidth="1"/>
    <col min="46" max="46" width="15.88671875" bestFit="1" customWidth="1"/>
    <col min="47" max="47" width="0.88671875" customWidth="1"/>
    <col min="48" max="48" width="13.44140625" bestFit="1" customWidth="1"/>
    <col min="49" max="49" width="7" bestFit="1" customWidth="1"/>
    <col min="50" max="50" width="12.21875" bestFit="1" customWidth="1"/>
    <col min="51" max="51" width="1.77734375" style="38" customWidth="1"/>
    <col min="52" max="52" width="18" bestFit="1" customWidth="1"/>
    <col min="53" max="53" width="12.6640625" bestFit="1" customWidth="1"/>
    <col min="54" max="54" width="0.88671875" customWidth="1"/>
    <col min="55" max="55" width="18" bestFit="1" customWidth="1"/>
    <col min="56" max="56" width="13.6640625" bestFit="1" customWidth="1"/>
    <col min="57" max="57" width="0.88671875" customWidth="1"/>
    <col min="58" max="58" width="14.21875" bestFit="1" customWidth="1"/>
    <col min="59" max="59" width="14.77734375" bestFit="1" customWidth="1"/>
    <col min="60" max="60" width="0.88671875" customWidth="1"/>
    <col min="61" max="61" width="13.44140625" bestFit="1" customWidth="1"/>
    <col min="62" max="62" width="12.6640625" bestFit="1" customWidth="1"/>
    <col min="63" max="63" width="0.88671875" customWidth="1"/>
    <col min="64" max="64" width="13.44140625" bestFit="1" customWidth="1"/>
    <col min="65" max="65" width="13.6640625" bestFit="1" customWidth="1"/>
    <col min="66" max="66" width="0.88671875" customWidth="1"/>
    <col min="67" max="67" width="15.88671875" bestFit="1" customWidth="1"/>
    <col min="68" max="68" width="12.6640625" bestFit="1" customWidth="1"/>
    <col min="69" max="69" width="0.88671875" customWidth="1"/>
    <col min="70" max="70" width="15.88671875" bestFit="1" customWidth="1"/>
    <col min="71" max="71" width="13.6640625" bestFit="1" customWidth="1"/>
    <col min="72" max="72" width="0.88671875" customWidth="1"/>
    <col min="73" max="73" width="28.109375" bestFit="1" customWidth="1"/>
    <col min="74" max="74" width="17.21875" bestFit="1" customWidth="1"/>
    <col min="75" max="75" width="0.88671875" customWidth="1"/>
    <col min="76" max="76" width="28.109375" bestFit="1" customWidth="1"/>
    <col min="77" max="77" width="17.21875" bestFit="1" customWidth="1"/>
    <col min="78" max="78" width="1.77734375" style="38" customWidth="1"/>
    <col min="79" max="79" width="28.21875" bestFit="1" customWidth="1"/>
    <col min="80" max="80" width="18.44140625" style="36" bestFit="1" customWidth="1"/>
    <col min="81" max="81" width="0.88671875" customWidth="1"/>
    <col min="82" max="82" width="28.21875" bestFit="1" customWidth="1"/>
    <col min="83" max="83" width="18.88671875" style="25" bestFit="1" customWidth="1"/>
    <col min="84" max="84" width="0.88671875" customWidth="1"/>
    <col min="85" max="85" width="13.44140625" bestFit="1" customWidth="1"/>
    <col min="86" max="86" width="14.21875" bestFit="1" customWidth="1"/>
    <col min="87" max="87" width="0.88671875" customWidth="1"/>
    <col min="88" max="88" width="13.44140625" bestFit="1" customWidth="1"/>
    <col min="89" max="89" width="14.21875" bestFit="1" customWidth="1"/>
    <col min="90" max="90" width="0.88671875" customWidth="1"/>
    <col min="91" max="91" width="14" bestFit="1" customWidth="1"/>
    <col min="92" max="92" width="20.6640625" style="52" customWidth="1"/>
    <col min="93" max="93" width="1.77734375" style="38" customWidth="1"/>
    <col min="94" max="102" width="12" bestFit="1" customWidth="1"/>
    <col min="103" max="103" width="5" bestFit="1" customWidth="1"/>
    <col min="104" max="105" width="12" bestFit="1" customWidth="1"/>
    <col min="106" max="106" width="11" bestFit="1" customWidth="1"/>
    <col min="107" max="110" width="12" bestFit="1" customWidth="1"/>
    <col min="111" max="111" width="4" bestFit="1" customWidth="1"/>
    <col min="112" max="112" width="6" bestFit="1" customWidth="1"/>
    <col min="113" max="113" width="11" bestFit="1" customWidth="1"/>
    <col min="114" max="116" width="12" bestFit="1" customWidth="1"/>
    <col min="117" max="117" width="5" bestFit="1" customWidth="1"/>
    <col min="118" max="131" width="12" bestFit="1" customWidth="1"/>
    <col min="132" max="132" width="7" bestFit="1" customWidth="1"/>
    <col min="133" max="136" width="12" bestFit="1" customWidth="1"/>
    <col min="137" max="137" width="11" bestFit="1" customWidth="1"/>
    <col min="138" max="148" width="12" bestFit="1" customWidth="1"/>
    <col min="149" max="149" width="7" bestFit="1" customWidth="1"/>
    <col min="150" max="157" width="12" bestFit="1" customWidth="1"/>
    <col min="158" max="158" width="11" bestFit="1" customWidth="1"/>
    <col min="159" max="160" width="12" bestFit="1" customWidth="1"/>
    <col min="161" max="161" width="8" bestFit="1" customWidth="1"/>
    <col min="162" max="162" width="12" bestFit="1" customWidth="1"/>
    <col min="163" max="163" width="11" bestFit="1" customWidth="1"/>
    <col min="164" max="165" width="12" bestFit="1" customWidth="1"/>
    <col min="166" max="166" width="11" bestFit="1" customWidth="1"/>
    <col min="167" max="175" width="12" bestFit="1" customWidth="1"/>
    <col min="176" max="176" width="11" bestFit="1" customWidth="1"/>
    <col min="177" max="187" width="12" bestFit="1" customWidth="1"/>
    <col min="188" max="188" width="11" bestFit="1" customWidth="1"/>
    <col min="189" max="204" width="12" bestFit="1" customWidth="1"/>
    <col min="205" max="205" width="11" bestFit="1" customWidth="1"/>
    <col min="206" max="207" width="12" bestFit="1" customWidth="1"/>
    <col min="208" max="208" width="5" bestFit="1" customWidth="1"/>
    <col min="209" max="209" width="12" bestFit="1" customWidth="1"/>
    <col min="210" max="210" width="4" bestFit="1" customWidth="1"/>
    <col min="211" max="213" width="12" bestFit="1" customWidth="1"/>
    <col min="214" max="214" width="4" bestFit="1" customWidth="1"/>
    <col min="215" max="221" width="12" bestFit="1" customWidth="1"/>
    <col min="222" max="222" width="8" bestFit="1" customWidth="1"/>
    <col min="223" max="230" width="12" bestFit="1" customWidth="1"/>
    <col min="231" max="231" width="3" bestFit="1" customWidth="1"/>
    <col min="232" max="241" width="12" bestFit="1" customWidth="1"/>
    <col min="242" max="242" width="11" bestFit="1" customWidth="1"/>
    <col min="243" max="243" width="7" bestFit="1" customWidth="1"/>
    <col min="244" max="244" width="6" bestFit="1" customWidth="1"/>
    <col min="245" max="253" width="12" bestFit="1" customWidth="1"/>
    <col min="254" max="254" width="6" bestFit="1" customWidth="1"/>
    <col min="255" max="255" width="12" bestFit="1" customWidth="1"/>
    <col min="256" max="256" width="11" bestFit="1" customWidth="1"/>
    <col min="257" max="257" width="5" bestFit="1" customWidth="1"/>
    <col min="258" max="258" width="6" bestFit="1" customWidth="1"/>
    <col min="259" max="262" width="12" bestFit="1" customWidth="1"/>
    <col min="263" max="263" width="6" bestFit="1" customWidth="1"/>
    <col min="264" max="264" width="12" bestFit="1" customWidth="1"/>
    <col min="265" max="266" width="6" bestFit="1" customWidth="1"/>
    <col min="267" max="267" width="12" bestFit="1" customWidth="1"/>
    <col min="268" max="268" width="6" bestFit="1" customWidth="1"/>
    <col min="269" max="275" width="12" bestFit="1" customWidth="1"/>
    <col min="276" max="276" width="6" bestFit="1" customWidth="1"/>
    <col min="277" max="277" width="12" bestFit="1" customWidth="1"/>
    <col min="278" max="278" width="5" bestFit="1" customWidth="1"/>
    <col min="279" max="281" width="12" bestFit="1" customWidth="1"/>
    <col min="282" max="282" width="7" bestFit="1" customWidth="1"/>
    <col min="283" max="283" width="5" bestFit="1" customWidth="1"/>
    <col min="284" max="287" width="12" bestFit="1" customWidth="1"/>
    <col min="288" max="288" width="8" bestFit="1" customWidth="1"/>
    <col min="289" max="290" width="12" bestFit="1" customWidth="1"/>
    <col min="291" max="291" width="5" bestFit="1" customWidth="1"/>
    <col min="292" max="292" width="12" bestFit="1" customWidth="1"/>
    <col min="293" max="293" width="6" bestFit="1" customWidth="1"/>
    <col min="294" max="296" width="12" bestFit="1" customWidth="1"/>
    <col min="297" max="297" width="3" bestFit="1" customWidth="1"/>
    <col min="298" max="298" width="12" bestFit="1" customWidth="1"/>
    <col min="299" max="299" width="3" bestFit="1" customWidth="1"/>
    <col min="300" max="303" width="12" bestFit="1" customWidth="1"/>
    <col min="304" max="304" width="11" bestFit="1" customWidth="1"/>
    <col min="305" max="305" width="12" bestFit="1" customWidth="1"/>
    <col min="306" max="306" width="9" bestFit="1" customWidth="1"/>
    <col min="307" max="307" width="6" bestFit="1" customWidth="1"/>
    <col min="308" max="315" width="12" bestFit="1" customWidth="1"/>
    <col min="316" max="316" width="4" bestFit="1" customWidth="1"/>
    <col min="317" max="317" width="6" bestFit="1" customWidth="1"/>
    <col min="318" max="320" width="12" bestFit="1" customWidth="1"/>
    <col min="321" max="321" width="6" bestFit="1" customWidth="1"/>
    <col min="322" max="322" width="4" bestFit="1" customWidth="1"/>
    <col min="323" max="327" width="12" bestFit="1" customWidth="1"/>
    <col min="328" max="328" width="7" bestFit="1" customWidth="1"/>
    <col min="329" max="336" width="12" bestFit="1" customWidth="1"/>
    <col min="337" max="337" width="9" bestFit="1" customWidth="1"/>
    <col min="338" max="338" width="11" bestFit="1" customWidth="1"/>
    <col min="339" max="339" width="5" bestFit="1" customWidth="1"/>
    <col min="340" max="340" width="11" bestFit="1" customWidth="1"/>
    <col min="341" max="341" width="12" bestFit="1" customWidth="1"/>
    <col min="342" max="342" width="5" bestFit="1" customWidth="1"/>
    <col min="343" max="346" width="12" bestFit="1" customWidth="1"/>
    <col min="347" max="348" width="6" bestFit="1" customWidth="1"/>
    <col min="349" max="349" width="7.5546875" bestFit="1" customWidth="1"/>
    <col min="350" max="350" width="10.77734375" bestFit="1" customWidth="1"/>
  </cols>
  <sheetData>
    <row r="1" spans="1:93" x14ac:dyDescent="0.3">
      <c r="B1" s="42">
        <v>1</v>
      </c>
      <c r="J1" s="42">
        <v>1</v>
      </c>
      <c r="X1" s="43">
        <v>1</v>
      </c>
      <c r="AH1" s="41">
        <v>1</v>
      </c>
      <c r="AI1" s="40"/>
      <c r="AV1" s="88" t="s">
        <v>577</v>
      </c>
      <c r="AW1" s="88" t="s">
        <v>588</v>
      </c>
      <c r="AX1" s="88" t="s">
        <v>587</v>
      </c>
    </row>
    <row r="2" spans="1:93" x14ac:dyDescent="0.3">
      <c r="B2" s="80" t="s">
        <v>566</v>
      </c>
      <c r="C2" s="80"/>
      <c r="J2" s="80" t="s">
        <v>567</v>
      </c>
      <c r="K2" s="80"/>
      <c r="R2" s="80" t="s">
        <v>568</v>
      </c>
      <c r="S2" s="80"/>
      <c r="X2" s="80" t="s">
        <v>569</v>
      </c>
      <c r="Y2" s="80"/>
      <c r="Z2" s="80"/>
      <c r="AH2" s="50" t="s">
        <v>569</v>
      </c>
      <c r="AI2" s="50"/>
      <c r="AJ2" s="22"/>
      <c r="AV2" s="25" t="str">
        <f>AV9</f>
        <v>High</v>
      </c>
      <c r="AW2" s="25">
        <f>GETPIVOTDATA("Products",$AW$9,"Risk Exposure Status","High")</f>
        <v>14</v>
      </c>
      <c r="AX2" s="30">
        <f>AW2/SUM($AW$2:$AW$4)</f>
        <v>2.5974025974025976E-2</v>
      </c>
    </row>
    <row r="3" spans="1:93" x14ac:dyDescent="0.3">
      <c r="B3" s="84"/>
      <c r="C3" s="84"/>
      <c r="J3" s="82"/>
      <c r="K3" s="82"/>
      <c r="X3" s="85"/>
      <c r="Y3" s="85"/>
      <c r="Z3" s="85"/>
      <c r="AH3" s="40"/>
      <c r="AI3" s="40"/>
      <c r="AJ3" s="22"/>
      <c r="AV3" s="25" t="str">
        <f>AV11</f>
        <v>Medium</v>
      </c>
      <c r="AW3" s="25">
        <f>GETPIVOTDATA("Products",$AV$8,"Risk Exposure Status","Medium")</f>
        <v>18</v>
      </c>
      <c r="AX3" s="30">
        <f t="shared" ref="AX3:AX4" si="0">AW3/SUM($AW$2:$AW$4)</f>
        <v>3.3395176252319109E-2</v>
      </c>
      <c r="CA3" s="34" t="s">
        <v>396</v>
      </c>
      <c r="CB3" s="36" t="s">
        <v>603</v>
      </c>
      <c r="CD3" s="34" t="s">
        <v>0</v>
      </c>
      <c r="CE3" t="s">
        <v>578</v>
      </c>
      <c r="CG3" s="34" t="s">
        <v>0</v>
      </c>
      <c r="CH3" t="s">
        <v>578</v>
      </c>
      <c r="CJ3" s="34" t="s">
        <v>0</v>
      </c>
      <c r="CK3" t="s">
        <v>578</v>
      </c>
    </row>
    <row r="4" spans="1:93" x14ac:dyDescent="0.3">
      <c r="B4" s="83" t="str">
        <f>"Page "&amp;B1&amp; " / "&amp;ROUND(COUNTA(HS_MD[HS Code])/25,0)</f>
        <v>Page 1 / 2</v>
      </c>
      <c r="C4" s="83"/>
      <c r="J4" s="83" t="str">
        <f>"Page "&amp;J1&amp; " / "&amp;ROUND(COUNTA(HS_MD[HS Code])/25,0)</f>
        <v>Page 1 / 2</v>
      </c>
      <c r="K4" s="83"/>
      <c r="X4" s="83" t="str">
        <f>"Page "&amp;X1&amp;" / "&amp;3</f>
        <v>Page 1 / 3</v>
      </c>
      <c r="Y4" s="83"/>
      <c r="Z4" s="83"/>
      <c r="AH4" s="49" t="str">
        <f>"Page "&amp;AH1&amp;" / "&amp;3</f>
        <v>Page 1 / 3</v>
      </c>
      <c r="AI4" s="49"/>
      <c r="AJ4" s="22"/>
      <c r="AV4" s="25" t="str">
        <f>AV10</f>
        <v>Low</v>
      </c>
      <c r="AW4" s="25">
        <f>GETPIVOTDATA("Products",$AV$8,"Risk Exposure Status","Low")</f>
        <v>507</v>
      </c>
      <c r="AX4" s="30">
        <f t="shared" si="0"/>
        <v>0.94063079777365488</v>
      </c>
      <c r="AZ4" s="34" t="s">
        <v>158</v>
      </c>
      <c r="BA4" t="s">
        <v>575</v>
      </c>
      <c r="BC4" s="34" t="s">
        <v>158</v>
      </c>
      <c r="BD4" t="s">
        <v>575</v>
      </c>
      <c r="BF4" s="34" t="s">
        <v>164</v>
      </c>
      <c r="BG4" t="s">
        <v>582</v>
      </c>
      <c r="BU4" s="34" t="s">
        <v>169</v>
      </c>
      <c r="BV4" t="s">
        <v>586</v>
      </c>
      <c r="BX4" s="34" t="s">
        <v>169</v>
      </c>
      <c r="BY4" t="s">
        <v>586</v>
      </c>
      <c r="CA4" s="34" t="s">
        <v>0</v>
      </c>
      <c r="CB4" t="s">
        <v>578</v>
      </c>
      <c r="CD4" s="34" t="s">
        <v>396</v>
      </c>
      <c r="CE4" s="25" t="s">
        <v>603</v>
      </c>
      <c r="CG4" s="34" t="s">
        <v>396</v>
      </c>
      <c r="CH4" t="s">
        <v>603</v>
      </c>
      <c r="CJ4" s="34" t="s">
        <v>396</v>
      </c>
      <c r="CK4" t="s">
        <v>603</v>
      </c>
      <c r="CM4" t="s">
        <v>380</v>
      </c>
      <c r="CN4" s="5" t="str">
        <f>"Crisis: "&amp;INDEX(Heat_Map[Crisis],MATCH(CG7,Heat_Map[Global],0),1)</f>
        <v>Crisis: Logistics</v>
      </c>
    </row>
    <row r="5" spans="1:93" x14ac:dyDescent="0.3">
      <c r="B5" s="76"/>
      <c r="C5" s="76"/>
      <c r="D5" s="77"/>
      <c r="E5" s="77"/>
      <c r="F5" s="77"/>
      <c r="G5" s="78"/>
      <c r="H5" s="77"/>
      <c r="X5" s="85"/>
      <c r="Y5" s="85"/>
      <c r="Z5" s="85"/>
      <c r="AH5" s="86"/>
      <c r="AI5" s="86"/>
      <c r="AJ5" s="87"/>
      <c r="CM5" t="s">
        <v>384</v>
      </c>
      <c r="CN5" s="74" t="str">
        <f>"Shock Factor: "&amp;INDEX(Heat_Map[Shock Factor],MATCH(CG7,Heat_Map[Global],0),1)</f>
        <v>Shock Factor: 0.5</v>
      </c>
    </row>
    <row r="6" spans="1:93" x14ac:dyDescent="0.3">
      <c r="B6" s="23" t="s">
        <v>0</v>
      </c>
      <c r="C6" s="1" t="s">
        <v>578</v>
      </c>
      <c r="D6" s="77"/>
      <c r="E6" s="77"/>
      <c r="F6" s="23" t="s">
        <v>0</v>
      </c>
      <c r="G6" s="1" t="s">
        <v>578</v>
      </c>
      <c r="H6" s="77"/>
      <c r="J6" s="23" t="s">
        <v>0</v>
      </c>
      <c r="K6" s="1" t="s">
        <v>578</v>
      </c>
      <c r="N6" s="23" t="s">
        <v>0</v>
      </c>
      <c r="O6" s="1" t="s">
        <v>578</v>
      </c>
      <c r="R6" s="34" t="s">
        <v>0</v>
      </c>
      <c r="S6" t="s">
        <v>578</v>
      </c>
      <c r="U6" s="34" t="s">
        <v>0</v>
      </c>
      <c r="V6" t="s">
        <v>578</v>
      </c>
      <c r="X6" s="81"/>
      <c r="Y6" s="82"/>
      <c r="Z6" s="23" t="s">
        <v>0</v>
      </c>
      <c r="AA6" s="1" t="s">
        <v>578</v>
      </c>
      <c r="AD6" s="23" t="s">
        <v>0</v>
      </c>
      <c r="AE6" s="1" t="s">
        <v>578</v>
      </c>
      <c r="AH6" s="23" t="s">
        <v>0</v>
      </c>
      <c r="AI6" s="1" t="s">
        <v>578</v>
      </c>
      <c r="AJ6" s="87"/>
      <c r="AL6" s="23" t="s">
        <v>0</v>
      </c>
      <c r="AM6" s="1" t="s">
        <v>578</v>
      </c>
      <c r="AP6" s="23" t="s">
        <v>0</v>
      </c>
      <c r="AQ6" s="1" t="s">
        <v>578</v>
      </c>
      <c r="AS6" s="23" t="s">
        <v>0</v>
      </c>
      <c r="AT6" s="1" t="s">
        <v>578</v>
      </c>
      <c r="AV6" s="34" t="s">
        <v>0</v>
      </c>
      <c r="AW6" t="s">
        <v>578</v>
      </c>
      <c r="AZ6" s="34" t="s">
        <v>401</v>
      </c>
      <c r="BA6" t="s">
        <v>402</v>
      </c>
      <c r="BC6" s="34" t="s">
        <v>401</v>
      </c>
      <c r="BD6" t="s">
        <v>579</v>
      </c>
      <c r="BF6" s="34" t="s">
        <v>401</v>
      </c>
      <c r="BG6" t="s">
        <v>579</v>
      </c>
      <c r="BI6" s="34" t="s">
        <v>401</v>
      </c>
      <c r="BJ6" t="s">
        <v>402</v>
      </c>
      <c r="BL6" s="34" t="s">
        <v>401</v>
      </c>
      <c r="BM6" t="s">
        <v>579</v>
      </c>
      <c r="BO6" s="34" t="s">
        <v>401</v>
      </c>
      <c r="BP6" t="s">
        <v>402</v>
      </c>
      <c r="BR6" s="34" t="s">
        <v>401</v>
      </c>
      <c r="BS6" t="s">
        <v>579</v>
      </c>
      <c r="BU6" s="34" t="s">
        <v>401</v>
      </c>
      <c r="BV6" t="s">
        <v>402</v>
      </c>
      <c r="BX6" s="34" t="s">
        <v>401</v>
      </c>
      <c r="BY6" t="s">
        <v>579</v>
      </c>
      <c r="CA6" s="34" t="s">
        <v>401</v>
      </c>
      <c r="CB6" s="36" t="s">
        <v>605</v>
      </c>
      <c r="CD6" s="34" t="s">
        <v>401</v>
      </c>
      <c r="CE6" s="25" t="s">
        <v>606</v>
      </c>
      <c r="CG6" s="34" t="s">
        <v>401</v>
      </c>
      <c r="CH6" t="s">
        <v>607</v>
      </c>
      <c r="CJ6" s="34" t="s">
        <v>401</v>
      </c>
      <c r="CK6" t="s">
        <v>604</v>
      </c>
      <c r="CM6" t="s">
        <v>394</v>
      </c>
      <c r="CN6" s="4" t="str">
        <f>"Risk Level: "&amp;INDEX(Heat_Map[Risk Level],MATCH(CG7,Heat_Map[Global],0),1)</f>
        <v>Risk Level: 2</v>
      </c>
    </row>
    <row r="7" spans="1:93" x14ac:dyDescent="0.3">
      <c r="A7" s="39"/>
      <c r="B7" s="77"/>
      <c r="C7" s="77"/>
      <c r="D7" s="76"/>
      <c r="E7" s="76"/>
      <c r="F7" s="77"/>
      <c r="G7" s="78"/>
      <c r="H7" s="77"/>
      <c r="I7" s="39"/>
      <c r="Q7" s="39"/>
      <c r="W7" s="39"/>
      <c r="AB7" s="1"/>
      <c r="AC7" s="1"/>
      <c r="AE7" s="24"/>
      <c r="AG7" s="39"/>
      <c r="AJ7" s="22"/>
      <c r="AO7" s="39"/>
      <c r="AZ7" s="1" t="s">
        <v>120</v>
      </c>
      <c r="BA7" s="24">
        <v>70.275000000000006</v>
      </c>
      <c r="BC7" s="1" t="s">
        <v>120</v>
      </c>
      <c r="BD7" s="24">
        <v>3.6236999999999998E-2</v>
      </c>
      <c r="BF7" s="1" t="s">
        <v>135</v>
      </c>
      <c r="BG7" s="24">
        <v>3.5178000000000001E-2</v>
      </c>
      <c r="BI7" s="1" t="s">
        <v>575</v>
      </c>
      <c r="BJ7" s="24">
        <v>1455510.034</v>
      </c>
      <c r="BL7" s="1" t="s">
        <v>575</v>
      </c>
      <c r="BM7" s="24">
        <v>1310.759446</v>
      </c>
      <c r="BO7" s="1" t="s">
        <v>583</v>
      </c>
      <c r="BP7" s="24">
        <v>1231357.2790000001</v>
      </c>
      <c r="BR7" s="1" t="s">
        <v>583</v>
      </c>
      <c r="BS7" s="24">
        <v>1137.512379</v>
      </c>
      <c r="BU7" s="1" t="s">
        <v>524</v>
      </c>
      <c r="BV7" s="24">
        <v>1231357.2790000001</v>
      </c>
      <c r="BX7" s="1" t="s">
        <v>524</v>
      </c>
      <c r="BY7" s="24">
        <v>1137.512379</v>
      </c>
      <c r="BZ7" s="39"/>
      <c r="CA7" s="1" t="s">
        <v>122</v>
      </c>
      <c r="CB7" s="36">
        <v>224.01554000000002</v>
      </c>
      <c r="CD7" s="1" t="s">
        <v>125</v>
      </c>
      <c r="CE7" s="36">
        <v>2.3965053000000003</v>
      </c>
      <c r="CG7" s="1" t="s">
        <v>1</v>
      </c>
      <c r="CH7" s="52">
        <v>0.14000000000000001</v>
      </c>
      <c r="CJ7" s="1" t="s">
        <v>1</v>
      </c>
      <c r="CK7" s="52">
        <v>0.14000000000000001</v>
      </c>
      <c r="CN7" s="1" t="str">
        <f>"Describtion: "&amp;INDEX(Heat_Map[Describtion],MATCH(CG7,Heat_Map[Global],0),1)</f>
        <v>Describtion: Major global manufacturing and export hub; port congestion or trade restrictions can disrupt global supply chains</v>
      </c>
      <c r="CO7" s="39">
        <v>1</v>
      </c>
    </row>
    <row r="8" spans="1:93" x14ac:dyDescent="0.3">
      <c r="A8" s="39"/>
      <c r="B8" s="23" t="s">
        <v>565</v>
      </c>
      <c r="C8" s="23" t="s">
        <v>63</v>
      </c>
      <c r="D8" s="1" t="s">
        <v>235</v>
      </c>
      <c r="E8" s="1"/>
      <c r="F8" s="23" t="s">
        <v>565</v>
      </c>
      <c r="G8" s="23" t="s">
        <v>63</v>
      </c>
      <c r="H8" s="4" t="s">
        <v>234</v>
      </c>
      <c r="I8" s="39"/>
      <c r="J8" s="23" t="s">
        <v>565</v>
      </c>
      <c r="K8" s="23" t="s">
        <v>63</v>
      </c>
      <c r="L8" s="1" t="s">
        <v>564</v>
      </c>
      <c r="M8" s="1"/>
      <c r="N8" s="23" t="s">
        <v>565</v>
      </c>
      <c r="O8" s="23" t="s">
        <v>63</v>
      </c>
      <c r="P8" s="1" t="s">
        <v>400</v>
      </c>
      <c r="Q8" s="39"/>
      <c r="R8" s="35" t="s">
        <v>11</v>
      </c>
      <c r="S8" s="25" t="s">
        <v>402</v>
      </c>
      <c r="T8"/>
      <c r="U8" s="35" t="s">
        <v>11</v>
      </c>
      <c r="V8" s="25" t="s">
        <v>484</v>
      </c>
      <c r="W8" s="39"/>
      <c r="X8" s="35" t="s">
        <v>11</v>
      </c>
      <c r="Z8" s="23" t="s">
        <v>570</v>
      </c>
      <c r="AA8" s="23" t="s">
        <v>11</v>
      </c>
      <c r="AB8" s="1" t="s">
        <v>235</v>
      </c>
      <c r="AC8" s="1"/>
      <c r="AD8" s="23" t="s">
        <v>570</v>
      </c>
      <c r="AE8" s="23" t="s">
        <v>11</v>
      </c>
      <c r="AF8" s="4" t="s">
        <v>234</v>
      </c>
      <c r="AG8" s="39"/>
      <c r="AH8" s="23" t="s">
        <v>570</v>
      </c>
      <c r="AI8" s="23" t="s">
        <v>11</v>
      </c>
      <c r="AJ8" s="1" t="s">
        <v>484</v>
      </c>
      <c r="AL8" s="23" t="s">
        <v>570</v>
      </c>
      <c r="AM8" s="23" t="s">
        <v>11</v>
      </c>
      <c r="AN8" s="1" t="s">
        <v>572</v>
      </c>
      <c r="AO8" s="39"/>
      <c r="AP8" s="23" t="s">
        <v>63</v>
      </c>
      <c r="AQ8" s="1" t="s">
        <v>402</v>
      </c>
      <c r="AS8" s="23" t="s">
        <v>63</v>
      </c>
      <c r="AT8" s="1" t="s">
        <v>564</v>
      </c>
      <c r="AV8" s="34" t="s">
        <v>401</v>
      </c>
      <c r="AW8" t="s">
        <v>577</v>
      </c>
      <c r="AZ8" s="1" t="s">
        <v>505</v>
      </c>
      <c r="BA8" s="24">
        <v>42.3</v>
      </c>
      <c r="BC8" s="1" t="s">
        <v>505</v>
      </c>
      <c r="BD8" s="24">
        <v>5.5211999999999997E-2</v>
      </c>
      <c r="BI8" s="1" t="s">
        <v>574</v>
      </c>
      <c r="BJ8" s="24">
        <v>430772.45400000003</v>
      </c>
      <c r="BL8" s="1" t="s">
        <v>574</v>
      </c>
      <c r="BM8" s="24">
        <v>471.939482</v>
      </c>
      <c r="BO8" s="1" t="s">
        <v>584</v>
      </c>
      <c r="BP8" s="24">
        <v>304207.66100000002</v>
      </c>
      <c r="BR8" s="1" t="s">
        <v>584</v>
      </c>
      <c r="BS8" s="24">
        <v>275.556445</v>
      </c>
      <c r="BU8" s="1" t="s">
        <v>537</v>
      </c>
      <c r="BV8" s="24">
        <v>80054.906000000003</v>
      </c>
      <c r="BX8" s="1" t="s">
        <v>537</v>
      </c>
      <c r="BY8" s="24">
        <v>102.309378</v>
      </c>
      <c r="BZ8" s="39"/>
      <c r="CA8" s="1" t="s">
        <v>129</v>
      </c>
      <c r="CB8" s="36">
        <v>124.06170000000002</v>
      </c>
      <c r="CD8" s="1" t="s">
        <v>122</v>
      </c>
      <c r="CE8" s="36">
        <v>1.2755761200000002</v>
      </c>
      <c r="CJ8" s="1" t="s">
        <v>47</v>
      </c>
      <c r="CK8" s="52">
        <v>0.21</v>
      </c>
      <c r="CO8" s="39"/>
    </row>
    <row r="9" spans="1:93" x14ac:dyDescent="0.3">
      <c r="A9" s="39"/>
      <c r="B9" s="1">
        <v>1</v>
      </c>
      <c r="C9" s="1" t="s">
        <v>3</v>
      </c>
      <c r="D9" s="4">
        <v>2298.3602000000001</v>
      </c>
      <c r="E9" s="4"/>
      <c r="F9" s="1">
        <v>1</v>
      </c>
      <c r="G9" s="1" t="s">
        <v>3</v>
      </c>
      <c r="H9" s="4">
        <v>11.556158</v>
      </c>
      <c r="I9" s="39"/>
      <c r="J9" s="1">
        <v>1</v>
      </c>
      <c r="K9" s="1" t="s">
        <v>3</v>
      </c>
      <c r="L9" s="5">
        <v>0.19</v>
      </c>
      <c r="M9" s="5"/>
      <c r="N9" s="1">
        <v>1</v>
      </c>
      <c r="O9" s="1" t="s">
        <v>3</v>
      </c>
      <c r="P9" s="53">
        <v>18</v>
      </c>
      <c r="Q9" s="39"/>
      <c r="R9" t="s">
        <v>37</v>
      </c>
      <c r="S9" s="36">
        <v>12.822700000000001</v>
      </c>
      <c r="T9"/>
      <c r="U9" t="s">
        <v>37</v>
      </c>
      <c r="V9" s="30">
        <v>3.4499052228579408E-5</v>
      </c>
      <c r="W9" s="39"/>
      <c r="X9" s="25" t="s">
        <v>37</v>
      </c>
      <c r="Z9" s="1" t="s">
        <v>614</v>
      </c>
      <c r="AA9" s="1" t="s">
        <v>608</v>
      </c>
      <c r="AB9" s="4">
        <v>2054.77</v>
      </c>
      <c r="AC9" s="4"/>
      <c r="AD9" s="1" t="s">
        <v>614</v>
      </c>
      <c r="AE9" s="1" t="s">
        <v>608</v>
      </c>
      <c r="AF9" s="4">
        <v>2.840973</v>
      </c>
      <c r="AG9" s="39"/>
      <c r="AH9" s="1" t="s">
        <v>614</v>
      </c>
      <c r="AI9" s="1" t="s">
        <v>608</v>
      </c>
      <c r="AJ9" s="5">
        <v>1.5071408390918784E-3</v>
      </c>
      <c r="AL9" s="1" t="s">
        <v>614</v>
      </c>
      <c r="AM9" s="1" t="s">
        <v>608</v>
      </c>
      <c r="AN9" s="4">
        <v>1</v>
      </c>
      <c r="AO9" s="39"/>
      <c r="AP9" s="1" t="s">
        <v>3</v>
      </c>
      <c r="AQ9" s="4">
        <v>12.822700000000001</v>
      </c>
      <c r="AS9" s="1" t="s">
        <v>3</v>
      </c>
      <c r="AT9" s="5">
        <v>0.01</v>
      </c>
      <c r="AV9" s="1" t="s">
        <v>575</v>
      </c>
      <c r="AW9" s="51">
        <v>14</v>
      </c>
      <c r="BI9" s="1" t="s">
        <v>576</v>
      </c>
      <c r="BJ9" s="24">
        <v>80054.906000000003</v>
      </c>
      <c r="BL9" s="1" t="s">
        <v>576</v>
      </c>
      <c r="BM9" s="24">
        <v>102.309378</v>
      </c>
      <c r="BO9" s="1" t="s">
        <v>585</v>
      </c>
      <c r="BP9" s="24">
        <v>430772.45400000003</v>
      </c>
      <c r="BR9" s="1" t="s">
        <v>585</v>
      </c>
      <c r="BS9" s="24">
        <v>471.939482</v>
      </c>
      <c r="BU9" s="1" t="s">
        <v>459</v>
      </c>
      <c r="BV9" s="24">
        <v>224152.755</v>
      </c>
      <c r="BX9" s="1" t="s">
        <v>459</v>
      </c>
      <c r="BY9" s="24">
        <v>173.24706699999999</v>
      </c>
      <c r="BZ9" s="39"/>
      <c r="CA9" s="1" t="s">
        <v>67</v>
      </c>
      <c r="CB9" s="36">
        <v>14.309400000000002</v>
      </c>
      <c r="CD9" s="1" t="s">
        <v>129</v>
      </c>
      <c r="CE9" s="36">
        <v>0.16270128000000003</v>
      </c>
      <c r="CJ9" s="1" t="s">
        <v>296</v>
      </c>
      <c r="CK9" s="52">
        <v>0.44999999999999996</v>
      </c>
      <c r="CO9" s="39"/>
    </row>
    <row r="10" spans="1:93" x14ac:dyDescent="0.3">
      <c r="A10" s="39"/>
      <c r="B10" s="1">
        <v>2</v>
      </c>
      <c r="C10" s="1" t="s">
        <v>71</v>
      </c>
      <c r="D10" s="4">
        <v>6842.7622999999994</v>
      </c>
      <c r="E10" s="4"/>
      <c r="F10" s="1">
        <v>2</v>
      </c>
      <c r="G10" s="1" t="s">
        <v>71</v>
      </c>
      <c r="H10" s="4">
        <v>15.776132</v>
      </c>
      <c r="I10" s="39"/>
      <c r="J10" s="1">
        <v>2</v>
      </c>
      <c r="K10" s="1" t="s">
        <v>71</v>
      </c>
      <c r="L10" s="5">
        <v>0.17</v>
      </c>
      <c r="M10" s="5"/>
      <c r="N10" s="1">
        <v>2</v>
      </c>
      <c r="O10" s="1" t="s">
        <v>71</v>
      </c>
      <c r="P10" s="53">
        <v>27</v>
      </c>
      <c r="Q10" s="39"/>
      <c r="R10" t="s">
        <v>5</v>
      </c>
      <c r="S10" s="36">
        <v>0.44360000000000005</v>
      </c>
      <c r="T10"/>
      <c r="U10" t="s">
        <v>5</v>
      </c>
      <c r="V10" s="30">
        <v>5.3992075088500962E-3</v>
      </c>
      <c r="W10" s="39"/>
      <c r="X10" s="25" t="s">
        <v>148</v>
      </c>
      <c r="Z10" s="1">
        <v>182</v>
      </c>
      <c r="AA10" s="1" t="s">
        <v>56</v>
      </c>
      <c r="AB10" s="4">
        <v>13639.847</v>
      </c>
      <c r="AC10" s="4"/>
      <c r="AD10" s="1">
        <v>182</v>
      </c>
      <c r="AE10" s="1" t="s">
        <v>56</v>
      </c>
      <c r="AF10" s="4">
        <v>17.767009000000002</v>
      </c>
      <c r="AG10" s="39"/>
      <c r="AH10" s="1">
        <v>182</v>
      </c>
      <c r="AI10" s="1" t="s">
        <v>56</v>
      </c>
      <c r="AJ10" s="5">
        <v>0.25448654070811288</v>
      </c>
      <c r="AL10" s="1">
        <v>182</v>
      </c>
      <c r="AM10" s="1" t="s">
        <v>56</v>
      </c>
      <c r="AN10" s="4">
        <v>14</v>
      </c>
      <c r="AO10" s="39"/>
      <c r="AV10" s="1" t="s">
        <v>574</v>
      </c>
      <c r="AW10" s="51">
        <v>507</v>
      </c>
      <c r="BZ10" s="39"/>
      <c r="CA10" s="1" t="s">
        <v>96</v>
      </c>
      <c r="CB10" s="36">
        <v>32.956000000000003</v>
      </c>
      <c r="CD10" s="1" t="s">
        <v>67</v>
      </c>
      <c r="CE10" s="36">
        <v>5.0843520000000003E-2</v>
      </c>
      <c r="CJ10" s="1" t="s">
        <v>55</v>
      </c>
      <c r="CK10" s="52">
        <v>6.0000000000000012E-2</v>
      </c>
      <c r="CO10" s="39"/>
    </row>
    <row r="11" spans="1:93" x14ac:dyDescent="0.3">
      <c r="A11" s="39"/>
      <c r="B11" s="1">
        <v>3</v>
      </c>
      <c r="C11" s="1" t="s">
        <v>74</v>
      </c>
      <c r="D11" s="4">
        <v>2211.4160000000002</v>
      </c>
      <c r="E11" s="4"/>
      <c r="F11" s="1">
        <v>3</v>
      </c>
      <c r="G11" s="1" t="s">
        <v>74</v>
      </c>
      <c r="H11" s="4">
        <v>5.2969200000000001</v>
      </c>
      <c r="I11" s="39"/>
      <c r="J11" s="1">
        <v>3</v>
      </c>
      <c r="K11" s="1" t="s">
        <v>74</v>
      </c>
      <c r="L11" s="5">
        <v>0.11</v>
      </c>
      <c r="M11" s="5"/>
      <c r="N11" s="1">
        <v>3</v>
      </c>
      <c r="O11" s="1" t="s">
        <v>74</v>
      </c>
      <c r="P11" s="53">
        <v>42</v>
      </c>
      <c r="Q11" s="39"/>
      <c r="R11" t="s">
        <v>39</v>
      </c>
      <c r="S11" s="36">
        <v>2.8000000000000001E-2</v>
      </c>
      <c r="T11"/>
      <c r="U11" t="s">
        <v>39</v>
      </c>
      <c r="V11" s="30">
        <v>1.2732039388690099E-7</v>
      </c>
      <c r="W11" s="39"/>
      <c r="X11" s="25" t="s">
        <v>152</v>
      </c>
      <c r="Z11" s="1">
        <v>181</v>
      </c>
      <c r="AA11" s="1" t="s">
        <v>36</v>
      </c>
      <c r="AB11" s="4">
        <v>579.59500000000003</v>
      </c>
      <c r="AC11" s="4"/>
      <c r="AD11" s="1">
        <v>181</v>
      </c>
      <c r="AE11" s="1" t="s">
        <v>36</v>
      </c>
      <c r="AF11" s="4">
        <v>2.4702660000000001</v>
      </c>
      <c r="AG11" s="39"/>
      <c r="AH11" s="1">
        <v>181</v>
      </c>
      <c r="AI11" s="1" t="s">
        <v>36</v>
      </c>
      <c r="AJ11" s="5">
        <v>2.6209603343784953E-2</v>
      </c>
      <c r="AL11" s="1">
        <v>181</v>
      </c>
      <c r="AM11" s="1" t="s">
        <v>36</v>
      </c>
      <c r="AN11" s="4">
        <v>10.5</v>
      </c>
      <c r="AO11" s="39"/>
      <c r="AV11" s="1" t="s">
        <v>576</v>
      </c>
      <c r="AW11" s="51">
        <v>18</v>
      </c>
      <c r="BZ11" s="39"/>
      <c r="CA11" s="1" t="s">
        <v>128</v>
      </c>
      <c r="CB11" s="36">
        <v>394.81638000000004</v>
      </c>
      <c r="CD11" s="1" t="s">
        <v>96</v>
      </c>
      <c r="CE11" s="36">
        <v>3.7860620000000005E-2</v>
      </c>
      <c r="CJ11" s="1" t="s">
        <v>28</v>
      </c>
      <c r="CK11" s="52">
        <v>0.06</v>
      </c>
      <c r="CO11" s="39"/>
    </row>
    <row r="12" spans="1:93" x14ac:dyDescent="0.3">
      <c r="A12" s="39"/>
      <c r="B12" s="1">
        <v>4</v>
      </c>
      <c r="C12" s="1" t="s">
        <v>77</v>
      </c>
      <c r="D12" s="4">
        <v>1977.5141000000001</v>
      </c>
      <c r="E12" s="4"/>
      <c r="F12" s="1">
        <v>4</v>
      </c>
      <c r="G12" s="1" t="s">
        <v>77</v>
      </c>
      <c r="H12" s="4">
        <v>6.1868290000000004</v>
      </c>
      <c r="I12" s="39"/>
      <c r="J12" s="1">
        <v>4</v>
      </c>
      <c r="K12" s="1" t="s">
        <v>77</v>
      </c>
      <c r="L12" s="5">
        <v>0.16</v>
      </c>
      <c r="M12" s="5"/>
      <c r="N12" s="1">
        <v>4</v>
      </c>
      <c r="O12" s="1" t="s">
        <v>77</v>
      </c>
      <c r="P12" s="53">
        <v>76</v>
      </c>
      <c r="Q12" s="39"/>
      <c r="R12" t="s">
        <v>1</v>
      </c>
      <c r="S12" s="36">
        <v>2124.212</v>
      </c>
      <c r="T12"/>
      <c r="U12" t="s">
        <v>1</v>
      </c>
      <c r="V12" s="30">
        <v>6.321329281187793E-2</v>
      </c>
      <c r="W12" s="39"/>
      <c r="X12" s="25" t="s">
        <v>5</v>
      </c>
      <c r="Z12" s="1">
        <v>179</v>
      </c>
      <c r="AA12" s="1" t="s">
        <v>35</v>
      </c>
      <c r="AB12" s="4">
        <v>190793</v>
      </c>
      <c r="AC12" s="4"/>
      <c r="AD12" s="1">
        <v>179</v>
      </c>
      <c r="AE12" s="1" t="s">
        <v>35</v>
      </c>
      <c r="AF12" s="4">
        <v>144.483397</v>
      </c>
      <c r="AG12" s="39"/>
      <c r="AH12" s="1">
        <v>179</v>
      </c>
      <c r="AI12" s="1" t="s">
        <v>35</v>
      </c>
      <c r="AJ12" s="5">
        <v>0.45989207540393723</v>
      </c>
      <c r="AL12" s="1">
        <v>179</v>
      </c>
      <c r="AM12" s="1" t="s">
        <v>35</v>
      </c>
      <c r="AN12" s="4">
        <v>3.5</v>
      </c>
      <c r="AO12" s="39"/>
      <c r="BZ12" s="39"/>
      <c r="CA12" s="1" t="s">
        <v>77</v>
      </c>
      <c r="CB12" s="36">
        <v>38.729600000000005</v>
      </c>
      <c r="CD12" s="1" t="s">
        <v>128</v>
      </c>
      <c r="CE12" s="36">
        <v>0.29248142000000005</v>
      </c>
      <c r="CJ12" s="1" t="s">
        <v>34</v>
      </c>
      <c r="CK12" s="52">
        <v>0.10000000000000005</v>
      </c>
      <c r="CO12" s="39"/>
    </row>
    <row r="13" spans="1:93" x14ac:dyDescent="0.3">
      <c r="A13" s="39"/>
      <c r="B13" s="1">
        <v>6</v>
      </c>
      <c r="C13" s="1" t="s">
        <v>4</v>
      </c>
      <c r="D13" s="4">
        <v>22769.0491</v>
      </c>
      <c r="E13" s="4"/>
      <c r="F13" s="1">
        <v>6</v>
      </c>
      <c r="G13" s="1" t="s">
        <v>4</v>
      </c>
      <c r="H13" s="4">
        <v>17.496053</v>
      </c>
      <c r="I13" s="39"/>
      <c r="J13" s="1">
        <v>6</v>
      </c>
      <c r="K13" s="1" t="s">
        <v>4</v>
      </c>
      <c r="L13" s="5">
        <v>0.14000000000000001</v>
      </c>
      <c r="M13" s="5"/>
      <c r="N13" s="1">
        <v>6</v>
      </c>
      <c r="O13" s="1" t="s">
        <v>4</v>
      </c>
      <c r="P13" s="53">
        <v>11</v>
      </c>
      <c r="Q13" s="39"/>
      <c r="R13" t="s">
        <v>40</v>
      </c>
      <c r="S13" s="36">
        <v>20.0002</v>
      </c>
      <c r="T13"/>
      <c r="U13" t="s">
        <v>40</v>
      </c>
      <c r="V13" s="30">
        <v>1.0324304639960562E-4</v>
      </c>
      <c r="W13" s="39"/>
      <c r="X13" s="25" t="s">
        <v>253</v>
      </c>
      <c r="Z13" s="1">
        <v>178</v>
      </c>
      <c r="AA13" s="1" t="s">
        <v>369</v>
      </c>
      <c r="AB13" s="4">
        <v>1597.13</v>
      </c>
      <c r="AC13" s="4"/>
      <c r="AD13" s="1">
        <v>178</v>
      </c>
      <c r="AE13" s="1" t="s">
        <v>369</v>
      </c>
      <c r="AF13" s="4">
        <v>1.605559</v>
      </c>
      <c r="AG13" s="39"/>
      <c r="AH13" s="1">
        <v>178</v>
      </c>
      <c r="AI13" s="1" t="s">
        <v>369</v>
      </c>
      <c r="AJ13" s="5">
        <v>8.5175168453607863E-4</v>
      </c>
      <c r="AL13" s="1">
        <v>178</v>
      </c>
      <c r="AM13" s="1" t="s">
        <v>369</v>
      </c>
      <c r="AN13" s="4">
        <v>1</v>
      </c>
      <c r="AO13" s="39"/>
      <c r="BZ13" s="39"/>
      <c r="CA13" s="1" t="s">
        <v>4</v>
      </c>
      <c r="CB13" s="36">
        <v>2893.4612000000002</v>
      </c>
      <c r="CD13" s="1" t="s">
        <v>77</v>
      </c>
      <c r="CE13" s="36">
        <v>0.21009786000000003</v>
      </c>
      <c r="CJ13" s="1" t="s">
        <v>35</v>
      </c>
      <c r="CK13" s="52">
        <v>0.45</v>
      </c>
      <c r="CO13" s="39"/>
    </row>
    <row r="14" spans="1:93" x14ac:dyDescent="0.3">
      <c r="A14" s="39"/>
      <c r="B14" s="1">
        <v>7</v>
      </c>
      <c r="C14" s="1" t="s">
        <v>84</v>
      </c>
      <c r="D14" s="4">
        <v>1513.4574</v>
      </c>
      <c r="E14" s="4"/>
      <c r="F14" s="1">
        <v>7</v>
      </c>
      <c r="G14" s="1" t="s">
        <v>84</v>
      </c>
      <c r="H14" s="4">
        <v>2.0033560000000001</v>
      </c>
      <c r="I14" s="39"/>
      <c r="J14" s="1">
        <v>7</v>
      </c>
      <c r="K14" s="1" t="s">
        <v>84</v>
      </c>
      <c r="L14" s="5">
        <v>0.12</v>
      </c>
      <c r="M14" s="5"/>
      <c r="N14" s="1">
        <v>7</v>
      </c>
      <c r="O14" s="1" t="s">
        <v>84</v>
      </c>
      <c r="P14" s="53">
        <v>99</v>
      </c>
      <c r="Q14" s="39"/>
      <c r="R14" t="s">
        <v>42</v>
      </c>
      <c r="S14" s="36">
        <v>0.36</v>
      </c>
      <c r="T14"/>
      <c r="U14" t="s">
        <v>42</v>
      </c>
      <c r="V14" s="30">
        <v>4.8573207719329804E-4</v>
      </c>
      <c r="W14" s="39"/>
      <c r="X14" s="25" t="s">
        <v>38</v>
      </c>
      <c r="Z14" s="1">
        <v>175</v>
      </c>
      <c r="AA14" s="1" t="s">
        <v>34</v>
      </c>
      <c r="AB14" s="4">
        <v>142652.77799999999</v>
      </c>
      <c r="AC14" s="4"/>
      <c r="AD14" s="1">
        <v>175</v>
      </c>
      <c r="AE14" s="1" t="s">
        <v>34</v>
      </c>
      <c r="AF14" s="4">
        <v>89.581064999999995</v>
      </c>
      <c r="AG14" s="39"/>
      <c r="AH14" s="1">
        <v>175</v>
      </c>
      <c r="AI14" s="1" t="s">
        <v>34</v>
      </c>
      <c r="AJ14" s="5">
        <v>1.7108244720912109</v>
      </c>
      <c r="AL14" s="1">
        <v>175</v>
      </c>
      <c r="AM14" s="1" t="s">
        <v>34</v>
      </c>
      <c r="AN14" s="4">
        <v>18.5</v>
      </c>
      <c r="AO14" s="39"/>
      <c r="BZ14" s="39"/>
      <c r="CA14" s="1" t="s">
        <v>71</v>
      </c>
      <c r="CB14" s="36">
        <v>340.09640000000002</v>
      </c>
      <c r="CD14" s="1" t="s">
        <v>4</v>
      </c>
      <c r="CE14" s="36">
        <v>1.9123811000000002</v>
      </c>
      <c r="CJ14" s="1" t="s">
        <v>56</v>
      </c>
      <c r="CK14" s="52">
        <v>4.0000000000000029E-2</v>
      </c>
      <c r="CO14" s="39"/>
    </row>
    <row r="15" spans="1:93" x14ac:dyDescent="0.3">
      <c r="A15" s="39"/>
      <c r="B15" s="1">
        <v>8</v>
      </c>
      <c r="C15" s="1" t="s">
        <v>87</v>
      </c>
      <c r="D15" s="4">
        <v>17237.347600000001</v>
      </c>
      <c r="E15" s="4"/>
      <c r="F15" s="1">
        <v>8</v>
      </c>
      <c r="G15" s="1" t="s">
        <v>87</v>
      </c>
      <c r="H15" s="4">
        <v>12.946484</v>
      </c>
      <c r="I15" s="39"/>
      <c r="J15" s="1">
        <v>8</v>
      </c>
      <c r="K15" s="1" t="s">
        <v>87</v>
      </c>
      <c r="L15" s="5">
        <v>0.12</v>
      </c>
      <c r="M15" s="5"/>
      <c r="N15" s="1">
        <v>8</v>
      </c>
      <c r="O15" s="1" t="s">
        <v>87</v>
      </c>
      <c r="P15" s="53">
        <v>30</v>
      </c>
      <c r="Q15" s="39"/>
      <c r="R15" t="s">
        <v>44</v>
      </c>
      <c r="S15" s="36">
        <v>0.88970000000000005</v>
      </c>
      <c r="T15"/>
      <c r="U15" t="s">
        <v>44</v>
      </c>
      <c r="V15" s="30">
        <v>1.6951290293147386E-2</v>
      </c>
      <c r="W15" s="39"/>
      <c r="X15" s="25" t="s">
        <v>141</v>
      </c>
      <c r="Z15" s="1">
        <v>174</v>
      </c>
      <c r="AA15" s="1" t="s">
        <v>366</v>
      </c>
      <c r="AB15" s="4">
        <v>0</v>
      </c>
      <c r="AC15" s="4"/>
      <c r="AD15" s="1">
        <v>174</v>
      </c>
      <c r="AE15" s="1" t="s">
        <v>366</v>
      </c>
      <c r="AF15" s="4">
        <v>0.533891</v>
      </c>
      <c r="AG15" s="39"/>
      <c r="AH15" s="1">
        <v>174</v>
      </c>
      <c r="AI15" s="1" t="s">
        <v>366</v>
      </c>
      <c r="AJ15" s="5">
        <v>2.8323005171946442E-4</v>
      </c>
      <c r="AL15" s="1">
        <v>174</v>
      </c>
      <c r="AM15" s="1" t="s">
        <v>366</v>
      </c>
      <c r="AN15" s="4">
        <v>1</v>
      </c>
      <c r="AO15" s="39"/>
      <c r="BZ15" s="39"/>
      <c r="CA15" s="1" t="s">
        <v>513</v>
      </c>
      <c r="CB15" s="36">
        <v>2.7300000000000004</v>
      </c>
      <c r="CD15" s="1" t="s">
        <v>71</v>
      </c>
      <c r="CE15" s="36">
        <v>0.83182498000000005</v>
      </c>
      <c r="CH15" s="52"/>
      <c r="CO15" s="39"/>
    </row>
    <row r="16" spans="1:93" x14ac:dyDescent="0.3">
      <c r="A16" s="39"/>
      <c r="B16" s="1">
        <v>9</v>
      </c>
      <c r="C16" s="1" t="s">
        <v>90</v>
      </c>
      <c r="D16" s="4">
        <v>2777.2772</v>
      </c>
      <c r="E16" s="4"/>
      <c r="F16" s="1">
        <v>9</v>
      </c>
      <c r="G16" s="1" t="s">
        <v>90</v>
      </c>
      <c r="H16" s="4">
        <v>4.0569119999999996</v>
      </c>
      <c r="I16" s="39"/>
      <c r="J16" s="1">
        <v>9</v>
      </c>
      <c r="K16" s="1" t="s">
        <v>90</v>
      </c>
      <c r="L16" s="5">
        <v>0.14000000000000001</v>
      </c>
      <c r="M16" s="5"/>
      <c r="N16" s="1">
        <v>9</v>
      </c>
      <c r="O16" s="1" t="s">
        <v>90</v>
      </c>
      <c r="P16" s="53">
        <v>72</v>
      </c>
      <c r="Q16" s="39"/>
      <c r="R16" t="s">
        <v>2</v>
      </c>
      <c r="S16" s="36">
        <v>1.9610000000000001</v>
      </c>
      <c r="T16"/>
      <c r="U16" t="s">
        <v>2</v>
      </c>
      <c r="V16" s="30">
        <v>1.1674623358397021E-2</v>
      </c>
      <c r="W16" s="39"/>
      <c r="X16" s="25" t="s">
        <v>39</v>
      </c>
      <c r="Z16" s="1">
        <v>169</v>
      </c>
      <c r="AA16" s="1" t="s">
        <v>33</v>
      </c>
      <c r="AB16" s="4">
        <v>2256.5500000000002</v>
      </c>
      <c r="AC16" s="4"/>
      <c r="AD16" s="1">
        <v>169</v>
      </c>
      <c r="AE16" s="1" t="s">
        <v>33</v>
      </c>
      <c r="AF16" s="4">
        <v>1.5143709999999999</v>
      </c>
      <c r="AG16" s="39"/>
      <c r="AH16" s="1">
        <v>169</v>
      </c>
      <c r="AI16" s="1" t="s">
        <v>33</v>
      </c>
      <c r="AJ16" s="5">
        <v>4.8202578052725037E-3</v>
      </c>
      <c r="AL16" s="1">
        <v>169</v>
      </c>
      <c r="AM16" s="1" t="s">
        <v>33</v>
      </c>
      <c r="AN16" s="4">
        <v>3.5</v>
      </c>
      <c r="AO16" s="39"/>
      <c r="BZ16" s="39"/>
      <c r="CA16" s="1" t="s">
        <v>117</v>
      </c>
      <c r="CB16" s="36">
        <v>1368.1928400000002</v>
      </c>
      <c r="CD16" s="1" t="s">
        <v>513</v>
      </c>
      <c r="CE16" s="36">
        <v>1.0428600000000001E-3</v>
      </c>
      <c r="CO16" s="39"/>
    </row>
    <row r="17" spans="1:93" x14ac:dyDescent="0.3">
      <c r="A17" s="39"/>
      <c r="B17" s="1">
        <v>10</v>
      </c>
      <c r="C17" s="1" t="s">
        <v>6</v>
      </c>
      <c r="D17" s="4">
        <v>2033.3739</v>
      </c>
      <c r="E17" s="4"/>
      <c r="F17" s="1">
        <v>10</v>
      </c>
      <c r="G17" s="1" t="s">
        <v>6</v>
      </c>
      <c r="H17" s="4">
        <v>8.9740669999999998</v>
      </c>
      <c r="I17" s="39"/>
      <c r="J17" s="1">
        <v>10</v>
      </c>
      <c r="K17" s="1" t="s">
        <v>6</v>
      </c>
      <c r="L17" s="5">
        <v>0.14000000000000001</v>
      </c>
      <c r="M17" s="5"/>
      <c r="N17" s="1">
        <v>10</v>
      </c>
      <c r="O17" s="1" t="s">
        <v>6</v>
      </c>
      <c r="P17" s="53">
        <v>45</v>
      </c>
      <c r="Q17" s="39"/>
      <c r="R17" t="s">
        <v>8</v>
      </c>
      <c r="S17" s="36">
        <v>4.9009999999999998</v>
      </c>
      <c r="T17"/>
      <c r="U17" t="s">
        <v>8</v>
      </c>
      <c r="V17" s="30">
        <v>2.2441761060335613E-2</v>
      </c>
      <c r="W17" s="39"/>
      <c r="X17" s="25" t="s">
        <v>145</v>
      </c>
      <c r="Z17" s="1">
        <v>164</v>
      </c>
      <c r="AA17" s="1" t="s">
        <v>32</v>
      </c>
      <c r="AB17" s="4">
        <v>84.778999999999996</v>
      </c>
      <c r="AC17" s="4"/>
      <c r="AD17" s="1">
        <v>164</v>
      </c>
      <c r="AE17" s="1" t="s">
        <v>32</v>
      </c>
      <c r="AF17" s="4">
        <v>2.1923210000000002</v>
      </c>
      <c r="AG17" s="39"/>
      <c r="AH17" s="1">
        <v>164</v>
      </c>
      <c r="AI17" s="1" t="s">
        <v>32</v>
      </c>
      <c r="AJ17" s="5">
        <v>1.163029888527186E-2</v>
      </c>
      <c r="AL17" s="1">
        <v>164</v>
      </c>
      <c r="AM17" s="1" t="s">
        <v>32</v>
      </c>
      <c r="AN17" s="4">
        <v>5.5</v>
      </c>
      <c r="AO17" s="39"/>
      <c r="BZ17" s="39"/>
      <c r="CA17" s="1" t="s">
        <v>74</v>
      </c>
      <c r="CB17" s="36">
        <v>8.6379999999999999</v>
      </c>
      <c r="CD17" s="1" t="s">
        <v>117</v>
      </c>
      <c r="CE17" s="36">
        <v>0.8196909</v>
      </c>
      <c r="CO17" s="39"/>
    </row>
    <row r="18" spans="1:93" x14ac:dyDescent="0.3">
      <c r="A18" s="39"/>
      <c r="B18" s="1">
        <v>11</v>
      </c>
      <c r="C18" s="1" t="s">
        <v>7</v>
      </c>
      <c r="D18" s="4">
        <v>3013.3056999999999</v>
      </c>
      <c r="E18" s="4"/>
      <c r="F18" s="1">
        <v>11</v>
      </c>
      <c r="G18" s="1" t="s">
        <v>7</v>
      </c>
      <c r="H18" s="4">
        <v>7.2834260000000004</v>
      </c>
      <c r="I18" s="39"/>
      <c r="J18" s="1">
        <v>11</v>
      </c>
      <c r="K18" s="1" t="s">
        <v>7</v>
      </c>
      <c r="L18" s="5">
        <v>0.14000000000000001</v>
      </c>
      <c r="M18" s="5"/>
      <c r="N18" s="1">
        <v>11</v>
      </c>
      <c r="O18" s="1" t="s">
        <v>7</v>
      </c>
      <c r="P18" s="53">
        <v>49</v>
      </c>
      <c r="Q18" s="39"/>
      <c r="R18" t="s">
        <v>48</v>
      </c>
      <c r="S18" s="36">
        <v>0.32800000000000001</v>
      </c>
      <c r="T18"/>
      <c r="U18" t="s">
        <v>48</v>
      </c>
      <c r="V18" s="30">
        <v>4.9588465845200368E-3</v>
      </c>
      <c r="W18" s="39"/>
      <c r="X18" s="25" t="s">
        <v>1</v>
      </c>
      <c r="Z18" s="1">
        <v>163</v>
      </c>
      <c r="AA18" s="1" t="s">
        <v>31</v>
      </c>
      <c r="AB18" s="4">
        <v>136</v>
      </c>
      <c r="AC18" s="4"/>
      <c r="AD18" s="1">
        <v>163</v>
      </c>
      <c r="AE18" s="1" t="s">
        <v>31</v>
      </c>
      <c r="AF18" s="4">
        <v>0.21859100000000001</v>
      </c>
      <c r="AG18" s="39"/>
      <c r="AH18" s="1">
        <v>163</v>
      </c>
      <c r="AI18" s="1" t="s">
        <v>31</v>
      </c>
      <c r="AJ18" s="5">
        <v>4.6385153700219292E-4</v>
      </c>
      <c r="AL18" s="1">
        <v>163</v>
      </c>
      <c r="AM18" s="1" t="s">
        <v>31</v>
      </c>
      <c r="AN18" s="4">
        <v>2.5</v>
      </c>
      <c r="AO18" s="39"/>
      <c r="BZ18" s="39"/>
      <c r="CA18" s="1" t="s">
        <v>84</v>
      </c>
      <c r="CB18" s="36">
        <v>153.37350000000004</v>
      </c>
      <c r="CD18" s="1" t="s">
        <v>74</v>
      </c>
      <c r="CE18" s="36">
        <v>2.9392020000000005E-2</v>
      </c>
      <c r="CO18" s="39"/>
    </row>
    <row r="19" spans="1:93" x14ac:dyDescent="0.3">
      <c r="A19" s="39"/>
      <c r="B19" s="1">
        <v>12</v>
      </c>
      <c r="C19" s="1" t="s">
        <v>96</v>
      </c>
      <c r="D19" s="4">
        <v>1269.9544000000001</v>
      </c>
      <c r="E19" s="4"/>
      <c r="F19" s="1">
        <v>12</v>
      </c>
      <c r="G19" s="1" t="s">
        <v>96</v>
      </c>
      <c r="H19" s="4">
        <v>2.145273</v>
      </c>
      <c r="I19" s="39"/>
      <c r="J19" s="1">
        <v>12</v>
      </c>
      <c r="K19" s="1" t="s">
        <v>96</v>
      </c>
      <c r="L19" s="5">
        <v>0.11</v>
      </c>
      <c r="M19" s="5"/>
      <c r="N19" s="1">
        <v>12</v>
      </c>
      <c r="O19" s="1" t="s">
        <v>96</v>
      </c>
      <c r="P19" s="53">
        <v>82</v>
      </c>
      <c r="Q19" s="39"/>
      <c r="R19" t="s">
        <v>49</v>
      </c>
      <c r="S19" s="36">
        <v>0.14299999999999999</v>
      </c>
      <c r="T19"/>
      <c r="U19" t="s">
        <v>49</v>
      </c>
      <c r="V19" s="30">
        <v>1.1178535358665947E-2</v>
      </c>
      <c r="W19" s="39"/>
      <c r="X19" s="25" t="s">
        <v>40</v>
      </c>
      <c r="Z19" s="1">
        <v>160</v>
      </c>
      <c r="AA19" s="1" t="s">
        <v>156</v>
      </c>
      <c r="AB19" s="4">
        <v>1</v>
      </c>
      <c r="AC19" s="4"/>
      <c r="AD19" s="1">
        <v>160</v>
      </c>
      <c r="AE19" s="1" t="s">
        <v>156</v>
      </c>
      <c r="AF19" s="4">
        <v>1.0150000000000001E-3</v>
      </c>
      <c r="AG19" s="39"/>
      <c r="AH19" s="1">
        <v>160</v>
      </c>
      <c r="AI19" s="1" t="s">
        <v>156</v>
      </c>
      <c r="AJ19" s="5">
        <v>5.3845916581335217E-7</v>
      </c>
      <c r="AL19" s="1">
        <v>160</v>
      </c>
      <c r="AM19" s="1" t="s">
        <v>156</v>
      </c>
      <c r="AN19" s="4">
        <v>1</v>
      </c>
      <c r="AO19" s="39"/>
      <c r="BZ19" s="39"/>
      <c r="CA19" s="1" t="s">
        <v>542</v>
      </c>
      <c r="CB19" s="36">
        <v>2.1000000000000005E-2</v>
      </c>
      <c r="CD19" s="1" t="s">
        <v>84</v>
      </c>
      <c r="CE19" s="36">
        <v>0.15530942</v>
      </c>
      <c r="CO19" s="39"/>
    </row>
    <row r="20" spans="1:93" x14ac:dyDescent="0.3">
      <c r="A20" s="39"/>
      <c r="B20" s="1">
        <v>13</v>
      </c>
      <c r="C20" s="1" t="s">
        <v>99</v>
      </c>
      <c r="D20" s="4">
        <v>215.01900000000001</v>
      </c>
      <c r="E20" s="4"/>
      <c r="F20" s="1">
        <v>13</v>
      </c>
      <c r="G20" s="1" t="s">
        <v>99</v>
      </c>
      <c r="H20" s="4">
        <v>0.13506599999999999</v>
      </c>
      <c r="I20" s="39"/>
      <c r="J20" s="1">
        <v>13</v>
      </c>
      <c r="K20" s="1" t="s">
        <v>99</v>
      </c>
      <c r="L20" s="5">
        <v>0.04</v>
      </c>
      <c r="M20" s="5"/>
      <c r="N20" s="1">
        <v>13</v>
      </c>
      <c r="O20" s="1" t="s">
        <v>99</v>
      </c>
      <c r="P20" s="53">
        <v>304</v>
      </c>
      <c r="Q20" s="39"/>
      <c r="R20" t="s">
        <v>51</v>
      </c>
      <c r="S20" s="36">
        <v>4.0000000000000001E-3</v>
      </c>
      <c r="T20"/>
      <c r="U20" t="s">
        <v>51</v>
      </c>
      <c r="V20" s="30">
        <v>0.25769345655074266</v>
      </c>
      <c r="W20" s="39"/>
      <c r="X20" s="25" t="s">
        <v>269</v>
      </c>
      <c r="Z20" s="1">
        <v>159</v>
      </c>
      <c r="AA20" s="1" t="s">
        <v>30</v>
      </c>
      <c r="AB20" s="4">
        <v>6047.2361999999985</v>
      </c>
      <c r="AC20" s="4"/>
      <c r="AD20" s="1">
        <v>159</v>
      </c>
      <c r="AE20" s="1" t="s">
        <v>30</v>
      </c>
      <c r="AF20" s="4">
        <v>11.517753000000001</v>
      </c>
      <c r="AG20" s="39"/>
      <c r="AH20" s="1">
        <v>159</v>
      </c>
      <c r="AI20" s="1" t="s">
        <v>30</v>
      </c>
      <c r="AJ20" s="5">
        <v>0.17719541921212092</v>
      </c>
      <c r="AL20" s="1">
        <v>159</v>
      </c>
      <c r="AM20" s="1" t="s">
        <v>30</v>
      </c>
      <c r="AN20" s="4">
        <v>15</v>
      </c>
      <c r="AO20" s="39"/>
      <c r="BZ20" s="39"/>
      <c r="CA20" s="1" t="s">
        <v>108</v>
      </c>
      <c r="CB20" s="36">
        <v>33.936</v>
      </c>
      <c r="CD20" s="1" t="s">
        <v>542</v>
      </c>
      <c r="CE20" s="36">
        <v>4.4100000000000004E-4</v>
      </c>
      <c r="CO20" s="39"/>
    </row>
    <row r="21" spans="1:93" x14ac:dyDescent="0.3">
      <c r="A21" s="39"/>
      <c r="B21" s="1">
        <v>14</v>
      </c>
      <c r="C21" s="1" t="s">
        <v>102</v>
      </c>
      <c r="D21" s="4">
        <v>13115.268</v>
      </c>
      <c r="E21" s="4"/>
      <c r="F21" s="1">
        <v>14</v>
      </c>
      <c r="G21" s="1" t="s">
        <v>102</v>
      </c>
      <c r="H21" s="4">
        <v>5.2675520000000002</v>
      </c>
      <c r="I21" s="39"/>
      <c r="J21" s="1">
        <v>14</v>
      </c>
      <c r="K21" s="1" t="s">
        <v>102</v>
      </c>
      <c r="L21" s="5">
        <v>0.11</v>
      </c>
      <c r="M21" s="5"/>
      <c r="N21" s="1">
        <v>14</v>
      </c>
      <c r="O21" s="1" t="s">
        <v>102</v>
      </c>
      <c r="P21" s="53">
        <v>41</v>
      </c>
      <c r="Q21" s="39"/>
      <c r="R21" t="s">
        <v>53</v>
      </c>
      <c r="S21" s="36">
        <v>3.8759999999999999</v>
      </c>
      <c r="T21"/>
      <c r="U21" t="s">
        <v>53</v>
      </c>
      <c r="V21" s="30">
        <v>1.4561232389604124E-2</v>
      </c>
      <c r="W21" s="39"/>
      <c r="X21" s="25" t="s">
        <v>41</v>
      </c>
      <c r="Z21" s="1">
        <v>156</v>
      </c>
      <c r="AA21" s="1" t="s">
        <v>29</v>
      </c>
      <c r="AB21" s="4">
        <v>79.420899999999989</v>
      </c>
      <c r="AC21" s="4"/>
      <c r="AD21" s="1">
        <v>156</v>
      </c>
      <c r="AE21" s="1" t="s">
        <v>29</v>
      </c>
      <c r="AF21" s="4">
        <v>0.26074799999999998</v>
      </c>
      <c r="AG21" s="39"/>
      <c r="AH21" s="1">
        <v>156</v>
      </c>
      <c r="AI21" s="1" t="s">
        <v>29</v>
      </c>
      <c r="AJ21" s="5">
        <v>9.6829069356896497E-4</v>
      </c>
      <c r="AL21" s="1">
        <v>156</v>
      </c>
      <c r="AM21" s="1" t="s">
        <v>29</v>
      </c>
      <c r="AN21" s="4">
        <v>4</v>
      </c>
      <c r="AO21" s="39"/>
      <c r="BZ21" s="39"/>
      <c r="CA21" s="1" t="s">
        <v>65</v>
      </c>
      <c r="CB21" s="36">
        <v>115.21664000000001</v>
      </c>
      <c r="CD21" s="1" t="s">
        <v>108</v>
      </c>
      <c r="CE21" s="36">
        <v>3.3919200000000004E-2</v>
      </c>
      <c r="CO21" s="39"/>
    </row>
    <row r="22" spans="1:93" x14ac:dyDescent="0.3">
      <c r="A22" s="39"/>
      <c r="B22" s="1">
        <v>15</v>
      </c>
      <c r="C22" s="1" t="s">
        <v>65</v>
      </c>
      <c r="D22" s="4">
        <v>17243.671100000003</v>
      </c>
      <c r="E22" s="4"/>
      <c r="F22" s="1">
        <v>15</v>
      </c>
      <c r="G22" s="1" t="s">
        <v>65</v>
      </c>
      <c r="H22" s="4">
        <v>24.442250000000001</v>
      </c>
      <c r="I22" s="39"/>
      <c r="J22" s="1">
        <v>15</v>
      </c>
      <c r="K22" s="1" t="s">
        <v>65</v>
      </c>
      <c r="L22" s="5">
        <v>0.23</v>
      </c>
      <c r="M22" s="5"/>
      <c r="N22" s="1">
        <v>15</v>
      </c>
      <c r="O22" s="1" t="s">
        <v>65</v>
      </c>
      <c r="P22" s="53">
        <v>19</v>
      </c>
      <c r="Q22" s="39"/>
      <c r="R22" t="s">
        <v>55</v>
      </c>
      <c r="S22" s="36">
        <v>0.42499999999999999</v>
      </c>
      <c r="T22"/>
      <c r="U22" t="s">
        <v>55</v>
      </c>
      <c r="V22" s="30">
        <v>6.3855771678493602E-3</v>
      </c>
      <c r="W22" s="39"/>
      <c r="X22" s="25" t="s">
        <v>42</v>
      </c>
      <c r="Z22" s="1">
        <v>153</v>
      </c>
      <c r="AA22" s="1" t="s">
        <v>151</v>
      </c>
      <c r="AB22" s="4">
        <v>19.085099999999997</v>
      </c>
      <c r="AC22" s="4"/>
      <c r="AD22" s="1">
        <v>153</v>
      </c>
      <c r="AE22" s="1" t="s">
        <v>151</v>
      </c>
      <c r="AF22" s="4">
        <v>0.106306</v>
      </c>
      <c r="AG22" s="39"/>
      <c r="AH22" s="1">
        <v>153</v>
      </c>
      <c r="AI22" s="1" t="s">
        <v>151</v>
      </c>
      <c r="AJ22" s="5">
        <v>2.2558202987568162E-4</v>
      </c>
      <c r="AL22" s="1">
        <v>153</v>
      </c>
      <c r="AM22" s="1" t="s">
        <v>151</v>
      </c>
      <c r="AN22" s="4">
        <v>2.5</v>
      </c>
      <c r="AO22" s="39"/>
      <c r="BZ22" s="39"/>
      <c r="CA22" s="1" t="s">
        <v>111</v>
      </c>
      <c r="CB22" s="36">
        <v>20.442660000000004</v>
      </c>
      <c r="CD22" s="1" t="s">
        <v>65</v>
      </c>
      <c r="CE22" s="36">
        <v>0.21948864000000001</v>
      </c>
      <c r="CO22" s="39"/>
    </row>
    <row r="23" spans="1:93" x14ac:dyDescent="0.3">
      <c r="A23" s="39"/>
      <c r="B23" s="1">
        <v>16</v>
      </c>
      <c r="C23" s="1" t="s">
        <v>108</v>
      </c>
      <c r="D23" s="4">
        <v>4015.4187999999999</v>
      </c>
      <c r="E23" s="4"/>
      <c r="F23" s="1">
        <v>16</v>
      </c>
      <c r="G23" s="1" t="s">
        <v>108</v>
      </c>
      <c r="H23" s="4">
        <v>5.2576210000000003</v>
      </c>
      <c r="I23" s="39"/>
      <c r="J23" s="1">
        <v>16</v>
      </c>
      <c r="K23" s="1" t="s">
        <v>108</v>
      </c>
      <c r="L23" s="5">
        <v>0.14000000000000001</v>
      </c>
      <c r="M23" s="5"/>
      <c r="N23" s="1">
        <v>16</v>
      </c>
      <c r="O23" s="1" t="s">
        <v>108</v>
      </c>
      <c r="P23" s="53">
        <v>55</v>
      </c>
      <c r="Q23" s="39"/>
      <c r="R23" t="s">
        <v>27</v>
      </c>
      <c r="S23" s="36">
        <v>82.8</v>
      </c>
      <c r="T23"/>
      <c r="U23" t="s">
        <v>27</v>
      </c>
      <c r="V23" s="30">
        <v>9.709938116315122E-3</v>
      </c>
      <c r="W23" s="39"/>
      <c r="X23" s="25" t="s">
        <v>43</v>
      </c>
      <c r="Z23" s="1">
        <v>152</v>
      </c>
      <c r="AA23" s="1" t="s">
        <v>153</v>
      </c>
      <c r="AB23" s="4">
        <v>708.75</v>
      </c>
      <c r="AC23" s="4"/>
      <c r="AD23" s="1">
        <v>152</v>
      </c>
      <c r="AE23" s="1" t="s">
        <v>153</v>
      </c>
      <c r="AF23" s="4">
        <v>0.643015</v>
      </c>
      <c r="AG23" s="39"/>
      <c r="AH23" s="1">
        <v>152</v>
      </c>
      <c r="AI23" s="1" t="s">
        <v>153</v>
      </c>
      <c r="AJ23" s="5">
        <v>6.8224102562654699E-4</v>
      </c>
      <c r="AL23" s="1">
        <v>152</v>
      </c>
      <c r="AM23" s="1" t="s">
        <v>153</v>
      </c>
      <c r="AN23" s="4">
        <v>1.5</v>
      </c>
      <c r="AO23" s="39"/>
      <c r="BZ23" s="39"/>
      <c r="CA23" s="1" t="s">
        <v>131</v>
      </c>
      <c r="CB23" s="36">
        <v>24.559080000000002</v>
      </c>
      <c r="CD23" s="1" t="s">
        <v>111</v>
      </c>
      <c r="CE23" s="36">
        <v>4.0718440000000002E-2</v>
      </c>
      <c r="CO23" s="39"/>
    </row>
    <row r="24" spans="1:93" x14ac:dyDescent="0.3">
      <c r="A24" s="39"/>
      <c r="B24" s="1">
        <v>17</v>
      </c>
      <c r="C24" s="1" t="s">
        <v>111</v>
      </c>
      <c r="D24" s="4">
        <v>3811.7805999999996</v>
      </c>
      <c r="E24" s="4"/>
      <c r="F24" s="1">
        <v>17</v>
      </c>
      <c r="G24" s="1" t="s">
        <v>111</v>
      </c>
      <c r="H24" s="4">
        <v>8.2651599999999998</v>
      </c>
      <c r="I24" s="39"/>
      <c r="J24" s="1">
        <v>17</v>
      </c>
      <c r="K24" s="1" t="s">
        <v>111</v>
      </c>
      <c r="L24" s="5">
        <v>0.17</v>
      </c>
      <c r="M24" s="5"/>
      <c r="N24" s="1">
        <v>17</v>
      </c>
      <c r="O24" s="1" t="s">
        <v>111</v>
      </c>
      <c r="P24" s="53">
        <v>51</v>
      </c>
      <c r="Q24" s="39"/>
      <c r="R24" t="s">
        <v>28</v>
      </c>
      <c r="S24" s="36">
        <v>39.340000000000003</v>
      </c>
      <c r="T24"/>
      <c r="U24" t="s">
        <v>28</v>
      </c>
      <c r="V24" s="30">
        <v>8.2796770445636432E-4</v>
      </c>
      <c r="W24" s="39"/>
      <c r="X24" s="25" t="s">
        <v>142</v>
      </c>
      <c r="Z24" s="1">
        <v>151</v>
      </c>
      <c r="AA24" s="1" t="s">
        <v>28</v>
      </c>
      <c r="AB24" s="4">
        <v>1866.4731000000002</v>
      </c>
      <c r="AC24" s="4"/>
      <c r="AD24" s="1">
        <v>151</v>
      </c>
      <c r="AE24" s="1" t="s">
        <v>28</v>
      </c>
      <c r="AF24" s="4">
        <v>1.5607260000000001</v>
      </c>
      <c r="AG24" s="39"/>
      <c r="AH24" s="1">
        <v>151</v>
      </c>
      <c r="AI24" s="1" t="s">
        <v>28</v>
      </c>
      <c r="AJ24" s="5">
        <v>6.6237416356509154E-3</v>
      </c>
      <c r="AL24" s="1">
        <v>151</v>
      </c>
      <c r="AM24" s="1" t="s">
        <v>28</v>
      </c>
      <c r="AN24" s="4">
        <v>4.5</v>
      </c>
      <c r="AO24" s="39"/>
      <c r="BZ24" s="39"/>
      <c r="CA24" s="1" t="s">
        <v>555</v>
      </c>
      <c r="CB24" s="36">
        <v>651.70350000000008</v>
      </c>
      <c r="CD24" s="1" t="s">
        <v>560</v>
      </c>
      <c r="CE24" s="36">
        <v>2.3702754600000002</v>
      </c>
      <c r="CO24" s="39"/>
    </row>
    <row r="25" spans="1:93" x14ac:dyDescent="0.3">
      <c r="A25" s="39"/>
      <c r="B25" s="1">
        <v>18</v>
      </c>
      <c r="C25" s="1" t="s">
        <v>114</v>
      </c>
      <c r="D25" s="4">
        <v>6904.6133</v>
      </c>
      <c r="E25" s="4"/>
      <c r="F25" s="1">
        <v>18</v>
      </c>
      <c r="G25" s="1" t="s">
        <v>114</v>
      </c>
      <c r="H25" s="4">
        <v>4.8564600000000002</v>
      </c>
      <c r="I25" s="39"/>
      <c r="J25" s="1">
        <v>18</v>
      </c>
      <c r="K25" s="1" t="s">
        <v>114</v>
      </c>
      <c r="L25" s="5">
        <v>7.0000000000000007E-2</v>
      </c>
      <c r="M25" s="5"/>
      <c r="N25" s="1">
        <v>18</v>
      </c>
      <c r="O25" s="1" t="s">
        <v>114</v>
      </c>
      <c r="P25" s="53">
        <v>62</v>
      </c>
      <c r="Q25" s="39"/>
      <c r="R25" t="s">
        <v>34</v>
      </c>
      <c r="S25" s="36">
        <v>5</v>
      </c>
      <c r="T25"/>
      <c r="U25" t="s">
        <v>34</v>
      </c>
      <c r="V25" s="30">
        <v>4.7522902002533667E-2</v>
      </c>
      <c r="W25" s="39"/>
      <c r="X25" s="25" t="s">
        <v>44</v>
      </c>
      <c r="Z25" s="1">
        <v>148</v>
      </c>
      <c r="AA25" s="1" t="s">
        <v>155</v>
      </c>
      <c r="AB25" s="4">
        <v>189.72499999999999</v>
      </c>
      <c r="AC25" s="4"/>
      <c r="AD25" s="1">
        <v>148</v>
      </c>
      <c r="AE25" s="1" t="s">
        <v>155</v>
      </c>
      <c r="AF25" s="4">
        <v>3.8216E-2</v>
      </c>
      <c r="AG25" s="39"/>
      <c r="AH25" s="1">
        <v>148</v>
      </c>
      <c r="AI25" s="1" t="s">
        <v>155</v>
      </c>
      <c r="AJ25" s="5">
        <v>4.05473014398484E-5</v>
      </c>
      <c r="AL25" s="1">
        <v>148</v>
      </c>
      <c r="AM25" s="1" t="s">
        <v>155</v>
      </c>
      <c r="AN25" s="4">
        <v>1.5</v>
      </c>
      <c r="AO25" s="39"/>
      <c r="BZ25" s="39"/>
      <c r="CA25" s="1" t="s">
        <v>87</v>
      </c>
      <c r="CB25" s="36">
        <v>526.37886000000015</v>
      </c>
      <c r="CD25" s="1" t="s">
        <v>131</v>
      </c>
      <c r="CE25" s="36">
        <v>0.63661150000000011</v>
      </c>
      <c r="CO25" s="39"/>
    </row>
    <row r="26" spans="1:93" x14ac:dyDescent="0.3">
      <c r="A26" s="39"/>
      <c r="B26" s="1">
        <v>19</v>
      </c>
      <c r="C26" s="1" t="s">
        <v>117</v>
      </c>
      <c r="D26" s="4">
        <v>12795.612499999999</v>
      </c>
      <c r="E26" s="4"/>
      <c r="F26" s="1">
        <v>19</v>
      </c>
      <c r="G26" s="1" t="s">
        <v>117</v>
      </c>
      <c r="H26" s="4">
        <v>7.9321080000000004</v>
      </c>
      <c r="I26" s="39"/>
      <c r="J26" s="1">
        <v>19</v>
      </c>
      <c r="K26" s="1" t="s">
        <v>117</v>
      </c>
      <c r="L26" s="5">
        <v>0.09</v>
      </c>
      <c r="M26" s="5"/>
      <c r="N26" s="1">
        <v>19</v>
      </c>
      <c r="O26" s="1" t="s">
        <v>117</v>
      </c>
      <c r="P26" s="53">
        <v>28</v>
      </c>
      <c r="Q26" s="39"/>
      <c r="R26" t="s">
        <v>56</v>
      </c>
      <c r="S26" s="36">
        <v>0.8</v>
      </c>
      <c r="T26"/>
      <c r="U26" t="s">
        <v>56</v>
      </c>
      <c r="V26" s="30">
        <v>9.425427433633813E-3</v>
      </c>
      <c r="W26" s="39"/>
      <c r="X26" s="25" t="s">
        <v>2</v>
      </c>
      <c r="Z26" s="1">
        <v>146</v>
      </c>
      <c r="AA26" s="1" t="s">
        <v>27</v>
      </c>
      <c r="AB26" s="4">
        <v>21963.4372</v>
      </c>
      <c r="AC26" s="4"/>
      <c r="AD26" s="1">
        <v>146</v>
      </c>
      <c r="AE26" s="1" t="s">
        <v>27</v>
      </c>
      <c r="AF26" s="4">
        <v>18.303314</v>
      </c>
      <c r="AG26" s="39"/>
      <c r="AH26" s="1">
        <v>146</v>
      </c>
      <c r="AI26" s="1" t="s">
        <v>27</v>
      </c>
      <c r="AJ26" s="5">
        <v>0.13593913362841173</v>
      </c>
      <c r="AL26" s="1">
        <v>146</v>
      </c>
      <c r="AM26" s="1" t="s">
        <v>27</v>
      </c>
      <c r="AN26" s="4">
        <v>7.5</v>
      </c>
      <c r="AO26" s="39"/>
      <c r="BZ26" s="39"/>
      <c r="CA26" s="1" t="s">
        <v>6</v>
      </c>
      <c r="CB26" s="36">
        <v>183.89714000000001</v>
      </c>
      <c r="CD26" s="1" t="s">
        <v>555</v>
      </c>
      <c r="CE26" s="36">
        <v>0.37279144000000008</v>
      </c>
      <c r="CO26" s="39"/>
    </row>
    <row r="27" spans="1:93" x14ac:dyDescent="0.3">
      <c r="A27" s="39"/>
      <c r="B27" s="1">
        <v>20</v>
      </c>
      <c r="C27" s="1" t="s">
        <v>120</v>
      </c>
      <c r="D27" s="4">
        <v>70.275000000000006</v>
      </c>
      <c r="E27" s="4"/>
      <c r="F27" s="1">
        <v>20</v>
      </c>
      <c r="G27" s="1" t="s">
        <v>120</v>
      </c>
      <c r="H27" s="4">
        <v>3.6236999999999998E-2</v>
      </c>
      <c r="I27" s="39"/>
      <c r="J27" s="1">
        <v>20</v>
      </c>
      <c r="K27" s="1" t="s">
        <v>120</v>
      </c>
      <c r="L27" s="5">
        <v>0.02</v>
      </c>
      <c r="M27" s="5"/>
      <c r="N27" s="1">
        <v>20</v>
      </c>
      <c r="O27" s="1" t="s">
        <v>120</v>
      </c>
      <c r="P27" s="53">
        <v>352</v>
      </c>
      <c r="Q27" s="39"/>
      <c r="R27" t="s">
        <v>330</v>
      </c>
      <c r="S27" s="36">
        <v>2.5999999999999999E-2</v>
      </c>
      <c r="T27"/>
      <c r="U27" t="s">
        <v>330</v>
      </c>
      <c r="V27" s="30">
        <v>1.389484063100993E-2</v>
      </c>
      <c r="W27" s="39"/>
      <c r="X27" s="25" t="s">
        <v>45</v>
      </c>
      <c r="Z27" s="1">
        <v>137</v>
      </c>
      <c r="AA27" s="1" t="s">
        <v>340</v>
      </c>
      <c r="AB27" s="4">
        <v>200</v>
      </c>
      <c r="AC27" s="4"/>
      <c r="AD27" s="1">
        <v>137</v>
      </c>
      <c r="AE27" s="1" t="s">
        <v>340</v>
      </c>
      <c r="AF27" s="4">
        <v>7.4524000000000007E-2</v>
      </c>
      <c r="AG27" s="39"/>
      <c r="AH27" s="1">
        <v>137</v>
      </c>
      <c r="AI27" s="1" t="s">
        <v>340</v>
      </c>
      <c r="AJ27" s="5">
        <v>3.953510430844754E-5</v>
      </c>
      <c r="AL27" s="1">
        <v>137</v>
      </c>
      <c r="AM27" s="1" t="s">
        <v>340</v>
      </c>
      <c r="AN27" s="4">
        <v>1</v>
      </c>
      <c r="AO27" s="39"/>
      <c r="BZ27" s="39"/>
      <c r="CA27" s="1" t="s">
        <v>518</v>
      </c>
      <c r="CB27" s="36">
        <v>3.2901400000000005</v>
      </c>
      <c r="CD27" s="1" t="s">
        <v>87</v>
      </c>
      <c r="CE27" s="36">
        <v>0.53265940000000001</v>
      </c>
      <c r="CO27" s="39"/>
    </row>
    <row r="28" spans="1:93" x14ac:dyDescent="0.3">
      <c r="A28" s="39"/>
      <c r="B28" s="1">
        <v>21</v>
      </c>
      <c r="C28" s="1" t="s">
        <v>122</v>
      </c>
      <c r="D28" s="4">
        <v>1740.2226000000001</v>
      </c>
      <c r="E28" s="4"/>
      <c r="F28" s="1">
        <v>21</v>
      </c>
      <c r="G28" s="1" t="s">
        <v>122</v>
      </c>
      <c r="H28" s="4">
        <v>14.532233</v>
      </c>
      <c r="I28" s="39"/>
      <c r="J28" s="1">
        <v>21</v>
      </c>
      <c r="K28" s="1" t="s">
        <v>122</v>
      </c>
      <c r="L28" s="5">
        <v>0.16</v>
      </c>
      <c r="M28" s="5"/>
      <c r="N28" s="1">
        <v>21</v>
      </c>
      <c r="O28" s="1" t="s">
        <v>122</v>
      </c>
      <c r="P28" s="53">
        <v>20</v>
      </c>
      <c r="Q28" s="39"/>
      <c r="S28"/>
      <c r="T28"/>
      <c r="W28" s="39"/>
      <c r="X28" s="25" t="s">
        <v>46</v>
      </c>
      <c r="Z28" s="1">
        <v>135</v>
      </c>
      <c r="AA28" s="1" t="s">
        <v>338</v>
      </c>
      <c r="AB28" s="4">
        <v>1.752</v>
      </c>
      <c r="AC28" s="4"/>
      <c r="AD28" s="1">
        <v>135</v>
      </c>
      <c r="AE28" s="1" t="s">
        <v>338</v>
      </c>
      <c r="AF28" s="4">
        <v>8.4729999999999996E-3</v>
      </c>
      <c r="AG28" s="39"/>
      <c r="AH28" s="1">
        <v>135</v>
      </c>
      <c r="AI28" s="1" t="s">
        <v>338</v>
      </c>
      <c r="AJ28" s="5">
        <v>4.4949404058488006E-6</v>
      </c>
      <c r="AL28" s="1">
        <v>135</v>
      </c>
      <c r="AM28" s="1"/>
      <c r="AN28" s="4">
        <v>1</v>
      </c>
      <c r="AO28" s="39"/>
      <c r="BZ28" s="39"/>
      <c r="CA28" s="1" t="s">
        <v>547</v>
      </c>
      <c r="CB28" s="36">
        <v>25.836706000000003</v>
      </c>
      <c r="CD28" s="1" t="s">
        <v>6</v>
      </c>
      <c r="CE28" s="36">
        <v>0.41306300000000007</v>
      </c>
      <c r="CO28" s="39"/>
    </row>
    <row r="29" spans="1:93" x14ac:dyDescent="0.3">
      <c r="A29" s="39"/>
      <c r="B29" s="1">
        <v>22</v>
      </c>
      <c r="C29" s="1" t="s">
        <v>125</v>
      </c>
      <c r="D29" s="4">
        <v>1293.0700000000002</v>
      </c>
      <c r="E29" s="4"/>
      <c r="F29" s="1">
        <v>22</v>
      </c>
      <c r="G29" s="1" t="s">
        <v>125</v>
      </c>
      <c r="H29" s="4">
        <v>53.776648000000002</v>
      </c>
      <c r="I29" s="39"/>
      <c r="J29" s="1">
        <v>22</v>
      </c>
      <c r="K29" s="1" t="s">
        <v>125</v>
      </c>
      <c r="L29" s="5">
        <v>0.19</v>
      </c>
      <c r="M29" s="5"/>
      <c r="N29" s="1">
        <v>22</v>
      </c>
      <c r="O29" s="1" t="s">
        <v>125</v>
      </c>
      <c r="P29" s="53">
        <v>8</v>
      </c>
      <c r="Q29" s="39"/>
      <c r="S29"/>
      <c r="T29"/>
      <c r="W29" s="39"/>
      <c r="X29" s="25" t="s">
        <v>8</v>
      </c>
      <c r="Z29" s="1">
        <v>134</v>
      </c>
      <c r="AA29" s="1" t="s">
        <v>55</v>
      </c>
      <c r="AB29" s="4">
        <v>18253.7261</v>
      </c>
      <c r="AC29" s="4"/>
      <c r="AD29" s="1">
        <v>134</v>
      </c>
      <c r="AE29" s="1" t="s">
        <v>55</v>
      </c>
      <c r="AF29" s="4">
        <v>12.036866</v>
      </c>
      <c r="AG29" s="39"/>
      <c r="AH29" s="1">
        <v>134</v>
      </c>
      <c r="AI29" s="1" t="s">
        <v>55</v>
      </c>
      <c r="AJ29" s="5">
        <v>7.0241348846342977E-2</v>
      </c>
      <c r="AL29" s="1">
        <v>134</v>
      </c>
      <c r="AM29" s="1" t="s">
        <v>55</v>
      </c>
      <c r="AN29" s="4">
        <v>6</v>
      </c>
      <c r="AO29" s="39"/>
      <c r="BZ29" s="39"/>
      <c r="CA29" s="1" t="s">
        <v>537</v>
      </c>
      <c r="CB29" s="36">
        <v>3.5000000000000005E-3</v>
      </c>
      <c r="CD29" s="1" t="s">
        <v>518</v>
      </c>
      <c r="CE29" s="36">
        <v>4.0580400000000006E-3</v>
      </c>
      <c r="CO29" s="39"/>
    </row>
    <row r="30" spans="1:93" x14ac:dyDescent="0.3">
      <c r="A30" s="39"/>
      <c r="B30" s="1">
        <v>23</v>
      </c>
      <c r="C30" s="1" t="s">
        <v>486</v>
      </c>
      <c r="D30" s="4">
        <v>10652.116400000001</v>
      </c>
      <c r="E30" s="4"/>
      <c r="F30" s="1">
        <v>23</v>
      </c>
      <c r="G30" s="1" t="s">
        <v>486</v>
      </c>
      <c r="H30" s="4">
        <v>11.020216</v>
      </c>
      <c r="I30" s="39"/>
      <c r="J30" s="1">
        <v>23</v>
      </c>
      <c r="K30" s="1" t="s">
        <v>486</v>
      </c>
      <c r="L30" s="5">
        <v>0.11</v>
      </c>
      <c r="M30" s="5"/>
      <c r="N30" s="1">
        <v>23</v>
      </c>
      <c r="O30" s="1" t="s">
        <v>486</v>
      </c>
      <c r="P30" s="53">
        <v>36</v>
      </c>
      <c r="Q30" s="39"/>
      <c r="S30"/>
      <c r="T30"/>
      <c r="W30" s="39"/>
      <c r="X30" s="25" t="s">
        <v>47</v>
      </c>
      <c r="Z30" s="1">
        <v>133</v>
      </c>
      <c r="AA30" s="1" t="s">
        <v>147</v>
      </c>
      <c r="AB30" s="4">
        <v>131.255</v>
      </c>
      <c r="AC30" s="4"/>
      <c r="AD30" s="1">
        <v>133</v>
      </c>
      <c r="AE30" s="1" t="s">
        <v>147</v>
      </c>
      <c r="AF30" s="4">
        <v>1.074786</v>
      </c>
      <c r="AG30" s="39"/>
      <c r="AH30" s="1">
        <v>133</v>
      </c>
      <c r="AI30" s="1" t="s">
        <v>147</v>
      </c>
      <c r="AJ30" s="5">
        <v>5.701757369338615E-4</v>
      </c>
      <c r="AL30" s="1">
        <v>133</v>
      </c>
      <c r="AM30" s="1" t="s">
        <v>147</v>
      </c>
      <c r="AN30" s="4">
        <v>1</v>
      </c>
      <c r="AO30" s="39"/>
      <c r="BZ30" s="39"/>
      <c r="CA30" s="1" t="s">
        <v>7</v>
      </c>
      <c r="CB30" s="36">
        <v>301.41649999999998</v>
      </c>
      <c r="CD30" s="1" t="s">
        <v>547</v>
      </c>
      <c r="CE30" s="36">
        <v>1.6363060000000002E-2</v>
      </c>
      <c r="CO30" s="39"/>
    </row>
    <row r="31" spans="1:93" x14ac:dyDescent="0.3">
      <c r="A31" s="39"/>
      <c r="B31" s="1">
        <v>24</v>
      </c>
      <c r="C31" s="1" t="s">
        <v>67</v>
      </c>
      <c r="D31" s="4">
        <v>219.37520000000001</v>
      </c>
      <c r="E31" s="4"/>
      <c r="F31" s="1">
        <v>24</v>
      </c>
      <c r="G31" s="1" t="s">
        <v>67</v>
      </c>
      <c r="H31" s="4">
        <v>1.2317020000000001</v>
      </c>
      <c r="I31" s="39"/>
      <c r="J31" s="1">
        <v>24</v>
      </c>
      <c r="K31" s="1" t="s">
        <v>67</v>
      </c>
      <c r="L31" s="5">
        <v>0.12</v>
      </c>
      <c r="M31" s="5"/>
      <c r="N31" s="1">
        <v>24</v>
      </c>
      <c r="O31" s="1" t="s">
        <v>67</v>
      </c>
      <c r="P31" s="53">
        <v>172</v>
      </c>
      <c r="Q31" s="39"/>
      <c r="S31"/>
      <c r="T31"/>
      <c r="W31" s="39"/>
      <c r="X31" s="25" t="s">
        <v>48</v>
      </c>
      <c r="Z31" s="1">
        <v>132</v>
      </c>
      <c r="AA31" s="1" t="s">
        <v>146</v>
      </c>
      <c r="AB31" s="4">
        <v>23</v>
      </c>
      <c r="AC31" s="4"/>
      <c r="AD31" s="1">
        <v>132</v>
      </c>
      <c r="AE31" s="1" t="s">
        <v>146</v>
      </c>
      <c r="AF31" s="4">
        <v>0.10009800000000001</v>
      </c>
      <c r="AG31" s="39"/>
      <c r="AH31" s="1">
        <v>132</v>
      </c>
      <c r="AI31" s="1" t="s">
        <v>146</v>
      </c>
      <c r="AJ31" s="5">
        <v>5.3102153280379235E-5</v>
      </c>
      <c r="AL31" s="1">
        <v>132</v>
      </c>
      <c r="AM31" s="1" t="s">
        <v>146</v>
      </c>
      <c r="AN31" s="4">
        <v>1</v>
      </c>
      <c r="AO31" s="39"/>
      <c r="BZ31" s="39"/>
      <c r="CA31" s="1" t="s">
        <v>552</v>
      </c>
      <c r="CB31" s="36">
        <v>142.92978000000002</v>
      </c>
      <c r="CD31" s="1" t="s">
        <v>537</v>
      </c>
      <c r="CE31" s="36">
        <v>9.912E-5</v>
      </c>
      <c r="CO31" s="39"/>
    </row>
    <row r="32" spans="1:93" x14ac:dyDescent="0.3">
      <c r="A32" s="39"/>
      <c r="B32" s="1">
        <v>25</v>
      </c>
      <c r="C32" s="1" t="s">
        <v>128</v>
      </c>
      <c r="D32" s="4">
        <v>12365.7426</v>
      </c>
      <c r="E32" s="4"/>
      <c r="F32" s="1">
        <v>25</v>
      </c>
      <c r="G32" s="1" t="s">
        <v>128</v>
      </c>
      <c r="H32" s="4">
        <v>11.733205999999999</v>
      </c>
      <c r="I32" s="39"/>
      <c r="J32" s="1">
        <v>25</v>
      </c>
      <c r="K32" s="1" t="s">
        <v>128</v>
      </c>
      <c r="L32" s="5">
        <v>0.2</v>
      </c>
      <c r="M32" s="5"/>
      <c r="N32" s="1">
        <v>25</v>
      </c>
      <c r="O32" s="1" t="s">
        <v>128</v>
      </c>
      <c r="P32" s="53">
        <v>31</v>
      </c>
      <c r="Q32" s="39"/>
      <c r="S32"/>
      <c r="T32"/>
      <c r="W32" s="39"/>
      <c r="X32" s="25" t="s">
        <v>296</v>
      </c>
      <c r="Z32" s="1">
        <v>127</v>
      </c>
      <c r="AA32" s="1" t="s">
        <v>54</v>
      </c>
      <c r="AB32" s="4">
        <v>1188.5999999999999</v>
      </c>
      <c r="AC32" s="4"/>
      <c r="AD32" s="1">
        <v>127</v>
      </c>
      <c r="AE32" s="1" t="s">
        <v>54</v>
      </c>
      <c r="AF32" s="4">
        <v>0.72061399999999998</v>
      </c>
      <c r="AG32" s="39"/>
      <c r="AH32" s="1">
        <v>127</v>
      </c>
      <c r="AI32" s="1" t="s">
        <v>54</v>
      </c>
      <c r="AJ32" s="5">
        <v>1.529147638673588E-3</v>
      </c>
      <c r="AL32" s="1">
        <v>127</v>
      </c>
      <c r="AM32" s="1" t="s">
        <v>54</v>
      </c>
      <c r="AN32" s="4">
        <v>2.5</v>
      </c>
      <c r="AO32" s="39"/>
      <c r="BZ32" s="39"/>
      <c r="CA32" s="1" t="s">
        <v>90</v>
      </c>
      <c r="CB32" s="36">
        <v>273.84518000000003</v>
      </c>
      <c r="CD32" s="1" t="s">
        <v>7</v>
      </c>
      <c r="CE32" s="36">
        <v>0.30754794000000002</v>
      </c>
      <c r="CO32" s="39"/>
    </row>
    <row r="33" spans="1:93" x14ac:dyDescent="0.3">
      <c r="A33" s="39"/>
      <c r="B33" s="1">
        <v>26</v>
      </c>
      <c r="C33" s="1" t="s">
        <v>129</v>
      </c>
      <c r="D33" s="4">
        <v>6791.6234000000004</v>
      </c>
      <c r="E33" s="4"/>
      <c r="F33" s="1">
        <v>26</v>
      </c>
      <c r="G33" s="1" t="s">
        <v>129</v>
      </c>
      <c r="H33" s="4">
        <v>14.912609</v>
      </c>
      <c r="I33" s="39"/>
      <c r="J33" s="1">
        <v>26</v>
      </c>
      <c r="K33" s="1" t="s">
        <v>129</v>
      </c>
      <c r="L33" s="5">
        <v>0.2</v>
      </c>
      <c r="M33" s="5"/>
      <c r="N33" s="1">
        <v>26</v>
      </c>
      <c r="O33" s="1" t="s">
        <v>129</v>
      </c>
      <c r="P33" s="53">
        <v>29</v>
      </c>
      <c r="Q33" s="39"/>
      <c r="S33"/>
      <c r="T33"/>
      <c r="W33" s="39"/>
      <c r="X33" s="25" t="s">
        <v>49</v>
      </c>
      <c r="Z33" s="1">
        <v>123</v>
      </c>
      <c r="AA33" s="1" t="s">
        <v>330</v>
      </c>
      <c r="AB33" s="4">
        <v>29317.3073</v>
      </c>
      <c r="AC33" s="4"/>
      <c r="AD33" s="1">
        <v>123</v>
      </c>
      <c r="AE33" s="1" t="s">
        <v>330</v>
      </c>
      <c r="AF33" s="4">
        <v>26.191890000000001</v>
      </c>
      <c r="AG33" s="39"/>
      <c r="AH33" s="1">
        <v>123</v>
      </c>
      <c r="AI33" s="1" t="s">
        <v>330</v>
      </c>
      <c r="AJ33" s="5">
        <v>0.12505356567908937</v>
      </c>
      <c r="AL33" s="1">
        <v>123</v>
      </c>
      <c r="AM33" s="1" t="s">
        <v>330</v>
      </c>
      <c r="AN33" s="4">
        <v>5</v>
      </c>
      <c r="AO33" s="39"/>
      <c r="BZ33" s="39"/>
      <c r="CA33" s="1" t="s">
        <v>102</v>
      </c>
      <c r="CB33" s="36">
        <v>467.29550000000006</v>
      </c>
      <c r="CD33" s="1" t="s">
        <v>552</v>
      </c>
      <c r="CE33" s="36">
        <v>3.8812200000000005E-2</v>
      </c>
      <c r="CO33" s="39"/>
    </row>
    <row r="34" spans="1:93" x14ac:dyDescent="0.3">
      <c r="A34" s="39"/>
      <c r="B34"/>
      <c r="C34"/>
      <c r="E34" s="4"/>
      <c r="G34"/>
      <c r="I34" s="39"/>
      <c r="M34" s="5"/>
      <c r="Q34" s="39"/>
      <c r="S34"/>
      <c r="T34"/>
      <c r="W34" s="39"/>
      <c r="X34" s="25" t="s">
        <v>143</v>
      </c>
      <c r="AG34" s="39"/>
      <c r="AO34" s="39"/>
      <c r="BZ34" s="39"/>
      <c r="CA34" s="1" t="s">
        <v>99</v>
      </c>
      <c r="CB34" s="36">
        <v>14.560000000000002</v>
      </c>
      <c r="CD34" s="1" t="s">
        <v>90</v>
      </c>
      <c r="CE34" s="36">
        <v>0.22316098000000001</v>
      </c>
      <c r="CO34" s="39"/>
    </row>
    <row r="35" spans="1:93" x14ac:dyDescent="0.3">
      <c r="A35" s="39"/>
      <c r="B35"/>
      <c r="C35"/>
      <c r="E35" s="4"/>
      <c r="G35"/>
      <c r="I35" s="39"/>
      <c r="M35" s="5"/>
      <c r="Q35" s="39"/>
      <c r="S35"/>
      <c r="T35"/>
      <c r="W35" s="39"/>
      <c r="X35" s="25" t="s">
        <v>150</v>
      </c>
      <c r="AG35" s="39"/>
      <c r="AO35" s="39"/>
      <c r="BZ35" s="39"/>
      <c r="CA35" s="1" t="s">
        <v>114</v>
      </c>
      <c r="CB35" s="36">
        <v>159.92060000000001</v>
      </c>
      <c r="CD35" s="1" t="s">
        <v>102</v>
      </c>
      <c r="CE35" s="36">
        <v>0.16653700000000002</v>
      </c>
      <c r="CO35" s="39"/>
    </row>
    <row r="36" spans="1:93" x14ac:dyDescent="0.3">
      <c r="A36" s="39"/>
      <c r="B36"/>
      <c r="C36"/>
      <c r="E36" s="4"/>
      <c r="G36"/>
      <c r="I36" s="39"/>
      <c r="M36" s="5"/>
      <c r="Q36" s="39"/>
      <c r="S36"/>
      <c r="T36"/>
      <c r="W36" s="39"/>
      <c r="X36" s="25" t="s">
        <v>157</v>
      </c>
      <c r="AG36" s="39"/>
      <c r="AO36" s="39"/>
      <c r="BZ36" s="39"/>
      <c r="CA36" s="1" t="s">
        <v>502</v>
      </c>
      <c r="CB36" s="36">
        <v>7.6020000000000004E-2</v>
      </c>
      <c r="CD36" s="1" t="s">
        <v>99</v>
      </c>
      <c r="CE36" s="36">
        <v>7.1904000000000004E-3</v>
      </c>
      <c r="CO36" s="39"/>
    </row>
    <row r="37" spans="1:93" x14ac:dyDescent="0.3">
      <c r="A37" s="39"/>
      <c r="B37"/>
      <c r="C37"/>
      <c r="E37" s="4"/>
      <c r="G37"/>
      <c r="I37" s="39"/>
      <c r="M37" s="5"/>
      <c r="Q37" s="39"/>
      <c r="S37"/>
      <c r="T37"/>
      <c r="W37" s="39"/>
      <c r="X37" s="25" t="s">
        <v>50</v>
      </c>
      <c r="AG37" s="39"/>
      <c r="AO37" s="39"/>
      <c r="BZ37" s="39"/>
      <c r="CA37" s="1" t="s">
        <v>486</v>
      </c>
      <c r="CB37" s="36">
        <v>537.17692</v>
      </c>
      <c r="CD37" s="1" t="s">
        <v>114</v>
      </c>
      <c r="CE37" s="36">
        <v>9.7590360000000015E-2</v>
      </c>
      <c r="CO37" s="39"/>
    </row>
    <row r="38" spans="1:93" x14ac:dyDescent="0.3">
      <c r="A38" s="39"/>
      <c r="B38"/>
      <c r="C38"/>
      <c r="E38" s="4"/>
      <c r="G38"/>
      <c r="I38" s="39"/>
      <c r="M38" s="5"/>
      <c r="Q38" s="39"/>
      <c r="S38"/>
      <c r="T38"/>
      <c r="W38" s="39"/>
      <c r="X38" s="25" t="s">
        <v>307</v>
      </c>
      <c r="AG38" s="39"/>
      <c r="AO38" s="39"/>
      <c r="BZ38" s="39"/>
      <c r="CA38" s="1" t="s">
        <v>467</v>
      </c>
      <c r="CB38" s="36">
        <v>63.000000000000007</v>
      </c>
      <c r="CD38" s="1" t="s">
        <v>502</v>
      </c>
      <c r="CE38" s="36">
        <v>1.8480000000000002E-4</v>
      </c>
      <c r="CO38" s="39"/>
    </row>
    <row r="39" spans="1:93" x14ac:dyDescent="0.3">
      <c r="A39" s="39"/>
      <c r="B39"/>
      <c r="C39"/>
      <c r="E39" s="4"/>
      <c r="G39"/>
      <c r="I39" s="39"/>
      <c r="M39" s="5"/>
      <c r="Q39" s="39"/>
      <c r="S39"/>
      <c r="T39"/>
      <c r="W39" s="39"/>
      <c r="X39" s="25" t="s">
        <v>51</v>
      </c>
      <c r="AG39" s="39"/>
      <c r="AO39" s="39"/>
      <c r="BZ39" s="39"/>
      <c r="CA39" s="1" t="s">
        <v>3</v>
      </c>
      <c r="CB39" s="36">
        <v>297.38968000000006</v>
      </c>
      <c r="CD39" s="1" t="s">
        <v>486</v>
      </c>
      <c r="CE39" s="36">
        <v>0.59160192</v>
      </c>
      <c r="CO39" s="39"/>
    </row>
    <row r="40" spans="1:93" x14ac:dyDescent="0.3">
      <c r="A40" s="39"/>
      <c r="B40"/>
      <c r="C40"/>
      <c r="E40" s="4"/>
      <c r="G40"/>
      <c r="I40" s="39"/>
      <c r="M40" s="5"/>
      <c r="Q40" s="39"/>
      <c r="S40"/>
      <c r="T40"/>
      <c r="W40" s="39"/>
      <c r="X40" s="25" t="s">
        <v>154</v>
      </c>
      <c r="AG40" s="39"/>
      <c r="AO40" s="39"/>
      <c r="BZ40" s="39"/>
      <c r="CA40" s="1" t="s">
        <v>610</v>
      </c>
      <c r="CB40" s="36">
        <v>907.36940000000016</v>
      </c>
      <c r="CD40" s="1" t="s">
        <v>467</v>
      </c>
      <c r="CE40" s="36">
        <v>4.1466740000000002E-2</v>
      </c>
      <c r="CO40" s="39"/>
    </row>
    <row r="41" spans="1:93" x14ac:dyDescent="0.3">
      <c r="A41" s="39"/>
      <c r="B41"/>
      <c r="C41"/>
      <c r="E41" s="4"/>
      <c r="G41"/>
      <c r="I41" s="39"/>
      <c r="M41" s="5"/>
      <c r="Q41" s="39"/>
      <c r="S41"/>
      <c r="T41"/>
      <c r="W41" s="39"/>
      <c r="X41" s="25" t="s">
        <v>315</v>
      </c>
      <c r="AG41" s="39"/>
      <c r="AO41" s="39"/>
      <c r="BZ41" s="39"/>
      <c r="CB41"/>
      <c r="CD41" s="1" t="s">
        <v>3</v>
      </c>
      <c r="CE41" s="36">
        <v>1.41123654</v>
      </c>
      <c r="CO41" s="39"/>
    </row>
    <row r="42" spans="1:93" x14ac:dyDescent="0.3">
      <c r="A42" s="39"/>
      <c r="B42"/>
      <c r="C42"/>
      <c r="E42" s="4"/>
      <c r="G42"/>
      <c r="I42" s="39"/>
      <c r="M42" s="5"/>
      <c r="Q42" s="39"/>
      <c r="S42"/>
      <c r="T42"/>
      <c r="W42" s="39"/>
      <c r="X42" s="25" t="s">
        <v>52</v>
      </c>
      <c r="AG42" s="39"/>
      <c r="AO42" s="39"/>
      <c r="BZ42" s="39"/>
      <c r="CB42"/>
      <c r="CD42" s="1" t="s">
        <v>610</v>
      </c>
      <c r="CE42" s="36">
        <v>0.98053690000000016</v>
      </c>
      <c r="CO42" s="39"/>
    </row>
    <row r="43" spans="1:93" x14ac:dyDescent="0.3">
      <c r="A43" s="39"/>
      <c r="B43"/>
      <c r="C43"/>
      <c r="E43" s="4"/>
      <c r="G43"/>
      <c r="I43" s="39"/>
      <c r="M43" s="5"/>
      <c r="Q43" s="39"/>
      <c r="S43"/>
      <c r="T43"/>
      <c r="W43" s="39"/>
      <c r="X43" s="25" t="s">
        <v>53</v>
      </c>
      <c r="AG43" s="39"/>
      <c r="AO43" s="39"/>
      <c r="BZ43" s="39"/>
      <c r="CB43"/>
      <c r="CE43"/>
      <c r="CO43" s="39"/>
    </row>
    <row r="44" spans="1:93" x14ac:dyDescent="0.3">
      <c r="A44" s="39"/>
      <c r="B44"/>
      <c r="C44"/>
      <c r="E44" s="4"/>
      <c r="G44"/>
      <c r="I44" s="39"/>
      <c r="M44" s="5"/>
      <c r="Q44" s="39"/>
      <c r="S44"/>
      <c r="T44"/>
      <c r="W44" s="39"/>
      <c r="X44" s="25" t="s">
        <v>54</v>
      </c>
      <c r="AG44" s="39"/>
      <c r="AO44" s="39"/>
      <c r="BZ44" s="39"/>
      <c r="CB44"/>
      <c r="CE44"/>
      <c r="CO44" s="39"/>
    </row>
    <row r="45" spans="1:93" x14ac:dyDescent="0.3">
      <c r="A45" s="39"/>
      <c r="B45"/>
      <c r="C45"/>
      <c r="E45" s="4"/>
      <c r="G45"/>
      <c r="I45" s="39"/>
      <c r="M45" s="5"/>
      <c r="Q45" s="39"/>
      <c r="S45"/>
      <c r="T45"/>
      <c r="W45" s="39"/>
      <c r="X45" s="25" t="s">
        <v>146</v>
      </c>
      <c r="AG45" s="39"/>
      <c r="AO45" s="39"/>
      <c r="BZ45" s="39"/>
      <c r="CB45"/>
      <c r="CE45"/>
      <c r="CO45" s="39"/>
    </row>
    <row r="46" spans="1:93" x14ac:dyDescent="0.3">
      <c r="A46" s="39"/>
      <c r="B46"/>
      <c r="C46"/>
      <c r="E46" s="4"/>
      <c r="G46"/>
      <c r="I46" s="39"/>
      <c r="M46" s="5"/>
      <c r="Q46" s="39"/>
      <c r="S46"/>
      <c r="T46"/>
      <c r="W46" s="39"/>
      <c r="X46" s="25" t="s">
        <v>147</v>
      </c>
      <c r="AG46" s="39"/>
      <c r="AO46" s="39"/>
      <c r="BZ46" s="39"/>
      <c r="CB46"/>
      <c r="CE46"/>
      <c r="CO46" s="39"/>
    </row>
    <row r="47" spans="1:93" x14ac:dyDescent="0.3">
      <c r="A47" s="39"/>
      <c r="B47"/>
      <c r="C47"/>
      <c r="E47" s="4"/>
      <c r="G47"/>
      <c r="I47" s="39"/>
      <c r="M47" s="5"/>
      <c r="Q47" s="39"/>
      <c r="S47"/>
      <c r="T47"/>
      <c r="W47" s="39"/>
      <c r="X47" s="25" t="s">
        <v>55</v>
      </c>
      <c r="AG47" s="39"/>
      <c r="AO47" s="39"/>
      <c r="BZ47" s="39"/>
      <c r="CO47" s="39"/>
    </row>
    <row r="48" spans="1:93" x14ac:dyDescent="0.3">
      <c r="A48" s="39"/>
      <c r="B48"/>
      <c r="C48"/>
      <c r="E48" s="4"/>
      <c r="G48"/>
      <c r="I48" s="39"/>
      <c r="M48" s="5"/>
      <c r="Q48" s="39"/>
      <c r="S48"/>
      <c r="T48"/>
      <c r="W48" s="39"/>
      <c r="X48" s="25" t="s">
        <v>338</v>
      </c>
      <c r="AG48" s="39"/>
      <c r="AO48" s="39"/>
      <c r="BZ48" s="39"/>
      <c r="CO48" s="39"/>
    </row>
    <row r="49" spans="1:93" x14ac:dyDescent="0.3">
      <c r="A49" s="39"/>
      <c r="B49"/>
      <c r="C49"/>
      <c r="E49" s="4"/>
      <c r="G49"/>
      <c r="I49" s="39"/>
      <c r="M49" s="5"/>
      <c r="Q49" s="39"/>
      <c r="S49"/>
      <c r="T49"/>
      <c r="W49" s="39"/>
      <c r="X49" s="25" t="s">
        <v>608</v>
      </c>
      <c r="AG49" s="39"/>
      <c r="AO49" s="39"/>
      <c r="BZ49" s="39"/>
      <c r="CO49" s="39"/>
    </row>
    <row r="50" spans="1:93" x14ac:dyDescent="0.3">
      <c r="A50" s="39"/>
      <c r="B50"/>
      <c r="C50"/>
      <c r="E50" s="4"/>
      <c r="G50"/>
      <c r="I50" s="39"/>
      <c r="M50" s="5"/>
      <c r="Q50" s="39"/>
      <c r="S50"/>
      <c r="T50"/>
      <c r="W50" s="39"/>
      <c r="X50" s="25" t="s">
        <v>340</v>
      </c>
      <c r="AG50" s="39"/>
      <c r="AO50" s="39"/>
      <c r="BZ50" s="39"/>
      <c r="CO50" s="39"/>
    </row>
    <row r="51" spans="1:93" x14ac:dyDescent="0.3">
      <c r="B51"/>
      <c r="C51"/>
      <c r="E51" s="4"/>
      <c r="G51"/>
      <c r="M51" s="5"/>
      <c r="S51"/>
      <c r="T51"/>
      <c r="X51" s="25" t="s">
        <v>27</v>
      </c>
    </row>
    <row r="52" spans="1:93" x14ac:dyDescent="0.3">
      <c r="B52"/>
      <c r="C52"/>
      <c r="G52"/>
      <c r="S52"/>
      <c r="T52"/>
      <c r="X52" s="25" t="s">
        <v>155</v>
      </c>
    </row>
    <row r="53" spans="1:93" x14ac:dyDescent="0.3">
      <c r="B53"/>
      <c r="C53"/>
      <c r="G53"/>
      <c r="S53"/>
      <c r="T53"/>
      <c r="X53" s="25" t="s">
        <v>28</v>
      </c>
    </row>
    <row r="54" spans="1:93" x14ac:dyDescent="0.3">
      <c r="B54"/>
      <c r="C54"/>
      <c r="G54"/>
      <c r="S54"/>
      <c r="T54"/>
      <c r="X54" s="25" t="s">
        <v>153</v>
      </c>
    </row>
    <row r="55" spans="1:93" x14ac:dyDescent="0.3">
      <c r="B55"/>
      <c r="C55"/>
      <c r="G55"/>
      <c r="S55"/>
      <c r="T55"/>
      <c r="X55" s="25" t="s">
        <v>151</v>
      </c>
    </row>
    <row r="56" spans="1:93" x14ac:dyDescent="0.3">
      <c r="B56"/>
      <c r="C56"/>
      <c r="G56"/>
      <c r="S56"/>
      <c r="T56"/>
      <c r="X56" s="25" t="s">
        <v>29</v>
      </c>
    </row>
    <row r="57" spans="1:93" x14ac:dyDescent="0.3">
      <c r="B57"/>
      <c r="C57"/>
      <c r="G57"/>
      <c r="S57"/>
      <c r="T57"/>
      <c r="X57" s="25" t="s">
        <v>30</v>
      </c>
    </row>
    <row r="58" spans="1:93" x14ac:dyDescent="0.3">
      <c r="B58"/>
      <c r="C58"/>
      <c r="G58"/>
      <c r="S58"/>
      <c r="T58"/>
      <c r="X58" s="25" t="s">
        <v>156</v>
      </c>
    </row>
    <row r="59" spans="1:93" x14ac:dyDescent="0.3">
      <c r="B59"/>
      <c r="C59"/>
      <c r="G59"/>
      <c r="S59"/>
      <c r="T59"/>
      <c r="X59" s="25" t="s">
        <v>31</v>
      </c>
    </row>
    <row r="60" spans="1:93" x14ac:dyDescent="0.3">
      <c r="B60"/>
      <c r="C60"/>
      <c r="G60"/>
      <c r="S60"/>
      <c r="T60"/>
      <c r="X60" s="25" t="s">
        <v>32</v>
      </c>
    </row>
    <row r="61" spans="1:93" x14ac:dyDescent="0.3">
      <c r="B61"/>
      <c r="C61"/>
      <c r="G61"/>
      <c r="S61"/>
      <c r="T61"/>
      <c r="X61" s="25" t="s">
        <v>33</v>
      </c>
    </row>
    <row r="62" spans="1:93" x14ac:dyDescent="0.3">
      <c r="B62"/>
      <c r="C62"/>
      <c r="G62"/>
      <c r="S62"/>
      <c r="T62"/>
      <c r="X62" s="25" t="s">
        <v>366</v>
      </c>
    </row>
    <row r="63" spans="1:93" x14ac:dyDescent="0.3">
      <c r="B63"/>
      <c r="C63"/>
      <c r="G63"/>
      <c r="S63"/>
      <c r="T63"/>
      <c r="X63" s="25" t="s">
        <v>34</v>
      </c>
    </row>
    <row r="64" spans="1:93" x14ac:dyDescent="0.3">
      <c r="B64"/>
      <c r="C64"/>
      <c r="G64"/>
      <c r="S64"/>
      <c r="T64"/>
      <c r="X64" s="25" t="s">
        <v>369</v>
      </c>
    </row>
    <row r="65" spans="2:24" x14ac:dyDescent="0.3">
      <c r="B65"/>
      <c r="C65"/>
      <c r="G65"/>
      <c r="S65"/>
      <c r="T65"/>
      <c r="X65" s="25" t="s">
        <v>35</v>
      </c>
    </row>
    <row r="66" spans="2:24" x14ac:dyDescent="0.3">
      <c r="B66"/>
      <c r="C66"/>
      <c r="G66"/>
      <c r="S66"/>
      <c r="T66"/>
      <c r="X66" s="25" t="s">
        <v>36</v>
      </c>
    </row>
    <row r="67" spans="2:24" x14ac:dyDescent="0.3">
      <c r="B67"/>
      <c r="C67"/>
      <c r="G67"/>
      <c r="S67"/>
      <c r="T67"/>
      <c r="X67" s="25" t="s">
        <v>56</v>
      </c>
    </row>
    <row r="68" spans="2:24" x14ac:dyDescent="0.3">
      <c r="B68"/>
      <c r="C68"/>
      <c r="G68"/>
      <c r="S68"/>
      <c r="T68"/>
      <c r="X68" s="25" t="s">
        <v>330</v>
      </c>
    </row>
    <row r="69" spans="2:24" x14ac:dyDescent="0.3">
      <c r="B69"/>
      <c r="C69"/>
      <c r="G69"/>
      <c r="S69"/>
      <c r="T69"/>
    </row>
    <row r="70" spans="2:24" x14ac:dyDescent="0.3">
      <c r="B70"/>
      <c r="C70"/>
      <c r="G70"/>
      <c r="S70"/>
      <c r="T70"/>
    </row>
    <row r="71" spans="2:24" x14ac:dyDescent="0.3">
      <c r="B71"/>
      <c r="C71"/>
      <c r="G71"/>
      <c r="S71"/>
      <c r="T71"/>
    </row>
    <row r="72" spans="2:24" x14ac:dyDescent="0.3">
      <c r="B72"/>
      <c r="C72"/>
      <c r="G72"/>
      <c r="S72"/>
      <c r="T72"/>
    </row>
    <row r="73" spans="2:24" x14ac:dyDescent="0.3">
      <c r="B73"/>
      <c r="C73"/>
      <c r="G73"/>
      <c r="S73"/>
      <c r="T73"/>
    </row>
    <row r="74" spans="2:24" x14ac:dyDescent="0.3">
      <c r="B74"/>
      <c r="C74"/>
      <c r="G74"/>
      <c r="S74"/>
      <c r="T74"/>
    </row>
    <row r="75" spans="2:24" x14ac:dyDescent="0.3">
      <c r="B75"/>
      <c r="C75"/>
      <c r="G75"/>
      <c r="S75"/>
      <c r="T75"/>
    </row>
    <row r="76" spans="2:24" x14ac:dyDescent="0.3">
      <c r="B76"/>
      <c r="C76"/>
      <c r="G76"/>
      <c r="S76"/>
      <c r="T76"/>
    </row>
    <row r="77" spans="2:24" x14ac:dyDescent="0.3">
      <c r="B77"/>
      <c r="C77"/>
      <c r="G77"/>
      <c r="S77"/>
      <c r="T77"/>
    </row>
    <row r="78" spans="2:24" x14ac:dyDescent="0.3">
      <c r="B78"/>
      <c r="C78"/>
      <c r="G78"/>
      <c r="S78"/>
      <c r="T78"/>
    </row>
    <row r="79" spans="2:24" x14ac:dyDescent="0.3">
      <c r="B79"/>
      <c r="C79"/>
      <c r="G79"/>
      <c r="S79"/>
      <c r="T79"/>
    </row>
    <row r="80" spans="2:24" x14ac:dyDescent="0.3">
      <c r="B80"/>
      <c r="C80"/>
      <c r="G80"/>
      <c r="S80"/>
      <c r="T80"/>
    </row>
    <row r="81" spans="2:20" x14ac:dyDescent="0.3">
      <c r="B81"/>
      <c r="C81"/>
      <c r="G81"/>
      <c r="S81"/>
      <c r="T81"/>
    </row>
    <row r="82" spans="2:20" x14ac:dyDescent="0.3">
      <c r="B82"/>
      <c r="C82"/>
      <c r="G82"/>
      <c r="S82"/>
      <c r="T82"/>
    </row>
    <row r="83" spans="2:20" x14ac:dyDescent="0.3">
      <c r="B83"/>
      <c r="C83"/>
      <c r="G83"/>
      <c r="S83"/>
      <c r="T83"/>
    </row>
    <row r="84" spans="2:20" x14ac:dyDescent="0.3">
      <c r="B84"/>
      <c r="C84"/>
      <c r="G84"/>
      <c r="S84"/>
      <c r="T84"/>
    </row>
    <row r="85" spans="2:20" x14ac:dyDescent="0.3">
      <c r="B85"/>
      <c r="C85"/>
      <c r="G85"/>
      <c r="S85"/>
      <c r="T85"/>
    </row>
    <row r="86" spans="2:20" x14ac:dyDescent="0.3">
      <c r="B86"/>
      <c r="C86"/>
      <c r="G86"/>
      <c r="S86"/>
      <c r="T86"/>
    </row>
    <row r="87" spans="2:20" x14ac:dyDescent="0.3">
      <c r="B87"/>
      <c r="C87"/>
      <c r="G87"/>
      <c r="S87"/>
      <c r="T87"/>
    </row>
    <row r="88" spans="2:20" x14ac:dyDescent="0.3">
      <c r="B88"/>
      <c r="C88"/>
      <c r="G88"/>
      <c r="S88"/>
      <c r="T88"/>
    </row>
    <row r="89" spans="2:20" x14ac:dyDescent="0.3">
      <c r="B89"/>
      <c r="C89"/>
      <c r="G89"/>
      <c r="S89"/>
      <c r="T89"/>
    </row>
    <row r="90" spans="2:20" x14ac:dyDescent="0.3">
      <c r="B90"/>
      <c r="C90"/>
      <c r="G90"/>
      <c r="S90"/>
      <c r="T90"/>
    </row>
    <row r="91" spans="2:20" x14ac:dyDescent="0.3">
      <c r="B91"/>
      <c r="C91"/>
      <c r="G91"/>
      <c r="S91"/>
      <c r="T91"/>
    </row>
    <row r="92" spans="2:20" x14ac:dyDescent="0.3">
      <c r="B92"/>
      <c r="C92"/>
      <c r="G92"/>
      <c r="S92"/>
      <c r="T92"/>
    </row>
    <row r="93" spans="2:20" x14ac:dyDescent="0.3">
      <c r="B93"/>
      <c r="C93"/>
      <c r="G93"/>
      <c r="S93"/>
      <c r="T93"/>
    </row>
    <row r="94" spans="2:20" x14ac:dyDescent="0.3">
      <c r="B94"/>
      <c r="C94"/>
      <c r="G94"/>
      <c r="S94"/>
      <c r="T94"/>
    </row>
    <row r="95" spans="2:20" x14ac:dyDescent="0.3">
      <c r="S95"/>
      <c r="T95"/>
    </row>
    <row r="96" spans="2:20" x14ac:dyDescent="0.3">
      <c r="S96"/>
      <c r="T96"/>
    </row>
    <row r="97" spans="19:20" x14ac:dyDescent="0.3">
      <c r="S97"/>
      <c r="T97"/>
    </row>
    <row r="98" spans="19:20" x14ac:dyDescent="0.3">
      <c r="S98"/>
      <c r="T98"/>
    </row>
    <row r="99" spans="19:20" x14ac:dyDescent="0.3">
      <c r="S99"/>
      <c r="T99"/>
    </row>
    <row r="100" spans="19:20" x14ac:dyDescent="0.3">
      <c r="S100"/>
      <c r="T100"/>
    </row>
    <row r="101" spans="19:20" x14ac:dyDescent="0.3">
      <c r="S101"/>
      <c r="T101"/>
    </row>
    <row r="102" spans="19:20" x14ac:dyDescent="0.3">
      <c r="S102"/>
      <c r="T102"/>
    </row>
    <row r="103" spans="19:20" x14ac:dyDescent="0.3">
      <c r="S103"/>
      <c r="T103"/>
    </row>
    <row r="104" spans="19:20" x14ac:dyDescent="0.3">
      <c r="S104"/>
      <c r="T104"/>
    </row>
    <row r="105" spans="19:20" x14ac:dyDescent="0.3">
      <c r="S105"/>
      <c r="T105"/>
    </row>
    <row r="106" spans="19:20" x14ac:dyDescent="0.3">
      <c r="S106"/>
      <c r="T106"/>
    </row>
    <row r="107" spans="19:20" x14ac:dyDescent="0.3">
      <c r="S107"/>
      <c r="T107"/>
    </row>
    <row r="108" spans="19:20" x14ac:dyDescent="0.3">
      <c r="S108"/>
      <c r="T108"/>
    </row>
    <row r="109" spans="19:20" x14ac:dyDescent="0.3">
      <c r="S109"/>
      <c r="T109"/>
    </row>
    <row r="110" spans="19:20" x14ac:dyDescent="0.3">
      <c r="S110"/>
      <c r="T110"/>
    </row>
    <row r="111" spans="19:20" x14ac:dyDescent="0.3">
      <c r="S111"/>
      <c r="T111"/>
    </row>
    <row r="112" spans="19:20" x14ac:dyDescent="0.3">
      <c r="S112"/>
      <c r="T112"/>
    </row>
    <row r="113" spans="19:20" x14ac:dyDescent="0.3">
      <c r="S113"/>
      <c r="T113"/>
    </row>
    <row r="114" spans="19:20" x14ac:dyDescent="0.3">
      <c r="S114"/>
      <c r="T114"/>
    </row>
    <row r="115" spans="19:20" x14ac:dyDescent="0.3">
      <c r="S115"/>
      <c r="T115"/>
    </row>
    <row r="116" spans="19:20" x14ac:dyDescent="0.3">
      <c r="S116"/>
      <c r="T116"/>
    </row>
    <row r="117" spans="19:20" x14ac:dyDescent="0.3">
      <c r="S117"/>
      <c r="T117"/>
    </row>
    <row r="118" spans="19:20" x14ac:dyDescent="0.3">
      <c r="S118"/>
      <c r="T118"/>
    </row>
    <row r="119" spans="19:20" x14ac:dyDescent="0.3">
      <c r="S119"/>
      <c r="T119"/>
    </row>
    <row r="120" spans="19:20" x14ac:dyDescent="0.3">
      <c r="S120"/>
      <c r="T120"/>
    </row>
    <row r="121" spans="19:20" x14ac:dyDescent="0.3">
      <c r="S121"/>
      <c r="T121"/>
    </row>
    <row r="122" spans="19:20" x14ac:dyDescent="0.3">
      <c r="S122"/>
      <c r="T122"/>
    </row>
    <row r="123" spans="19:20" x14ac:dyDescent="0.3">
      <c r="S123"/>
      <c r="T123"/>
    </row>
    <row r="124" spans="19:20" x14ac:dyDescent="0.3">
      <c r="S124"/>
      <c r="T124"/>
    </row>
    <row r="125" spans="19:20" x14ac:dyDescent="0.3">
      <c r="S125"/>
      <c r="T125"/>
    </row>
    <row r="126" spans="19:20" x14ac:dyDescent="0.3">
      <c r="S126"/>
      <c r="T126"/>
    </row>
    <row r="127" spans="19:20" x14ac:dyDescent="0.3">
      <c r="S127"/>
      <c r="T127"/>
    </row>
    <row r="128" spans="19:20" x14ac:dyDescent="0.3">
      <c r="S128"/>
      <c r="T128"/>
    </row>
    <row r="129" spans="19:20" x14ac:dyDescent="0.3">
      <c r="S129"/>
      <c r="T129"/>
    </row>
    <row r="130" spans="19:20" x14ac:dyDescent="0.3">
      <c r="S130"/>
      <c r="T130"/>
    </row>
    <row r="131" spans="19:20" x14ac:dyDescent="0.3">
      <c r="S131"/>
      <c r="T131"/>
    </row>
    <row r="132" spans="19:20" x14ac:dyDescent="0.3">
      <c r="S132"/>
      <c r="T132"/>
    </row>
    <row r="133" spans="19:20" x14ac:dyDescent="0.3">
      <c r="S133"/>
      <c r="T133"/>
    </row>
    <row r="134" spans="19:20" x14ac:dyDescent="0.3">
      <c r="S134"/>
      <c r="T134"/>
    </row>
    <row r="135" spans="19:20" x14ac:dyDescent="0.3">
      <c r="S135"/>
      <c r="T135"/>
    </row>
    <row r="136" spans="19:20" x14ac:dyDescent="0.3">
      <c r="S136"/>
      <c r="T136"/>
    </row>
    <row r="137" spans="19:20" x14ac:dyDescent="0.3">
      <c r="S137"/>
      <c r="T137"/>
    </row>
    <row r="138" spans="19:20" x14ac:dyDescent="0.3">
      <c r="S138"/>
      <c r="T138"/>
    </row>
    <row r="139" spans="19:20" x14ac:dyDescent="0.3">
      <c r="S139"/>
      <c r="T139"/>
    </row>
    <row r="140" spans="19:20" x14ac:dyDescent="0.3">
      <c r="S140"/>
      <c r="T140"/>
    </row>
    <row r="141" spans="19:20" x14ac:dyDescent="0.3">
      <c r="S141"/>
      <c r="T141"/>
    </row>
    <row r="142" spans="19:20" x14ac:dyDescent="0.3">
      <c r="S142"/>
      <c r="T142"/>
    </row>
    <row r="143" spans="19:20" x14ac:dyDescent="0.3">
      <c r="S143"/>
      <c r="T143"/>
    </row>
    <row r="144" spans="19:20" x14ac:dyDescent="0.3">
      <c r="S144"/>
      <c r="T144"/>
    </row>
    <row r="145" spans="19:20" x14ac:dyDescent="0.3">
      <c r="S145"/>
      <c r="T145"/>
    </row>
    <row r="146" spans="19:20" x14ac:dyDescent="0.3">
      <c r="S146"/>
      <c r="T146"/>
    </row>
    <row r="147" spans="19:20" x14ac:dyDescent="0.3">
      <c r="S147"/>
      <c r="T147"/>
    </row>
    <row r="148" spans="19:20" x14ac:dyDescent="0.3">
      <c r="S148"/>
      <c r="T148"/>
    </row>
    <row r="149" spans="19:20" x14ac:dyDescent="0.3">
      <c r="S149"/>
      <c r="T149"/>
    </row>
    <row r="150" spans="19:20" x14ac:dyDescent="0.3">
      <c r="S150"/>
      <c r="T150"/>
    </row>
    <row r="151" spans="19:20" x14ac:dyDescent="0.3">
      <c r="S151"/>
      <c r="T151"/>
    </row>
    <row r="152" spans="19:20" x14ac:dyDescent="0.3">
      <c r="S152"/>
      <c r="T152"/>
    </row>
    <row r="153" spans="19:20" x14ac:dyDescent="0.3">
      <c r="S153"/>
      <c r="T153"/>
    </row>
    <row r="154" spans="19:20" x14ac:dyDescent="0.3">
      <c r="S154"/>
      <c r="T154"/>
    </row>
    <row r="155" spans="19:20" x14ac:dyDescent="0.3">
      <c r="S155"/>
      <c r="T155"/>
    </row>
    <row r="156" spans="19:20" x14ac:dyDescent="0.3">
      <c r="S156"/>
      <c r="T156"/>
    </row>
    <row r="157" spans="19:20" x14ac:dyDescent="0.3">
      <c r="S157"/>
      <c r="T157"/>
    </row>
    <row r="158" spans="19:20" x14ac:dyDescent="0.3">
      <c r="S158"/>
      <c r="T158"/>
    </row>
    <row r="159" spans="19:20" x14ac:dyDescent="0.3">
      <c r="S159"/>
      <c r="T159"/>
    </row>
    <row r="160" spans="19:20" x14ac:dyDescent="0.3">
      <c r="S160"/>
      <c r="T160"/>
    </row>
    <row r="161" spans="19:20" x14ac:dyDescent="0.3">
      <c r="S161"/>
      <c r="T161"/>
    </row>
    <row r="162" spans="19:20" x14ac:dyDescent="0.3">
      <c r="S162"/>
      <c r="T162"/>
    </row>
    <row r="163" spans="19:20" x14ac:dyDescent="0.3">
      <c r="S163"/>
      <c r="T163"/>
    </row>
    <row r="164" spans="19:20" x14ac:dyDescent="0.3">
      <c r="S164"/>
      <c r="T164"/>
    </row>
    <row r="165" spans="19:20" x14ac:dyDescent="0.3">
      <c r="S165"/>
      <c r="T165"/>
    </row>
    <row r="166" spans="19:20" x14ac:dyDescent="0.3">
      <c r="S166"/>
      <c r="T166"/>
    </row>
    <row r="167" spans="19:20" x14ac:dyDescent="0.3">
      <c r="S167"/>
      <c r="T167"/>
    </row>
    <row r="168" spans="19:20" x14ac:dyDescent="0.3">
      <c r="S168"/>
      <c r="T168"/>
    </row>
    <row r="169" spans="19:20" x14ac:dyDescent="0.3">
      <c r="S169"/>
      <c r="T169"/>
    </row>
    <row r="170" spans="19:20" x14ac:dyDescent="0.3">
      <c r="S170"/>
      <c r="T170"/>
    </row>
    <row r="171" spans="19:20" x14ac:dyDescent="0.3">
      <c r="S171"/>
      <c r="T171"/>
    </row>
    <row r="172" spans="19:20" x14ac:dyDescent="0.3">
      <c r="S172"/>
      <c r="T172"/>
    </row>
    <row r="173" spans="19:20" x14ac:dyDescent="0.3">
      <c r="S173"/>
      <c r="T173"/>
    </row>
    <row r="174" spans="19:20" x14ac:dyDescent="0.3">
      <c r="S174"/>
      <c r="T174"/>
    </row>
    <row r="175" spans="19:20" x14ac:dyDescent="0.3">
      <c r="S175"/>
      <c r="T175"/>
    </row>
    <row r="176" spans="19:20" x14ac:dyDescent="0.3">
      <c r="S176"/>
      <c r="T176"/>
    </row>
    <row r="177" spans="19:20" x14ac:dyDescent="0.3">
      <c r="S177"/>
      <c r="T177"/>
    </row>
    <row r="178" spans="19:20" x14ac:dyDescent="0.3">
      <c r="S178"/>
      <c r="T178"/>
    </row>
    <row r="179" spans="19:20" x14ac:dyDescent="0.3">
      <c r="S179"/>
      <c r="T179"/>
    </row>
    <row r="180" spans="19:20" x14ac:dyDescent="0.3">
      <c r="S180"/>
      <c r="T180"/>
    </row>
    <row r="181" spans="19:20" x14ac:dyDescent="0.3">
      <c r="S181"/>
      <c r="T181"/>
    </row>
    <row r="182" spans="19:20" x14ac:dyDescent="0.3">
      <c r="S182"/>
      <c r="T182"/>
    </row>
    <row r="183" spans="19:20" x14ac:dyDescent="0.3">
      <c r="S183"/>
      <c r="T183"/>
    </row>
    <row r="184" spans="19:20" x14ac:dyDescent="0.3">
      <c r="S184"/>
      <c r="T184"/>
    </row>
    <row r="185" spans="19:20" x14ac:dyDescent="0.3">
      <c r="S185"/>
      <c r="T185"/>
    </row>
    <row r="186" spans="19:20" x14ac:dyDescent="0.3">
      <c r="S186"/>
      <c r="T186"/>
    </row>
    <row r="187" spans="19:20" x14ac:dyDescent="0.3">
      <c r="S187"/>
      <c r="T187"/>
    </row>
    <row r="188" spans="19:20" x14ac:dyDescent="0.3">
      <c r="S188"/>
      <c r="T188"/>
    </row>
    <row r="189" spans="19:20" x14ac:dyDescent="0.3">
      <c r="S189"/>
      <c r="T189"/>
    </row>
    <row r="190" spans="19:20" x14ac:dyDescent="0.3">
      <c r="S190"/>
      <c r="T190"/>
    </row>
    <row r="191" spans="19:20" x14ac:dyDescent="0.3">
      <c r="S191"/>
      <c r="T191"/>
    </row>
    <row r="192" spans="19:20" x14ac:dyDescent="0.3">
      <c r="S192"/>
      <c r="T192"/>
    </row>
    <row r="193" spans="19:20" x14ac:dyDescent="0.3">
      <c r="S193"/>
      <c r="T193"/>
    </row>
    <row r="194" spans="19:20" x14ac:dyDescent="0.3">
      <c r="S194"/>
      <c r="T194"/>
    </row>
    <row r="195" spans="19:20" x14ac:dyDescent="0.3">
      <c r="S195"/>
      <c r="T195"/>
    </row>
    <row r="196" spans="19:20" x14ac:dyDescent="0.3">
      <c r="S196"/>
      <c r="T196"/>
    </row>
    <row r="197" spans="19:20" x14ac:dyDescent="0.3">
      <c r="S197"/>
      <c r="T197"/>
    </row>
    <row r="198" spans="19:20" x14ac:dyDescent="0.3">
      <c r="S198"/>
      <c r="T198"/>
    </row>
    <row r="199" spans="19:20" x14ac:dyDescent="0.3">
      <c r="S199"/>
      <c r="T199"/>
    </row>
    <row r="200" spans="19:20" x14ac:dyDescent="0.3">
      <c r="S200"/>
      <c r="T200"/>
    </row>
    <row r="201" spans="19:20" x14ac:dyDescent="0.3">
      <c r="S201"/>
      <c r="T201"/>
    </row>
    <row r="202" spans="19:20" x14ac:dyDescent="0.3">
      <c r="S202"/>
      <c r="T202"/>
    </row>
    <row r="203" spans="19:20" x14ac:dyDescent="0.3">
      <c r="S203"/>
      <c r="T203"/>
    </row>
    <row r="204" spans="19:20" x14ac:dyDescent="0.3">
      <c r="S204"/>
      <c r="T204"/>
    </row>
    <row r="205" spans="19:20" x14ac:dyDescent="0.3">
      <c r="S205"/>
      <c r="T205"/>
    </row>
    <row r="206" spans="19:20" x14ac:dyDescent="0.3">
      <c r="S206"/>
      <c r="T206"/>
    </row>
    <row r="207" spans="19:20" x14ac:dyDescent="0.3">
      <c r="S207"/>
      <c r="T207"/>
    </row>
    <row r="208" spans="19:20" x14ac:dyDescent="0.3">
      <c r="S208"/>
      <c r="T208"/>
    </row>
    <row r="209" spans="19:20" x14ac:dyDescent="0.3">
      <c r="S209"/>
      <c r="T209"/>
    </row>
    <row r="210" spans="19:20" x14ac:dyDescent="0.3">
      <c r="S210"/>
      <c r="T210"/>
    </row>
    <row r="211" spans="19:20" x14ac:dyDescent="0.3">
      <c r="S211"/>
      <c r="T211"/>
    </row>
    <row r="212" spans="19:20" x14ac:dyDescent="0.3">
      <c r="S212"/>
      <c r="T212"/>
    </row>
    <row r="213" spans="19:20" x14ac:dyDescent="0.3">
      <c r="S213"/>
      <c r="T213"/>
    </row>
    <row r="214" spans="19:20" x14ac:dyDescent="0.3">
      <c r="S214"/>
      <c r="T214"/>
    </row>
    <row r="215" spans="19:20" x14ac:dyDescent="0.3">
      <c r="S215"/>
      <c r="T215"/>
    </row>
    <row r="216" spans="19:20" x14ac:dyDescent="0.3">
      <c r="S216"/>
      <c r="T216"/>
    </row>
    <row r="217" spans="19:20" x14ac:dyDescent="0.3">
      <c r="S217"/>
      <c r="T217"/>
    </row>
    <row r="218" spans="19:20" x14ac:dyDescent="0.3">
      <c r="S218"/>
      <c r="T218"/>
    </row>
    <row r="219" spans="19:20" x14ac:dyDescent="0.3">
      <c r="S219"/>
      <c r="T219"/>
    </row>
    <row r="220" spans="19:20" x14ac:dyDescent="0.3">
      <c r="S220"/>
      <c r="T220"/>
    </row>
    <row r="221" spans="19:20" x14ac:dyDescent="0.3">
      <c r="S221"/>
      <c r="T221"/>
    </row>
    <row r="222" spans="19:20" x14ac:dyDescent="0.3">
      <c r="S222"/>
      <c r="T222"/>
    </row>
    <row r="223" spans="19:20" x14ac:dyDescent="0.3">
      <c r="S223"/>
      <c r="T223"/>
    </row>
    <row r="224" spans="19:20" x14ac:dyDescent="0.3">
      <c r="S224"/>
      <c r="T224"/>
    </row>
    <row r="225" spans="19:20" x14ac:dyDescent="0.3">
      <c r="S225"/>
      <c r="T225"/>
    </row>
    <row r="226" spans="19:20" x14ac:dyDescent="0.3">
      <c r="S226"/>
      <c r="T226"/>
    </row>
    <row r="227" spans="19:20" x14ac:dyDescent="0.3">
      <c r="S227"/>
      <c r="T227"/>
    </row>
    <row r="228" spans="19:20" x14ac:dyDescent="0.3">
      <c r="S228"/>
      <c r="T228"/>
    </row>
    <row r="229" spans="19:20" x14ac:dyDescent="0.3">
      <c r="S229"/>
      <c r="T229"/>
    </row>
    <row r="230" spans="19:20" x14ac:dyDescent="0.3">
      <c r="S230"/>
      <c r="T230"/>
    </row>
    <row r="231" spans="19:20" x14ac:dyDescent="0.3">
      <c r="S231"/>
      <c r="T231"/>
    </row>
    <row r="232" spans="19:20" x14ac:dyDescent="0.3">
      <c r="S232"/>
      <c r="T232"/>
    </row>
    <row r="233" spans="19:20" x14ac:dyDescent="0.3">
      <c r="S233"/>
      <c r="T233"/>
    </row>
    <row r="234" spans="19:20" x14ac:dyDescent="0.3">
      <c r="S234"/>
      <c r="T234"/>
    </row>
    <row r="235" spans="19:20" x14ac:dyDescent="0.3">
      <c r="S235"/>
      <c r="T235"/>
    </row>
    <row r="236" spans="19:20" x14ac:dyDescent="0.3">
      <c r="S236"/>
      <c r="T236"/>
    </row>
    <row r="237" spans="19:20" x14ac:dyDescent="0.3">
      <c r="S237"/>
      <c r="T237"/>
    </row>
    <row r="238" spans="19:20" x14ac:dyDescent="0.3">
      <c r="S238"/>
      <c r="T238"/>
    </row>
    <row r="239" spans="19:20" x14ac:dyDescent="0.3">
      <c r="S239"/>
      <c r="T239"/>
    </row>
    <row r="240" spans="19:20" x14ac:dyDescent="0.3">
      <c r="S240"/>
      <c r="T240"/>
    </row>
    <row r="241" spans="19:20" x14ac:dyDescent="0.3">
      <c r="S241"/>
      <c r="T241"/>
    </row>
    <row r="242" spans="19:20" x14ac:dyDescent="0.3">
      <c r="S242"/>
      <c r="T242"/>
    </row>
    <row r="243" spans="19:20" x14ac:dyDescent="0.3">
      <c r="S243"/>
      <c r="T243"/>
    </row>
    <row r="244" spans="19:20" x14ac:dyDescent="0.3">
      <c r="S244"/>
      <c r="T244"/>
    </row>
    <row r="245" spans="19:20" x14ac:dyDescent="0.3">
      <c r="S245"/>
      <c r="T245"/>
    </row>
    <row r="246" spans="19:20" x14ac:dyDescent="0.3">
      <c r="S246"/>
      <c r="T246"/>
    </row>
    <row r="247" spans="19:20" x14ac:dyDescent="0.3">
      <c r="S247"/>
      <c r="T247"/>
    </row>
    <row r="248" spans="19:20" x14ac:dyDescent="0.3">
      <c r="S248"/>
      <c r="T248"/>
    </row>
    <row r="249" spans="19:20" x14ac:dyDescent="0.3">
      <c r="S249"/>
      <c r="T249"/>
    </row>
    <row r="250" spans="19:20" x14ac:dyDescent="0.3">
      <c r="S250"/>
      <c r="T250"/>
    </row>
    <row r="251" spans="19:20" x14ac:dyDescent="0.3">
      <c r="S251"/>
      <c r="T251"/>
    </row>
    <row r="252" spans="19:20" x14ac:dyDescent="0.3">
      <c r="S252"/>
      <c r="T252"/>
    </row>
    <row r="253" spans="19:20" x14ac:dyDescent="0.3">
      <c r="S253"/>
      <c r="T253"/>
    </row>
    <row r="254" spans="19:20" x14ac:dyDescent="0.3">
      <c r="S254"/>
      <c r="T254"/>
    </row>
    <row r="255" spans="19:20" x14ac:dyDescent="0.3">
      <c r="S255"/>
      <c r="T255"/>
    </row>
    <row r="256" spans="19:20" x14ac:dyDescent="0.3">
      <c r="S256"/>
      <c r="T256"/>
    </row>
    <row r="257" spans="19:20" x14ac:dyDescent="0.3">
      <c r="S257"/>
      <c r="T257"/>
    </row>
    <row r="258" spans="19:20" x14ac:dyDescent="0.3">
      <c r="S258"/>
      <c r="T258"/>
    </row>
    <row r="259" spans="19:20" x14ac:dyDescent="0.3">
      <c r="S259"/>
      <c r="T259"/>
    </row>
    <row r="260" spans="19:20" x14ac:dyDescent="0.3">
      <c r="S260"/>
      <c r="T260"/>
    </row>
    <row r="261" spans="19:20" x14ac:dyDescent="0.3">
      <c r="S261"/>
      <c r="T261"/>
    </row>
    <row r="262" spans="19:20" x14ac:dyDescent="0.3">
      <c r="S262"/>
      <c r="T262"/>
    </row>
    <row r="263" spans="19:20" x14ac:dyDescent="0.3">
      <c r="S263"/>
      <c r="T263"/>
    </row>
    <row r="264" spans="19:20" x14ac:dyDescent="0.3">
      <c r="S264"/>
      <c r="T264"/>
    </row>
    <row r="265" spans="19:20" x14ac:dyDescent="0.3">
      <c r="S265"/>
      <c r="T265"/>
    </row>
    <row r="266" spans="19:20" x14ac:dyDescent="0.3">
      <c r="S266"/>
      <c r="T266"/>
    </row>
    <row r="267" spans="19:20" x14ac:dyDescent="0.3">
      <c r="S267"/>
      <c r="T267"/>
    </row>
    <row r="268" spans="19:20" x14ac:dyDescent="0.3">
      <c r="S268"/>
      <c r="T268"/>
    </row>
    <row r="269" spans="19:20" x14ac:dyDescent="0.3">
      <c r="S269"/>
      <c r="T269"/>
    </row>
    <row r="270" spans="19:20" x14ac:dyDescent="0.3">
      <c r="S270"/>
      <c r="T270"/>
    </row>
    <row r="271" spans="19:20" x14ac:dyDescent="0.3">
      <c r="S271"/>
      <c r="T271"/>
    </row>
    <row r="272" spans="19:20" x14ac:dyDescent="0.3">
      <c r="S272"/>
      <c r="T272"/>
    </row>
    <row r="273" spans="19:20" x14ac:dyDescent="0.3">
      <c r="S273"/>
      <c r="T273"/>
    </row>
    <row r="274" spans="19:20" x14ac:dyDescent="0.3">
      <c r="S274"/>
      <c r="T274"/>
    </row>
    <row r="275" spans="19:20" x14ac:dyDescent="0.3">
      <c r="S275"/>
      <c r="T275"/>
    </row>
    <row r="276" spans="19:20" x14ac:dyDescent="0.3">
      <c r="S276"/>
      <c r="T276"/>
    </row>
    <row r="277" spans="19:20" x14ac:dyDescent="0.3">
      <c r="S277"/>
      <c r="T277"/>
    </row>
    <row r="278" spans="19:20" x14ac:dyDescent="0.3">
      <c r="S278"/>
      <c r="T278"/>
    </row>
    <row r="279" spans="19:20" x14ac:dyDescent="0.3">
      <c r="S279"/>
      <c r="T279"/>
    </row>
    <row r="280" spans="19:20" x14ac:dyDescent="0.3">
      <c r="S280"/>
      <c r="T280"/>
    </row>
    <row r="281" spans="19:20" x14ac:dyDescent="0.3">
      <c r="S281"/>
      <c r="T281"/>
    </row>
    <row r="282" spans="19:20" x14ac:dyDescent="0.3">
      <c r="S282"/>
      <c r="T282"/>
    </row>
    <row r="283" spans="19:20" x14ac:dyDescent="0.3">
      <c r="S283"/>
      <c r="T283"/>
    </row>
    <row r="284" spans="19:20" x14ac:dyDescent="0.3">
      <c r="S284"/>
      <c r="T284"/>
    </row>
    <row r="285" spans="19:20" x14ac:dyDescent="0.3">
      <c r="S285"/>
      <c r="T285"/>
    </row>
    <row r="286" spans="19:20" x14ac:dyDescent="0.3">
      <c r="S286"/>
      <c r="T286"/>
    </row>
    <row r="287" spans="19:20" x14ac:dyDescent="0.3">
      <c r="S287"/>
      <c r="T287"/>
    </row>
    <row r="288" spans="19:20" x14ac:dyDescent="0.3">
      <c r="S288"/>
      <c r="T288"/>
    </row>
    <row r="289" spans="19:20" x14ac:dyDescent="0.3">
      <c r="S289"/>
      <c r="T289"/>
    </row>
    <row r="290" spans="19:20" x14ac:dyDescent="0.3">
      <c r="S290"/>
      <c r="T290"/>
    </row>
    <row r="291" spans="19:20" x14ac:dyDescent="0.3">
      <c r="S291"/>
      <c r="T291"/>
    </row>
    <row r="292" spans="19:20" x14ac:dyDescent="0.3">
      <c r="S292"/>
      <c r="T292"/>
    </row>
    <row r="293" spans="19:20" x14ac:dyDescent="0.3">
      <c r="S293"/>
      <c r="T293"/>
    </row>
    <row r="294" spans="19:20" x14ac:dyDescent="0.3">
      <c r="S294"/>
      <c r="T294"/>
    </row>
    <row r="295" spans="19:20" x14ac:dyDescent="0.3">
      <c r="S295"/>
      <c r="T295"/>
    </row>
    <row r="296" spans="19:20" x14ac:dyDescent="0.3">
      <c r="S296"/>
      <c r="T296"/>
    </row>
    <row r="297" spans="19:20" x14ac:dyDescent="0.3">
      <c r="S297"/>
      <c r="T297"/>
    </row>
    <row r="298" spans="19:20" x14ac:dyDescent="0.3">
      <c r="S298"/>
      <c r="T298"/>
    </row>
    <row r="299" spans="19:20" x14ac:dyDescent="0.3">
      <c r="S299"/>
      <c r="T299"/>
    </row>
    <row r="300" spans="19:20" x14ac:dyDescent="0.3">
      <c r="S300"/>
      <c r="T300"/>
    </row>
    <row r="301" spans="19:20" x14ac:dyDescent="0.3">
      <c r="S301"/>
      <c r="T301"/>
    </row>
    <row r="302" spans="19:20" x14ac:dyDescent="0.3">
      <c r="S302"/>
      <c r="T302"/>
    </row>
    <row r="303" spans="19:20" x14ac:dyDescent="0.3">
      <c r="S303"/>
      <c r="T303"/>
    </row>
    <row r="304" spans="19:20" x14ac:dyDescent="0.3">
      <c r="S304"/>
      <c r="T304"/>
    </row>
    <row r="305" spans="19:20" x14ac:dyDescent="0.3">
      <c r="S305"/>
      <c r="T305"/>
    </row>
    <row r="306" spans="19:20" x14ac:dyDescent="0.3">
      <c r="S306"/>
      <c r="T306"/>
    </row>
    <row r="307" spans="19:20" x14ac:dyDescent="0.3">
      <c r="S307"/>
      <c r="T307"/>
    </row>
    <row r="308" spans="19:20" x14ac:dyDescent="0.3">
      <c r="S308"/>
      <c r="T308"/>
    </row>
    <row r="309" spans="19:20" x14ac:dyDescent="0.3">
      <c r="S309"/>
      <c r="T309"/>
    </row>
    <row r="310" spans="19:20" x14ac:dyDescent="0.3">
      <c r="S310"/>
      <c r="T310"/>
    </row>
    <row r="311" spans="19:20" x14ac:dyDescent="0.3">
      <c r="S311"/>
      <c r="T311"/>
    </row>
    <row r="312" spans="19:20" x14ac:dyDescent="0.3">
      <c r="S312"/>
      <c r="T312"/>
    </row>
    <row r="313" spans="19:20" x14ac:dyDescent="0.3">
      <c r="S313"/>
      <c r="T313"/>
    </row>
    <row r="314" spans="19:20" x14ac:dyDescent="0.3">
      <c r="S314"/>
      <c r="T314"/>
    </row>
    <row r="315" spans="19:20" x14ac:dyDescent="0.3">
      <c r="S315"/>
      <c r="T315"/>
    </row>
    <row r="316" spans="19:20" x14ac:dyDescent="0.3">
      <c r="S316"/>
      <c r="T316"/>
    </row>
    <row r="317" spans="19:20" x14ac:dyDescent="0.3">
      <c r="S317"/>
      <c r="T317"/>
    </row>
    <row r="318" spans="19:20" x14ac:dyDescent="0.3">
      <c r="S318"/>
      <c r="T318"/>
    </row>
    <row r="319" spans="19:20" x14ac:dyDescent="0.3">
      <c r="S319"/>
      <c r="T319"/>
    </row>
    <row r="320" spans="19:20" x14ac:dyDescent="0.3">
      <c r="S320"/>
      <c r="T320"/>
    </row>
    <row r="321" spans="19:20" x14ac:dyDescent="0.3">
      <c r="S321"/>
      <c r="T321"/>
    </row>
    <row r="322" spans="19:20" x14ac:dyDescent="0.3">
      <c r="S322"/>
      <c r="T322"/>
    </row>
    <row r="323" spans="19:20" x14ac:dyDescent="0.3">
      <c r="S323"/>
      <c r="T323"/>
    </row>
    <row r="324" spans="19:20" x14ac:dyDescent="0.3">
      <c r="S324"/>
      <c r="T324"/>
    </row>
    <row r="325" spans="19:20" x14ac:dyDescent="0.3">
      <c r="S325"/>
      <c r="T325"/>
    </row>
    <row r="326" spans="19:20" x14ac:dyDescent="0.3">
      <c r="S326"/>
      <c r="T326"/>
    </row>
    <row r="327" spans="19:20" x14ac:dyDescent="0.3">
      <c r="S327"/>
      <c r="T327"/>
    </row>
    <row r="328" spans="19:20" x14ac:dyDescent="0.3">
      <c r="S328"/>
      <c r="T328"/>
    </row>
    <row r="329" spans="19:20" x14ac:dyDescent="0.3">
      <c r="S329"/>
      <c r="T329"/>
    </row>
    <row r="330" spans="19:20" x14ac:dyDescent="0.3">
      <c r="S330"/>
      <c r="T330"/>
    </row>
    <row r="331" spans="19:20" x14ac:dyDescent="0.3">
      <c r="S331"/>
      <c r="T331"/>
    </row>
    <row r="332" spans="19:20" x14ac:dyDescent="0.3">
      <c r="S332"/>
      <c r="T332"/>
    </row>
    <row r="333" spans="19:20" x14ac:dyDescent="0.3">
      <c r="S333"/>
      <c r="T333"/>
    </row>
    <row r="334" spans="19:20" x14ac:dyDescent="0.3">
      <c r="S334"/>
      <c r="T334"/>
    </row>
    <row r="335" spans="19:20" x14ac:dyDescent="0.3">
      <c r="S335"/>
      <c r="T335"/>
    </row>
    <row r="336" spans="19:20" x14ac:dyDescent="0.3">
      <c r="S336"/>
      <c r="T336"/>
    </row>
    <row r="337" spans="19:20" x14ac:dyDescent="0.3">
      <c r="S337"/>
      <c r="T337"/>
    </row>
    <row r="338" spans="19:20" x14ac:dyDescent="0.3">
      <c r="S338"/>
      <c r="T338"/>
    </row>
    <row r="339" spans="19:20" x14ac:dyDescent="0.3">
      <c r="S339"/>
      <c r="T339"/>
    </row>
    <row r="340" spans="19:20" x14ac:dyDescent="0.3">
      <c r="S340"/>
      <c r="T340"/>
    </row>
    <row r="341" spans="19:20" x14ac:dyDescent="0.3">
      <c r="S341"/>
      <c r="T341"/>
    </row>
    <row r="342" spans="19:20" x14ac:dyDescent="0.3">
      <c r="S342"/>
      <c r="T342"/>
    </row>
    <row r="343" spans="19:20" x14ac:dyDescent="0.3">
      <c r="S343"/>
      <c r="T343"/>
    </row>
    <row r="344" spans="19:20" x14ac:dyDescent="0.3">
      <c r="S344"/>
      <c r="T344"/>
    </row>
    <row r="345" spans="19:20" x14ac:dyDescent="0.3">
      <c r="S345"/>
      <c r="T345"/>
    </row>
    <row r="346" spans="19:20" x14ac:dyDescent="0.3">
      <c r="S346"/>
      <c r="T346"/>
    </row>
    <row r="347" spans="19:20" x14ac:dyDescent="0.3">
      <c r="S347"/>
      <c r="T347"/>
    </row>
    <row r="348" spans="19:20" x14ac:dyDescent="0.3">
      <c r="S348"/>
      <c r="T348"/>
    </row>
    <row r="349" spans="19:20" x14ac:dyDescent="0.3">
      <c r="S349"/>
      <c r="T349"/>
    </row>
    <row r="350" spans="19:20" x14ac:dyDescent="0.3">
      <c r="S350"/>
      <c r="T350"/>
    </row>
    <row r="351" spans="19:20" x14ac:dyDescent="0.3">
      <c r="S351"/>
      <c r="T351"/>
    </row>
    <row r="352" spans="19:20" x14ac:dyDescent="0.3">
      <c r="S352"/>
      <c r="T352"/>
    </row>
    <row r="353" spans="19:20" x14ac:dyDescent="0.3">
      <c r="S353"/>
      <c r="T353"/>
    </row>
    <row r="354" spans="19:20" x14ac:dyDescent="0.3">
      <c r="S354"/>
      <c r="T354"/>
    </row>
    <row r="355" spans="19:20" x14ac:dyDescent="0.3">
      <c r="S355"/>
      <c r="T355"/>
    </row>
    <row r="356" spans="19:20" x14ac:dyDescent="0.3">
      <c r="S356"/>
      <c r="T356"/>
    </row>
    <row r="357" spans="19:20" x14ac:dyDescent="0.3">
      <c r="S357"/>
      <c r="T357"/>
    </row>
    <row r="358" spans="19:20" x14ac:dyDescent="0.3">
      <c r="S358"/>
      <c r="T358"/>
    </row>
    <row r="359" spans="19:20" x14ac:dyDescent="0.3">
      <c r="S359"/>
      <c r="T359"/>
    </row>
    <row r="360" spans="19:20" x14ac:dyDescent="0.3">
      <c r="S360"/>
      <c r="T360"/>
    </row>
    <row r="361" spans="19:20" x14ac:dyDescent="0.3">
      <c r="S361"/>
      <c r="T361"/>
    </row>
    <row r="362" spans="19:20" x14ac:dyDescent="0.3">
      <c r="S362"/>
      <c r="T362"/>
    </row>
    <row r="363" spans="19:20" x14ac:dyDescent="0.3">
      <c r="S363"/>
      <c r="T363"/>
    </row>
    <row r="364" spans="19:20" x14ac:dyDescent="0.3">
      <c r="S364"/>
      <c r="T364"/>
    </row>
    <row r="365" spans="19:20" x14ac:dyDescent="0.3">
      <c r="S365"/>
      <c r="T365"/>
    </row>
    <row r="366" spans="19:20" x14ac:dyDescent="0.3">
      <c r="S366"/>
      <c r="T366"/>
    </row>
    <row r="367" spans="19:20" x14ac:dyDescent="0.3">
      <c r="S367"/>
      <c r="T367"/>
    </row>
    <row r="368" spans="19:20" x14ac:dyDescent="0.3">
      <c r="S368"/>
      <c r="T368"/>
    </row>
    <row r="369" spans="19:20" x14ac:dyDescent="0.3">
      <c r="S369"/>
      <c r="T369"/>
    </row>
  </sheetData>
  <mergeCells count="9">
    <mergeCell ref="X4:Z4"/>
    <mergeCell ref="AH4:AI4"/>
    <mergeCell ref="AH2:AI2"/>
    <mergeCell ref="B2:C2"/>
    <mergeCell ref="J2:K2"/>
    <mergeCell ref="R2:S2"/>
    <mergeCell ref="B4:C4"/>
    <mergeCell ref="J4:K4"/>
    <mergeCell ref="X2:Z2"/>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E95C4388-7AA4-46AA-A0A6-91D7D0351BE7}">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407A1B12-B303-40FF-A6A6-C1B6130632FC}">
  <ds:schemaRefs>
    <ds:schemaRef ds:uri="http://schemas.microsoft.com/DataMashup"/>
  </ds:schemaRefs>
</ds:datastoreItem>
</file>

<file path=customXml/itemProps3.xml><?xml version="1.0" encoding="utf-8"?>
<ds:datastoreItem xmlns:ds="http://schemas.openxmlformats.org/officeDocument/2006/customXml" ds:itemID="{D9843E18-CF84-4CC7-B7C2-E585239EE16D}">
  <ds:schemaRefs>
    <ds:schemaRef ds:uri="http://www.w3.org/2001/XMLSchema"/>
    <ds:schemaRef ds:uri="http://microsoft.data.visualization.engine.tours/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Sheet Map</vt:lpstr>
      <vt:lpstr>Standard_Taxonomy</vt:lpstr>
      <vt:lpstr>HS_MD</vt:lpstr>
      <vt:lpstr>HS_DB</vt:lpstr>
      <vt:lpstr>HS_Summary</vt:lpstr>
      <vt:lpstr>Crisis_Type</vt:lpstr>
      <vt:lpstr>Heat_Map</vt:lpstr>
      <vt:lpstr>Dashboard</vt:lpstr>
      <vt:lpstr>Pivot</vt:lpstr>
      <vt:lpstr>Page4_PT4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Mohamed Sherif</dc:creator>
  <cp:lastModifiedBy>Mohamed Sherif</cp:lastModifiedBy>
  <cp:lastPrinted>2026-03-01T00:21:07Z</cp:lastPrinted>
  <dcterms:created xsi:type="dcterms:W3CDTF">2015-06-05T18:17:20Z</dcterms:created>
  <dcterms:modified xsi:type="dcterms:W3CDTF">2026-03-08T01:56:36Z</dcterms:modified>
</cp:coreProperties>
</file>